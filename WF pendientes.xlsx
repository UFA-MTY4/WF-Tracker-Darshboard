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2.xml" ContentType="application/vnd.ms-excel.namedsheetviews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02273_se_com/Documents/"/>
    </mc:Choice>
  </mc:AlternateContent>
  <xr:revisionPtr revIDLastSave="0" documentId="8_{7079A943-A612-4678-AD08-BC212AC1ED9D}" xr6:coauthVersionLast="47" xr6:coauthVersionMax="47" xr10:uidLastSave="{00000000-0000-0000-0000-000000000000}"/>
  <bookViews>
    <workbookView xWindow="-23148" yWindow="-108" windowWidth="23256" windowHeight="12456" tabRatio="466" firstSheet="2" activeTab="6" xr2:uid="{48523B99-5701-41D4-BBB0-A1FBE07967A6}"/>
  </bookViews>
  <sheets>
    <sheet name="Workflows tracker" sheetId="1" r:id="rId1"/>
    <sheet name="Cierre de WFs" sheetId="6" r:id="rId2"/>
    <sheet name="Holidays" sheetId="8" r:id="rId3"/>
    <sheet name="Mech Statistics" sheetId="7" r:id="rId4"/>
    <sheet name="Filters" sheetId="12" state="hidden" r:id="rId5"/>
    <sheet name="GSC" sheetId="10" state="hidden" r:id="rId6"/>
    <sheet name="Database PZ4 + SWBD" sheetId="3" r:id="rId7"/>
    <sheet name="Workflow Dashboard" sheetId="17" r:id="rId8"/>
  </sheets>
  <definedNames>
    <definedName name="_xlnm._FilterDatabase" localSheetId="1" hidden="1">'Cierre de WFs'!$C$4:$I$267</definedName>
    <definedName name="_xlnm._FilterDatabase" localSheetId="0" hidden="1">'Workflows tracker'!$B$1:$X$1089</definedName>
    <definedName name="Z_B8B11DCA_15D9_43FE_8242_24BA30DC4E5E_.wvu.FilterData" localSheetId="0" hidden="1">'Workflows tracker'!$B$1:$X$41</definedName>
  </definedNames>
  <calcPr calcId="191028"/>
  <customWorkbookViews>
    <customWorkbookView name="ELEC WFS" guid="{B8B11DCA-15D9-43FE-8242-24BA30DC4E5E}" maximized="1" xWindow="1031" yWindow="-1088" windowWidth="1936" windowHeight="1048" activeSheetId="1"/>
  </customWorkbookViews>
  <pivotCaches>
    <pivotCache cacheId="314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2" i="1" l="1"/>
  <c r="AL805" i="3"/>
  <c r="AL856" i="3"/>
  <c r="AL857" i="3"/>
  <c r="AM857" i="3" a="1"/>
  <c r="AM857" i="3" s="1"/>
  <c r="V857" i="3"/>
  <c r="T857" i="3"/>
  <c r="S857" i="3"/>
  <c r="AC857" i="3" s="1" a="1"/>
  <c r="AC857" i="3" s="1"/>
  <c r="O857" i="3"/>
  <c r="AA857" i="3" s="1"/>
  <c r="D857" i="3"/>
  <c r="A857" i="3"/>
  <c r="AM856" i="3" a="1"/>
  <c r="AM856" i="3" s="1"/>
  <c r="V856" i="3"/>
  <c r="T856" i="3"/>
  <c r="S856" i="3"/>
  <c r="AC856" i="3" s="1" a="1"/>
  <c r="AC856" i="3" s="1"/>
  <c r="O856" i="3"/>
  <c r="AA856" i="3" s="1"/>
  <c r="D856" i="3"/>
  <c r="A856" i="3"/>
  <c r="AL848" i="3"/>
  <c r="AL849" i="3"/>
  <c r="AL850" i="3"/>
  <c r="AL851" i="3"/>
  <c r="AL762" i="3"/>
  <c r="AL830" i="3"/>
  <c r="AL831" i="3"/>
  <c r="AL781" i="3"/>
  <c r="D805" i="3"/>
  <c r="AM805" i="3" a="1"/>
  <c r="AM805" i="3" s="1"/>
  <c r="V805" i="3"/>
  <c r="T805" i="3"/>
  <c r="S805" i="3"/>
  <c r="AC805" i="3" s="1" a="1"/>
  <c r="AC805" i="3" s="1"/>
  <c r="O805" i="3"/>
  <c r="AA805" i="3" s="1"/>
  <c r="A805" i="3"/>
  <c r="AM831" i="3" a="1"/>
  <c r="AM831" i="3" s="1"/>
  <c r="V831" i="3"/>
  <c r="T831" i="3"/>
  <c r="S831" i="3"/>
  <c r="AC831" i="3" s="1" a="1"/>
  <c r="AC831" i="3" s="1"/>
  <c r="O831" i="3"/>
  <c r="AA831" i="3" s="1"/>
  <c r="D831" i="3"/>
  <c r="A831" i="3"/>
  <c r="AM830" i="3" a="1"/>
  <c r="AM830" i="3"/>
  <c r="V830" i="3"/>
  <c r="T830" i="3"/>
  <c r="S830" i="3"/>
  <c r="AC830" i="3" s="1" a="1"/>
  <c r="AC830" i="3" s="1"/>
  <c r="O830" i="3"/>
  <c r="AA830" i="3" s="1"/>
  <c r="D830" i="3"/>
  <c r="A830" i="3"/>
  <c r="AM762" i="3" a="1"/>
  <c r="AM762" i="3" s="1"/>
  <c r="V762" i="3"/>
  <c r="T762" i="3"/>
  <c r="S762" i="3"/>
  <c r="AC762" i="3" s="1" a="1"/>
  <c r="AC762" i="3" s="1"/>
  <c r="O762" i="3"/>
  <c r="AA762" i="3" s="1"/>
  <c r="D762" i="3"/>
  <c r="A762" i="3"/>
  <c r="AM851" i="3" a="1"/>
  <c r="AM851" i="3" s="1"/>
  <c r="V851" i="3"/>
  <c r="T851" i="3"/>
  <c r="S851" i="3"/>
  <c r="AC851" i="3" s="1" a="1"/>
  <c r="AC851" i="3" s="1"/>
  <c r="O851" i="3"/>
  <c r="AA851" i="3" s="1"/>
  <c r="D851" i="3"/>
  <c r="A851" i="3"/>
  <c r="AM850" i="3" a="1"/>
  <c r="AM850" i="3" s="1"/>
  <c r="V850" i="3"/>
  <c r="T850" i="3"/>
  <c r="S850" i="3"/>
  <c r="AC850" i="3" s="1" a="1"/>
  <c r="AC850" i="3" s="1"/>
  <c r="O850" i="3"/>
  <c r="AA850" i="3" s="1"/>
  <c r="D850" i="3"/>
  <c r="A850" i="3"/>
  <c r="AM849" i="3" a="1"/>
  <c r="AM849" i="3" s="1"/>
  <c r="V849" i="3"/>
  <c r="T849" i="3"/>
  <c r="S849" i="3"/>
  <c r="AC849" i="3" s="1" a="1"/>
  <c r="AC849" i="3" s="1"/>
  <c r="O849" i="3"/>
  <c r="AA849" i="3" s="1"/>
  <c r="D849" i="3"/>
  <c r="A849" i="3"/>
  <c r="AL846" i="3"/>
  <c r="AL845" i="3"/>
  <c r="AM846" i="3" a="1"/>
  <c r="AM846" i="3" s="1"/>
  <c r="AM845" i="3" a="1"/>
  <c r="AM845" i="3" s="1"/>
  <c r="AM793" i="3" a="1"/>
  <c r="AM793" i="3" s="1"/>
  <c r="AM778" i="3" a="1"/>
  <c r="AM778" i="3" s="1"/>
  <c r="AM738" i="3" a="1"/>
  <c r="AM738" i="3" s="1"/>
  <c r="AM698" i="3" a="1"/>
  <c r="AM698" i="3" s="1"/>
  <c r="AM848" i="3" a="1"/>
  <c r="AM848" i="3"/>
  <c r="V848" i="3"/>
  <c r="T848" i="3"/>
  <c r="S848" i="3"/>
  <c r="AC848" i="3" s="1" a="1"/>
  <c r="AC848" i="3" s="1"/>
  <c r="O848" i="3"/>
  <c r="AA848" i="3" s="1"/>
  <c r="D848" i="3"/>
  <c r="A848" i="3"/>
  <c r="AL843" i="3"/>
  <c r="AL847" i="3"/>
  <c r="AL844" i="3"/>
  <c r="AL842" i="3"/>
  <c r="AL855" i="3"/>
  <c r="AL839" i="3"/>
  <c r="AL854" i="3"/>
  <c r="AL837" i="3"/>
  <c r="AL829" i="3"/>
  <c r="AL835" i="3"/>
  <c r="V846" i="3"/>
  <c r="AM843" i="3" a="1"/>
  <c r="AM843" i="3" s="1"/>
  <c r="V843" i="3"/>
  <c r="T843" i="3"/>
  <c r="S843" i="3"/>
  <c r="AC843" i="3" s="1" a="1"/>
  <c r="AC843" i="3" s="1"/>
  <c r="O843" i="3"/>
  <c r="AA843" i="3" s="1"/>
  <c r="D843" i="3"/>
  <c r="A843" i="3"/>
  <c r="T846" i="3"/>
  <c r="S846" i="3"/>
  <c r="O846" i="3"/>
  <c r="AA846" i="3" s="1"/>
  <c r="D846" i="3"/>
  <c r="A846" i="3"/>
  <c r="V845" i="3"/>
  <c r="T845" i="3"/>
  <c r="S845" i="3"/>
  <c r="O845" i="3"/>
  <c r="AA845" i="3" s="1"/>
  <c r="D845" i="3"/>
  <c r="A845" i="3"/>
  <c r="AM847" i="3" a="1"/>
  <c r="AM847" i="3"/>
  <c r="V847" i="3"/>
  <c r="T847" i="3"/>
  <c r="S847" i="3"/>
  <c r="AC847" i="3" s="1" a="1"/>
  <c r="AC847" i="3" s="1"/>
  <c r="O847" i="3"/>
  <c r="AA847" i="3" s="1"/>
  <c r="D847" i="3"/>
  <c r="A847" i="3"/>
  <c r="AM844" i="3" a="1"/>
  <c r="AM844" i="3" s="1"/>
  <c r="V844" i="3"/>
  <c r="T844" i="3"/>
  <c r="S844" i="3"/>
  <c r="AC844" i="3" s="1" a="1"/>
  <c r="AC844" i="3" s="1"/>
  <c r="O844" i="3"/>
  <c r="AA844" i="3" s="1"/>
  <c r="D844" i="3"/>
  <c r="A844" i="3"/>
  <c r="AM842" i="3" a="1"/>
  <c r="AM842" i="3" s="1"/>
  <c r="V842" i="3"/>
  <c r="T842" i="3"/>
  <c r="S842" i="3"/>
  <c r="AC842" i="3" s="1" a="1"/>
  <c r="AC842" i="3" s="1"/>
  <c r="O842" i="3"/>
  <c r="AA842" i="3" s="1"/>
  <c r="D842" i="3"/>
  <c r="A842" i="3"/>
  <c r="AM781" i="3" a="1"/>
  <c r="AM781" i="3" s="1"/>
  <c r="V781" i="3"/>
  <c r="T781" i="3"/>
  <c r="S781" i="3"/>
  <c r="AC781" i="3" s="1" a="1"/>
  <c r="AC781" i="3" s="1"/>
  <c r="O781" i="3"/>
  <c r="AA781" i="3" s="1"/>
  <c r="D781" i="3"/>
  <c r="A781" i="3"/>
  <c r="A835" i="3"/>
  <c r="O505" i="1"/>
  <c r="A829" i="3"/>
  <c r="A837" i="3"/>
  <c r="A854" i="3"/>
  <c r="A839" i="3"/>
  <c r="A855" i="3"/>
  <c r="D829" i="3"/>
  <c r="D837" i="3"/>
  <c r="D854" i="3"/>
  <c r="D839" i="3"/>
  <c r="D855" i="3"/>
  <c r="O829" i="3"/>
  <c r="AA829" i="3" s="1"/>
  <c r="O837" i="3"/>
  <c r="AA837" i="3" s="1"/>
  <c r="O854" i="3"/>
  <c r="AA854" i="3" s="1"/>
  <c r="O839" i="3"/>
  <c r="AA839" i="3" s="1"/>
  <c r="O855" i="3"/>
  <c r="AA855" i="3" s="1"/>
  <c r="S829" i="3"/>
  <c r="AC829" i="3" s="1" a="1"/>
  <c r="AC829" i="3" s="1"/>
  <c r="S837" i="3"/>
  <c r="AC837" i="3" s="1" a="1"/>
  <c r="AC837" i="3" s="1"/>
  <c r="S854" i="3"/>
  <c r="W854" i="3" s="1"/>
  <c r="S839" i="3"/>
  <c r="AC839" i="3" s="1" a="1"/>
  <c r="AC839" i="3" s="1"/>
  <c r="S855" i="3"/>
  <c r="T829" i="3"/>
  <c r="T837" i="3"/>
  <c r="T854" i="3"/>
  <c r="T839" i="3"/>
  <c r="T855" i="3"/>
  <c r="V829" i="3"/>
  <c r="V837" i="3"/>
  <c r="V854" i="3"/>
  <c r="V839" i="3"/>
  <c r="V855" i="3"/>
  <c r="AD855" i="3"/>
  <c r="AE855" i="3" s="1"/>
  <c r="AM829" i="3" a="1"/>
  <c r="AM829" i="3" s="1"/>
  <c r="AM837" i="3" a="1"/>
  <c r="AM837" i="3" s="1"/>
  <c r="AM854" i="3" a="1"/>
  <c r="AM854" i="3" s="1"/>
  <c r="AM839" i="3" a="1"/>
  <c r="AM839" i="3" s="1"/>
  <c r="AM855" i="3" a="1"/>
  <c r="AM855" i="3" s="1"/>
  <c r="AM835" i="3" a="1"/>
  <c r="AM835" i="3" s="1"/>
  <c r="V835" i="3"/>
  <c r="T835" i="3"/>
  <c r="S835" i="3"/>
  <c r="AC835" i="3" s="1" a="1"/>
  <c r="AC835" i="3" s="1"/>
  <c r="O835" i="3"/>
  <c r="AA835" i="3" s="1"/>
  <c r="D835" i="3"/>
  <c r="AM834" i="3" a="1"/>
  <c r="AM834" i="3" s="1"/>
  <c r="AL832" i="3"/>
  <c r="AL833" i="3"/>
  <c r="AL834" i="3"/>
  <c r="V834" i="3"/>
  <c r="T834" i="3"/>
  <c r="S834" i="3"/>
  <c r="AC834" i="3" s="1" a="1"/>
  <c r="AC834" i="3" s="1"/>
  <c r="O834" i="3"/>
  <c r="AA834" i="3" s="1"/>
  <c r="D834" i="3"/>
  <c r="A834" i="3"/>
  <c r="D833" i="3"/>
  <c r="AM833" i="3" a="1"/>
  <c r="AM833" i="3" s="1"/>
  <c r="V833" i="3"/>
  <c r="T833" i="3"/>
  <c r="S833" i="3"/>
  <c r="AC833" i="3" s="1" a="1"/>
  <c r="AC833" i="3" s="1"/>
  <c r="O833" i="3"/>
  <c r="AA833" i="3" s="1"/>
  <c r="A833" i="3"/>
  <c r="AM832" i="3" a="1"/>
  <c r="AM832" i="3" s="1"/>
  <c r="V832" i="3"/>
  <c r="T832" i="3"/>
  <c r="S832" i="3"/>
  <c r="AC832" i="3" s="1" a="1"/>
  <c r="AC832" i="3" s="1"/>
  <c r="O832" i="3"/>
  <c r="AA832" i="3" s="1"/>
  <c r="D832" i="3"/>
  <c r="A832" i="3"/>
  <c r="AL811" i="3"/>
  <c r="AM811" i="3" a="1"/>
  <c r="AM811" i="3" s="1"/>
  <c r="V811" i="3"/>
  <c r="T811" i="3"/>
  <c r="S811" i="3"/>
  <c r="AC811" i="3" s="1" a="1"/>
  <c r="AC811" i="3" s="1"/>
  <c r="O811" i="3"/>
  <c r="AA811" i="3" s="1"/>
  <c r="D811" i="3"/>
  <c r="A811" i="3"/>
  <c r="AL838" i="3"/>
  <c r="AL798" i="3"/>
  <c r="AM798" i="3" a="1"/>
  <c r="AM798" i="3" s="1"/>
  <c r="V798" i="3"/>
  <c r="T798" i="3"/>
  <c r="S798" i="3"/>
  <c r="AC798" i="3" s="1" a="1"/>
  <c r="AC798" i="3" s="1"/>
  <c r="O798" i="3"/>
  <c r="AA798" i="3" s="1"/>
  <c r="AL826" i="3"/>
  <c r="AL827" i="3"/>
  <c r="A822" i="3"/>
  <c r="D822" i="3"/>
  <c r="O822" i="3"/>
  <c r="AA822" i="3" s="1"/>
  <c r="S822" i="3"/>
  <c r="W822" i="3" s="1"/>
  <c r="T822" i="3"/>
  <c r="V822" i="3"/>
  <c r="AC822" i="3" a="1"/>
  <c r="AC822" i="3" s="1"/>
  <c r="AL822" i="3"/>
  <c r="AM822" i="3" a="1"/>
  <c r="AM822" i="3" s="1"/>
  <c r="AM838" i="3" a="1"/>
  <c r="AM838" i="3" s="1"/>
  <c r="V838" i="3"/>
  <c r="T838" i="3"/>
  <c r="S838" i="3"/>
  <c r="AC838" i="3" s="1" a="1"/>
  <c r="AC838" i="3" s="1"/>
  <c r="O838" i="3"/>
  <c r="AA838" i="3" s="1"/>
  <c r="D838" i="3"/>
  <c r="A838" i="3"/>
  <c r="AM826" i="3" a="1"/>
  <c r="AM826" i="3" s="1"/>
  <c r="V826" i="3"/>
  <c r="T826" i="3"/>
  <c r="S826" i="3"/>
  <c r="AC826" i="3" s="1" a="1"/>
  <c r="AC826" i="3" s="1"/>
  <c r="O826" i="3"/>
  <c r="AA826" i="3" s="1"/>
  <c r="D826" i="3"/>
  <c r="A826" i="3"/>
  <c r="AM804" i="3" a="1"/>
  <c r="AM804" i="3" s="1"/>
  <c r="AL804" i="3"/>
  <c r="AM2" i="3" a="1"/>
  <c r="AM2" i="3" s="1"/>
  <c r="AM3" i="3" a="1"/>
  <c r="AM3" i="3" s="1"/>
  <c r="AM4" i="3" a="1"/>
  <c r="AM4" i="3" s="1"/>
  <c r="AM5" i="3" a="1"/>
  <c r="AM5" i="3" s="1"/>
  <c r="AM6" i="3" a="1"/>
  <c r="AM6" i="3" s="1"/>
  <c r="AM7" i="3" a="1"/>
  <c r="AM7" i="3" s="1"/>
  <c r="AM8" i="3" a="1"/>
  <c r="AM8" i="3" s="1"/>
  <c r="AM9" i="3" a="1"/>
  <c r="AM9" i="3" s="1"/>
  <c r="AM10" i="3" a="1"/>
  <c r="AM10" i="3" s="1"/>
  <c r="AM11" i="3" a="1"/>
  <c r="AM11" i="3" s="1"/>
  <c r="AM12" i="3" a="1"/>
  <c r="AM12" i="3" s="1"/>
  <c r="AM13" i="3" a="1"/>
  <c r="AM13" i="3" s="1"/>
  <c r="AM14" i="3" a="1"/>
  <c r="AM14" i="3" s="1"/>
  <c r="AM15" i="3" a="1"/>
  <c r="AM15" i="3" s="1"/>
  <c r="AM16" i="3" a="1"/>
  <c r="AM16" i="3" s="1"/>
  <c r="AM17" i="3" a="1"/>
  <c r="AM17" i="3" s="1"/>
  <c r="AM18" i="3" a="1"/>
  <c r="AM18" i="3" s="1"/>
  <c r="AM19" i="3" a="1"/>
  <c r="AM19" i="3" s="1"/>
  <c r="AM20" i="3" a="1"/>
  <c r="AM20" i="3" s="1"/>
  <c r="AM21" i="3" a="1"/>
  <c r="AM21" i="3" s="1"/>
  <c r="AM22" i="3" a="1"/>
  <c r="AM22" i="3" s="1"/>
  <c r="AM23" i="3" a="1"/>
  <c r="AM23" i="3" s="1"/>
  <c r="AM24" i="3" a="1"/>
  <c r="AM24" i="3" s="1"/>
  <c r="AM25" i="3" a="1"/>
  <c r="AM25" i="3" s="1"/>
  <c r="AM26" i="3" a="1"/>
  <c r="AM26" i="3" s="1"/>
  <c r="AM27" i="3" a="1"/>
  <c r="AM27" i="3" s="1"/>
  <c r="AM28" i="3" a="1"/>
  <c r="AM28" i="3" s="1"/>
  <c r="AM29" i="3" a="1"/>
  <c r="AM29" i="3" s="1"/>
  <c r="AM30" i="3" a="1"/>
  <c r="AM30" i="3" s="1"/>
  <c r="AM31" i="3" a="1"/>
  <c r="AM31" i="3" s="1"/>
  <c r="AM32" i="3" a="1"/>
  <c r="AM32" i="3" s="1"/>
  <c r="AM33" i="3" a="1"/>
  <c r="AM33" i="3"/>
  <c r="AM34" i="3" a="1"/>
  <c r="AM34" i="3" s="1"/>
  <c r="AM35" i="3" a="1"/>
  <c r="AM35" i="3" s="1"/>
  <c r="AM36" i="3" a="1"/>
  <c r="AM36" i="3" s="1"/>
  <c r="AM37" i="3" a="1"/>
  <c r="AM37" i="3" s="1"/>
  <c r="AM38" i="3" a="1"/>
  <c r="AM38" i="3" s="1"/>
  <c r="AM39" i="3" a="1"/>
  <c r="AM39" i="3" s="1"/>
  <c r="AM40" i="3" a="1"/>
  <c r="AM40" i="3" s="1"/>
  <c r="AM41" i="3" a="1"/>
  <c r="AM41" i="3" s="1"/>
  <c r="AM42" i="3" a="1"/>
  <c r="AM42" i="3" s="1"/>
  <c r="AM43" i="3" a="1"/>
  <c r="AM43" i="3" s="1"/>
  <c r="AM44" i="3" a="1"/>
  <c r="AM44" i="3" s="1"/>
  <c r="AM45" i="3" a="1"/>
  <c r="AM45" i="3" s="1"/>
  <c r="AM46" i="3" a="1"/>
  <c r="AM46" i="3" s="1"/>
  <c r="AM47" i="3" a="1"/>
  <c r="AM47" i="3" s="1"/>
  <c r="AM48" i="3" a="1"/>
  <c r="AM48" i="3"/>
  <c r="AM49" i="3" a="1"/>
  <c r="AM49" i="3"/>
  <c r="AM50" i="3" a="1"/>
  <c r="AM50" i="3" s="1"/>
  <c r="AM51" i="3" a="1"/>
  <c r="AM51" i="3" s="1"/>
  <c r="AM52" i="3" a="1"/>
  <c r="AM52" i="3" s="1"/>
  <c r="AM53" i="3" a="1"/>
  <c r="AM53" i="3" s="1"/>
  <c r="AM54" i="3" a="1"/>
  <c r="AM54" i="3" s="1"/>
  <c r="AM55" i="3" a="1"/>
  <c r="AM55" i="3" s="1"/>
  <c r="AM56" i="3" a="1"/>
  <c r="AM56" i="3" s="1"/>
  <c r="AM57" i="3" a="1"/>
  <c r="AM57" i="3" s="1"/>
  <c r="AM58" i="3" a="1"/>
  <c r="AM58" i="3" s="1"/>
  <c r="AM59" i="3" a="1"/>
  <c r="AM59" i="3" s="1"/>
  <c r="AM60" i="3" a="1"/>
  <c r="AM60" i="3" s="1"/>
  <c r="AM61" i="3" a="1"/>
  <c r="AM61" i="3" s="1"/>
  <c r="AM62" i="3" a="1"/>
  <c r="AM62" i="3" s="1"/>
  <c r="AM63" i="3" a="1"/>
  <c r="AM63" i="3" s="1"/>
  <c r="AM64" i="3" a="1"/>
  <c r="AM64" i="3" s="1"/>
  <c r="AM65" i="3" a="1"/>
  <c r="AM65" i="3" s="1"/>
  <c r="AM66" i="3" a="1"/>
  <c r="AM66" i="3"/>
  <c r="AM67" i="3" a="1"/>
  <c r="AM67" i="3" s="1"/>
  <c r="AM68" i="3" a="1"/>
  <c r="AM68" i="3" s="1"/>
  <c r="AM69" i="3" a="1"/>
  <c r="AM69" i="3"/>
  <c r="AM70" i="3" a="1"/>
  <c r="AM70" i="3" s="1"/>
  <c r="AM71" i="3" a="1"/>
  <c r="AM71" i="3" s="1"/>
  <c r="AM72" i="3" a="1"/>
  <c r="AM72" i="3" s="1"/>
  <c r="AM73" i="3" a="1"/>
  <c r="AM73" i="3"/>
  <c r="AM74" i="3" a="1"/>
  <c r="AM74" i="3" s="1"/>
  <c r="AM75" i="3" a="1"/>
  <c r="AM75" i="3" s="1"/>
  <c r="AM76" i="3" a="1"/>
  <c r="AM76" i="3" s="1"/>
  <c r="AM77" i="3" a="1"/>
  <c r="AM77" i="3" s="1"/>
  <c r="AM78" i="3" a="1"/>
  <c r="AM78" i="3" s="1"/>
  <c r="AM79" i="3" a="1"/>
  <c r="AM79" i="3" s="1"/>
  <c r="AM80" i="3" a="1"/>
  <c r="AM80" i="3" s="1"/>
  <c r="AM81" i="3" a="1"/>
  <c r="AM81" i="3" s="1"/>
  <c r="AM82" i="3" a="1"/>
  <c r="AM82" i="3" s="1"/>
  <c r="AM83" i="3" a="1"/>
  <c r="AM83" i="3" s="1"/>
  <c r="AM84" i="3" a="1"/>
  <c r="AM84" i="3" s="1"/>
  <c r="AM85" i="3" a="1"/>
  <c r="AM85" i="3" s="1"/>
  <c r="AM86" i="3" a="1"/>
  <c r="AM86" i="3" s="1"/>
  <c r="AM87" i="3" a="1"/>
  <c r="AM87" i="3" s="1"/>
  <c r="AM88" i="3" a="1"/>
  <c r="AM88" i="3"/>
  <c r="AM89" i="3" a="1"/>
  <c r="AM89" i="3" s="1"/>
  <c r="AM90" i="3" a="1"/>
  <c r="AM90" i="3" s="1"/>
  <c r="AM91" i="3" a="1"/>
  <c r="AM91" i="3" s="1"/>
  <c r="AM92" i="3" a="1"/>
  <c r="AM92" i="3" s="1"/>
  <c r="AM93" i="3" a="1"/>
  <c r="AM93" i="3"/>
  <c r="AM94" i="3" a="1"/>
  <c r="AM94" i="3" s="1"/>
  <c r="AM95" i="3" a="1"/>
  <c r="AM95" i="3" s="1"/>
  <c r="AM96" i="3" a="1"/>
  <c r="AM96" i="3" s="1"/>
  <c r="AM97" i="3" a="1"/>
  <c r="AM97" i="3" s="1"/>
  <c r="AM98" i="3" a="1"/>
  <c r="AM98" i="3" s="1"/>
  <c r="AM99" i="3" a="1"/>
  <c r="AM99" i="3" s="1"/>
  <c r="AM100" i="3" a="1"/>
  <c r="AM100" i="3" s="1"/>
  <c r="AM101" i="3" a="1"/>
  <c r="AM101" i="3" s="1"/>
  <c r="AM102" i="3" a="1"/>
  <c r="AM102" i="3" s="1"/>
  <c r="AM103" i="3" a="1"/>
  <c r="AM103" i="3" s="1"/>
  <c r="AM104" i="3" a="1"/>
  <c r="AM104" i="3" s="1"/>
  <c r="AM105" i="3" a="1"/>
  <c r="AM105" i="3" s="1"/>
  <c r="AM106" i="3" a="1"/>
  <c r="AM106" i="3" s="1"/>
  <c r="AM107" i="3" a="1"/>
  <c r="AM107" i="3" s="1"/>
  <c r="AM108" i="3" a="1"/>
  <c r="AM108" i="3" s="1"/>
  <c r="AM109" i="3" a="1"/>
  <c r="AM109" i="3" s="1"/>
  <c r="AM110" i="3" a="1"/>
  <c r="AM110" i="3" s="1"/>
  <c r="AM111" i="3" a="1"/>
  <c r="AM111" i="3"/>
  <c r="AM112" i="3" a="1"/>
  <c r="AM112" i="3" s="1"/>
  <c r="AM113" i="3" a="1"/>
  <c r="AM113" i="3" s="1"/>
  <c r="AM114" i="3" a="1"/>
  <c r="AM114" i="3" s="1"/>
  <c r="AM115" i="3" a="1"/>
  <c r="AM115" i="3" s="1"/>
  <c r="AM116" i="3" a="1"/>
  <c r="AM116" i="3" s="1"/>
  <c r="AM117" i="3" a="1"/>
  <c r="AM117" i="3" s="1"/>
  <c r="AM118" i="3" a="1"/>
  <c r="AM118" i="3" s="1"/>
  <c r="AM119" i="3" a="1"/>
  <c r="AM119" i="3" s="1"/>
  <c r="AM120" i="3" a="1"/>
  <c r="AM120" i="3" s="1"/>
  <c r="AM121" i="3" a="1"/>
  <c r="AM121" i="3" s="1"/>
  <c r="AM122" i="3" a="1"/>
  <c r="AM122" i="3" s="1"/>
  <c r="AM123" i="3" a="1"/>
  <c r="AM123" i="3" s="1"/>
  <c r="AM124" i="3" a="1"/>
  <c r="AM124" i="3" s="1"/>
  <c r="AM125" i="3" a="1"/>
  <c r="AM125" i="3" s="1"/>
  <c r="AM126" i="3" a="1"/>
  <c r="AM126" i="3" s="1"/>
  <c r="AM127" i="3" a="1"/>
  <c r="AM127" i="3" s="1"/>
  <c r="AM128" i="3" a="1"/>
  <c r="AM128" i="3" s="1"/>
  <c r="AM129" i="3" a="1"/>
  <c r="AM129" i="3" s="1"/>
  <c r="AM130" i="3" a="1"/>
  <c r="AM130" i="3" s="1"/>
  <c r="AM131" i="3" a="1"/>
  <c r="AM131" i="3" s="1"/>
  <c r="AM132" i="3" a="1"/>
  <c r="AM132" i="3" s="1"/>
  <c r="AM133" i="3" a="1"/>
  <c r="AM133" i="3" s="1"/>
  <c r="AM134" i="3" a="1"/>
  <c r="AM134" i="3" s="1"/>
  <c r="AM135" i="3" a="1"/>
  <c r="AM135" i="3" s="1"/>
  <c r="AM136" i="3" a="1"/>
  <c r="AM136" i="3" s="1"/>
  <c r="AM137" i="3" a="1"/>
  <c r="AM137" i="3" s="1"/>
  <c r="AM138" i="3" a="1"/>
  <c r="AM138" i="3" s="1"/>
  <c r="AM139" i="3" a="1"/>
  <c r="AM139" i="3" s="1"/>
  <c r="AM140" i="3" a="1"/>
  <c r="AM140" i="3" s="1"/>
  <c r="AM141" i="3" a="1"/>
  <c r="AM141" i="3" s="1"/>
  <c r="AM142" i="3" a="1"/>
  <c r="AM142" i="3" s="1"/>
  <c r="AM143" i="3" a="1"/>
  <c r="AM143" i="3" s="1"/>
  <c r="AM144" i="3" a="1"/>
  <c r="AM144" i="3" s="1"/>
  <c r="AM145" i="3" a="1"/>
  <c r="AM145" i="3" s="1"/>
  <c r="AM146" i="3" a="1"/>
  <c r="AM146" i="3" s="1"/>
  <c r="AM147" i="3" a="1"/>
  <c r="AM147" i="3" s="1"/>
  <c r="AM148" i="3" a="1"/>
  <c r="AM148" i="3" s="1"/>
  <c r="AM149" i="3" a="1"/>
  <c r="AM149" i="3" s="1"/>
  <c r="AM150" i="3" a="1"/>
  <c r="AM150" i="3"/>
  <c r="AM151" i="3" a="1"/>
  <c r="AM151" i="3" s="1"/>
  <c r="AM152" i="3" a="1"/>
  <c r="AM152" i="3" s="1"/>
  <c r="AM153" i="3" a="1"/>
  <c r="AM153" i="3" s="1"/>
  <c r="AM154" i="3" a="1"/>
  <c r="AM154" i="3" s="1"/>
  <c r="AM155" i="3" a="1"/>
  <c r="AM155" i="3" s="1"/>
  <c r="AM156" i="3" a="1"/>
  <c r="AM156" i="3" s="1"/>
  <c r="AM157" i="3" a="1"/>
  <c r="AM157" i="3" s="1"/>
  <c r="AM158" i="3" a="1"/>
  <c r="AM158" i="3" s="1"/>
  <c r="AM159" i="3" a="1"/>
  <c r="AM159" i="3" s="1"/>
  <c r="AM160" i="3" a="1"/>
  <c r="AM160" i="3" s="1"/>
  <c r="AM161" i="3" a="1"/>
  <c r="AM161" i="3" s="1"/>
  <c r="AM162" i="3" a="1"/>
  <c r="AM162" i="3" s="1"/>
  <c r="AM163" i="3" a="1"/>
  <c r="AM163" i="3" s="1"/>
  <c r="AM164" i="3" a="1"/>
  <c r="AM164" i="3" s="1"/>
  <c r="AM165" i="3" a="1"/>
  <c r="AM165" i="3"/>
  <c r="AM166" i="3" a="1"/>
  <c r="AM166" i="3" s="1"/>
  <c r="AM167" i="3" a="1"/>
  <c r="AM167" i="3" s="1"/>
  <c r="AM168" i="3" a="1"/>
  <c r="AM168" i="3" s="1"/>
  <c r="AM169" i="3" a="1"/>
  <c r="AM169" i="3" s="1"/>
  <c r="AM170" i="3" a="1"/>
  <c r="AM170" i="3" s="1"/>
  <c r="AM171" i="3" a="1"/>
  <c r="AM171" i="3" s="1"/>
  <c r="AM172" i="3" a="1"/>
  <c r="AM172" i="3" s="1"/>
  <c r="AM173" i="3" a="1"/>
  <c r="AM173" i="3" s="1"/>
  <c r="AM174" i="3" a="1"/>
  <c r="AM174" i="3" s="1"/>
  <c r="AM175" i="3" a="1"/>
  <c r="AM175" i="3" s="1"/>
  <c r="AM176" i="3" a="1"/>
  <c r="AM176" i="3" s="1"/>
  <c r="AM177" i="3" a="1"/>
  <c r="AM177" i="3" s="1"/>
  <c r="AM178" i="3" a="1"/>
  <c r="AM178" i="3" s="1"/>
  <c r="AM179" i="3" a="1"/>
  <c r="AM179" i="3" s="1"/>
  <c r="AM180" i="3" a="1"/>
  <c r="AM180" i="3" s="1"/>
  <c r="AM181" i="3" a="1"/>
  <c r="AM181" i="3" s="1"/>
  <c r="AM182" i="3" a="1"/>
  <c r="AM182" i="3" s="1"/>
  <c r="AM183" i="3" a="1"/>
  <c r="AM183" i="3" s="1"/>
  <c r="AM184" i="3" a="1"/>
  <c r="AM184" i="3"/>
  <c r="AM185" i="3" a="1"/>
  <c r="AM185" i="3" s="1"/>
  <c r="AM186" i="3" a="1"/>
  <c r="AM186" i="3" s="1"/>
  <c r="AM187" i="3" a="1"/>
  <c r="AM187" i="3" s="1"/>
  <c r="AM188" i="3" a="1"/>
  <c r="AM188" i="3" s="1"/>
  <c r="AM189" i="3" a="1"/>
  <c r="AM189" i="3" s="1"/>
  <c r="AM190" i="3" a="1"/>
  <c r="AM190" i="3" s="1"/>
  <c r="AM191" i="3" a="1"/>
  <c r="AM191" i="3" s="1"/>
  <c r="AM192" i="3" a="1"/>
  <c r="AM192" i="3"/>
  <c r="AM193" i="3" a="1"/>
  <c r="AM193" i="3" s="1"/>
  <c r="AM194" i="3" a="1"/>
  <c r="AM194" i="3" s="1"/>
  <c r="AM195" i="3" a="1"/>
  <c r="AM195" i="3" s="1"/>
  <c r="AM196" i="3" a="1"/>
  <c r="AM196" i="3" s="1"/>
  <c r="AM197" i="3" a="1"/>
  <c r="AM197" i="3" s="1"/>
  <c r="AM198" i="3" a="1"/>
  <c r="AM198" i="3" s="1"/>
  <c r="AM199" i="3" a="1"/>
  <c r="AM199" i="3"/>
  <c r="AM200" i="3" a="1"/>
  <c r="AM200" i="3" s="1"/>
  <c r="AM201" i="3" a="1"/>
  <c r="AM201" i="3" s="1"/>
  <c r="AM202" i="3" a="1"/>
  <c r="AM202" i="3" s="1"/>
  <c r="AM203" i="3" a="1"/>
  <c r="AM203" i="3" s="1"/>
  <c r="AM204" i="3" a="1"/>
  <c r="AM204" i="3" s="1"/>
  <c r="AM205" i="3" a="1"/>
  <c r="AM205" i="3" s="1"/>
  <c r="AM206" i="3" a="1"/>
  <c r="AM206" i="3" s="1"/>
  <c r="AM207" i="3" a="1"/>
  <c r="AM207" i="3" s="1"/>
  <c r="AM208" i="3" a="1"/>
  <c r="AM208" i="3" s="1"/>
  <c r="AM209" i="3" a="1"/>
  <c r="AM209" i="3" s="1"/>
  <c r="AM210" i="3" a="1"/>
  <c r="AM210" i="3" s="1"/>
  <c r="AM211" i="3" a="1"/>
  <c r="AM211" i="3" s="1"/>
  <c r="AM212" i="3" a="1"/>
  <c r="AM212" i="3" s="1"/>
  <c r="AM213" i="3" a="1"/>
  <c r="AM213" i="3" s="1"/>
  <c r="AM214" i="3" a="1"/>
  <c r="AM214" i="3" s="1"/>
  <c r="AM215" i="3" a="1"/>
  <c r="AM215" i="3" s="1"/>
  <c r="AM216" i="3" a="1"/>
  <c r="AM216" i="3"/>
  <c r="AM217" i="3" a="1"/>
  <c r="AM217" i="3" s="1"/>
  <c r="AM218" i="3" a="1"/>
  <c r="AM218" i="3" s="1"/>
  <c r="AM219" i="3" a="1"/>
  <c r="AM219" i="3" s="1"/>
  <c r="AM220" i="3" a="1"/>
  <c r="AM220" i="3" s="1"/>
  <c r="AM221" i="3" a="1"/>
  <c r="AM221" i="3" s="1"/>
  <c r="AM222" i="3" a="1"/>
  <c r="AM222" i="3" s="1"/>
  <c r="AM223" i="3" a="1"/>
  <c r="AM223" i="3" s="1"/>
  <c r="AM224" i="3" a="1"/>
  <c r="AM224" i="3" s="1"/>
  <c r="AM225" i="3" a="1"/>
  <c r="AM225" i="3" s="1"/>
  <c r="AM226" i="3" a="1"/>
  <c r="AM226" i="3" s="1"/>
  <c r="AM227" i="3" a="1"/>
  <c r="AM227" i="3" s="1"/>
  <c r="AM228" i="3" a="1"/>
  <c r="AM228" i="3" s="1"/>
  <c r="AM229" i="3" a="1"/>
  <c r="AM229" i="3" s="1"/>
  <c r="AM230" i="3" a="1"/>
  <c r="AM230" i="3" s="1"/>
  <c r="AM231" i="3" a="1"/>
  <c r="AM231" i="3" s="1"/>
  <c r="AM232" i="3" a="1"/>
  <c r="AM232" i="3"/>
  <c r="AM233" i="3" a="1"/>
  <c r="AM233" i="3" s="1"/>
  <c r="AM234" i="3" a="1"/>
  <c r="AM234" i="3"/>
  <c r="AM235" i="3" a="1"/>
  <c r="AM235" i="3" s="1"/>
  <c r="AM236" i="3" a="1"/>
  <c r="AM236" i="3" s="1"/>
  <c r="AM237" i="3" a="1"/>
  <c r="AM237" i="3" s="1"/>
  <c r="AM238" i="3" a="1"/>
  <c r="AM238" i="3" s="1"/>
  <c r="AM239" i="3" a="1"/>
  <c r="AM239" i="3" s="1"/>
  <c r="AM240" i="3" a="1"/>
  <c r="AM240" i="3" s="1"/>
  <c r="AM241" i="3" a="1"/>
  <c r="AM241" i="3" s="1"/>
  <c r="AM242" i="3" a="1"/>
  <c r="AM242" i="3" s="1"/>
  <c r="AM243" i="3" a="1"/>
  <c r="AM243" i="3" s="1"/>
  <c r="AM244" i="3" a="1"/>
  <c r="AM244" i="3" s="1"/>
  <c r="AM245" i="3" a="1"/>
  <c r="AM245" i="3" s="1"/>
  <c r="AM246" i="3" a="1"/>
  <c r="AM246" i="3" s="1"/>
  <c r="AM247" i="3" a="1"/>
  <c r="AM247" i="3" s="1"/>
  <c r="AM248" i="3" a="1"/>
  <c r="AM248" i="3" s="1"/>
  <c r="AM249" i="3" a="1"/>
  <c r="AM249" i="3" s="1"/>
  <c r="AM250" i="3" a="1"/>
  <c r="AM250" i="3" s="1"/>
  <c r="AM251" i="3" a="1"/>
  <c r="AM251" i="3" s="1"/>
  <c r="AM252" i="3" a="1"/>
  <c r="AM252" i="3" s="1"/>
  <c r="AM253" i="3" a="1"/>
  <c r="AM253" i="3"/>
  <c r="AM254" i="3" a="1"/>
  <c r="AM254" i="3"/>
  <c r="AM255" i="3" a="1"/>
  <c r="AM255" i="3" s="1"/>
  <c r="AM256" i="3" a="1"/>
  <c r="AM256" i="3"/>
  <c r="AM257" i="3" a="1"/>
  <c r="AM257" i="3" s="1"/>
  <c r="AM258" i="3" a="1"/>
  <c r="AM258" i="3" s="1"/>
  <c r="AM259" i="3" a="1"/>
  <c r="AM259" i="3" s="1"/>
  <c r="AM260" i="3" a="1"/>
  <c r="AM260" i="3" s="1"/>
  <c r="AM261" i="3" a="1"/>
  <c r="AM261" i="3" s="1"/>
  <c r="AM262" i="3" a="1"/>
  <c r="AM262" i="3" s="1"/>
  <c r="AM263" i="3" a="1"/>
  <c r="AM263" i="3"/>
  <c r="AM264" i="3" a="1"/>
  <c r="AM264" i="3" s="1"/>
  <c r="AM265" i="3" a="1"/>
  <c r="AM265" i="3" s="1"/>
  <c r="AM266" i="3" a="1"/>
  <c r="AM266" i="3" s="1"/>
  <c r="AM267" i="3" a="1"/>
  <c r="AM267" i="3" s="1"/>
  <c r="AM268" i="3" a="1"/>
  <c r="AM268" i="3" s="1"/>
  <c r="AM269" i="3" a="1"/>
  <c r="AM269" i="3" s="1"/>
  <c r="AM270" i="3" a="1"/>
  <c r="AM270" i="3" s="1"/>
  <c r="AM271" i="3" a="1"/>
  <c r="AM271" i="3"/>
  <c r="AM272" i="3" a="1"/>
  <c r="AM272" i="3" s="1"/>
  <c r="AM273" i="3" a="1"/>
  <c r="AM273" i="3" s="1"/>
  <c r="AM274" i="3" a="1"/>
  <c r="AM274" i="3" s="1"/>
  <c r="AM275" i="3" a="1"/>
  <c r="AM275" i="3" s="1"/>
  <c r="AM276" i="3" a="1"/>
  <c r="AM276" i="3" s="1"/>
  <c r="AM277" i="3" a="1"/>
  <c r="AM277" i="3" s="1"/>
  <c r="AM278" i="3" a="1"/>
  <c r="AM278" i="3" s="1"/>
  <c r="AM279" i="3" a="1"/>
  <c r="AM279" i="3" s="1"/>
  <c r="AM280" i="3" a="1"/>
  <c r="AM280" i="3"/>
  <c r="AM281" i="3" a="1"/>
  <c r="AM281" i="3" s="1"/>
  <c r="AM282" i="3" a="1"/>
  <c r="AM282" i="3" s="1"/>
  <c r="AM283" i="3" a="1"/>
  <c r="AM283" i="3"/>
  <c r="AM284" i="3" a="1"/>
  <c r="AM284" i="3" s="1"/>
  <c r="AM285" i="3" a="1"/>
  <c r="AM285" i="3" s="1"/>
  <c r="AM286" i="3" a="1"/>
  <c r="AM286" i="3"/>
  <c r="AM287" i="3" a="1"/>
  <c r="AM287" i="3" s="1"/>
  <c r="AM288" i="3" a="1"/>
  <c r="AM288" i="3" s="1"/>
  <c r="AM289" i="3" a="1"/>
  <c r="AM289" i="3" s="1"/>
  <c r="AM290" i="3" a="1"/>
  <c r="AM290" i="3" s="1"/>
  <c r="AM291" i="3" a="1"/>
  <c r="AM291" i="3" s="1"/>
  <c r="AM292" i="3" a="1"/>
  <c r="AM292" i="3" s="1"/>
  <c r="AM293" i="3" a="1"/>
  <c r="AM293" i="3" s="1"/>
  <c r="AM294" i="3" a="1"/>
  <c r="AM294" i="3" s="1"/>
  <c r="AM295" i="3" a="1"/>
  <c r="AM295" i="3" s="1"/>
  <c r="AM296" i="3" a="1"/>
  <c r="AM296" i="3" s="1"/>
  <c r="AM297" i="3" a="1"/>
  <c r="AM297" i="3" s="1"/>
  <c r="AM298" i="3" a="1"/>
  <c r="AM298" i="3" s="1"/>
  <c r="AM299" i="3" a="1"/>
  <c r="AM299" i="3" s="1"/>
  <c r="AM300" i="3" a="1"/>
  <c r="AM300" i="3" s="1"/>
  <c r="AM301" i="3" a="1"/>
  <c r="AM301" i="3" s="1"/>
  <c r="AM302" i="3" a="1"/>
  <c r="AM302" i="3"/>
  <c r="AM303" i="3" a="1"/>
  <c r="AM303" i="3" s="1"/>
  <c r="AM304" i="3" a="1"/>
  <c r="AM304" i="3" s="1"/>
  <c r="AM305" i="3" a="1"/>
  <c r="AM305" i="3" s="1"/>
  <c r="AM306" i="3" a="1"/>
  <c r="AM306" i="3" s="1"/>
  <c r="AM307" i="3" a="1"/>
  <c r="AM307" i="3"/>
  <c r="AM308" i="3" a="1"/>
  <c r="AM308" i="3" s="1"/>
  <c r="AM309" i="3" a="1"/>
  <c r="AM309" i="3" s="1"/>
  <c r="AM310" i="3" a="1"/>
  <c r="AM310" i="3" s="1"/>
  <c r="AM311" i="3" a="1"/>
  <c r="AM311" i="3" s="1"/>
  <c r="AM312" i="3" a="1"/>
  <c r="AM312" i="3" s="1"/>
  <c r="AM313" i="3" a="1"/>
  <c r="AM313" i="3" s="1"/>
  <c r="AM314" i="3" a="1"/>
  <c r="AM314" i="3" s="1"/>
  <c r="AM315" i="3" a="1"/>
  <c r="AM315" i="3" s="1"/>
  <c r="AM316" i="3" a="1"/>
  <c r="AM316" i="3" s="1"/>
  <c r="AM317" i="3" a="1"/>
  <c r="AM317" i="3" s="1"/>
  <c r="AM318" i="3" a="1"/>
  <c r="AM318" i="3" s="1"/>
  <c r="AM319" i="3" a="1"/>
  <c r="AM319" i="3" s="1"/>
  <c r="AM320" i="3" a="1"/>
  <c r="AM320" i="3"/>
  <c r="AM321" i="3" a="1"/>
  <c r="AM321" i="3" s="1"/>
  <c r="AM322" i="3" a="1"/>
  <c r="AM322" i="3" s="1"/>
  <c r="AM323" i="3" a="1"/>
  <c r="AM323" i="3" s="1"/>
  <c r="AM324" i="3" a="1"/>
  <c r="AM324" i="3" s="1"/>
  <c r="AM325" i="3" a="1"/>
  <c r="AM325" i="3" s="1"/>
  <c r="AM326" i="3" a="1"/>
  <c r="AM326" i="3" s="1"/>
  <c r="AM327" i="3" a="1"/>
  <c r="AM327" i="3" s="1"/>
  <c r="AM328" i="3" a="1"/>
  <c r="AM328" i="3" s="1"/>
  <c r="AM329" i="3" a="1"/>
  <c r="AM329" i="3" s="1"/>
  <c r="AM330" i="3" a="1"/>
  <c r="AM330" i="3" s="1"/>
  <c r="AM331" i="3" a="1"/>
  <c r="AM331" i="3" s="1"/>
  <c r="AM332" i="3" a="1"/>
  <c r="AM332" i="3" s="1"/>
  <c r="AM333" i="3" a="1"/>
  <c r="AM333" i="3" s="1"/>
  <c r="AM334" i="3" a="1"/>
  <c r="AM334" i="3" s="1"/>
  <c r="AM335" i="3" a="1"/>
  <c r="AM335" i="3" s="1"/>
  <c r="AM336" i="3" a="1"/>
  <c r="AM336" i="3" s="1"/>
  <c r="AM337" i="3" a="1"/>
  <c r="AM337" i="3" s="1"/>
  <c r="AM338" i="3" a="1"/>
  <c r="AM338" i="3"/>
  <c r="AM339" i="3" a="1"/>
  <c r="AM339" i="3" s="1"/>
  <c r="AM340" i="3" a="1"/>
  <c r="AM340" i="3" s="1"/>
  <c r="AM341" i="3" a="1"/>
  <c r="AM341" i="3" s="1"/>
  <c r="AM342" i="3" a="1"/>
  <c r="AM342" i="3" s="1"/>
  <c r="AM343" i="3" a="1"/>
  <c r="AM343" i="3" s="1"/>
  <c r="AM344" i="3" a="1"/>
  <c r="AM344" i="3" s="1"/>
  <c r="AM345" i="3" a="1"/>
  <c r="AM345" i="3" s="1"/>
  <c r="AM346" i="3" a="1"/>
  <c r="AM346" i="3" s="1"/>
  <c r="AM347" i="3" a="1"/>
  <c r="AM347" i="3" s="1"/>
  <c r="AM348" i="3" a="1"/>
  <c r="AM348" i="3" s="1"/>
  <c r="AM349" i="3" a="1"/>
  <c r="AM349" i="3" s="1"/>
  <c r="AM350" i="3" a="1"/>
  <c r="AM350" i="3" s="1"/>
  <c r="AM351" i="3" a="1"/>
  <c r="AM351" i="3" s="1"/>
  <c r="AM352" i="3" a="1"/>
  <c r="AM352" i="3" s="1"/>
  <c r="AM353" i="3" a="1"/>
  <c r="AM353" i="3" s="1"/>
  <c r="AM354" i="3" a="1"/>
  <c r="AM354" i="3" s="1"/>
  <c r="AM355" i="3" a="1"/>
  <c r="AM355" i="3" s="1"/>
  <c r="AM356" i="3" a="1"/>
  <c r="AM356" i="3" s="1"/>
  <c r="AM357" i="3" a="1"/>
  <c r="AM357" i="3" s="1"/>
  <c r="AM358" i="3" a="1"/>
  <c r="AM358" i="3" s="1"/>
  <c r="AM359" i="3" a="1"/>
  <c r="AM359" i="3" s="1"/>
  <c r="AM360" i="3" a="1"/>
  <c r="AM360" i="3" s="1"/>
  <c r="AM361" i="3" a="1"/>
  <c r="AM361" i="3" s="1"/>
  <c r="AM362" i="3" a="1"/>
  <c r="AM362" i="3" s="1"/>
  <c r="AM363" i="3" a="1"/>
  <c r="AM363" i="3" s="1"/>
  <c r="AM364" i="3" a="1"/>
  <c r="AM364" i="3" s="1"/>
  <c r="AM365" i="3" a="1"/>
  <c r="AM365" i="3" s="1"/>
  <c r="AM366" i="3" a="1"/>
  <c r="AM366" i="3" s="1"/>
  <c r="AM367" i="3" a="1"/>
  <c r="AM367" i="3" s="1"/>
  <c r="AM368" i="3" a="1"/>
  <c r="AM368" i="3" s="1"/>
  <c r="AM369" i="3" a="1"/>
  <c r="AM369" i="3" s="1"/>
  <c r="AM370" i="3" a="1"/>
  <c r="AM370" i="3" s="1"/>
  <c r="AM371" i="3" a="1"/>
  <c r="AM371" i="3" s="1"/>
  <c r="AM372" i="3" a="1"/>
  <c r="AM372" i="3" s="1"/>
  <c r="AM373" i="3" a="1"/>
  <c r="AM373" i="3" s="1"/>
  <c r="AM374" i="3" a="1"/>
  <c r="AM374" i="3"/>
  <c r="AM375" i="3" a="1"/>
  <c r="AM375" i="3" s="1"/>
  <c r="AM376" i="3" a="1"/>
  <c r="AM376" i="3" s="1"/>
  <c r="AM377" i="3" a="1"/>
  <c r="AM377" i="3" s="1"/>
  <c r="AM378" i="3" a="1"/>
  <c r="AM378" i="3" s="1"/>
  <c r="AM379" i="3" a="1"/>
  <c r="AM379" i="3" s="1"/>
  <c r="AM380" i="3" a="1"/>
  <c r="AM380" i="3" s="1"/>
  <c r="AM381" i="3" a="1"/>
  <c r="AM381" i="3" s="1"/>
  <c r="AM382" i="3" a="1"/>
  <c r="AM382" i="3" s="1"/>
  <c r="AM383" i="3" a="1"/>
  <c r="AM383" i="3" s="1"/>
  <c r="AM384" i="3" a="1"/>
  <c r="AM384" i="3" s="1"/>
  <c r="AM385" i="3" a="1"/>
  <c r="AM385" i="3" s="1"/>
  <c r="AM386" i="3" a="1"/>
  <c r="AM386" i="3" s="1"/>
  <c r="AM387" i="3" a="1"/>
  <c r="AM387" i="3" s="1"/>
  <c r="AM388" i="3" a="1"/>
  <c r="AM388" i="3" s="1"/>
  <c r="AM389" i="3" a="1"/>
  <c r="AM389" i="3" s="1"/>
  <c r="AM390" i="3" a="1"/>
  <c r="AM390" i="3" s="1"/>
  <c r="AM391" i="3" a="1"/>
  <c r="AM391" i="3" s="1"/>
  <c r="AM392" i="3" a="1"/>
  <c r="AM392" i="3" s="1"/>
  <c r="AM393" i="3" a="1"/>
  <c r="AM393" i="3" s="1"/>
  <c r="AM394" i="3" a="1"/>
  <c r="AM394" i="3" s="1"/>
  <c r="AM395" i="3" a="1"/>
  <c r="AM395" i="3" s="1"/>
  <c r="AM396" i="3" a="1"/>
  <c r="AM396" i="3" s="1"/>
  <c r="AM397" i="3" a="1"/>
  <c r="AM397" i="3" s="1"/>
  <c r="AM398" i="3" a="1"/>
  <c r="AM398" i="3" s="1"/>
  <c r="AM399" i="3" a="1"/>
  <c r="AM399" i="3" s="1"/>
  <c r="AM400" i="3" a="1"/>
  <c r="AM400" i="3" s="1"/>
  <c r="AM401" i="3" a="1"/>
  <c r="AM401" i="3" s="1"/>
  <c r="AM402" i="3" a="1"/>
  <c r="AM402" i="3" s="1"/>
  <c r="AM403" i="3" a="1"/>
  <c r="AM403" i="3" s="1"/>
  <c r="AM404" i="3" a="1"/>
  <c r="AM404" i="3"/>
  <c r="AM405" i="3" a="1"/>
  <c r="AM405" i="3" s="1"/>
  <c r="AM406" i="3" a="1"/>
  <c r="AM406" i="3" s="1"/>
  <c r="AM407" i="3" a="1"/>
  <c r="AM407" i="3"/>
  <c r="AM408" i="3" a="1"/>
  <c r="AM408" i="3" s="1"/>
  <c r="AM409" i="3" a="1"/>
  <c r="AM409" i="3" s="1"/>
  <c r="AM410" i="3" a="1"/>
  <c r="AM410" i="3" s="1"/>
  <c r="AM411" i="3" a="1"/>
  <c r="AM411" i="3" s="1"/>
  <c r="AM412" i="3" a="1"/>
  <c r="AM412" i="3" s="1"/>
  <c r="AM413" i="3" a="1"/>
  <c r="AM413" i="3" s="1"/>
  <c r="AM414" i="3" a="1"/>
  <c r="AM414" i="3" s="1"/>
  <c r="AM415" i="3" a="1"/>
  <c r="AM415" i="3" s="1"/>
  <c r="AM416" i="3" a="1"/>
  <c r="AM416" i="3" s="1"/>
  <c r="AM417" i="3" a="1"/>
  <c r="AM417" i="3" s="1"/>
  <c r="AM418" i="3" a="1"/>
  <c r="AM418" i="3" s="1"/>
  <c r="AM419" i="3" a="1"/>
  <c r="AM419" i="3" s="1"/>
  <c r="AM420" i="3" a="1"/>
  <c r="AM420" i="3" s="1"/>
  <c r="AM421" i="3" a="1"/>
  <c r="AM421" i="3" s="1"/>
  <c r="AM422" i="3" a="1"/>
  <c r="AM422" i="3" s="1"/>
  <c r="AM423" i="3" a="1"/>
  <c r="AM423" i="3" s="1"/>
  <c r="AM424" i="3" a="1"/>
  <c r="AM424" i="3" s="1"/>
  <c r="AM425" i="3" a="1"/>
  <c r="AM425" i="3" s="1"/>
  <c r="AM426" i="3" a="1"/>
  <c r="AM426" i="3"/>
  <c r="AM427" i="3" a="1"/>
  <c r="AM427" i="3" s="1"/>
  <c r="AM428" i="3" a="1"/>
  <c r="AM428" i="3" s="1"/>
  <c r="AM429" i="3" a="1"/>
  <c r="AM429" i="3" s="1"/>
  <c r="AM430" i="3" a="1"/>
  <c r="AM430" i="3" s="1"/>
  <c r="AM431" i="3" a="1"/>
  <c r="AM431" i="3" s="1"/>
  <c r="AM432" i="3" a="1"/>
  <c r="AM432" i="3" s="1"/>
  <c r="AM433" i="3" a="1"/>
  <c r="AM433" i="3" s="1"/>
  <c r="AM434" i="3" a="1"/>
  <c r="AM434" i="3" s="1"/>
  <c r="AM435" i="3" a="1"/>
  <c r="AM435" i="3" s="1"/>
  <c r="AM436" i="3" a="1"/>
  <c r="AM436" i="3" s="1"/>
  <c r="AM437" i="3" a="1"/>
  <c r="AM437" i="3" s="1"/>
  <c r="AM438" i="3" a="1"/>
  <c r="AM438" i="3" s="1"/>
  <c r="AM439" i="3" a="1"/>
  <c r="AM439" i="3" s="1"/>
  <c r="AM440" i="3" a="1"/>
  <c r="AM440" i="3" s="1"/>
  <c r="AM441" i="3" a="1"/>
  <c r="AM441" i="3"/>
  <c r="AM442" i="3" a="1"/>
  <c r="AM442" i="3" s="1"/>
  <c r="AM443" i="3" a="1"/>
  <c r="AM443" i="3" s="1"/>
  <c r="AM444" i="3" a="1"/>
  <c r="AM444" i="3" s="1"/>
  <c r="AM445" i="3" a="1"/>
  <c r="AM445" i="3" s="1"/>
  <c r="AM446" i="3" a="1"/>
  <c r="AM446" i="3" s="1"/>
  <c r="AM447" i="3" a="1"/>
  <c r="AM447" i="3" s="1"/>
  <c r="AM448" i="3" a="1"/>
  <c r="AM448" i="3" s="1"/>
  <c r="AM449" i="3" a="1"/>
  <c r="AM449" i="3" s="1"/>
  <c r="AM450" i="3" a="1"/>
  <c r="AM450" i="3" s="1"/>
  <c r="AM451" i="3" a="1"/>
  <c r="AM451" i="3" s="1"/>
  <c r="AM452" i="3" a="1"/>
  <c r="AM452" i="3" s="1"/>
  <c r="AM453" i="3" a="1"/>
  <c r="AM453" i="3" s="1"/>
  <c r="AM454" i="3" a="1"/>
  <c r="AM454" i="3" s="1"/>
  <c r="AM455" i="3" a="1"/>
  <c r="AM455" i="3" s="1"/>
  <c r="AM456" i="3" a="1"/>
  <c r="AM456" i="3" s="1"/>
  <c r="AM457" i="3" a="1"/>
  <c r="AM457" i="3" s="1"/>
  <c r="AM458" i="3" a="1"/>
  <c r="AM458" i="3" s="1"/>
  <c r="AM459" i="3" a="1"/>
  <c r="AM459" i="3"/>
  <c r="AM460" i="3" a="1"/>
  <c r="AM460" i="3" s="1"/>
  <c r="AM461" i="3" a="1"/>
  <c r="AM461" i="3"/>
  <c r="AM462" i="3" a="1"/>
  <c r="AM462" i="3" s="1"/>
  <c r="AM463" i="3" a="1"/>
  <c r="AM463" i="3" s="1"/>
  <c r="AM464" i="3" a="1"/>
  <c r="AM464" i="3" s="1"/>
  <c r="AM465" i="3" a="1"/>
  <c r="AM465" i="3" s="1"/>
  <c r="AM466" i="3" a="1"/>
  <c r="AM466" i="3" s="1"/>
  <c r="AM467" i="3" a="1"/>
  <c r="AM467" i="3" s="1"/>
  <c r="AM468" i="3" a="1"/>
  <c r="AM468" i="3" s="1"/>
  <c r="AM469" i="3" a="1"/>
  <c r="AM469" i="3" s="1"/>
  <c r="AM470" i="3" a="1"/>
  <c r="AM470" i="3" s="1"/>
  <c r="AM471" i="3" a="1"/>
  <c r="AM471" i="3" s="1"/>
  <c r="AM472" i="3" a="1"/>
  <c r="AM472" i="3" s="1"/>
  <c r="AM473" i="3" a="1"/>
  <c r="AM473" i="3" s="1"/>
  <c r="AM474" i="3" a="1"/>
  <c r="AM474" i="3" s="1"/>
  <c r="AM475" i="3" a="1"/>
  <c r="AM475" i="3" s="1"/>
  <c r="AM476" i="3" a="1"/>
  <c r="AM476" i="3" s="1"/>
  <c r="AM477" i="3" a="1"/>
  <c r="AM477" i="3" s="1"/>
  <c r="AM478" i="3" a="1"/>
  <c r="AM478" i="3"/>
  <c r="AM479" i="3" a="1"/>
  <c r="AM479" i="3" s="1"/>
  <c r="AM480" i="3" a="1"/>
  <c r="AM480" i="3"/>
  <c r="AM481" i="3" a="1"/>
  <c r="AM481" i="3" s="1"/>
  <c r="AM482" i="3" a="1"/>
  <c r="AM482" i="3" s="1"/>
  <c r="AM483" i="3" a="1"/>
  <c r="AM483" i="3" s="1"/>
  <c r="AM484" i="3" a="1"/>
  <c r="AM484" i="3" s="1"/>
  <c r="AM485" i="3" a="1"/>
  <c r="AM485" i="3" s="1"/>
  <c r="AM486" i="3" a="1"/>
  <c r="AM486" i="3" s="1"/>
  <c r="AM487" i="3" a="1"/>
  <c r="AM487" i="3" s="1"/>
  <c r="AM488" i="3" a="1"/>
  <c r="AM488" i="3" s="1"/>
  <c r="AM489" i="3" a="1"/>
  <c r="AM489" i="3" s="1"/>
  <c r="AM490" i="3" a="1"/>
  <c r="AM490" i="3" s="1"/>
  <c r="AM491" i="3" a="1"/>
  <c r="AM491" i="3" s="1"/>
  <c r="AM492" i="3" a="1"/>
  <c r="AM492" i="3" s="1"/>
  <c r="AM493" i="3" a="1"/>
  <c r="AM493" i="3" s="1"/>
  <c r="AM494" i="3" a="1"/>
  <c r="AM494" i="3" s="1"/>
  <c r="AM495" i="3" a="1"/>
  <c r="AM495" i="3" s="1"/>
  <c r="AM496" i="3" a="1"/>
  <c r="AM496" i="3" s="1"/>
  <c r="AM497" i="3" a="1"/>
  <c r="AM497" i="3" s="1"/>
  <c r="AM498" i="3" a="1"/>
  <c r="AM498" i="3"/>
  <c r="AM499" i="3" a="1"/>
  <c r="AM499" i="3" s="1"/>
  <c r="AM500" i="3" a="1"/>
  <c r="AM500" i="3" s="1"/>
  <c r="AM501" i="3" a="1"/>
  <c r="AM501" i="3" s="1"/>
  <c r="AM502" i="3" a="1"/>
  <c r="AM502" i="3" s="1"/>
  <c r="AM503" i="3" a="1"/>
  <c r="AM503" i="3" s="1"/>
  <c r="AM504" i="3" a="1"/>
  <c r="AM504" i="3" s="1"/>
  <c r="AM505" i="3" a="1"/>
  <c r="AM505" i="3"/>
  <c r="AM506" i="3" a="1"/>
  <c r="AM506" i="3" s="1"/>
  <c r="AM507" i="3" a="1"/>
  <c r="AM507" i="3" s="1"/>
  <c r="AM508" i="3" a="1"/>
  <c r="AM508" i="3" s="1"/>
  <c r="AM509" i="3" a="1"/>
  <c r="AM509" i="3" s="1"/>
  <c r="AM510" i="3" a="1"/>
  <c r="AM510" i="3" s="1"/>
  <c r="AM511" i="3" a="1"/>
  <c r="AM511" i="3" s="1"/>
  <c r="AM512" i="3" a="1"/>
  <c r="AM512" i="3" s="1"/>
  <c r="AM513" i="3" a="1"/>
  <c r="AM513" i="3" s="1"/>
  <c r="AM514" i="3" a="1"/>
  <c r="AM514" i="3" s="1"/>
  <c r="AM515" i="3" a="1"/>
  <c r="AM515" i="3" s="1"/>
  <c r="AM516" i="3" a="1"/>
  <c r="AM516" i="3" s="1"/>
  <c r="AM517" i="3" a="1"/>
  <c r="AM517" i="3" s="1"/>
  <c r="AM518" i="3" a="1"/>
  <c r="AM518" i="3"/>
  <c r="AM519" i="3" a="1"/>
  <c r="AM519" i="3" s="1"/>
  <c r="AM520" i="3" a="1"/>
  <c r="AM520" i="3" s="1"/>
  <c r="AM521" i="3" a="1"/>
  <c r="AM521" i="3" s="1"/>
  <c r="AM522" i="3" a="1"/>
  <c r="AM522" i="3"/>
  <c r="AM523" i="3" a="1"/>
  <c r="AM523" i="3" s="1"/>
  <c r="AM524" i="3" a="1"/>
  <c r="AM524" i="3" s="1"/>
  <c r="AM525" i="3" a="1"/>
  <c r="AM525" i="3" s="1"/>
  <c r="AM526" i="3" a="1"/>
  <c r="AM526" i="3" s="1"/>
  <c r="AM527" i="3" a="1"/>
  <c r="AM527" i="3" s="1"/>
  <c r="AM528" i="3" a="1"/>
  <c r="AM528" i="3" s="1"/>
  <c r="AM529" i="3" a="1"/>
  <c r="AM529" i="3" s="1"/>
  <c r="AM530" i="3" a="1"/>
  <c r="AM530" i="3" s="1"/>
  <c r="AM531" i="3" a="1"/>
  <c r="AM531" i="3" s="1"/>
  <c r="AM532" i="3" a="1"/>
  <c r="AM532" i="3" s="1"/>
  <c r="AM533" i="3" a="1"/>
  <c r="AM533" i="3" s="1"/>
  <c r="AM534" i="3" a="1"/>
  <c r="AM534" i="3" s="1"/>
  <c r="AM535" i="3" a="1"/>
  <c r="AM535" i="3" s="1"/>
  <c r="AM536" i="3" a="1"/>
  <c r="AM536" i="3" s="1"/>
  <c r="AM537" i="3" a="1"/>
  <c r="AM537" i="3" s="1"/>
  <c r="AM538" i="3" a="1"/>
  <c r="AM538" i="3" s="1"/>
  <c r="AM539" i="3" a="1"/>
  <c r="AM539" i="3" s="1"/>
  <c r="AM540" i="3" a="1"/>
  <c r="AM540" i="3" s="1"/>
  <c r="AM541" i="3" a="1"/>
  <c r="AM541" i="3" s="1"/>
  <c r="AM542" i="3" a="1"/>
  <c r="AM542" i="3" s="1"/>
  <c r="AM543" i="3" a="1"/>
  <c r="AM543" i="3" s="1"/>
  <c r="AM544" i="3" a="1"/>
  <c r="AM544" i="3"/>
  <c r="AM545" i="3" a="1"/>
  <c r="AM545" i="3" s="1"/>
  <c r="AM546" i="3" a="1"/>
  <c r="AM546" i="3" s="1"/>
  <c r="AM547" i="3" a="1"/>
  <c r="AM547" i="3"/>
  <c r="AM548" i="3" a="1"/>
  <c r="AM548" i="3" s="1"/>
  <c r="AM549" i="3" a="1"/>
  <c r="AM549" i="3" s="1"/>
  <c r="AM550" i="3" a="1"/>
  <c r="AM550" i="3" s="1"/>
  <c r="AM551" i="3" a="1"/>
  <c r="AM551" i="3" s="1"/>
  <c r="AM552" i="3" a="1"/>
  <c r="AM552" i="3" s="1"/>
  <c r="AM553" i="3" a="1"/>
  <c r="AM553" i="3" s="1"/>
  <c r="AM554" i="3" a="1"/>
  <c r="AM554" i="3" s="1"/>
  <c r="AM555" i="3" a="1"/>
  <c r="AM555" i="3" s="1"/>
  <c r="AM556" i="3" a="1"/>
  <c r="AM556" i="3" s="1"/>
  <c r="AM557" i="3" a="1"/>
  <c r="AM557" i="3" s="1"/>
  <c r="AM558" i="3" a="1"/>
  <c r="AM558" i="3" s="1"/>
  <c r="AM559" i="3" a="1"/>
  <c r="AM559" i="3" s="1"/>
  <c r="AM560" i="3" a="1"/>
  <c r="AM560" i="3" s="1"/>
  <c r="AM561" i="3" a="1"/>
  <c r="AM561" i="3" s="1"/>
  <c r="AM562" i="3" a="1"/>
  <c r="AM562" i="3"/>
  <c r="AM563" i="3" a="1"/>
  <c r="AM563" i="3" s="1"/>
  <c r="AM564" i="3" a="1"/>
  <c r="AM564" i="3" s="1"/>
  <c r="AM565" i="3" a="1"/>
  <c r="AM565" i="3" s="1"/>
  <c r="AM566" i="3" a="1"/>
  <c r="AM566" i="3" s="1"/>
  <c r="AM567" i="3" a="1"/>
  <c r="AM567" i="3" s="1"/>
  <c r="AM568" i="3" a="1"/>
  <c r="AM568" i="3" s="1"/>
  <c r="AM569" i="3" a="1"/>
  <c r="AM569" i="3" s="1"/>
  <c r="AM570" i="3" a="1"/>
  <c r="AM570" i="3" s="1"/>
  <c r="AM571" i="3" a="1"/>
  <c r="AM571" i="3" s="1"/>
  <c r="AM572" i="3" a="1"/>
  <c r="AM572" i="3" s="1"/>
  <c r="AM573" i="3" a="1"/>
  <c r="AM573" i="3" s="1"/>
  <c r="AM574" i="3" a="1"/>
  <c r="AM574" i="3" s="1"/>
  <c r="AM575" i="3" a="1"/>
  <c r="AM575" i="3" s="1"/>
  <c r="AM576" i="3" a="1"/>
  <c r="AM576" i="3" s="1"/>
  <c r="AM577" i="3" a="1"/>
  <c r="AM577" i="3" s="1"/>
  <c r="AM578" i="3" a="1"/>
  <c r="AM578" i="3" s="1"/>
  <c r="AM579" i="3" a="1"/>
  <c r="AM579" i="3"/>
  <c r="AM580" i="3" a="1"/>
  <c r="AM580" i="3"/>
  <c r="AM581" i="3" a="1"/>
  <c r="AM581" i="3" s="1"/>
  <c r="AM582" i="3" a="1"/>
  <c r="AM582" i="3" s="1"/>
  <c r="AM583" i="3" a="1"/>
  <c r="AM583" i="3" s="1"/>
  <c r="AM584" i="3" a="1"/>
  <c r="AM584" i="3"/>
  <c r="AM585" i="3" a="1"/>
  <c r="AM585" i="3" s="1"/>
  <c r="AM586" i="3" a="1"/>
  <c r="AM586" i="3" s="1"/>
  <c r="AM587" i="3" a="1"/>
  <c r="AM587" i="3" s="1"/>
  <c r="AM588" i="3" a="1"/>
  <c r="AM588" i="3" s="1"/>
  <c r="AM589" i="3" a="1"/>
  <c r="AM589" i="3" s="1"/>
  <c r="AM590" i="3" a="1"/>
  <c r="AM590" i="3" s="1"/>
  <c r="AM591" i="3" a="1"/>
  <c r="AM591" i="3" s="1"/>
  <c r="AM592" i="3" a="1"/>
  <c r="AM592" i="3" s="1"/>
  <c r="AM593" i="3" a="1"/>
  <c r="AM593" i="3" s="1"/>
  <c r="AM594" i="3" a="1"/>
  <c r="AM594" i="3" s="1"/>
  <c r="AM595" i="3" a="1"/>
  <c r="AM595" i="3" s="1"/>
  <c r="AM596" i="3" a="1"/>
  <c r="AM596" i="3" s="1"/>
  <c r="AM597" i="3" a="1"/>
  <c r="AM597" i="3" s="1"/>
  <c r="AM598" i="3" a="1"/>
  <c r="AM598" i="3" s="1"/>
  <c r="AM599" i="3" a="1"/>
  <c r="AM599" i="3"/>
  <c r="AM600" i="3" a="1"/>
  <c r="AM600" i="3" s="1"/>
  <c r="AM601" i="3" a="1"/>
  <c r="AM601" i="3" s="1"/>
  <c r="AM602" i="3" a="1"/>
  <c r="AM602" i="3" s="1"/>
  <c r="AM603" i="3" a="1"/>
  <c r="AM603" i="3" s="1"/>
  <c r="AM604" i="3" a="1"/>
  <c r="AM604" i="3"/>
  <c r="AM605" i="3" a="1"/>
  <c r="AM605" i="3" s="1"/>
  <c r="AM606" i="3" a="1"/>
  <c r="AM606" i="3" s="1"/>
  <c r="AM607" i="3" a="1"/>
  <c r="AM607" i="3" s="1"/>
  <c r="AM608" i="3" a="1"/>
  <c r="AM608" i="3" s="1"/>
  <c r="AM609" i="3" a="1"/>
  <c r="AM609" i="3" s="1"/>
  <c r="AM610" i="3" a="1"/>
  <c r="AM610" i="3" s="1"/>
  <c r="AM611" i="3" a="1"/>
  <c r="AM611" i="3" s="1"/>
  <c r="AM612" i="3" a="1"/>
  <c r="AM612" i="3" s="1"/>
  <c r="AM613" i="3" a="1"/>
  <c r="AM613" i="3"/>
  <c r="AM614" i="3" a="1"/>
  <c r="AM614" i="3" s="1"/>
  <c r="AM615" i="3" a="1"/>
  <c r="AM615" i="3"/>
  <c r="AM616" i="3" a="1"/>
  <c r="AM616" i="3" s="1"/>
  <c r="AM617" i="3" a="1"/>
  <c r="AM617" i="3" s="1"/>
  <c r="AM618" i="3" a="1"/>
  <c r="AM618" i="3" s="1"/>
  <c r="AM619" i="3" a="1"/>
  <c r="AM619" i="3" s="1"/>
  <c r="AM620" i="3" a="1"/>
  <c r="AM620" i="3" s="1"/>
  <c r="AM621" i="3" a="1"/>
  <c r="AM621" i="3" s="1"/>
  <c r="AM622" i="3" a="1"/>
  <c r="AM622" i="3" s="1"/>
  <c r="AM623" i="3" a="1"/>
  <c r="AM623" i="3" s="1"/>
  <c r="AM624" i="3" a="1"/>
  <c r="AM624" i="3" s="1"/>
  <c r="AM625" i="3" a="1"/>
  <c r="AM625" i="3" s="1"/>
  <c r="AM626" i="3" a="1"/>
  <c r="AM626" i="3" s="1"/>
  <c r="AM627" i="3" a="1"/>
  <c r="AM627" i="3" s="1"/>
  <c r="AM628" i="3" a="1"/>
  <c r="AM628" i="3" s="1"/>
  <c r="AM629" i="3" a="1"/>
  <c r="AM629" i="3" s="1"/>
  <c r="AM630" i="3" a="1"/>
  <c r="AM630" i="3" s="1"/>
  <c r="AM631" i="3" a="1"/>
  <c r="AM631" i="3" s="1"/>
  <c r="AM632" i="3" a="1"/>
  <c r="AM632" i="3" s="1"/>
  <c r="AM633" i="3" a="1"/>
  <c r="AM633" i="3" s="1"/>
  <c r="AM634" i="3" a="1"/>
  <c r="AM634" i="3" s="1"/>
  <c r="AM635" i="3" a="1"/>
  <c r="AM635" i="3" s="1"/>
  <c r="AM636" i="3" a="1"/>
  <c r="AM636" i="3" s="1"/>
  <c r="AM637" i="3" a="1"/>
  <c r="AM637" i="3" s="1"/>
  <c r="AM638" i="3" a="1"/>
  <c r="AM638" i="3" s="1"/>
  <c r="AM639" i="3" a="1"/>
  <c r="AM639" i="3"/>
  <c r="AM640" i="3" a="1"/>
  <c r="AM640" i="3" s="1"/>
  <c r="AM641" i="3" a="1"/>
  <c r="AM641" i="3"/>
  <c r="AM642" i="3" a="1"/>
  <c r="AM642" i="3" s="1"/>
  <c r="AM643" i="3" a="1"/>
  <c r="AM643" i="3" s="1"/>
  <c r="AM644" i="3" a="1"/>
  <c r="AM644" i="3" s="1"/>
  <c r="AM645" i="3" a="1"/>
  <c r="AM645" i="3" s="1"/>
  <c r="AM646" i="3" a="1"/>
  <c r="AM646" i="3" s="1"/>
  <c r="AM647" i="3" a="1"/>
  <c r="AM647" i="3" s="1"/>
  <c r="AM648" i="3" a="1"/>
  <c r="AM648" i="3" s="1"/>
  <c r="AM649" i="3" a="1"/>
  <c r="AM649" i="3" s="1"/>
  <c r="AM650" i="3" a="1"/>
  <c r="AM650" i="3" s="1"/>
  <c r="AM651" i="3" a="1"/>
  <c r="AM651" i="3" s="1"/>
  <c r="AM652" i="3" a="1"/>
  <c r="AM652" i="3" s="1"/>
  <c r="AM653" i="3" a="1"/>
  <c r="AM653" i="3" s="1"/>
  <c r="AM654" i="3" a="1"/>
  <c r="AM654" i="3" s="1"/>
  <c r="AM655" i="3" a="1"/>
  <c r="AM655" i="3" s="1"/>
  <c r="AM656" i="3" a="1"/>
  <c r="AM656" i="3" s="1"/>
  <c r="AM657" i="3" a="1"/>
  <c r="AM657" i="3" s="1"/>
  <c r="AM658" i="3" a="1"/>
  <c r="AM658" i="3" s="1"/>
  <c r="AM659" i="3" a="1"/>
  <c r="AM659" i="3" s="1"/>
  <c r="AM660" i="3" a="1"/>
  <c r="AM660" i="3" s="1"/>
  <c r="AM661" i="3" a="1"/>
  <c r="AM661" i="3" s="1"/>
  <c r="AM662" i="3" a="1"/>
  <c r="AM662" i="3" s="1"/>
  <c r="AM663" i="3" a="1"/>
  <c r="AM663" i="3" s="1"/>
  <c r="AM664" i="3" a="1"/>
  <c r="AM664" i="3" s="1"/>
  <c r="AM665" i="3" a="1"/>
  <c r="AM665" i="3" s="1"/>
  <c r="AM666" i="3" a="1"/>
  <c r="AM666" i="3" s="1"/>
  <c r="AM667" i="3" a="1"/>
  <c r="AM667" i="3" s="1"/>
  <c r="AM668" i="3" a="1"/>
  <c r="AM668" i="3" s="1"/>
  <c r="AM669" i="3" a="1"/>
  <c r="AM669" i="3" s="1"/>
  <c r="AM670" i="3" a="1"/>
  <c r="AM670" i="3" s="1"/>
  <c r="AM671" i="3" a="1"/>
  <c r="AM671" i="3" s="1"/>
  <c r="AM672" i="3" a="1"/>
  <c r="AM672" i="3" s="1"/>
  <c r="AM673" i="3" a="1"/>
  <c r="AM673" i="3" s="1"/>
  <c r="AM674" i="3" a="1"/>
  <c r="AM674" i="3" s="1"/>
  <c r="AM675" i="3" a="1"/>
  <c r="AM675" i="3" s="1"/>
  <c r="AM676" i="3" a="1"/>
  <c r="AM676" i="3" s="1"/>
  <c r="AM677" i="3" a="1"/>
  <c r="AM677" i="3" s="1"/>
  <c r="AM678" i="3" a="1"/>
  <c r="AM678" i="3" s="1"/>
  <c r="AM679" i="3" a="1"/>
  <c r="AM679" i="3" s="1"/>
  <c r="AM680" i="3" a="1"/>
  <c r="AM680" i="3" s="1"/>
  <c r="AM681" i="3" a="1"/>
  <c r="AM681" i="3" s="1"/>
  <c r="AM682" i="3" a="1"/>
  <c r="AM682" i="3" s="1"/>
  <c r="AM683" i="3" a="1"/>
  <c r="AM683" i="3" s="1"/>
  <c r="AM684" i="3" a="1"/>
  <c r="AM684" i="3" s="1"/>
  <c r="AM685" i="3" a="1"/>
  <c r="AM685" i="3" s="1"/>
  <c r="AM686" i="3" a="1"/>
  <c r="AM686" i="3" s="1"/>
  <c r="AM687" i="3" a="1"/>
  <c r="AM687" i="3" s="1"/>
  <c r="AM688" i="3" a="1"/>
  <c r="AM688" i="3" s="1"/>
  <c r="AM689" i="3" a="1"/>
  <c r="AM689" i="3" s="1"/>
  <c r="AM690" i="3" a="1"/>
  <c r="AM690" i="3" s="1"/>
  <c r="AM691" i="3" a="1"/>
  <c r="AM691" i="3" s="1"/>
  <c r="AM692" i="3" a="1"/>
  <c r="AM692" i="3" s="1"/>
  <c r="AM693" i="3" a="1"/>
  <c r="AM693" i="3" s="1"/>
  <c r="AM694" i="3" a="1"/>
  <c r="AM694" i="3" s="1"/>
  <c r="AM695" i="3" a="1"/>
  <c r="AM695" i="3" s="1"/>
  <c r="AM696" i="3" a="1"/>
  <c r="AM696" i="3" s="1"/>
  <c r="AM697" i="3" a="1"/>
  <c r="AM697" i="3" s="1"/>
  <c r="AM699" i="3" a="1"/>
  <c r="AM699" i="3" s="1"/>
  <c r="AM700" i="3" a="1"/>
  <c r="AM700" i="3" s="1"/>
  <c r="AM701" i="3" a="1"/>
  <c r="AM701" i="3" s="1"/>
  <c r="AM702" i="3" a="1"/>
  <c r="AM702" i="3" s="1"/>
  <c r="AM703" i="3" a="1"/>
  <c r="AM703" i="3" s="1"/>
  <c r="AM704" i="3" a="1"/>
  <c r="AM704" i="3" s="1"/>
  <c r="AM705" i="3" a="1"/>
  <c r="AM705" i="3" s="1"/>
  <c r="AM706" i="3" a="1"/>
  <c r="AM706" i="3" s="1"/>
  <c r="AM707" i="3" a="1"/>
  <c r="AM707" i="3" s="1"/>
  <c r="AM708" i="3" a="1"/>
  <c r="AM708" i="3" s="1"/>
  <c r="AM709" i="3" a="1"/>
  <c r="AM709" i="3" s="1"/>
  <c r="AM710" i="3" a="1"/>
  <c r="AM710" i="3" s="1"/>
  <c r="AM711" i="3" a="1"/>
  <c r="AM711" i="3" s="1"/>
  <c r="AM712" i="3" a="1"/>
  <c r="AM712" i="3" s="1"/>
  <c r="AM713" i="3" a="1"/>
  <c r="AM713" i="3" s="1"/>
  <c r="AM714" i="3" a="1"/>
  <c r="AM714" i="3" s="1"/>
  <c r="AM715" i="3" a="1"/>
  <c r="AM715" i="3" s="1"/>
  <c r="AM716" i="3" a="1"/>
  <c r="AM716" i="3" s="1"/>
  <c r="AM818" i="3" a="1"/>
  <c r="AM818" i="3" s="1"/>
  <c r="AM718" i="3" a="1"/>
  <c r="AM718" i="3" s="1"/>
  <c r="AM719" i="3" a="1"/>
  <c r="AM719" i="3" s="1"/>
  <c r="AM720" i="3" a="1"/>
  <c r="AM720" i="3" s="1"/>
  <c r="AM721" i="3" a="1"/>
  <c r="AM721" i="3" s="1"/>
  <c r="AM722" i="3" a="1"/>
  <c r="AM722" i="3" s="1"/>
  <c r="AM723" i="3" a="1"/>
  <c r="AM723" i="3" s="1"/>
  <c r="AM724" i="3" a="1"/>
  <c r="AM724" i="3" s="1"/>
  <c r="AM725" i="3" a="1"/>
  <c r="AM725" i="3" s="1"/>
  <c r="AM726" i="3" a="1"/>
  <c r="AM726" i="3" s="1"/>
  <c r="AM727" i="3" a="1"/>
  <c r="AM727" i="3" s="1"/>
  <c r="AM728" i="3" a="1"/>
  <c r="AM728" i="3" s="1"/>
  <c r="AM729" i="3" a="1"/>
  <c r="AM729" i="3" s="1"/>
  <c r="AM730" i="3" a="1"/>
  <c r="AM730" i="3" s="1"/>
  <c r="AM731" i="3" a="1"/>
  <c r="AM731" i="3" s="1"/>
  <c r="AM732" i="3" a="1"/>
  <c r="AM732" i="3" s="1"/>
  <c r="AM733" i="3" a="1"/>
  <c r="AM733" i="3" s="1"/>
  <c r="AM734" i="3" a="1"/>
  <c r="AM734" i="3" s="1"/>
  <c r="AM735" i="3" a="1"/>
  <c r="AM735" i="3" s="1"/>
  <c r="AM736" i="3" a="1"/>
  <c r="AM736" i="3" s="1"/>
  <c r="AM737" i="3" a="1"/>
  <c r="AM737" i="3" s="1"/>
  <c r="AM739" i="3" a="1"/>
  <c r="AM739" i="3" s="1"/>
  <c r="AM740" i="3" a="1"/>
  <c r="AM740" i="3" s="1"/>
  <c r="AM742" i="3" a="1"/>
  <c r="AM742" i="3" s="1"/>
  <c r="AM743" i="3" a="1"/>
  <c r="AM743" i="3" s="1"/>
  <c r="AM744" i="3" a="1"/>
  <c r="AM744" i="3" s="1"/>
  <c r="AM745" i="3" a="1"/>
  <c r="AM745" i="3" s="1"/>
  <c r="AM746" i="3" a="1"/>
  <c r="AM746" i="3"/>
  <c r="AM747" i="3" a="1"/>
  <c r="AM747" i="3" s="1"/>
  <c r="AM748" i="3" a="1"/>
  <c r="AM748" i="3" s="1"/>
  <c r="AM749" i="3" a="1"/>
  <c r="AM749" i="3" s="1"/>
  <c r="AM741" i="3" a="1"/>
  <c r="AM741" i="3" s="1"/>
  <c r="AM751" i="3" a="1"/>
  <c r="AM751" i="3" s="1"/>
  <c r="AM752" i="3" a="1"/>
  <c r="AM752" i="3" s="1"/>
  <c r="AM750" i="3" a="1"/>
  <c r="AM750" i="3" s="1"/>
  <c r="AM754" i="3" a="1"/>
  <c r="AM754" i="3" s="1"/>
  <c r="AM755" i="3" a="1"/>
  <c r="AM755" i="3" s="1"/>
  <c r="AM756" i="3" a="1"/>
  <c r="AM756" i="3" s="1"/>
  <c r="AM757" i="3" a="1"/>
  <c r="AM757" i="3" s="1"/>
  <c r="AM758" i="3" a="1"/>
  <c r="AM758" i="3" s="1"/>
  <c r="AM759" i="3" a="1"/>
  <c r="AM759" i="3" s="1"/>
  <c r="AM760" i="3" a="1"/>
  <c r="AM760" i="3" s="1"/>
  <c r="AM761" i="3" a="1"/>
  <c r="AM761" i="3" s="1"/>
  <c r="AM819" i="3" a="1"/>
  <c r="AM819" i="3" s="1"/>
  <c r="AM763" i="3" a="1"/>
  <c r="AM763" i="3"/>
  <c r="AM764" i="3" a="1"/>
  <c r="AM764" i="3" s="1"/>
  <c r="AM765" i="3" a="1"/>
  <c r="AM765" i="3" s="1"/>
  <c r="AM766" i="3" a="1"/>
  <c r="AM766" i="3" s="1"/>
  <c r="AM767" i="3" a="1"/>
  <c r="AM767" i="3"/>
  <c r="AM768" i="3" a="1"/>
  <c r="AM768" i="3" s="1"/>
  <c r="AM769" i="3" a="1"/>
  <c r="AM769" i="3" s="1"/>
  <c r="AM785" i="3" a="1"/>
  <c r="AM785" i="3" s="1"/>
  <c r="AM795" i="3" a="1"/>
  <c r="AM795" i="3" s="1"/>
  <c r="AM753" i="3" a="1"/>
  <c r="AM753" i="3" s="1"/>
  <c r="AM773" i="3" a="1"/>
  <c r="AM773" i="3" s="1"/>
  <c r="AM771" i="3" a="1"/>
  <c r="AM771" i="3" s="1"/>
  <c r="AM772" i="3" a="1"/>
  <c r="AM772" i="3" s="1"/>
  <c r="AM775" i="3" a="1"/>
  <c r="AM775" i="3" s="1"/>
  <c r="AM776" i="3" a="1"/>
  <c r="AM776" i="3" s="1"/>
  <c r="AM777" i="3" a="1"/>
  <c r="AM777" i="3" s="1"/>
  <c r="AM779" i="3" a="1"/>
  <c r="AM779" i="3" s="1"/>
  <c r="AM780" i="3" a="1"/>
  <c r="AM780" i="3" s="1"/>
  <c r="AM783" i="3" a="1"/>
  <c r="AM783" i="3" s="1"/>
  <c r="AM782" i="3" a="1"/>
  <c r="AM782" i="3" s="1"/>
  <c r="AM786" i="3" a="1"/>
  <c r="AM786" i="3" s="1"/>
  <c r="AM784" i="3" a="1"/>
  <c r="AM784" i="3" s="1"/>
  <c r="AM794" i="3" a="1"/>
  <c r="AM794" i="3" s="1"/>
  <c r="AM806" i="3" a="1"/>
  <c r="AM806" i="3" s="1"/>
  <c r="AM787" i="3" a="1"/>
  <c r="AM787" i="3" s="1"/>
  <c r="AM788" i="3" a="1"/>
  <c r="AM788" i="3" s="1"/>
  <c r="AM799" i="3" a="1"/>
  <c r="AM799" i="3" s="1"/>
  <c r="AM790" i="3" a="1"/>
  <c r="AM790" i="3" s="1"/>
  <c r="AM791" i="3" a="1"/>
  <c r="AM791" i="3" s="1"/>
  <c r="AM802" i="3" a="1"/>
  <c r="AM802" i="3" s="1"/>
  <c r="AM803" i="3" a="1"/>
  <c r="AM803" i="3" s="1"/>
  <c r="AM774" i="3" a="1"/>
  <c r="AM774" i="3" s="1"/>
  <c r="AM800" i="3" a="1"/>
  <c r="AM800" i="3" s="1"/>
  <c r="AM796" i="3" a="1"/>
  <c r="AM796" i="3" s="1"/>
  <c r="AM807" i="3" a="1"/>
  <c r="AM807" i="3" s="1"/>
  <c r="AM808" i="3" a="1"/>
  <c r="AM808" i="3" s="1"/>
  <c r="AM809" i="3" a="1"/>
  <c r="AM809" i="3" s="1"/>
  <c r="AM810" i="3" a="1"/>
  <c r="AM810" i="3" s="1"/>
  <c r="AM801" i="3" a="1"/>
  <c r="AM801" i="3"/>
  <c r="AM789" i="3" a="1"/>
  <c r="AM789" i="3" s="1"/>
  <c r="AM814" i="3" a="1"/>
  <c r="AM814" i="3" s="1"/>
  <c r="AM815" i="3" a="1"/>
  <c r="AM815" i="3" s="1"/>
  <c r="AM817" i="3" a="1"/>
  <c r="AM817" i="3" s="1"/>
  <c r="AM823" i="3" a="1"/>
  <c r="AM823" i="3" s="1"/>
  <c r="AM821" i="3" a="1"/>
  <c r="AM821" i="3" s="1"/>
  <c r="AM816" i="3" a="1"/>
  <c r="AM816" i="3" s="1"/>
  <c r="AM820" i="3" a="1"/>
  <c r="AM820" i="3" s="1"/>
  <c r="AM717" i="3" a="1"/>
  <c r="AM717" i="3" s="1"/>
  <c r="AM770" i="3" a="1"/>
  <c r="AM770" i="3" s="1"/>
  <c r="AM836" i="3" a="1"/>
  <c r="AM836" i="3" s="1"/>
  <c r="AM812" i="3" a="1"/>
  <c r="AM812" i="3"/>
  <c r="AM813" i="3" a="1"/>
  <c r="AM813" i="3" s="1"/>
  <c r="AM792" i="3" a="1"/>
  <c r="AM792" i="3" s="1"/>
  <c r="AM852" i="3" a="1"/>
  <c r="AM852" i="3" s="1"/>
  <c r="AM840" i="3" a="1"/>
  <c r="AM840" i="3" s="1"/>
  <c r="AM841" i="3" a="1"/>
  <c r="AM841" i="3" s="1"/>
  <c r="AM853" i="3" a="1"/>
  <c r="AM853" i="3" s="1"/>
  <c r="AM824" i="3" a="1"/>
  <c r="AM824" i="3" s="1"/>
  <c r="AM797" i="3" a="1"/>
  <c r="AM797" i="3" s="1"/>
  <c r="AM825" i="3" a="1"/>
  <c r="AM825" i="3" s="1"/>
  <c r="AM827" i="3" a="1"/>
  <c r="AM827" i="3" s="1"/>
  <c r="AM828" i="3" a="1"/>
  <c r="AM828" i="3" s="1"/>
  <c r="AL825" i="3"/>
  <c r="AL828" i="3"/>
  <c r="D828" i="3"/>
  <c r="V828" i="3"/>
  <c r="T828" i="3"/>
  <c r="S828" i="3"/>
  <c r="AC828" i="3" s="1" a="1"/>
  <c r="AC828" i="3" s="1"/>
  <c r="O828" i="3"/>
  <c r="AA828" i="3" s="1"/>
  <c r="A828" i="3"/>
  <c r="V827" i="3"/>
  <c r="T827" i="3"/>
  <c r="S827" i="3"/>
  <c r="AC827" i="3" s="1" a="1"/>
  <c r="AC827" i="3" s="1"/>
  <c r="O827" i="3"/>
  <c r="AA827" i="3" s="1"/>
  <c r="D827" i="3"/>
  <c r="A827" i="3"/>
  <c r="V825" i="3"/>
  <c r="T825" i="3"/>
  <c r="S825" i="3"/>
  <c r="AC825" i="3" s="1" a="1"/>
  <c r="AC825" i="3" s="1"/>
  <c r="O825" i="3"/>
  <c r="AA825" i="3" s="1"/>
  <c r="D825" i="3"/>
  <c r="A825" i="3"/>
  <c r="AL824" i="3"/>
  <c r="AL797" i="3"/>
  <c r="V797" i="3"/>
  <c r="T797" i="3"/>
  <c r="S797" i="3"/>
  <c r="AC797" i="3" s="1" a="1"/>
  <c r="AC797" i="3" s="1"/>
  <c r="O797" i="3"/>
  <c r="AA797" i="3" s="1"/>
  <c r="D797" i="3"/>
  <c r="A797" i="3"/>
  <c r="V824" i="3"/>
  <c r="T824" i="3"/>
  <c r="S824" i="3"/>
  <c r="AC824" i="3" s="1" a="1"/>
  <c r="AC824" i="3" s="1"/>
  <c r="O824" i="3"/>
  <c r="AA824" i="3" s="1"/>
  <c r="D824" i="3"/>
  <c r="A824" i="3"/>
  <c r="AL775" i="3"/>
  <c r="AL772" i="3"/>
  <c r="AL771" i="3"/>
  <c r="AL753" i="3"/>
  <c r="AL795" i="3"/>
  <c r="AL785" i="3"/>
  <c r="AL763" i="3"/>
  <c r="AL819" i="3"/>
  <c r="AL750" i="3"/>
  <c r="AL741" i="3"/>
  <c r="AL818" i="3"/>
  <c r="AL803" i="3"/>
  <c r="AL802" i="3"/>
  <c r="AL806" i="3"/>
  <c r="AL807" i="3"/>
  <c r="AL808" i="3"/>
  <c r="AL809" i="3"/>
  <c r="AL810" i="3"/>
  <c r="AL814" i="3"/>
  <c r="AL815" i="3"/>
  <c r="AL817" i="3"/>
  <c r="AL816" i="3"/>
  <c r="AL820" i="3"/>
  <c r="AL823" i="3"/>
  <c r="AL821" i="3"/>
  <c r="AL717" i="3"/>
  <c r="AL770" i="3"/>
  <c r="AL836" i="3"/>
  <c r="AL812" i="3"/>
  <c r="AL813" i="3"/>
  <c r="AL792" i="3"/>
  <c r="V819" i="3"/>
  <c r="T819" i="3"/>
  <c r="S819" i="3"/>
  <c r="AC819" i="3" s="1" a="1"/>
  <c r="AC819" i="3" s="1"/>
  <c r="O819" i="3"/>
  <c r="AA819" i="3" s="1"/>
  <c r="D819" i="3"/>
  <c r="A819" i="3"/>
  <c r="V821" i="3"/>
  <c r="T821" i="3"/>
  <c r="S821" i="3"/>
  <c r="AC821" i="3" s="1" a="1"/>
  <c r="AC821" i="3" s="1"/>
  <c r="O821" i="3"/>
  <c r="AA821" i="3" s="1"/>
  <c r="D821" i="3"/>
  <c r="A821" i="3"/>
  <c r="V818" i="3"/>
  <c r="T818" i="3"/>
  <c r="S818" i="3"/>
  <c r="AC818" i="3" s="1" a="1"/>
  <c r="AC818" i="3" s="1"/>
  <c r="O818" i="3"/>
  <c r="AA818" i="3" s="1"/>
  <c r="D818" i="3"/>
  <c r="A818" i="3"/>
  <c r="V823" i="3"/>
  <c r="T823" i="3"/>
  <c r="S823" i="3"/>
  <c r="AC823" i="3" s="1" a="1"/>
  <c r="AC823" i="3" s="1"/>
  <c r="O823" i="3"/>
  <c r="AA823" i="3" s="1"/>
  <c r="D823" i="3"/>
  <c r="A823" i="3"/>
  <c r="V810" i="3"/>
  <c r="T810" i="3"/>
  <c r="S810" i="3"/>
  <c r="AC810" i="3" s="1" a="1"/>
  <c r="AC810" i="3" s="1"/>
  <c r="O810" i="3"/>
  <c r="AA810" i="3" s="1"/>
  <c r="D810" i="3"/>
  <c r="A810" i="3"/>
  <c r="V820" i="3"/>
  <c r="T820" i="3"/>
  <c r="S820" i="3"/>
  <c r="AC820" i="3" s="1" a="1"/>
  <c r="AC820" i="3" s="1"/>
  <c r="O820" i="3"/>
  <c r="AA820" i="3" s="1"/>
  <c r="D820" i="3"/>
  <c r="A820" i="3"/>
  <c r="V816" i="3"/>
  <c r="T816" i="3"/>
  <c r="S816" i="3"/>
  <c r="AC816" i="3" s="1" a="1"/>
  <c r="AC816" i="3" s="1"/>
  <c r="O816" i="3"/>
  <c r="AA816" i="3" s="1"/>
  <c r="D816" i="3"/>
  <c r="A816" i="3"/>
  <c r="V817" i="3"/>
  <c r="T817" i="3"/>
  <c r="S817" i="3"/>
  <c r="AC817" i="3" s="1" a="1"/>
  <c r="AC817" i="3" s="1"/>
  <c r="O817" i="3"/>
  <c r="AA817" i="3" s="1"/>
  <c r="D817" i="3"/>
  <c r="A817" i="3"/>
  <c r="V809" i="3"/>
  <c r="T809" i="3"/>
  <c r="S809" i="3"/>
  <c r="AC809" i="3" s="1" a="1"/>
  <c r="AC809" i="3" s="1"/>
  <c r="O809" i="3"/>
  <c r="AA809" i="3" s="1"/>
  <c r="A809" i="3"/>
  <c r="V808" i="3"/>
  <c r="T808" i="3"/>
  <c r="S808" i="3"/>
  <c r="AC808" i="3" s="1" a="1"/>
  <c r="AC808" i="3" s="1"/>
  <c r="O808" i="3"/>
  <c r="AA808" i="3" s="1"/>
  <c r="D808" i="3"/>
  <c r="A808" i="3"/>
  <c r="V807" i="3"/>
  <c r="T807" i="3"/>
  <c r="S807" i="3"/>
  <c r="AC807" i="3" s="1" a="1"/>
  <c r="AC807" i="3" s="1"/>
  <c r="O807" i="3"/>
  <c r="AA807" i="3" s="1"/>
  <c r="D807" i="3"/>
  <c r="A807" i="3"/>
  <c r="V815" i="3"/>
  <c r="T815" i="3"/>
  <c r="S815" i="3"/>
  <c r="AC815" i="3" s="1" a="1"/>
  <c r="AC815" i="3" s="1"/>
  <c r="O815" i="3"/>
  <c r="AA815" i="3" s="1"/>
  <c r="D815" i="3"/>
  <c r="A815" i="3"/>
  <c r="D806" i="3"/>
  <c r="V806" i="3"/>
  <c r="T806" i="3"/>
  <c r="S806" i="3"/>
  <c r="AC806" i="3" s="1" a="1"/>
  <c r="AC806" i="3" s="1"/>
  <c r="O806" i="3"/>
  <c r="AA806" i="3" s="1"/>
  <c r="A806" i="3"/>
  <c r="V814" i="3"/>
  <c r="T814" i="3"/>
  <c r="S814" i="3"/>
  <c r="AC814" i="3" s="1" a="1"/>
  <c r="AC814" i="3" s="1"/>
  <c r="O814" i="3"/>
  <c r="AA814" i="3" s="1"/>
  <c r="D814" i="3"/>
  <c r="A814" i="3"/>
  <c r="A803" i="3"/>
  <c r="V795" i="3"/>
  <c r="T795" i="3"/>
  <c r="S795" i="3"/>
  <c r="AC795" i="3" s="1" a="1"/>
  <c r="AC795" i="3" s="1"/>
  <c r="O795" i="3"/>
  <c r="AA795" i="3" s="1"/>
  <c r="D795" i="3"/>
  <c r="A795" i="3"/>
  <c r="AL744" i="3"/>
  <c r="AL745" i="3"/>
  <c r="AL746" i="3"/>
  <c r="AL747" i="3"/>
  <c r="AL748" i="3"/>
  <c r="AL749" i="3"/>
  <c r="AL751" i="3"/>
  <c r="AL752" i="3"/>
  <c r="AL754" i="3"/>
  <c r="AL755" i="3"/>
  <c r="AL756" i="3"/>
  <c r="AL757" i="3"/>
  <c r="AL758" i="3"/>
  <c r="AL759" i="3"/>
  <c r="AL760" i="3"/>
  <c r="AL761" i="3"/>
  <c r="AL764" i="3"/>
  <c r="AL765" i="3"/>
  <c r="AL766" i="3"/>
  <c r="AL767" i="3"/>
  <c r="AL768" i="3"/>
  <c r="AL769" i="3"/>
  <c r="AL773" i="3"/>
  <c r="AL779" i="3"/>
  <c r="AL783" i="3"/>
  <c r="AL786" i="3"/>
  <c r="AL776" i="3"/>
  <c r="AL777" i="3"/>
  <c r="AL778" i="3"/>
  <c r="AL784" i="3"/>
  <c r="AL780" i="3"/>
  <c r="AL794" i="3"/>
  <c r="AL782" i="3"/>
  <c r="AL799" i="3"/>
  <c r="AL791" i="3"/>
  <c r="AL787" i="3"/>
  <c r="AL788" i="3"/>
  <c r="AL774" i="3"/>
  <c r="AL790" i="3"/>
  <c r="AL800" i="3"/>
  <c r="AL796" i="3"/>
  <c r="AL793" i="3"/>
  <c r="AL801" i="3"/>
  <c r="AL789" i="3"/>
  <c r="AL852" i="3"/>
  <c r="AL840" i="3"/>
  <c r="AL841" i="3"/>
  <c r="AL853" i="3"/>
  <c r="Q268" i="12"/>
  <c r="K11" i="10" s="1"/>
  <c r="D740" i="3"/>
  <c r="AL740" i="3"/>
  <c r="A791" i="3"/>
  <c r="D791" i="3"/>
  <c r="O791" i="3"/>
  <c r="AA791" i="3" s="1"/>
  <c r="S791" i="3"/>
  <c r="AC791" i="3" s="1" a="1"/>
  <c r="AC791" i="3" s="1"/>
  <c r="T791" i="3"/>
  <c r="V791" i="3"/>
  <c r="V764" i="3"/>
  <c r="T764" i="3"/>
  <c r="S764" i="3"/>
  <c r="AC764" i="3" s="1" a="1"/>
  <c r="AC764" i="3" s="1"/>
  <c r="O764" i="3"/>
  <c r="AA764" i="3" s="1"/>
  <c r="D764" i="3"/>
  <c r="A764" i="3"/>
  <c r="V750" i="3"/>
  <c r="T750" i="3"/>
  <c r="S750" i="3"/>
  <c r="AC750" i="3" s="1" a="1"/>
  <c r="AC750" i="3" s="1"/>
  <c r="O750" i="3"/>
  <c r="AA750" i="3" s="1"/>
  <c r="D750" i="3"/>
  <c r="A750" i="3"/>
  <c r="V763" i="3"/>
  <c r="T763" i="3"/>
  <c r="S763" i="3"/>
  <c r="AC763" i="3" s="1" a="1"/>
  <c r="AC763" i="3" s="1"/>
  <c r="O763" i="3"/>
  <c r="AA763" i="3" s="1"/>
  <c r="D763" i="3"/>
  <c r="A763" i="3"/>
  <c r="V741" i="3"/>
  <c r="T741" i="3"/>
  <c r="S741" i="3"/>
  <c r="AC741" i="3" s="1" a="1"/>
  <c r="AC741" i="3" s="1"/>
  <c r="O741" i="3"/>
  <c r="AA741" i="3" s="1"/>
  <c r="D741" i="3"/>
  <c r="A741" i="3"/>
  <c r="V804" i="3"/>
  <c r="T804" i="3"/>
  <c r="S804" i="3"/>
  <c r="AC804" i="3" s="1" a="1"/>
  <c r="AC804" i="3" s="1"/>
  <c r="O804" i="3"/>
  <c r="AA804" i="3" s="1"/>
  <c r="D804" i="3"/>
  <c r="A804" i="3"/>
  <c r="A776" i="3"/>
  <c r="V803" i="3"/>
  <c r="T803" i="3"/>
  <c r="S803" i="3"/>
  <c r="AC803" i="3" s="1" a="1"/>
  <c r="AC803" i="3" s="1"/>
  <c r="O803" i="3"/>
  <c r="AA803" i="3" s="1"/>
  <c r="D803" i="3"/>
  <c r="V802" i="3"/>
  <c r="T802" i="3"/>
  <c r="S802" i="3"/>
  <c r="AC802" i="3" s="1" a="1"/>
  <c r="AC802" i="3" s="1"/>
  <c r="O802" i="3"/>
  <c r="AA802" i="3" s="1"/>
  <c r="D802" i="3"/>
  <c r="A802" i="3"/>
  <c r="V799" i="3"/>
  <c r="T799" i="3"/>
  <c r="S799" i="3"/>
  <c r="AC799" i="3" s="1" a="1"/>
  <c r="AC799" i="3" s="1"/>
  <c r="O799" i="3"/>
  <c r="AA799" i="3" s="1"/>
  <c r="D799" i="3"/>
  <c r="A799" i="3"/>
  <c r="V801" i="3"/>
  <c r="T801" i="3"/>
  <c r="S801" i="3"/>
  <c r="AC801" i="3" s="1" a="1"/>
  <c r="AC801" i="3" s="1"/>
  <c r="O801" i="3"/>
  <c r="AA801" i="3" s="1"/>
  <c r="D801" i="3"/>
  <c r="A801" i="3"/>
  <c r="A766" i="3"/>
  <c r="V751" i="3"/>
  <c r="T751" i="3"/>
  <c r="S751" i="3"/>
  <c r="AC751" i="3" s="1" a="1"/>
  <c r="AC751" i="3" s="1"/>
  <c r="O751" i="3"/>
  <c r="AA751" i="3" s="1"/>
  <c r="D751" i="3"/>
  <c r="A751" i="3"/>
  <c r="A793" i="3"/>
  <c r="D793" i="3"/>
  <c r="O793" i="3"/>
  <c r="AA793" i="3" s="1"/>
  <c r="S793" i="3"/>
  <c r="AD793" i="3" s="1"/>
  <c r="AH793" i="3" s="1"/>
  <c r="T793" i="3"/>
  <c r="V793" i="3"/>
  <c r="V740" i="3"/>
  <c r="T740" i="3"/>
  <c r="S740" i="3"/>
  <c r="AC740" i="3" s="1" a="1"/>
  <c r="AC740" i="3" s="1"/>
  <c r="O740" i="3"/>
  <c r="AA740" i="3" s="1"/>
  <c r="A740" i="3"/>
  <c r="V782" i="3"/>
  <c r="T782" i="3"/>
  <c r="S782" i="3"/>
  <c r="AC782" i="3" s="1" a="1"/>
  <c r="AC782" i="3" s="1"/>
  <c r="O782" i="3"/>
  <c r="AA782" i="3" s="1"/>
  <c r="D782" i="3"/>
  <c r="A782" i="3"/>
  <c r="V717" i="3"/>
  <c r="T717" i="3"/>
  <c r="S717" i="3"/>
  <c r="AC717" i="3" s="1" a="1"/>
  <c r="AC717" i="3" s="1"/>
  <c r="O717" i="3"/>
  <c r="AA717" i="3" s="1"/>
  <c r="D717" i="3"/>
  <c r="A717" i="3"/>
  <c r="V785" i="3"/>
  <c r="T785" i="3"/>
  <c r="S785" i="3"/>
  <c r="AC785" i="3" s="1" a="1"/>
  <c r="AC785" i="3" s="1"/>
  <c r="O785" i="3"/>
  <c r="AA785" i="3" s="1"/>
  <c r="D785" i="3"/>
  <c r="A785" i="3"/>
  <c r="A813" i="3"/>
  <c r="D813" i="3"/>
  <c r="O813" i="3"/>
  <c r="AA813" i="3" s="1"/>
  <c r="S813" i="3"/>
  <c r="W813" i="3" s="1"/>
  <c r="T813" i="3"/>
  <c r="V813" i="3"/>
  <c r="A767" i="3"/>
  <c r="D789" i="3"/>
  <c r="V789" i="3"/>
  <c r="T789" i="3"/>
  <c r="S789" i="3"/>
  <c r="AC789" i="3" s="1" a="1"/>
  <c r="AC789" i="3" s="1"/>
  <c r="O789" i="3"/>
  <c r="AA789" i="3" s="1"/>
  <c r="A789" i="3"/>
  <c r="V853" i="3"/>
  <c r="T853" i="3"/>
  <c r="S853" i="3"/>
  <c r="AC853" i="3" s="1" a="1"/>
  <c r="AC853" i="3" s="1"/>
  <c r="O853" i="3"/>
  <c r="AA853" i="3" s="1"/>
  <c r="A853" i="3"/>
  <c r="D841" i="3"/>
  <c r="V841" i="3"/>
  <c r="T841" i="3"/>
  <c r="S841" i="3"/>
  <c r="AC841" i="3" s="1" a="1"/>
  <c r="AC841" i="3" s="1"/>
  <c r="O841" i="3"/>
  <c r="AA841" i="3" s="1"/>
  <c r="A841" i="3"/>
  <c r="V840" i="3"/>
  <c r="T840" i="3"/>
  <c r="S840" i="3"/>
  <c r="AC840" i="3" s="1" a="1"/>
  <c r="AC840" i="3" s="1"/>
  <c r="O840" i="3"/>
  <c r="AA840" i="3" s="1"/>
  <c r="D840" i="3"/>
  <c r="A840" i="3"/>
  <c r="O794" i="3"/>
  <c r="AA794" i="3" s="1"/>
  <c r="S794" i="3"/>
  <c r="AC794" i="3" s="1" a="1"/>
  <c r="AC794" i="3" s="1"/>
  <c r="V852" i="3"/>
  <c r="T852" i="3"/>
  <c r="S852" i="3"/>
  <c r="AC852" i="3" s="1" a="1"/>
  <c r="AC852" i="3" s="1"/>
  <c r="O852" i="3"/>
  <c r="AA852" i="3" s="1"/>
  <c r="V794" i="3"/>
  <c r="T794" i="3"/>
  <c r="V792" i="3"/>
  <c r="T792" i="3"/>
  <c r="S792" i="3"/>
  <c r="AC792" i="3" s="1" a="1"/>
  <c r="AC792" i="3" s="1"/>
  <c r="O792" i="3"/>
  <c r="AA792" i="3" s="1"/>
  <c r="A792" i="3"/>
  <c r="V796" i="3"/>
  <c r="T796" i="3"/>
  <c r="S796" i="3"/>
  <c r="AC796" i="3" s="1" a="1"/>
  <c r="AC796" i="3" s="1"/>
  <c r="O796" i="3"/>
  <c r="AA796" i="3" s="1"/>
  <c r="D796" i="3"/>
  <c r="A796" i="3"/>
  <c r="D752" i="3"/>
  <c r="V752" i="3"/>
  <c r="T752" i="3"/>
  <c r="S752" i="3"/>
  <c r="AC752" i="3" s="1" a="1"/>
  <c r="AC752" i="3" s="1"/>
  <c r="O752" i="3"/>
  <c r="AA752" i="3" s="1"/>
  <c r="A752" i="3"/>
  <c r="V784" i="3"/>
  <c r="T784" i="3"/>
  <c r="S784" i="3"/>
  <c r="AC784" i="3" s="1" a="1"/>
  <c r="AC784" i="3" s="1"/>
  <c r="O784" i="3"/>
  <c r="AA784" i="3" s="1"/>
  <c r="D784" i="3"/>
  <c r="A784" i="3"/>
  <c r="V778" i="3"/>
  <c r="T778" i="3"/>
  <c r="S778" i="3"/>
  <c r="O778" i="3"/>
  <c r="AA778" i="3" s="1"/>
  <c r="D778" i="3"/>
  <c r="A778" i="3"/>
  <c r="V812" i="3"/>
  <c r="T812" i="3"/>
  <c r="S812" i="3"/>
  <c r="AC812" i="3" s="1" a="1"/>
  <c r="AC812" i="3" s="1"/>
  <c r="O812" i="3"/>
  <c r="AA812" i="3" s="1"/>
  <c r="D812" i="3"/>
  <c r="A812" i="3"/>
  <c r="V780" i="3"/>
  <c r="V776" i="3"/>
  <c r="T776" i="3"/>
  <c r="S776" i="3"/>
  <c r="AC776" i="3" s="1" a="1"/>
  <c r="AC776" i="3" s="1"/>
  <c r="O776" i="3"/>
  <c r="AA776" i="3" s="1"/>
  <c r="D776" i="3"/>
  <c r="T780" i="3"/>
  <c r="S780" i="3"/>
  <c r="AC780" i="3" s="1" a="1"/>
  <c r="AC780" i="3" s="1"/>
  <c r="O780" i="3"/>
  <c r="AA780" i="3" s="1"/>
  <c r="D780" i="3"/>
  <c r="A780" i="3"/>
  <c r="A777" i="3"/>
  <c r="D777" i="3"/>
  <c r="O777" i="3"/>
  <c r="AA777" i="3" s="1"/>
  <c r="S777" i="3"/>
  <c r="AC777" i="3" s="1" a="1"/>
  <c r="AC777" i="3" s="1"/>
  <c r="T777" i="3"/>
  <c r="V777" i="3"/>
  <c r="O783" i="3"/>
  <c r="AA783" i="3" s="1"/>
  <c r="A786" i="3"/>
  <c r="D786" i="3"/>
  <c r="O786" i="3"/>
  <c r="AA786" i="3" s="1"/>
  <c r="S786" i="3"/>
  <c r="AC786" i="3" s="1" a="1"/>
  <c r="AC786" i="3" s="1"/>
  <c r="T786" i="3"/>
  <c r="V786" i="3"/>
  <c r="V783" i="3"/>
  <c r="T783" i="3"/>
  <c r="S783" i="3"/>
  <c r="AC783" i="3" s="1" a="1"/>
  <c r="AC783" i="3" s="1"/>
  <c r="D783" i="3"/>
  <c r="A783" i="3"/>
  <c r="V800" i="3"/>
  <c r="T800" i="3"/>
  <c r="S800" i="3"/>
  <c r="AC800" i="3" s="1" a="1"/>
  <c r="AC800" i="3" s="1"/>
  <c r="O800" i="3"/>
  <c r="AA800" i="3" s="1"/>
  <c r="D800" i="3"/>
  <c r="A800" i="3"/>
  <c r="V779" i="3"/>
  <c r="T779" i="3"/>
  <c r="S779" i="3"/>
  <c r="AC779" i="3" s="1" a="1"/>
  <c r="AC779" i="3" s="1"/>
  <c r="O779" i="3"/>
  <c r="AA779" i="3" s="1"/>
  <c r="D779" i="3"/>
  <c r="A779" i="3"/>
  <c r="V773" i="3"/>
  <c r="T773" i="3"/>
  <c r="S773" i="3"/>
  <c r="AC773" i="3" s="1" a="1"/>
  <c r="AC773" i="3" s="1"/>
  <c r="O773" i="3"/>
  <c r="AA773" i="3" s="1"/>
  <c r="D773" i="3"/>
  <c r="A773" i="3"/>
  <c r="V775" i="3"/>
  <c r="T775" i="3"/>
  <c r="S775" i="3"/>
  <c r="AC775" i="3" s="1" a="1"/>
  <c r="AC775" i="3" s="1"/>
  <c r="O775" i="3"/>
  <c r="AA775" i="3" s="1"/>
  <c r="D775" i="3"/>
  <c r="A775" i="3"/>
  <c r="V772" i="3"/>
  <c r="T772" i="3"/>
  <c r="S772" i="3"/>
  <c r="AC772" i="3" s="1" a="1"/>
  <c r="AC772" i="3" s="1"/>
  <c r="O772" i="3"/>
  <c r="AA772" i="3" s="1"/>
  <c r="D772" i="3"/>
  <c r="A772" i="3"/>
  <c r="V790" i="3"/>
  <c r="T790" i="3"/>
  <c r="S790" i="3"/>
  <c r="AC790" i="3" s="1" a="1"/>
  <c r="AC790" i="3" s="1"/>
  <c r="O790" i="3"/>
  <c r="AA790" i="3" s="1"/>
  <c r="D790" i="3"/>
  <c r="A790" i="3"/>
  <c r="V771" i="3"/>
  <c r="T771" i="3"/>
  <c r="S771" i="3"/>
  <c r="AC771" i="3" s="1" a="1"/>
  <c r="AC771" i="3" s="1"/>
  <c r="O771" i="3"/>
  <c r="AA771" i="3" s="1"/>
  <c r="D771" i="3"/>
  <c r="A771" i="3"/>
  <c r="V774" i="3"/>
  <c r="T774" i="3"/>
  <c r="S774" i="3"/>
  <c r="AC774" i="3" s="1" a="1"/>
  <c r="AC774" i="3" s="1"/>
  <c r="O774" i="3"/>
  <c r="AA774" i="3" s="1"/>
  <c r="D774" i="3"/>
  <c r="A774" i="3"/>
  <c r="V767" i="3"/>
  <c r="T767" i="3"/>
  <c r="S767" i="3"/>
  <c r="AC767" i="3" s="1" a="1"/>
  <c r="AC767" i="3" s="1"/>
  <c r="O767" i="3"/>
  <c r="AA767" i="3" s="1"/>
  <c r="D767" i="3"/>
  <c r="AL728" i="3"/>
  <c r="AL743" i="3"/>
  <c r="V788" i="3"/>
  <c r="T788" i="3"/>
  <c r="S788" i="3"/>
  <c r="AC788" i="3" s="1" a="1"/>
  <c r="AC788" i="3" s="1"/>
  <c r="O788" i="3"/>
  <c r="AA788" i="3" s="1"/>
  <c r="D788" i="3"/>
  <c r="A788" i="3"/>
  <c r="V787" i="3"/>
  <c r="T787" i="3"/>
  <c r="S787" i="3"/>
  <c r="AC787" i="3" s="1" a="1"/>
  <c r="AC787" i="3" s="1"/>
  <c r="O787" i="3"/>
  <c r="AA787" i="3" s="1"/>
  <c r="D787" i="3"/>
  <c r="A787" i="3"/>
  <c r="V769" i="3"/>
  <c r="T769" i="3"/>
  <c r="S769" i="3"/>
  <c r="AC769" i="3" s="1" a="1"/>
  <c r="AC769" i="3" s="1"/>
  <c r="O769" i="3"/>
  <c r="AA769" i="3" s="1"/>
  <c r="D769" i="3"/>
  <c r="A769" i="3"/>
  <c r="V761" i="3"/>
  <c r="T761" i="3"/>
  <c r="S761" i="3"/>
  <c r="AC761" i="3" s="1" a="1"/>
  <c r="AC761" i="3" s="1"/>
  <c r="O761" i="3"/>
  <c r="AA761" i="3" s="1"/>
  <c r="D761" i="3"/>
  <c r="A761" i="3"/>
  <c r="V760" i="3"/>
  <c r="T760" i="3"/>
  <c r="S760" i="3"/>
  <c r="AC760" i="3" s="1" a="1"/>
  <c r="AC760" i="3" s="1"/>
  <c r="O760" i="3"/>
  <c r="AA760" i="3" s="1"/>
  <c r="D760" i="3"/>
  <c r="A760" i="3"/>
  <c r="V759" i="3"/>
  <c r="T759" i="3"/>
  <c r="S759" i="3"/>
  <c r="AC759" i="3" s="1" a="1"/>
  <c r="AC759" i="3" s="1"/>
  <c r="O759" i="3"/>
  <c r="AA759" i="3" s="1"/>
  <c r="D759" i="3"/>
  <c r="A759" i="3"/>
  <c r="V757" i="3"/>
  <c r="T757" i="3"/>
  <c r="S757" i="3"/>
  <c r="AC757" i="3" s="1" a="1"/>
  <c r="AC757" i="3" s="1"/>
  <c r="O757" i="3"/>
  <c r="AA757" i="3" s="1"/>
  <c r="D757" i="3"/>
  <c r="A757" i="3"/>
  <c r="V758" i="3"/>
  <c r="T758" i="3"/>
  <c r="S758" i="3"/>
  <c r="AC758" i="3" s="1" a="1"/>
  <c r="AC758" i="3" s="1"/>
  <c r="O758" i="3"/>
  <c r="AA758" i="3" s="1"/>
  <c r="D758" i="3"/>
  <c r="A758" i="3"/>
  <c r="V754" i="3"/>
  <c r="V756" i="3"/>
  <c r="T756" i="3"/>
  <c r="S756" i="3"/>
  <c r="AC756" i="3" s="1" a="1"/>
  <c r="AC756" i="3" s="1"/>
  <c r="O756" i="3"/>
  <c r="AA756" i="3" s="1"/>
  <c r="D756" i="3"/>
  <c r="A756" i="3"/>
  <c r="T754" i="3"/>
  <c r="S754" i="3"/>
  <c r="AC754" i="3" s="1" a="1"/>
  <c r="AC754" i="3" s="1"/>
  <c r="O754" i="3"/>
  <c r="AA754" i="3" s="1"/>
  <c r="D754" i="3"/>
  <c r="A754" i="3"/>
  <c r="A755" i="3"/>
  <c r="D755" i="3"/>
  <c r="O755" i="3"/>
  <c r="AA755" i="3" s="1"/>
  <c r="S755" i="3"/>
  <c r="AC755" i="3" s="1" a="1"/>
  <c r="AC755" i="3" s="1"/>
  <c r="T755" i="3"/>
  <c r="V755" i="3"/>
  <c r="D748" i="3"/>
  <c r="V748" i="3"/>
  <c r="T748" i="3"/>
  <c r="S748" i="3"/>
  <c r="AC748" i="3" s="1" a="1"/>
  <c r="AC748" i="3" s="1"/>
  <c r="O748" i="3"/>
  <c r="AA748" i="3" s="1"/>
  <c r="A748" i="3"/>
  <c r="V836" i="3"/>
  <c r="T836" i="3"/>
  <c r="S836" i="3"/>
  <c r="AC836" i="3" s="1" a="1"/>
  <c r="AC836" i="3" s="1"/>
  <c r="O836" i="3"/>
  <c r="AA836" i="3" s="1"/>
  <c r="D836" i="3"/>
  <c r="A836" i="3"/>
  <c r="V749" i="3"/>
  <c r="V770" i="3"/>
  <c r="T770" i="3"/>
  <c r="S770" i="3"/>
  <c r="AC770" i="3" s="1" a="1"/>
  <c r="AC770" i="3" s="1"/>
  <c r="O770" i="3"/>
  <c r="AA770" i="3" s="1"/>
  <c r="D770" i="3"/>
  <c r="A770" i="3"/>
  <c r="T749" i="3"/>
  <c r="S749" i="3"/>
  <c r="AC749" i="3" s="1" a="1"/>
  <c r="AC749" i="3" s="1"/>
  <c r="O749" i="3"/>
  <c r="AA749" i="3" s="1"/>
  <c r="D749" i="3"/>
  <c r="A749" i="3"/>
  <c r="V768" i="3"/>
  <c r="T768" i="3"/>
  <c r="S768" i="3"/>
  <c r="AC768" i="3" s="1" a="1"/>
  <c r="AC768" i="3" s="1"/>
  <c r="O768" i="3"/>
  <c r="AA768" i="3" s="1"/>
  <c r="D768" i="3"/>
  <c r="A768" i="3"/>
  <c r="V766" i="3"/>
  <c r="T766" i="3"/>
  <c r="S766" i="3"/>
  <c r="AC766" i="3" s="1" a="1"/>
  <c r="AC766" i="3" s="1"/>
  <c r="O766" i="3"/>
  <c r="AA766" i="3" s="1"/>
  <c r="D766" i="3"/>
  <c r="V728" i="3"/>
  <c r="T728" i="3"/>
  <c r="S728" i="3"/>
  <c r="AC728" i="3" s="1" a="1"/>
  <c r="AC728" i="3" s="1"/>
  <c r="O728" i="3"/>
  <c r="AA728" i="3" s="1"/>
  <c r="D728" i="3"/>
  <c r="A728" i="3"/>
  <c r="V747" i="3"/>
  <c r="T747" i="3"/>
  <c r="S747" i="3"/>
  <c r="AC747" i="3" s="1" a="1"/>
  <c r="AC747" i="3" s="1"/>
  <c r="O747" i="3"/>
  <c r="AA747" i="3" s="1"/>
  <c r="D747" i="3"/>
  <c r="A747" i="3"/>
  <c r="V745" i="3"/>
  <c r="T745" i="3"/>
  <c r="S745" i="3"/>
  <c r="AC745" i="3" s="1" a="1"/>
  <c r="AC745" i="3" s="1"/>
  <c r="O745" i="3"/>
  <c r="AA745" i="3" s="1"/>
  <c r="D745" i="3"/>
  <c r="A745" i="3"/>
  <c r="V746" i="3"/>
  <c r="T746" i="3"/>
  <c r="S746" i="3"/>
  <c r="AC746" i="3" s="1" a="1"/>
  <c r="AC746" i="3" s="1"/>
  <c r="O746" i="3"/>
  <c r="AA746" i="3" s="1"/>
  <c r="D746" i="3"/>
  <c r="A746" i="3"/>
  <c r="V744" i="3"/>
  <c r="T744" i="3"/>
  <c r="S744" i="3"/>
  <c r="AC744" i="3" s="1" a="1"/>
  <c r="AC744" i="3" s="1"/>
  <c r="O744" i="3"/>
  <c r="AA744" i="3" s="1"/>
  <c r="D744" i="3"/>
  <c r="A744" i="3"/>
  <c r="V743" i="3"/>
  <c r="T743" i="3"/>
  <c r="S743" i="3"/>
  <c r="AC743" i="3" s="1" a="1"/>
  <c r="AC743" i="3" s="1"/>
  <c r="O743" i="3"/>
  <c r="AA743" i="3" s="1"/>
  <c r="D743" i="3"/>
  <c r="A743" i="3"/>
  <c r="AL734" i="3"/>
  <c r="AL736" i="3"/>
  <c r="AL735" i="3"/>
  <c r="AL737" i="3"/>
  <c r="AL738" i="3"/>
  <c r="AL739" i="3"/>
  <c r="AL742" i="3"/>
  <c r="AL732" i="3"/>
  <c r="AL733" i="3"/>
  <c r="V742" i="3"/>
  <c r="T742" i="3"/>
  <c r="S742" i="3"/>
  <c r="AC742" i="3" s="1" a="1"/>
  <c r="AC742" i="3" s="1"/>
  <c r="O742" i="3"/>
  <c r="AA742" i="3" s="1"/>
  <c r="D742" i="3"/>
  <c r="A742" i="3"/>
  <c r="V739" i="3"/>
  <c r="T739" i="3"/>
  <c r="S739" i="3"/>
  <c r="AC739" i="3" s="1" a="1"/>
  <c r="AC739" i="3" s="1"/>
  <c r="O739" i="3"/>
  <c r="AA739" i="3" s="1"/>
  <c r="D739" i="3"/>
  <c r="A739" i="3"/>
  <c r="V738" i="3"/>
  <c r="T738" i="3"/>
  <c r="S738" i="3"/>
  <c r="O738" i="3"/>
  <c r="AA738" i="3" s="1"/>
  <c r="D738" i="3"/>
  <c r="A738" i="3"/>
  <c r="V765" i="3"/>
  <c r="T765" i="3"/>
  <c r="S765" i="3"/>
  <c r="AC765" i="3" s="1" a="1"/>
  <c r="AC765" i="3" s="1"/>
  <c r="O765" i="3"/>
  <c r="AA765" i="3" s="1"/>
  <c r="D765" i="3"/>
  <c r="A765" i="3"/>
  <c r="V753" i="3"/>
  <c r="T753" i="3"/>
  <c r="S753" i="3"/>
  <c r="AC753" i="3" s="1" a="1"/>
  <c r="AC753" i="3" s="1"/>
  <c r="O753" i="3"/>
  <c r="AA753" i="3" s="1"/>
  <c r="D753" i="3"/>
  <c r="A753" i="3"/>
  <c r="V737" i="3"/>
  <c r="T737" i="3"/>
  <c r="S737" i="3"/>
  <c r="AC737" i="3" s="1" a="1"/>
  <c r="AC737" i="3" s="1"/>
  <c r="O737" i="3"/>
  <c r="AA737" i="3" s="1"/>
  <c r="D737" i="3"/>
  <c r="A737" i="3"/>
  <c r="V735" i="3"/>
  <c r="T735" i="3"/>
  <c r="S735" i="3"/>
  <c r="AC735" i="3" s="1" a="1"/>
  <c r="AC735" i="3" s="1"/>
  <c r="O735" i="3"/>
  <c r="AA735" i="3" s="1"/>
  <c r="D735" i="3"/>
  <c r="A735" i="3"/>
  <c r="V736" i="3"/>
  <c r="T736" i="3"/>
  <c r="S736" i="3"/>
  <c r="AC736" i="3" s="1" a="1"/>
  <c r="AC736" i="3" s="1"/>
  <c r="O736" i="3"/>
  <c r="AA736" i="3" s="1"/>
  <c r="D736" i="3"/>
  <c r="A736" i="3"/>
  <c r="V734" i="3"/>
  <c r="T734" i="3"/>
  <c r="S734" i="3"/>
  <c r="AC734" i="3" s="1" a="1"/>
  <c r="AC734" i="3" s="1"/>
  <c r="O734" i="3"/>
  <c r="AA734" i="3" s="1"/>
  <c r="D734" i="3"/>
  <c r="V733" i="3"/>
  <c r="T733" i="3"/>
  <c r="S733" i="3"/>
  <c r="AC733" i="3" s="1" a="1"/>
  <c r="AC733" i="3" s="1"/>
  <c r="O733" i="3"/>
  <c r="AA733" i="3" s="1"/>
  <c r="D733" i="3"/>
  <c r="A733" i="3"/>
  <c r="V732" i="3"/>
  <c r="T732" i="3"/>
  <c r="S732" i="3"/>
  <c r="AC732" i="3" s="1" a="1"/>
  <c r="AC732" i="3" s="1"/>
  <c r="O732" i="3"/>
  <c r="AA732" i="3" s="1"/>
  <c r="D732" i="3"/>
  <c r="A732" i="3"/>
  <c r="AL731" i="3"/>
  <c r="AL729" i="3"/>
  <c r="AL730" i="3"/>
  <c r="V730" i="3"/>
  <c r="T730" i="3"/>
  <c r="S730" i="3"/>
  <c r="AC730" i="3" s="1" a="1"/>
  <c r="AC730" i="3" s="1"/>
  <c r="O730" i="3"/>
  <c r="AA730" i="3" s="1"/>
  <c r="D730" i="3"/>
  <c r="A730" i="3"/>
  <c r="A723" i="3"/>
  <c r="V729" i="3"/>
  <c r="T729" i="3"/>
  <c r="S729" i="3"/>
  <c r="AC729" i="3" s="1" a="1"/>
  <c r="AC729" i="3" s="1"/>
  <c r="O729" i="3"/>
  <c r="AA729" i="3" s="1"/>
  <c r="D729" i="3"/>
  <c r="A729" i="3"/>
  <c r="V731" i="3"/>
  <c r="T731" i="3"/>
  <c r="S731" i="3"/>
  <c r="AC731" i="3" s="1" a="1"/>
  <c r="AC731" i="3" s="1"/>
  <c r="O731" i="3"/>
  <c r="AA731" i="3" s="1"/>
  <c r="D731" i="3"/>
  <c r="A731" i="3"/>
  <c r="AL722" i="3"/>
  <c r="AL723" i="3"/>
  <c r="AL724" i="3"/>
  <c r="AL725" i="3"/>
  <c r="AL726" i="3"/>
  <c r="AL727" i="3"/>
  <c r="V727" i="3"/>
  <c r="T727" i="3"/>
  <c r="S727" i="3"/>
  <c r="AC727" i="3" s="1" a="1"/>
  <c r="AC727" i="3" s="1"/>
  <c r="O727" i="3"/>
  <c r="AA727" i="3" s="1"/>
  <c r="D727" i="3"/>
  <c r="A727" i="3"/>
  <c r="V726" i="3"/>
  <c r="T726" i="3"/>
  <c r="S726" i="3"/>
  <c r="AC726" i="3" s="1" a="1"/>
  <c r="AC726" i="3" s="1"/>
  <c r="O726" i="3"/>
  <c r="AA726" i="3" s="1"/>
  <c r="D726" i="3"/>
  <c r="A726" i="3"/>
  <c r="V725" i="3"/>
  <c r="T725" i="3"/>
  <c r="S725" i="3"/>
  <c r="AC725" i="3" s="1" a="1"/>
  <c r="AC725" i="3" s="1"/>
  <c r="O725" i="3"/>
  <c r="AA725" i="3" s="1"/>
  <c r="D725" i="3"/>
  <c r="A725" i="3"/>
  <c r="V724" i="3"/>
  <c r="T724" i="3"/>
  <c r="S724" i="3"/>
  <c r="AC724" i="3" s="1" a="1"/>
  <c r="AC724" i="3" s="1"/>
  <c r="O724" i="3"/>
  <c r="AA724" i="3" s="1"/>
  <c r="D724" i="3"/>
  <c r="A724" i="3"/>
  <c r="V723" i="3"/>
  <c r="T723" i="3"/>
  <c r="S723" i="3"/>
  <c r="AC723" i="3" s="1" a="1"/>
  <c r="AC723" i="3" s="1"/>
  <c r="O723" i="3"/>
  <c r="AA723" i="3" s="1"/>
  <c r="D723" i="3"/>
  <c r="V722" i="3"/>
  <c r="T722" i="3"/>
  <c r="S722" i="3"/>
  <c r="AC722" i="3" s="1" a="1"/>
  <c r="AC722" i="3" s="1"/>
  <c r="O722" i="3"/>
  <c r="AA722" i="3" s="1"/>
  <c r="D722" i="3"/>
  <c r="A722" i="3"/>
  <c r="A11" i="10"/>
  <c r="AL718" i="3"/>
  <c r="AL719" i="3"/>
  <c r="AL720" i="3"/>
  <c r="AL721" i="3"/>
  <c r="V721" i="3"/>
  <c r="T721" i="3"/>
  <c r="S721" i="3"/>
  <c r="AC721" i="3" s="1" a="1"/>
  <c r="AC721" i="3" s="1"/>
  <c r="O721" i="3"/>
  <c r="AA721" i="3" s="1"/>
  <c r="D721" i="3"/>
  <c r="A721" i="3"/>
  <c r="V720" i="3"/>
  <c r="T720" i="3"/>
  <c r="S720" i="3"/>
  <c r="AC720" i="3" s="1" a="1"/>
  <c r="AC720" i="3" s="1"/>
  <c r="O720" i="3"/>
  <c r="AA720" i="3" s="1"/>
  <c r="D720" i="3"/>
  <c r="A720" i="3"/>
  <c r="V719" i="3"/>
  <c r="T719" i="3"/>
  <c r="S719" i="3"/>
  <c r="AC719" i="3" s="1" a="1"/>
  <c r="AC719" i="3" s="1"/>
  <c r="O719" i="3"/>
  <c r="AA719" i="3" s="1"/>
  <c r="D719" i="3"/>
  <c r="A719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708" i="3"/>
  <c r="AL680" i="3"/>
  <c r="AL681" i="3"/>
  <c r="AL683" i="3"/>
  <c r="AL684" i="3"/>
  <c r="AL685" i="3"/>
  <c r="AL686" i="3"/>
  <c r="AL687" i="3"/>
  <c r="AL688" i="3"/>
  <c r="AL689" i="3"/>
  <c r="AL695" i="3"/>
  <c r="AL682" i="3"/>
  <c r="AL704" i="3"/>
  <c r="AL693" i="3"/>
  <c r="AL694" i="3"/>
  <c r="AL706" i="3"/>
  <c r="AL696" i="3"/>
  <c r="AL697" i="3"/>
  <c r="AL698" i="3"/>
  <c r="AL699" i="3"/>
  <c r="AL700" i="3"/>
  <c r="AL701" i="3"/>
  <c r="AL705" i="3"/>
  <c r="AL703" i="3"/>
  <c r="AL690" i="3"/>
  <c r="AL691" i="3"/>
  <c r="AL702" i="3"/>
  <c r="AL692" i="3"/>
  <c r="AL707" i="3"/>
  <c r="AL709" i="3"/>
  <c r="AL710" i="3"/>
  <c r="AL711" i="3"/>
  <c r="AL714" i="3"/>
  <c r="AL715" i="3"/>
  <c r="AL712" i="3"/>
  <c r="AL713" i="3"/>
  <c r="AL716" i="3"/>
  <c r="V718" i="3"/>
  <c r="T718" i="3"/>
  <c r="S718" i="3"/>
  <c r="AC718" i="3" s="1" a="1"/>
  <c r="AC718" i="3" s="1"/>
  <c r="O718" i="3"/>
  <c r="AA718" i="3" s="1"/>
  <c r="D718" i="3"/>
  <c r="A718" i="3"/>
  <c r="V716" i="3"/>
  <c r="T716" i="3"/>
  <c r="S716" i="3"/>
  <c r="AC716" i="3" s="1" a="1"/>
  <c r="AC716" i="3" s="1"/>
  <c r="O716" i="3"/>
  <c r="AA716" i="3" s="1"/>
  <c r="D716" i="3"/>
  <c r="V713" i="3"/>
  <c r="T713" i="3"/>
  <c r="S713" i="3"/>
  <c r="AC713" i="3" s="1" a="1"/>
  <c r="AC713" i="3" s="1"/>
  <c r="O713" i="3"/>
  <c r="AA713" i="3" s="1"/>
  <c r="D713" i="3"/>
  <c r="A713" i="3"/>
  <c r="V712" i="3"/>
  <c r="T712" i="3"/>
  <c r="S712" i="3"/>
  <c r="AC712" i="3" s="1" a="1"/>
  <c r="AC712" i="3" s="1"/>
  <c r="O712" i="3"/>
  <c r="AA712" i="3" s="1"/>
  <c r="A712" i="3"/>
  <c r="A703" i="3"/>
  <c r="V715" i="3"/>
  <c r="T715" i="3"/>
  <c r="S715" i="3"/>
  <c r="AC715" i="3" s="1" a="1"/>
  <c r="AC715" i="3" s="1"/>
  <c r="O715" i="3"/>
  <c r="AA715" i="3" s="1"/>
  <c r="D715" i="3"/>
  <c r="A715" i="3"/>
  <c r="V714" i="3"/>
  <c r="T714" i="3"/>
  <c r="S714" i="3"/>
  <c r="AC714" i="3" s="1" a="1"/>
  <c r="AC714" i="3" s="1"/>
  <c r="O714" i="3"/>
  <c r="AA714" i="3" s="1"/>
  <c r="D714" i="3"/>
  <c r="A714" i="3"/>
  <c r="V711" i="3"/>
  <c r="T711" i="3"/>
  <c r="S711" i="3"/>
  <c r="AC711" i="3" s="1" a="1"/>
  <c r="AC711" i="3" s="1"/>
  <c r="O711" i="3"/>
  <c r="AA711" i="3" s="1"/>
  <c r="D711" i="3"/>
  <c r="A711" i="3"/>
  <c r="A706" i="3"/>
  <c r="V710" i="3"/>
  <c r="T710" i="3"/>
  <c r="S710" i="3"/>
  <c r="AC710" i="3" s="1" a="1"/>
  <c r="AC710" i="3" s="1"/>
  <c r="O710" i="3"/>
  <c r="AA710" i="3" s="1"/>
  <c r="D710" i="3"/>
  <c r="A710" i="3"/>
  <c r="V709" i="3"/>
  <c r="T709" i="3"/>
  <c r="S709" i="3"/>
  <c r="AC709" i="3" s="1" a="1"/>
  <c r="AC709" i="3" s="1"/>
  <c r="O709" i="3"/>
  <c r="AA709" i="3" s="1"/>
  <c r="D709" i="3"/>
  <c r="A709" i="3"/>
  <c r="V708" i="3"/>
  <c r="T708" i="3"/>
  <c r="S708" i="3"/>
  <c r="AC708" i="3" s="1" a="1"/>
  <c r="AC708" i="3" s="1"/>
  <c r="O708" i="3"/>
  <c r="AA708" i="3" s="1"/>
  <c r="A708" i="3"/>
  <c r="A707" i="3"/>
  <c r="D707" i="3"/>
  <c r="O707" i="3"/>
  <c r="AA707" i="3" s="1"/>
  <c r="S707" i="3"/>
  <c r="AC707" i="3" s="1" a="1"/>
  <c r="AC707" i="3" s="1"/>
  <c r="T707" i="3"/>
  <c r="V707" i="3"/>
  <c r="V705" i="3"/>
  <c r="T705" i="3"/>
  <c r="S705" i="3"/>
  <c r="O705" i="3"/>
  <c r="AA705" i="3" s="1"/>
  <c r="D705" i="3"/>
  <c r="A705" i="3"/>
  <c r="V706" i="3"/>
  <c r="T706" i="3"/>
  <c r="S706" i="3"/>
  <c r="O706" i="3"/>
  <c r="AA706" i="3" s="1"/>
  <c r="D706" i="3"/>
  <c r="V704" i="3"/>
  <c r="T704" i="3"/>
  <c r="S704" i="3"/>
  <c r="O704" i="3"/>
  <c r="AA704" i="3" s="1"/>
  <c r="D704" i="3"/>
  <c r="A704" i="3"/>
  <c r="C33" i="12"/>
  <c r="C55" i="12"/>
  <c r="J5" i="10" s="1"/>
  <c r="C204" i="12"/>
  <c r="I5" i="10" s="1"/>
  <c r="C90" i="12"/>
  <c r="H5" i="10" s="1"/>
  <c r="P436" i="1"/>
  <c r="O436" i="1"/>
  <c r="V703" i="3"/>
  <c r="T703" i="3"/>
  <c r="S703" i="3"/>
  <c r="AC703" i="3" s="1" a="1"/>
  <c r="AC703" i="3" s="1"/>
  <c r="O703" i="3"/>
  <c r="AA703" i="3" s="1"/>
  <c r="D703" i="3"/>
  <c r="G11" i="10"/>
  <c r="E11" i="10"/>
  <c r="D11" i="10"/>
  <c r="C11" i="10"/>
  <c r="B11" i="10"/>
  <c r="Q200" i="12"/>
  <c r="I11" i="10" s="1"/>
  <c r="Q33" i="12"/>
  <c r="Q90" i="12"/>
  <c r="H11" i="10" s="1"/>
  <c r="Q55" i="12"/>
  <c r="J11" i="10" s="1"/>
  <c r="F11" i="10"/>
  <c r="C21" i="17"/>
  <c r="V702" i="3"/>
  <c r="T702" i="3"/>
  <c r="S702" i="3"/>
  <c r="AC702" i="3" s="1" a="1"/>
  <c r="AC702" i="3" s="1"/>
  <c r="O702" i="3"/>
  <c r="AA702" i="3" s="1"/>
  <c r="D702" i="3"/>
  <c r="A702" i="3"/>
  <c r="A698" i="3"/>
  <c r="A690" i="3"/>
  <c r="V698" i="3"/>
  <c r="T698" i="3"/>
  <c r="S698" i="3"/>
  <c r="O698" i="3"/>
  <c r="AA698" i="3" s="1"/>
  <c r="D698" i="3"/>
  <c r="A692" i="3"/>
  <c r="A687" i="3"/>
  <c r="V701" i="3"/>
  <c r="T701" i="3"/>
  <c r="S701" i="3"/>
  <c r="O701" i="3"/>
  <c r="AA701" i="3" s="1"/>
  <c r="D701" i="3"/>
  <c r="A701" i="3"/>
  <c r="V700" i="3"/>
  <c r="T700" i="3"/>
  <c r="S700" i="3"/>
  <c r="O700" i="3"/>
  <c r="AA700" i="3" s="1"/>
  <c r="D700" i="3"/>
  <c r="A700" i="3"/>
  <c r="V699" i="3"/>
  <c r="T699" i="3"/>
  <c r="S699" i="3"/>
  <c r="O699" i="3"/>
  <c r="AA699" i="3" s="1"/>
  <c r="D699" i="3"/>
  <c r="A699" i="3"/>
  <c r="A693" i="3"/>
  <c r="C19" i="17"/>
  <c r="A676" i="3"/>
  <c r="A696" i="3"/>
  <c r="D696" i="3"/>
  <c r="O696" i="3"/>
  <c r="AA696" i="3" s="1"/>
  <c r="S696" i="3"/>
  <c r="AD696" i="3" s="1"/>
  <c r="T696" i="3"/>
  <c r="V696" i="3"/>
  <c r="V695" i="3"/>
  <c r="T695" i="3"/>
  <c r="S695" i="3"/>
  <c r="AC695" i="3" s="1" a="1"/>
  <c r="AC695" i="3" s="1"/>
  <c r="O695" i="3"/>
  <c r="AA695" i="3" s="1"/>
  <c r="D695" i="3"/>
  <c r="A695" i="3"/>
  <c r="V697" i="3"/>
  <c r="T697" i="3"/>
  <c r="S697" i="3"/>
  <c r="O697" i="3"/>
  <c r="AA697" i="3" s="1"/>
  <c r="D697" i="3"/>
  <c r="A697" i="3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V694" i="3"/>
  <c r="T694" i="3"/>
  <c r="S694" i="3"/>
  <c r="O694" i="3"/>
  <c r="AA694" i="3" s="1"/>
  <c r="D694" i="3"/>
  <c r="A694" i="3"/>
  <c r="A664" i="3"/>
  <c r="V693" i="3"/>
  <c r="T693" i="3"/>
  <c r="S693" i="3"/>
  <c r="O693" i="3"/>
  <c r="AA693" i="3" s="1"/>
  <c r="D693" i="3"/>
  <c r="V691" i="3"/>
  <c r="T691" i="3"/>
  <c r="S691" i="3"/>
  <c r="AC691" i="3" s="1" a="1"/>
  <c r="AC691" i="3" s="1"/>
  <c r="O691" i="3"/>
  <c r="AA691" i="3" s="1"/>
  <c r="D691" i="3"/>
  <c r="A691" i="3"/>
  <c r="V690" i="3"/>
  <c r="T690" i="3"/>
  <c r="S690" i="3"/>
  <c r="AC690" i="3" s="1" a="1"/>
  <c r="AC690" i="3" s="1"/>
  <c r="O690" i="3"/>
  <c r="AA690" i="3" s="1"/>
  <c r="D690" i="3"/>
  <c r="D692" i="3"/>
  <c r="O692" i="3"/>
  <c r="AA692" i="3" s="1"/>
  <c r="S692" i="3"/>
  <c r="AC692" i="3" s="1" a="1"/>
  <c r="AC692" i="3" s="1"/>
  <c r="T692" i="3"/>
  <c r="V692" i="3"/>
  <c r="V689" i="3"/>
  <c r="T689" i="3"/>
  <c r="S689" i="3"/>
  <c r="AC689" i="3" s="1" a="1"/>
  <c r="AC689" i="3" s="1"/>
  <c r="O689" i="3"/>
  <c r="AA689" i="3" s="1"/>
  <c r="D689" i="3"/>
  <c r="A689" i="3"/>
  <c r="V688" i="3"/>
  <c r="T688" i="3"/>
  <c r="S688" i="3"/>
  <c r="O688" i="3"/>
  <c r="AA688" i="3" s="1"/>
  <c r="D688" i="3"/>
  <c r="A688" i="3"/>
  <c r="V687" i="3"/>
  <c r="T687" i="3"/>
  <c r="S687" i="3"/>
  <c r="O687" i="3"/>
  <c r="AA687" i="3" s="1"/>
  <c r="D687" i="3"/>
  <c r="V686" i="3"/>
  <c r="T686" i="3"/>
  <c r="S686" i="3"/>
  <c r="O686" i="3"/>
  <c r="AA686" i="3" s="1"/>
  <c r="D686" i="3"/>
  <c r="A686" i="3"/>
  <c r="V685" i="3"/>
  <c r="T685" i="3"/>
  <c r="S685" i="3"/>
  <c r="O685" i="3"/>
  <c r="AA685" i="3" s="1"/>
  <c r="D685" i="3"/>
  <c r="A685" i="3"/>
  <c r="D684" i="3"/>
  <c r="A684" i="3"/>
  <c r="O684" i="3"/>
  <c r="AA684" i="3" s="1"/>
  <c r="S684" i="3"/>
  <c r="W684" i="3" s="1"/>
  <c r="T684" i="3"/>
  <c r="V684" i="3"/>
  <c r="V681" i="3"/>
  <c r="T681" i="3"/>
  <c r="S681" i="3"/>
  <c r="AC681" i="3" s="1" a="1"/>
  <c r="AC681" i="3" s="1"/>
  <c r="O681" i="3"/>
  <c r="AA681" i="3" s="1"/>
  <c r="D681" i="3"/>
  <c r="A681" i="3"/>
  <c r="V682" i="3"/>
  <c r="T682" i="3"/>
  <c r="S682" i="3"/>
  <c r="AC682" i="3" s="1" a="1"/>
  <c r="AC682" i="3" s="1"/>
  <c r="O682" i="3"/>
  <c r="AA682" i="3" s="1"/>
  <c r="D682" i="3"/>
  <c r="A682" i="3"/>
  <c r="V680" i="3"/>
  <c r="T680" i="3"/>
  <c r="S680" i="3"/>
  <c r="AC680" i="3" s="1" a="1"/>
  <c r="AC680" i="3" s="1"/>
  <c r="O680" i="3"/>
  <c r="AA680" i="3" s="1"/>
  <c r="D680" i="3"/>
  <c r="A680" i="3"/>
  <c r="P417" i="1"/>
  <c r="O417" i="1"/>
  <c r="P416" i="1"/>
  <c r="O416" i="1"/>
  <c r="A672" i="3"/>
  <c r="E11" i="7"/>
  <c r="V679" i="3"/>
  <c r="T679" i="3"/>
  <c r="S679" i="3"/>
  <c r="AC679" i="3" s="1" a="1"/>
  <c r="AC679" i="3" s="1"/>
  <c r="O679" i="3"/>
  <c r="AA679" i="3" s="1"/>
  <c r="D679" i="3"/>
  <c r="A679" i="3"/>
  <c r="D678" i="3"/>
  <c r="V678" i="3"/>
  <c r="T678" i="3"/>
  <c r="S678" i="3"/>
  <c r="AC678" i="3" s="1" a="1"/>
  <c r="AC678" i="3" s="1"/>
  <c r="O678" i="3"/>
  <c r="AA678" i="3" s="1"/>
  <c r="A678" i="3"/>
  <c r="V677" i="3"/>
  <c r="T677" i="3"/>
  <c r="S677" i="3"/>
  <c r="AC677" i="3" s="1" a="1"/>
  <c r="AC677" i="3" s="1"/>
  <c r="O677" i="3"/>
  <c r="AA677" i="3" s="1"/>
  <c r="D677" i="3"/>
  <c r="A677" i="3"/>
  <c r="V676" i="3"/>
  <c r="T676" i="3"/>
  <c r="S676" i="3"/>
  <c r="AC676" i="3" s="1" a="1"/>
  <c r="AC676" i="3" s="1"/>
  <c r="O676" i="3"/>
  <c r="AA676" i="3" s="1"/>
  <c r="D676" i="3"/>
  <c r="V675" i="3"/>
  <c r="T675" i="3"/>
  <c r="S675" i="3"/>
  <c r="AC675" i="3" s="1" a="1"/>
  <c r="AC675" i="3" s="1"/>
  <c r="O675" i="3"/>
  <c r="AA675" i="3" s="1"/>
  <c r="D675" i="3"/>
  <c r="A675" i="3"/>
  <c r="D674" i="3"/>
  <c r="V674" i="3"/>
  <c r="T674" i="3"/>
  <c r="S674" i="3"/>
  <c r="AC674" i="3" s="1" a="1"/>
  <c r="AC674" i="3" s="1"/>
  <c r="O674" i="3"/>
  <c r="AA674" i="3" s="1"/>
  <c r="A674" i="3"/>
  <c r="V672" i="3"/>
  <c r="T672" i="3"/>
  <c r="S672" i="3"/>
  <c r="AC672" i="3" s="1" a="1"/>
  <c r="AC672" i="3" s="1"/>
  <c r="O672" i="3"/>
  <c r="AA672" i="3" s="1"/>
  <c r="D672" i="3"/>
  <c r="V671" i="3"/>
  <c r="T671" i="3"/>
  <c r="S671" i="3"/>
  <c r="AC671" i="3" s="1" a="1"/>
  <c r="AC671" i="3" s="1"/>
  <c r="O671" i="3"/>
  <c r="AA671" i="3" s="1"/>
  <c r="D671" i="3"/>
  <c r="A671" i="3"/>
  <c r="V670" i="3"/>
  <c r="T670" i="3"/>
  <c r="S670" i="3"/>
  <c r="AC670" i="3" s="1" a="1"/>
  <c r="AC670" i="3" s="1"/>
  <c r="O670" i="3"/>
  <c r="AA670" i="3" s="1"/>
  <c r="D670" i="3"/>
  <c r="A670" i="3"/>
  <c r="A673" i="3"/>
  <c r="D673" i="3"/>
  <c r="O673" i="3"/>
  <c r="AA673" i="3" s="1"/>
  <c r="S673" i="3"/>
  <c r="AC673" i="3" s="1" a="1"/>
  <c r="AC673" i="3" s="1"/>
  <c r="T673" i="3"/>
  <c r="V673" i="3"/>
  <c r="V669" i="3"/>
  <c r="T669" i="3"/>
  <c r="S669" i="3"/>
  <c r="AC669" i="3" s="1" a="1"/>
  <c r="AC669" i="3" s="1"/>
  <c r="O669" i="3"/>
  <c r="AA669" i="3" s="1"/>
  <c r="D669" i="3"/>
  <c r="A669" i="3"/>
  <c r="AL662" i="3"/>
  <c r="AL663" i="3"/>
  <c r="AL660" i="3"/>
  <c r="AL661" i="3"/>
  <c r="AL664" i="3"/>
  <c r="V668" i="3"/>
  <c r="T668" i="3"/>
  <c r="S668" i="3"/>
  <c r="AC668" i="3" s="1" a="1"/>
  <c r="AC668" i="3" s="1"/>
  <c r="O668" i="3"/>
  <c r="AA668" i="3" s="1"/>
  <c r="D668" i="3"/>
  <c r="A668" i="3"/>
  <c r="P400" i="1"/>
  <c r="AL659" i="3"/>
  <c r="V665" i="3"/>
  <c r="T665" i="3"/>
  <c r="S665" i="3"/>
  <c r="AC665" i="3" s="1" a="1"/>
  <c r="AC665" i="3" s="1"/>
  <c r="O665" i="3"/>
  <c r="AA665" i="3" s="1"/>
  <c r="D665" i="3"/>
  <c r="A665" i="3"/>
  <c r="V666" i="3"/>
  <c r="T666" i="3"/>
  <c r="S666" i="3"/>
  <c r="O666" i="3"/>
  <c r="AA666" i="3" s="1"/>
  <c r="D666" i="3"/>
  <c r="A666" i="3"/>
  <c r="V667" i="3"/>
  <c r="T667" i="3"/>
  <c r="S667" i="3"/>
  <c r="AD667" i="3" s="1"/>
  <c r="O667" i="3"/>
  <c r="AA667" i="3" s="1"/>
  <c r="D667" i="3"/>
  <c r="A667" i="3"/>
  <c r="V664" i="3"/>
  <c r="T664" i="3"/>
  <c r="S664" i="3"/>
  <c r="AC664" i="3" s="1" a="1"/>
  <c r="AC664" i="3" s="1"/>
  <c r="O664" i="3"/>
  <c r="AA664" i="3" s="1"/>
  <c r="D664" i="3"/>
  <c r="V661" i="3"/>
  <c r="T661" i="3"/>
  <c r="S661" i="3"/>
  <c r="AC661" i="3" s="1" a="1"/>
  <c r="AC661" i="3" s="1"/>
  <c r="O661" i="3"/>
  <c r="AA661" i="3" s="1"/>
  <c r="D661" i="3"/>
  <c r="A661" i="3"/>
  <c r="V660" i="3"/>
  <c r="T660" i="3"/>
  <c r="S660" i="3"/>
  <c r="AC660" i="3" s="1" a="1"/>
  <c r="AC660" i="3" s="1"/>
  <c r="O660" i="3"/>
  <c r="AA660" i="3" s="1"/>
  <c r="D660" i="3"/>
  <c r="A660" i="3"/>
  <c r="D663" i="3"/>
  <c r="V663" i="3"/>
  <c r="T663" i="3"/>
  <c r="S663" i="3"/>
  <c r="AC663" i="3" s="1" a="1"/>
  <c r="AC663" i="3" s="1"/>
  <c r="O663" i="3"/>
  <c r="AA663" i="3" s="1"/>
  <c r="A663" i="3"/>
  <c r="V662" i="3"/>
  <c r="T662" i="3"/>
  <c r="S662" i="3"/>
  <c r="AC662" i="3" s="1" a="1"/>
  <c r="AC662" i="3" s="1"/>
  <c r="O662" i="3"/>
  <c r="AA662" i="3" s="1"/>
  <c r="D662" i="3"/>
  <c r="A662" i="3"/>
  <c r="AL658" i="3"/>
  <c r="AL649" i="3"/>
  <c r="AL646" i="3"/>
  <c r="AL645" i="3"/>
  <c r="AL648" i="3"/>
  <c r="AL636" i="3"/>
  <c r="AL644" i="3"/>
  <c r="AL643" i="3"/>
  <c r="AL653" i="3"/>
  <c r="AL651" i="3"/>
  <c r="AL622" i="3"/>
  <c r="AL604" i="3"/>
  <c r="AL606" i="3"/>
  <c r="AL638" i="3"/>
  <c r="AL642" i="3"/>
  <c r="AL641" i="3"/>
  <c r="AL640" i="3"/>
  <c r="AL657" i="3"/>
  <c r="P397" i="1"/>
  <c r="O397" i="1"/>
  <c r="P398" i="1"/>
  <c r="O398" i="1"/>
  <c r="AL647" i="3"/>
  <c r="V659" i="3"/>
  <c r="T659" i="3"/>
  <c r="S659" i="3"/>
  <c r="AC659" i="3" s="1" a="1"/>
  <c r="AC659" i="3" s="1"/>
  <c r="O659" i="3"/>
  <c r="AA659" i="3" s="1"/>
  <c r="D659" i="3"/>
  <c r="A659" i="3"/>
  <c r="V683" i="3"/>
  <c r="T683" i="3"/>
  <c r="S683" i="3"/>
  <c r="AC683" i="3" s="1" a="1"/>
  <c r="AC683" i="3" s="1"/>
  <c r="O683" i="3"/>
  <c r="AA683" i="3" s="1"/>
  <c r="D683" i="3"/>
  <c r="A683" i="3"/>
  <c r="D657" i="3"/>
  <c r="V657" i="3"/>
  <c r="T657" i="3"/>
  <c r="S657" i="3"/>
  <c r="AC657" i="3" s="1" a="1"/>
  <c r="AC657" i="3" s="1"/>
  <c r="O657" i="3"/>
  <c r="AA657" i="3" s="1"/>
  <c r="A657" i="3"/>
  <c r="AL639" i="3"/>
  <c r="V551" i="3"/>
  <c r="O551" i="3"/>
  <c r="V180" i="3"/>
  <c r="O180" i="3"/>
  <c r="V211" i="3"/>
  <c r="O211" i="3"/>
  <c r="V270" i="3"/>
  <c r="O270" i="3"/>
  <c r="O339" i="3"/>
  <c r="O340" i="3"/>
  <c r="V339" i="3"/>
  <c r="V340" i="3"/>
  <c r="V455" i="3"/>
  <c r="V445" i="3"/>
  <c r="V446" i="3"/>
  <c r="V438" i="3"/>
  <c r="V439" i="3"/>
  <c r="V440" i="3"/>
  <c r="O455" i="3"/>
  <c r="O445" i="3"/>
  <c r="O446" i="3"/>
  <c r="O438" i="3"/>
  <c r="O439" i="3"/>
  <c r="O440" i="3"/>
  <c r="O469" i="3"/>
  <c r="O459" i="3"/>
  <c r="AA459" i="3" s="1"/>
  <c r="O460" i="3"/>
  <c r="AA460" i="3" s="1"/>
  <c r="O461" i="3"/>
  <c r="AA461" i="3" s="1"/>
  <c r="V459" i="3"/>
  <c r="V460" i="3"/>
  <c r="V461" i="3"/>
  <c r="V469" i="3"/>
  <c r="V478" i="3"/>
  <c r="O478" i="3"/>
  <c r="V489" i="3"/>
  <c r="O489" i="3"/>
  <c r="V11" i="3"/>
  <c r="AL654" i="3"/>
  <c r="AL655" i="3"/>
  <c r="AL656" i="3"/>
  <c r="D656" i="3"/>
  <c r="D655" i="3"/>
  <c r="V656" i="3"/>
  <c r="T656" i="3"/>
  <c r="S656" i="3"/>
  <c r="AC656" i="3" s="1" a="1"/>
  <c r="AC656" i="3" s="1"/>
  <c r="O656" i="3"/>
  <c r="AA656" i="3" s="1"/>
  <c r="A656" i="3"/>
  <c r="V655" i="3"/>
  <c r="T655" i="3"/>
  <c r="S655" i="3"/>
  <c r="AC655" i="3" s="1" a="1"/>
  <c r="AC655" i="3" s="1"/>
  <c r="O655" i="3"/>
  <c r="AA655" i="3" s="1"/>
  <c r="A655" i="3"/>
  <c r="V658" i="3"/>
  <c r="T658" i="3"/>
  <c r="S658" i="3"/>
  <c r="AC658" i="3" s="1" a="1"/>
  <c r="AC658" i="3" s="1"/>
  <c r="O658" i="3"/>
  <c r="AA658" i="3" s="1"/>
  <c r="A658" i="3"/>
  <c r="V654" i="3"/>
  <c r="T654" i="3"/>
  <c r="S654" i="3"/>
  <c r="O654" i="3"/>
  <c r="AA654" i="3" s="1"/>
  <c r="D654" i="3"/>
  <c r="A654" i="3"/>
  <c r="V653" i="3"/>
  <c r="T653" i="3"/>
  <c r="S653" i="3"/>
  <c r="AC653" i="3" s="1" a="1"/>
  <c r="AC653" i="3" s="1"/>
  <c r="O653" i="3"/>
  <c r="AA653" i="3" s="1"/>
  <c r="A653" i="3"/>
  <c r="AL650" i="3"/>
  <c r="AL652" i="3"/>
  <c r="A641" i="3"/>
  <c r="V652" i="3"/>
  <c r="T652" i="3"/>
  <c r="S652" i="3"/>
  <c r="AC652" i="3" s="1" a="1"/>
  <c r="AC652" i="3" s="1"/>
  <c r="O652" i="3"/>
  <c r="AA652" i="3" s="1"/>
  <c r="D652" i="3"/>
  <c r="A652" i="3"/>
  <c r="V650" i="3"/>
  <c r="T650" i="3"/>
  <c r="S650" i="3"/>
  <c r="AC650" i="3" s="1" a="1"/>
  <c r="AC650" i="3" s="1"/>
  <c r="O650" i="3"/>
  <c r="AA650" i="3" s="1"/>
  <c r="D650" i="3"/>
  <c r="A650" i="3"/>
  <c r="V651" i="3"/>
  <c r="T651" i="3"/>
  <c r="S651" i="3"/>
  <c r="AC651" i="3" s="1" a="1"/>
  <c r="AC651" i="3" s="1"/>
  <c r="O651" i="3"/>
  <c r="AA651" i="3" s="1"/>
  <c r="D651" i="3"/>
  <c r="A651" i="3"/>
  <c r="D649" i="3"/>
  <c r="V649" i="3"/>
  <c r="T649" i="3"/>
  <c r="S649" i="3"/>
  <c r="AC649" i="3" s="1" a="1"/>
  <c r="AC649" i="3" s="1"/>
  <c r="O649" i="3"/>
  <c r="AA649" i="3" s="1"/>
  <c r="A649" i="3"/>
  <c r="V645" i="3"/>
  <c r="T645" i="3"/>
  <c r="S645" i="3"/>
  <c r="AC645" i="3" s="1" a="1"/>
  <c r="AC645" i="3" s="1"/>
  <c r="O645" i="3"/>
  <c r="AA645" i="3" s="1"/>
  <c r="D645" i="3"/>
  <c r="A645" i="3"/>
  <c r="V647" i="3"/>
  <c r="T647" i="3"/>
  <c r="S647" i="3"/>
  <c r="AC647" i="3" s="1" a="1"/>
  <c r="AC647" i="3" s="1"/>
  <c r="O647" i="3"/>
  <c r="AA647" i="3" s="1"/>
  <c r="D647" i="3"/>
  <c r="A647" i="3"/>
  <c r="V646" i="3"/>
  <c r="T646" i="3"/>
  <c r="S646" i="3"/>
  <c r="AC646" i="3" s="1" a="1"/>
  <c r="AC646" i="3" s="1"/>
  <c r="O646" i="3"/>
  <c r="AA646" i="3" s="1"/>
  <c r="D646" i="3"/>
  <c r="A646" i="3"/>
  <c r="O401" i="1"/>
  <c r="V648" i="3"/>
  <c r="T648" i="3"/>
  <c r="S648" i="3"/>
  <c r="AC648" i="3" s="1" a="1"/>
  <c r="AC648" i="3" s="1"/>
  <c r="O648" i="3"/>
  <c r="AA648" i="3" s="1"/>
  <c r="D648" i="3"/>
  <c r="A648" i="3"/>
  <c r="P408" i="1"/>
  <c r="O408" i="1"/>
  <c r="P407" i="1"/>
  <c r="O407" i="1"/>
  <c r="V638" i="3"/>
  <c r="T638" i="3"/>
  <c r="S638" i="3"/>
  <c r="O638" i="3"/>
  <c r="AA638" i="3" s="1"/>
  <c r="D638" i="3"/>
  <c r="A638" i="3"/>
  <c r="V643" i="3"/>
  <c r="T643" i="3"/>
  <c r="S643" i="3"/>
  <c r="AC643" i="3" s="1" a="1"/>
  <c r="AC643" i="3" s="1"/>
  <c r="O643" i="3"/>
  <c r="AA643" i="3" s="1"/>
  <c r="D643" i="3"/>
  <c r="A643" i="3"/>
  <c r="V644" i="3"/>
  <c r="T644" i="3"/>
  <c r="S644" i="3"/>
  <c r="AC644" i="3" s="1" a="1"/>
  <c r="AC644" i="3" s="1"/>
  <c r="O644" i="3"/>
  <c r="AA644" i="3" s="1"/>
  <c r="D644" i="3"/>
  <c r="A644" i="3"/>
  <c r="V642" i="3"/>
  <c r="T642" i="3"/>
  <c r="S642" i="3"/>
  <c r="AC642" i="3" s="1" a="1"/>
  <c r="AC642" i="3" s="1"/>
  <c r="O642" i="3"/>
  <c r="AA642" i="3" s="1"/>
  <c r="D642" i="3"/>
  <c r="A642" i="3"/>
  <c r="V641" i="3"/>
  <c r="T641" i="3"/>
  <c r="S641" i="3"/>
  <c r="AC641" i="3" s="1" a="1"/>
  <c r="AC641" i="3" s="1"/>
  <c r="O641" i="3"/>
  <c r="AA641" i="3" s="1"/>
  <c r="D641" i="3"/>
  <c r="V639" i="3"/>
  <c r="T639" i="3"/>
  <c r="S639" i="3"/>
  <c r="O639" i="3"/>
  <c r="AA639" i="3" s="1"/>
  <c r="D639" i="3"/>
  <c r="A639" i="3"/>
  <c r="D637" i="3"/>
  <c r="V640" i="3"/>
  <c r="T640" i="3"/>
  <c r="S640" i="3"/>
  <c r="AC640" i="3" s="1" a="1"/>
  <c r="AC640" i="3" s="1"/>
  <c r="O640" i="3"/>
  <c r="AA640" i="3" s="1"/>
  <c r="D640" i="3"/>
  <c r="A640" i="3"/>
  <c r="O395" i="1"/>
  <c r="P395" i="1"/>
  <c r="O396" i="1"/>
  <c r="P396" i="1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1" i="3"/>
  <c r="AL562" i="3"/>
  <c r="AL560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7" i="3"/>
  <c r="AL576" i="3"/>
  <c r="AL578" i="3"/>
  <c r="AL579" i="3"/>
  <c r="AL580" i="3"/>
  <c r="AL581" i="3"/>
  <c r="AL582" i="3"/>
  <c r="AL583" i="3"/>
  <c r="AL584" i="3"/>
  <c r="AL585" i="3"/>
  <c r="AL587" i="3"/>
  <c r="AL588" i="3"/>
  <c r="AL589" i="3"/>
  <c r="AL586" i="3"/>
  <c r="AL591" i="3"/>
  <c r="AL590" i="3"/>
  <c r="AL592" i="3"/>
  <c r="AL593" i="3"/>
  <c r="AL594" i="3"/>
  <c r="AL595" i="3"/>
  <c r="AL596" i="3"/>
  <c r="AL597" i="3"/>
  <c r="AL598" i="3"/>
  <c r="AL599" i="3"/>
  <c r="AL600" i="3"/>
  <c r="AL602" i="3"/>
  <c r="AL603" i="3"/>
  <c r="AL601" i="3"/>
  <c r="AL605" i="3"/>
  <c r="AL607" i="3"/>
  <c r="AL613" i="3"/>
  <c r="AL608" i="3"/>
  <c r="AL609" i="3"/>
  <c r="AL610" i="3"/>
  <c r="AL611" i="3"/>
  <c r="AL612" i="3"/>
  <c r="AL615" i="3"/>
  <c r="AL617" i="3"/>
  <c r="AL616" i="3"/>
  <c r="AL614" i="3"/>
  <c r="AL618" i="3"/>
  <c r="AL619" i="3"/>
  <c r="AL620" i="3"/>
  <c r="AL621" i="3"/>
  <c r="AL623" i="3"/>
  <c r="AL629" i="3"/>
  <c r="AL624" i="3"/>
  <c r="AL630" i="3"/>
  <c r="AL626" i="3"/>
  <c r="AL627" i="3"/>
  <c r="AL625" i="3"/>
  <c r="AL628" i="3"/>
  <c r="AL635" i="3"/>
  <c r="AL633" i="3"/>
  <c r="AL631" i="3"/>
  <c r="AL632" i="3"/>
  <c r="AL634" i="3"/>
  <c r="AL637" i="3"/>
  <c r="O576" i="3"/>
  <c r="AL6" i="3"/>
  <c r="AL5" i="3"/>
  <c r="AL4" i="3"/>
  <c r="AL3" i="3"/>
  <c r="A609" i="3"/>
  <c r="T4" i="3"/>
  <c r="AL2" i="3"/>
  <c r="D624" i="3"/>
  <c r="C20" i="17"/>
  <c r="D14" i="17"/>
  <c r="C14" i="17"/>
  <c r="D15" i="17"/>
  <c r="C15" i="17"/>
  <c r="C9" i="17"/>
  <c r="C8" i="17"/>
  <c r="C7" i="17"/>
  <c r="G5" i="10"/>
  <c r="C22" i="17" s="1" a="1"/>
  <c r="C22" i="17" s="1"/>
  <c r="C5" i="10"/>
  <c r="B5" i="10"/>
  <c r="A5" i="10"/>
  <c r="AH3" i="3"/>
  <c r="AH4" i="3"/>
  <c r="AH5" i="3"/>
  <c r="AH6" i="3"/>
  <c r="AH7" i="3"/>
  <c r="AH8" i="3"/>
  <c r="AH9" i="3"/>
  <c r="AH10" i="3"/>
  <c r="AH15" i="3"/>
  <c r="AH19" i="3"/>
  <c r="AH20" i="3"/>
  <c r="AH21" i="3"/>
  <c r="AH22" i="3"/>
  <c r="AH35" i="3"/>
  <c r="AH36" i="3"/>
  <c r="AH39" i="3"/>
  <c r="AH46" i="3"/>
  <c r="AH47" i="3"/>
  <c r="AH48" i="3"/>
  <c r="AH49" i="3"/>
  <c r="AH54" i="3"/>
  <c r="AH70" i="3"/>
  <c r="AH85" i="3"/>
  <c r="AH86" i="3"/>
  <c r="AH140" i="3"/>
  <c r="AH157" i="3"/>
  <c r="AH201" i="3"/>
  <c r="AH207" i="3"/>
  <c r="AH220" i="3"/>
  <c r="AH235" i="3"/>
  <c r="AH252" i="3"/>
  <c r="AH253" i="3"/>
  <c r="AH257" i="3"/>
  <c r="AH292" i="3"/>
  <c r="AH301" i="3"/>
  <c r="AH348" i="3"/>
  <c r="AH349" i="3"/>
  <c r="AH350" i="3"/>
  <c r="AH408" i="3"/>
  <c r="AH450" i="3"/>
  <c r="AH451" i="3"/>
  <c r="AH455" i="3"/>
  <c r="AH471" i="3"/>
  <c r="AH472" i="3"/>
  <c r="AH511" i="3"/>
  <c r="AH515" i="3"/>
  <c r="AH516" i="3"/>
  <c r="AH519" i="3"/>
  <c r="AH525" i="3"/>
  <c r="AH527" i="3"/>
  <c r="AH528" i="3"/>
  <c r="AH566" i="3"/>
  <c r="AH567" i="3"/>
  <c r="AH570" i="3"/>
  <c r="AH579" i="3"/>
  <c r="AH585" i="3"/>
  <c r="AH608" i="3"/>
  <c r="AH628" i="3"/>
  <c r="AH2" i="3"/>
  <c r="O550" i="3"/>
  <c r="O481" i="3"/>
  <c r="O314" i="3"/>
  <c r="O299" i="3"/>
  <c r="O388" i="3"/>
  <c r="O594" i="3"/>
  <c r="O337" i="3"/>
  <c r="O529" i="3"/>
  <c r="O578" i="3"/>
  <c r="O208" i="3"/>
  <c r="O209" i="3"/>
  <c r="O210" i="3"/>
  <c r="O470" i="3"/>
  <c r="O341" i="3"/>
  <c r="O462" i="3"/>
  <c r="O447" i="3"/>
  <c r="O300" i="3"/>
  <c r="O193" i="3"/>
  <c r="O384" i="3"/>
  <c r="O56" i="3"/>
  <c r="O57" i="3"/>
  <c r="O190" i="3"/>
  <c r="O502" i="3"/>
  <c r="O233" i="3"/>
  <c r="O607" i="3"/>
  <c r="O613" i="3"/>
  <c r="O608" i="3"/>
  <c r="O609" i="3"/>
  <c r="O23" i="3"/>
  <c r="O55" i="3"/>
  <c r="O301" i="3"/>
  <c r="O196" i="3"/>
  <c r="O198" i="3"/>
  <c r="O331" i="3"/>
  <c r="O597" i="3"/>
  <c r="O598" i="3"/>
  <c r="O599" i="3"/>
  <c r="O247" i="3"/>
  <c r="O291" i="3"/>
  <c r="O292" i="3"/>
  <c r="O201" i="3"/>
  <c r="O222" i="3"/>
  <c r="O223" i="3"/>
  <c r="O224" i="3"/>
  <c r="O456" i="3"/>
  <c r="O615" i="3"/>
  <c r="O281" i="3"/>
  <c r="O308" i="3"/>
  <c r="O482" i="3"/>
  <c r="O14" i="3"/>
  <c r="O94" i="3"/>
  <c r="O95" i="3"/>
  <c r="O175" i="3"/>
  <c r="O332" i="3"/>
  <c r="O582" i="3"/>
  <c r="O48" i="3"/>
  <c r="O87" i="3"/>
  <c r="O90" i="3"/>
  <c r="O91" i="3"/>
  <c r="O92" i="3"/>
  <c r="O96" i="3"/>
  <c r="O471" i="3"/>
  <c r="O12" i="3"/>
  <c r="O93" i="3"/>
  <c r="O120" i="3"/>
  <c r="O121" i="3"/>
  <c r="O122" i="3"/>
  <c r="O168" i="3"/>
  <c r="O189" i="3"/>
  <c r="O191" i="3"/>
  <c r="O192" i="3"/>
  <c r="O268" i="3"/>
  <c r="O277" i="3"/>
  <c r="O293" i="3"/>
  <c r="O472" i="3"/>
  <c r="O530" i="3"/>
  <c r="O577" i="3"/>
  <c r="O25" i="3"/>
  <c r="O26" i="3"/>
  <c r="O44" i="3"/>
  <c r="O45" i="3"/>
  <c r="O159" i="3"/>
  <c r="O160" i="3"/>
  <c r="O161" i="3"/>
  <c r="O162" i="3"/>
  <c r="O276" i="3"/>
  <c r="O403" i="3"/>
  <c r="O404" i="3"/>
  <c r="O426" i="3"/>
  <c r="O40" i="3"/>
  <c r="O41" i="3"/>
  <c r="O42" i="3"/>
  <c r="O43" i="3"/>
  <c r="O75" i="3"/>
  <c r="O76" i="3"/>
  <c r="O77" i="3"/>
  <c r="O88" i="3"/>
  <c r="O89" i="3"/>
  <c r="O107" i="3"/>
  <c r="O108" i="3"/>
  <c r="O109" i="3"/>
  <c r="O130" i="3"/>
  <c r="O157" i="3"/>
  <c r="O164" i="3"/>
  <c r="O165" i="3"/>
  <c r="O166" i="3"/>
  <c r="O167" i="3"/>
  <c r="O185" i="3"/>
  <c r="O186" i="3"/>
  <c r="O225" i="3"/>
  <c r="O226" i="3"/>
  <c r="O227" i="3"/>
  <c r="O271" i="3"/>
  <c r="O272" i="3"/>
  <c r="O273" i="3"/>
  <c r="O274" i="3"/>
  <c r="O275" i="3"/>
  <c r="O309" i="3"/>
  <c r="O351" i="3"/>
  <c r="O352" i="3"/>
  <c r="O353" i="3"/>
  <c r="O397" i="3"/>
  <c r="O587" i="3"/>
  <c r="O588" i="3"/>
  <c r="O617" i="3"/>
  <c r="O616" i="3"/>
  <c r="O11" i="3"/>
  <c r="O37" i="3"/>
  <c r="O38" i="3"/>
  <c r="O71" i="3"/>
  <c r="O78" i="3"/>
  <c r="O79" i="3"/>
  <c r="O80" i="3"/>
  <c r="O81" i="3"/>
  <c r="O82" i="3"/>
  <c r="O83" i="3"/>
  <c r="O84" i="3"/>
  <c r="O106" i="3"/>
  <c r="O112" i="3"/>
  <c r="O113" i="3"/>
  <c r="O114" i="3"/>
  <c r="O115" i="3"/>
  <c r="O116" i="3"/>
  <c r="O126" i="3"/>
  <c r="O127" i="3"/>
  <c r="O163" i="3"/>
  <c r="O269" i="3"/>
  <c r="O390" i="3"/>
  <c r="O391" i="3"/>
  <c r="O392" i="3"/>
  <c r="O393" i="3"/>
  <c r="O394" i="3"/>
  <c r="O395" i="3"/>
  <c r="O457" i="3"/>
  <c r="O572" i="3"/>
  <c r="O573" i="3"/>
  <c r="O600" i="3"/>
  <c r="O33" i="3"/>
  <c r="O34" i="3"/>
  <c r="O67" i="3"/>
  <c r="O72" i="3"/>
  <c r="O73" i="3"/>
  <c r="O74" i="3"/>
  <c r="O105" i="3"/>
  <c r="O111" i="3"/>
  <c r="O123" i="3"/>
  <c r="O202" i="3"/>
  <c r="O250" i="3"/>
  <c r="O263" i="3"/>
  <c r="O264" i="3"/>
  <c r="O265" i="3"/>
  <c r="O266" i="3"/>
  <c r="O405" i="3"/>
  <c r="O406" i="3"/>
  <c r="O441" i="3"/>
  <c r="O466" i="3"/>
  <c r="O467" i="3"/>
  <c r="O568" i="3"/>
  <c r="O569" i="3"/>
  <c r="O570" i="3"/>
  <c r="O606" i="3"/>
  <c r="O604" i="3"/>
  <c r="O614" i="3"/>
  <c r="O27" i="3"/>
  <c r="O28" i="3"/>
  <c r="O29" i="3"/>
  <c r="O30" i="3"/>
  <c r="O31" i="3"/>
  <c r="O32" i="3"/>
  <c r="O50" i="3"/>
  <c r="O51" i="3"/>
  <c r="O52" i="3"/>
  <c r="O53" i="3"/>
  <c r="O66" i="3"/>
  <c r="O68" i="3"/>
  <c r="O110" i="3"/>
  <c r="O158" i="3"/>
  <c r="O245" i="3"/>
  <c r="O246" i="3"/>
  <c r="O259" i="3"/>
  <c r="O260" i="3"/>
  <c r="O261" i="3"/>
  <c r="O262" i="3"/>
  <c r="O294" i="3"/>
  <c r="O315" i="3"/>
  <c r="O342" i="3"/>
  <c r="O344" i="3"/>
  <c r="O345" i="3"/>
  <c r="O398" i="3"/>
  <c r="O442" i="3"/>
  <c r="O505" i="3"/>
  <c r="O506" i="3"/>
  <c r="O507" i="3"/>
  <c r="O509" i="3"/>
  <c r="O536" i="3"/>
  <c r="O564" i="3"/>
  <c r="O565" i="3"/>
  <c r="O566" i="3"/>
  <c r="O610" i="3"/>
  <c r="O62" i="3"/>
  <c r="O63" i="3"/>
  <c r="O64" i="3"/>
  <c r="O65" i="3"/>
  <c r="O69" i="3"/>
  <c r="O70" i="3"/>
  <c r="O97" i="3"/>
  <c r="O98" i="3"/>
  <c r="O100" i="3"/>
  <c r="O101" i="3"/>
  <c r="O102" i="3"/>
  <c r="O103" i="3"/>
  <c r="O104" i="3"/>
  <c r="O118" i="3"/>
  <c r="O141" i="3"/>
  <c r="O176" i="3"/>
  <c r="O177" i="3"/>
  <c r="O178" i="3"/>
  <c r="O179" i="3"/>
  <c r="O254" i="3"/>
  <c r="O255" i="3"/>
  <c r="O256" i="3"/>
  <c r="O257" i="3"/>
  <c r="O437" i="3"/>
  <c r="O443" i="3"/>
  <c r="O490" i="3"/>
  <c r="O531" i="3"/>
  <c r="O532" i="3"/>
  <c r="O533" i="3"/>
  <c r="O602" i="3"/>
  <c r="O603" i="3"/>
  <c r="O601" i="3"/>
  <c r="O59" i="3"/>
  <c r="O60" i="3"/>
  <c r="O61" i="3"/>
  <c r="O117" i="3"/>
  <c r="O124" i="3"/>
  <c r="O125" i="3"/>
  <c r="O128" i="3"/>
  <c r="O129" i="3"/>
  <c r="O137" i="3"/>
  <c r="O138" i="3"/>
  <c r="O139" i="3"/>
  <c r="O171" i="3"/>
  <c r="O238" i="3"/>
  <c r="O278" i="3"/>
  <c r="O338" i="3"/>
  <c r="O430" i="3"/>
  <c r="O431" i="3"/>
  <c r="O432" i="3"/>
  <c r="O433" i="3"/>
  <c r="O434" i="3"/>
  <c r="O435" i="3"/>
  <c r="O483" i="3"/>
  <c r="O523" i="3"/>
  <c r="O524" i="3"/>
  <c r="O525" i="3"/>
  <c r="O526" i="3"/>
  <c r="O589" i="3"/>
  <c r="O24" i="3"/>
  <c r="O132" i="3"/>
  <c r="O133" i="3"/>
  <c r="O134" i="3"/>
  <c r="O135" i="3"/>
  <c r="O143" i="3"/>
  <c r="O172" i="3"/>
  <c r="O173" i="3"/>
  <c r="O212" i="3"/>
  <c r="O213" i="3"/>
  <c r="O214" i="3"/>
  <c r="O215" i="3"/>
  <c r="O216" i="3"/>
  <c r="O217" i="3"/>
  <c r="O251" i="3"/>
  <c r="O252" i="3"/>
  <c r="O333" i="3"/>
  <c r="O334" i="3"/>
  <c r="O335" i="3"/>
  <c r="O336" i="3"/>
  <c r="O386" i="3"/>
  <c r="O436" i="3"/>
  <c r="O491" i="3"/>
  <c r="O514" i="3"/>
  <c r="O515" i="3"/>
  <c r="O516" i="3"/>
  <c r="O517" i="3"/>
  <c r="O518" i="3"/>
  <c r="O519" i="3"/>
  <c r="O520" i="3"/>
  <c r="O521" i="3"/>
  <c r="O522" i="3"/>
  <c r="O591" i="3"/>
  <c r="O58" i="3"/>
  <c r="O99" i="3"/>
  <c r="O142" i="3"/>
  <c r="O169" i="3"/>
  <c r="O170" i="3"/>
  <c r="O424" i="3"/>
  <c r="O427" i="3"/>
  <c r="O428" i="3"/>
  <c r="O429" i="3"/>
  <c r="O498" i="3"/>
  <c r="O510" i="3"/>
  <c r="O511" i="3"/>
  <c r="O512" i="3"/>
  <c r="O539" i="3"/>
  <c r="O540" i="3"/>
  <c r="O541" i="3"/>
  <c r="O546" i="3"/>
  <c r="O579" i="3"/>
  <c r="O590" i="3"/>
  <c r="O16" i="3"/>
  <c r="O144" i="3"/>
  <c r="O230" i="3"/>
  <c r="O231" i="3"/>
  <c r="O239" i="3"/>
  <c r="O248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85" i="3"/>
  <c r="O425" i="3"/>
  <c r="O473" i="3"/>
  <c r="O552" i="3"/>
  <c r="O583" i="3"/>
  <c r="O584" i="3"/>
  <c r="O119" i="3"/>
  <c r="O131" i="3"/>
  <c r="O237" i="3"/>
  <c r="O242" i="3"/>
  <c r="O243" i="3"/>
  <c r="O282" i="3"/>
  <c r="O407" i="3"/>
  <c r="O408" i="3"/>
  <c r="O409" i="3"/>
  <c r="O410" i="3"/>
  <c r="O468" i="3"/>
  <c r="O534" i="3"/>
  <c r="O580" i="3"/>
  <c r="O581" i="3"/>
  <c r="O85" i="3"/>
  <c r="O86" i="3"/>
  <c r="O228" i="3"/>
  <c r="O240" i="3"/>
  <c r="O330" i="3"/>
  <c r="O399" i="3"/>
  <c r="O400" i="3"/>
  <c r="O401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63" i="3"/>
  <c r="O464" i="3"/>
  <c r="O465" i="3"/>
  <c r="O504" i="3"/>
  <c r="O592" i="3"/>
  <c r="O593" i="3"/>
  <c r="O595" i="3"/>
  <c r="O596" i="3"/>
  <c r="O10" i="3"/>
  <c r="O298" i="3"/>
  <c r="O310" i="3"/>
  <c r="O311" i="3"/>
  <c r="O312" i="3"/>
  <c r="O313" i="3"/>
  <c r="O377" i="3"/>
  <c r="O378" i="3"/>
  <c r="O379" i="3"/>
  <c r="O380" i="3"/>
  <c r="O381" i="3"/>
  <c r="O382" i="3"/>
  <c r="O383" i="3"/>
  <c r="O402" i="3"/>
  <c r="O492" i="3"/>
  <c r="O503" i="3"/>
  <c r="O527" i="3"/>
  <c r="O528" i="3"/>
  <c r="O553" i="3"/>
  <c r="O575" i="3"/>
  <c r="O7" i="3"/>
  <c r="O8" i="3"/>
  <c r="O9" i="3"/>
  <c r="O234" i="3"/>
  <c r="O235" i="3"/>
  <c r="O236" i="3"/>
  <c r="O295" i="3"/>
  <c r="O357" i="3"/>
  <c r="O358" i="3"/>
  <c r="O359" i="3"/>
  <c r="O360" i="3"/>
  <c r="O361" i="3"/>
  <c r="O362" i="3"/>
  <c r="O363" i="3"/>
  <c r="O396" i="3"/>
  <c r="O448" i="3"/>
  <c r="O449" i="3"/>
  <c r="O450" i="3"/>
  <c r="O571" i="3"/>
  <c r="O574" i="3"/>
  <c r="O3" i="3"/>
  <c r="O4" i="3"/>
  <c r="O5" i="3"/>
  <c r="O13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354" i="3"/>
  <c r="O355" i="3"/>
  <c r="O356" i="3"/>
  <c r="O387" i="3"/>
  <c r="O389" i="3"/>
  <c r="O508" i="3"/>
  <c r="O563" i="3"/>
  <c r="O567" i="3"/>
  <c r="O187" i="3"/>
  <c r="O188" i="3"/>
  <c r="O283" i="3"/>
  <c r="O284" i="3"/>
  <c r="O285" i="3"/>
  <c r="O286" i="3"/>
  <c r="O287" i="3"/>
  <c r="O288" i="3"/>
  <c r="O289" i="3"/>
  <c r="O479" i="3"/>
  <c r="O140" i="3"/>
  <c r="O229" i="3"/>
  <c r="O253" i="3"/>
  <c r="O346" i="3"/>
  <c r="O474" i="3"/>
  <c r="O136" i="3"/>
  <c r="O343" i="3"/>
  <c r="O557" i="3"/>
  <c r="O558" i="3"/>
  <c r="O279" i="3"/>
  <c r="O280" i="3"/>
  <c r="O561" i="3"/>
  <c r="O562" i="3"/>
  <c r="O54" i="3"/>
  <c r="O221" i="3"/>
  <c r="O244" i="3"/>
  <c r="O249" i="3"/>
  <c r="O458" i="3"/>
  <c r="O537" i="3"/>
  <c r="O6" i="3"/>
  <c r="O47" i="3"/>
  <c r="O174" i="3"/>
  <c r="O364" i="3"/>
  <c r="O365" i="3"/>
  <c r="O366" i="3"/>
  <c r="O367" i="3"/>
  <c r="O368" i="3"/>
  <c r="O369" i="3"/>
  <c r="O370" i="3"/>
  <c r="O371" i="3"/>
  <c r="O372" i="3"/>
  <c r="O373" i="3"/>
  <c r="O374" i="3"/>
  <c r="O480" i="3"/>
  <c r="O496" i="3"/>
  <c r="O535" i="3"/>
  <c r="O46" i="3"/>
  <c r="O218" i="3"/>
  <c r="O219" i="3"/>
  <c r="O220" i="3"/>
  <c r="O241" i="3"/>
  <c r="O542" i="3"/>
  <c r="O543" i="3"/>
  <c r="O544" i="3"/>
  <c r="O545" i="3"/>
  <c r="O586" i="3"/>
  <c r="O49" i="3"/>
  <c r="O347" i="3"/>
  <c r="O348" i="3"/>
  <c r="O349" i="3"/>
  <c r="O350" i="3"/>
  <c r="O475" i="3"/>
  <c r="O497" i="3"/>
  <c r="O538" i="3"/>
  <c r="O585" i="3"/>
  <c r="O203" i="3"/>
  <c r="O204" i="3"/>
  <c r="O205" i="3"/>
  <c r="O206" i="3"/>
  <c r="O207" i="3"/>
  <c r="O493" i="3"/>
  <c r="O494" i="3"/>
  <c r="O495" i="3"/>
  <c r="O513" i="3"/>
  <c r="O560" i="3"/>
  <c r="O35" i="3"/>
  <c r="O36" i="3"/>
  <c r="O197" i="3"/>
  <c r="O559" i="3"/>
  <c r="O302" i="3"/>
  <c r="O303" i="3"/>
  <c r="O304" i="3"/>
  <c r="O305" i="3"/>
  <c r="O306" i="3"/>
  <c r="O547" i="3"/>
  <c r="O548" i="3"/>
  <c r="O549" i="3"/>
  <c r="O554" i="3"/>
  <c r="O555" i="3"/>
  <c r="O556" i="3"/>
  <c r="O39" i="3"/>
  <c r="O195" i="3"/>
  <c r="O199" i="3"/>
  <c r="O200" i="3"/>
  <c r="O611" i="3"/>
  <c r="O194" i="3"/>
  <c r="O484" i="3"/>
  <c r="O485" i="3"/>
  <c r="O486" i="3"/>
  <c r="O487" i="3"/>
  <c r="O488" i="3"/>
  <c r="O499" i="3"/>
  <c r="O500" i="3"/>
  <c r="O501" i="3"/>
  <c r="O22" i="3"/>
  <c r="O476" i="3"/>
  <c r="O477" i="3"/>
  <c r="O17" i="3"/>
  <c r="O18" i="3"/>
  <c r="O19" i="3"/>
  <c r="O20" i="3"/>
  <c r="O21" i="3"/>
  <c r="O451" i="3"/>
  <c r="O452" i="3"/>
  <c r="O181" i="3"/>
  <c r="O182" i="3"/>
  <c r="O183" i="3"/>
  <c r="O184" i="3"/>
  <c r="O296" i="3"/>
  <c r="O297" i="3"/>
  <c r="O375" i="3"/>
  <c r="O376" i="3"/>
  <c r="O453" i="3"/>
  <c r="O454" i="3"/>
  <c r="O444" i="3"/>
  <c r="O15" i="3"/>
  <c r="O232" i="3"/>
  <c r="O307" i="3"/>
  <c r="O290" i="3"/>
  <c r="O267" i="3"/>
  <c r="O2" i="3"/>
  <c r="O258" i="3"/>
  <c r="O605" i="3"/>
  <c r="O612" i="3"/>
  <c r="O618" i="3"/>
  <c r="O619" i="3"/>
  <c r="O620" i="3"/>
  <c r="O621" i="3"/>
  <c r="O622" i="3"/>
  <c r="O623" i="3"/>
  <c r="O629" i="3"/>
  <c r="O624" i="3"/>
  <c r="O630" i="3"/>
  <c r="O626" i="3"/>
  <c r="O627" i="3"/>
  <c r="O625" i="3"/>
  <c r="O628" i="3"/>
  <c r="O636" i="3"/>
  <c r="O635" i="3"/>
  <c r="O633" i="3"/>
  <c r="O631" i="3"/>
  <c r="O632" i="3"/>
  <c r="O634" i="3"/>
  <c r="O637" i="3"/>
  <c r="V481" i="3"/>
  <c r="V314" i="3"/>
  <c r="V299" i="3"/>
  <c r="V388" i="3"/>
  <c r="V594" i="3"/>
  <c r="V337" i="3"/>
  <c r="V529" i="3"/>
  <c r="V578" i="3"/>
  <c r="V208" i="3"/>
  <c r="V209" i="3"/>
  <c r="V210" i="3"/>
  <c r="V470" i="3"/>
  <c r="V341" i="3"/>
  <c r="V462" i="3"/>
  <c r="V447" i="3"/>
  <c r="V300" i="3"/>
  <c r="V193" i="3"/>
  <c r="V384" i="3"/>
  <c r="V56" i="3"/>
  <c r="V57" i="3"/>
  <c r="V190" i="3"/>
  <c r="V502" i="3"/>
  <c r="V233" i="3"/>
  <c r="V607" i="3"/>
  <c r="V613" i="3"/>
  <c r="V608" i="3"/>
  <c r="V609" i="3"/>
  <c r="V23" i="3"/>
  <c r="V55" i="3"/>
  <c r="V301" i="3"/>
  <c r="V196" i="3"/>
  <c r="V198" i="3"/>
  <c r="V331" i="3"/>
  <c r="V597" i="3"/>
  <c r="V598" i="3"/>
  <c r="V599" i="3"/>
  <c r="V247" i="3"/>
  <c r="V291" i="3"/>
  <c r="V292" i="3"/>
  <c r="V201" i="3"/>
  <c r="V222" i="3"/>
  <c r="V223" i="3"/>
  <c r="V224" i="3"/>
  <c r="V456" i="3"/>
  <c r="V615" i="3"/>
  <c r="V281" i="3"/>
  <c r="V308" i="3"/>
  <c r="V482" i="3"/>
  <c r="V14" i="3"/>
  <c r="V94" i="3"/>
  <c r="V95" i="3"/>
  <c r="V175" i="3"/>
  <c r="V332" i="3"/>
  <c r="V582" i="3"/>
  <c r="V48" i="3"/>
  <c r="V87" i="3"/>
  <c r="V90" i="3"/>
  <c r="V91" i="3"/>
  <c r="V92" i="3"/>
  <c r="V96" i="3"/>
  <c r="V471" i="3"/>
  <c r="V12" i="3"/>
  <c r="V93" i="3"/>
  <c r="V120" i="3"/>
  <c r="V121" i="3"/>
  <c r="V122" i="3"/>
  <c r="V168" i="3"/>
  <c r="V189" i="3"/>
  <c r="V191" i="3"/>
  <c r="V192" i="3"/>
  <c r="V268" i="3"/>
  <c r="V277" i="3"/>
  <c r="V293" i="3"/>
  <c r="V472" i="3"/>
  <c r="V530" i="3"/>
  <c r="V577" i="3"/>
  <c r="V25" i="3"/>
  <c r="V26" i="3"/>
  <c r="V44" i="3"/>
  <c r="V45" i="3"/>
  <c r="V159" i="3"/>
  <c r="V160" i="3"/>
  <c r="V161" i="3"/>
  <c r="V162" i="3"/>
  <c r="V276" i="3"/>
  <c r="V403" i="3"/>
  <c r="V404" i="3"/>
  <c r="V426" i="3"/>
  <c r="V40" i="3"/>
  <c r="V41" i="3"/>
  <c r="V42" i="3"/>
  <c r="V43" i="3"/>
  <c r="V75" i="3"/>
  <c r="V76" i="3"/>
  <c r="V77" i="3"/>
  <c r="V88" i="3"/>
  <c r="V89" i="3"/>
  <c r="V107" i="3"/>
  <c r="V108" i="3"/>
  <c r="V109" i="3"/>
  <c r="V130" i="3"/>
  <c r="V157" i="3"/>
  <c r="V164" i="3"/>
  <c r="V165" i="3"/>
  <c r="V166" i="3"/>
  <c r="V167" i="3"/>
  <c r="V185" i="3"/>
  <c r="V186" i="3"/>
  <c r="V225" i="3"/>
  <c r="V226" i="3"/>
  <c r="V227" i="3"/>
  <c r="V271" i="3"/>
  <c r="V272" i="3"/>
  <c r="V273" i="3"/>
  <c r="V274" i="3"/>
  <c r="V275" i="3"/>
  <c r="V309" i="3"/>
  <c r="V351" i="3"/>
  <c r="V352" i="3"/>
  <c r="V353" i="3"/>
  <c r="V397" i="3"/>
  <c r="V576" i="3"/>
  <c r="V587" i="3"/>
  <c r="V588" i="3"/>
  <c r="V617" i="3"/>
  <c r="V616" i="3"/>
  <c r="V37" i="3"/>
  <c r="V38" i="3"/>
  <c r="V71" i="3"/>
  <c r="V78" i="3"/>
  <c r="V79" i="3"/>
  <c r="V80" i="3"/>
  <c r="V81" i="3"/>
  <c r="V82" i="3"/>
  <c r="V83" i="3"/>
  <c r="V84" i="3"/>
  <c r="V106" i="3"/>
  <c r="V112" i="3"/>
  <c r="V113" i="3"/>
  <c r="V114" i="3"/>
  <c r="V115" i="3"/>
  <c r="V116" i="3"/>
  <c r="V126" i="3"/>
  <c r="V127" i="3"/>
  <c r="V163" i="3"/>
  <c r="V269" i="3"/>
  <c r="V390" i="3"/>
  <c r="V391" i="3"/>
  <c r="V392" i="3"/>
  <c r="V393" i="3"/>
  <c r="V394" i="3"/>
  <c r="V395" i="3"/>
  <c r="V457" i="3"/>
  <c r="V572" i="3"/>
  <c r="V573" i="3"/>
  <c r="V600" i="3"/>
  <c r="V33" i="3"/>
  <c r="V34" i="3"/>
  <c r="V67" i="3"/>
  <c r="V72" i="3"/>
  <c r="V73" i="3"/>
  <c r="V74" i="3"/>
  <c r="V105" i="3"/>
  <c r="V111" i="3"/>
  <c r="V123" i="3"/>
  <c r="V202" i="3"/>
  <c r="V250" i="3"/>
  <c r="V263" i="3"/>
  <c r="V264" i="3"/>
  <c r="V265" i="3"/>
  <c r="V266" i="3"/>
  <c r="V405" i="3"/>
  <c r="V406" i="3"/>
  <c r="V441" i="3"/>
  <c r="V466" i="3"/>
  <c r="V467" i="3"/>
  <c r="V568" i="3"/>
  <c r="V569" i="3"/>
  <c r="V570" i="3"/>
  <c r="V606" i="3"/>
  <c r="V604" i="3"/>
  <c r="V614" i="3"/>
  <c r="V27" i="3"/>
  <c r="V28" i="3"/>
  <c r="V29" i="3"/>
  <c r="V30" i="3"/>
  <c r="V31" i="3"/>
  <c r="V32" i="3"/>
  <c r="V50" i="3"/>
  <c r="V51" i="3"/>
  <c r="V52" i="3"/>
  <c r="V53" i="3"/>
  <c r="V66" i="3"/>
  <c r="V68" i="3"/>
  <c r="V110" i="3"/>
  <c r="V158" i="3"/>
  <c r="V245" i="3"/>
  <c r="V246" i="3"/>
  <c r="V259" i="3"/>
  <c r="V260" i="3"/>
  <c r="V261" i="3"/>
  <c r="V262" i="3"/>
  <c r="V294" i="3"/>
  <c r="V315" i="3"/>
  <c r="V342" i="3"/>
  <c r="V344" i="3"/>
  <c r="V345" i="3"/>
  <c r="V398" i="3"/>
  <c r="V442" i="3"/>
  <c r="V505" i="3"/>
  <c r="V506" i="3"/>
  <c r="V507" i="3"/>
  <c r="V509" i="3"/>
  <c r="V536" i="3"/>
  <c r="V564" i="3"/>
  <c r="V565" i="3"/>
  <c r="V566" i="3"/>
  <c r="V610" i="3"/>
  <c r="V62" i="3"/>
  <c r="V63" i="3"/>
  <c r="V64" i="3"/>
  <c r="V65" i="3"/>
  <c r="V69" i="3"/>
  <c r="V70" i="3"/>
  <c r="V97" i="3"/>
  <c r="V98" i="3"/>
  <c r="V100" i="3"/>
  <c r="V101" i="3"/>
  <c r="V102" i="3"/>
  <c r="V103" i="3"/>
  <c r="V104" i="3"/>
  <c r="V118" i="3"/>
  <c r="V141" i="3"/>
  <c r="V176" i="3"/>
  <c r="V177" i="3"/>
  <c r="V178" i="3"/>
  <c r="V179" i="3"/>
  <c r="V254" i="3"/>
  <c r="V255" i="3"/>
  <c r="V256" i="3"/>
  <c r="V257" i="3"/>
  <c r="V437" i="3"/>
  <c r="V443" i="3"/>
  <c r="V490" i="3"/>
  <c r="V531" i="3"/>
  <c r="V532" i="3"/>
  <c r="V533" i="3"/>
  <c r="V602" i="3"/>
  <c r="V603" i="3"/>
  <c r="V601" i="3"/>
  <c r="V59" i="3"/>
  <c r="V60" i="3"/>
  <c r="V61" i="3"/>
  <c r="V117" i="3"/>
  <c r="V124" i="3"/>
  <c r="V125" i="3"/>
  <c r="V128" i="3"/>
  <c r="V129" i="3"/>
  <c r="V137" i="3"/>
  <c r="V138" i="3"/>
  <c r="V139" i="3"/>
  <c r="V171" i="3"/>
  <c r="V238" i="3"/>
  <c r="V278" i="3"/>
  <c r="V338" i="3"/>
  <c r="V430" i="3"/>
  <c r="V431" i="3"/>
  <c r="V432" i="3"/>
  <c r="V433" i="3"/>
  <c r="V434" i="3"/>
  <c r="V435" i="3"/>
  <c r="V483" i="3"/>
  <c r="V523" i="3"/>
  <c r="V524" i="3"/>
  <c r="V525" i="3"/>
  <c r="V526" i="3"/>
  <c r="V589" i="3"/>
  <c r="V24" i="3"/>
  <c r="V132" i="3"/>
  <c r="V133" i="3"/>
  <c r="V134" i="3"/>
  <c r="V135" i="3"/>
  <c r="V143" i="3"/>
  <c r="V172" i="3"/>
  <c r="V173" i="3"/>
  <c r="V212" i="3"/>
  <c r="V213" i="3"/>
  <c r="V214" i="3"/>
  <c r="V215" i="3"/>
  <c r="V216" i="3"/>
  <c r="V217" i="3"/>
  <c r="V251" i="3"/>
  <c r="V252" i="3"/>
  <c r="V333" i="3"/>
  <c r="V334" i="3"/>
  <c r="V335" i="3"/>
  <c r="V336" i="3"/>
  <c r="V386" i="3"/>
  <c r="V436" i="3"/>
  <c r="V491" i="3"/>
  <c r="V514" i="3"/>
  <c r="V515" i="3"/>
  <c r="V516" i="3"/>
  <c r="V517" i="3"/>
  <c r="V518" i="3"/>
  <c r="V519" i="3"/>
  <c r="V520" i="3"/>
  <c r="V521" i="3"/>
  <c r="V522" i="3"/>
  <c r="V591" i="3"/>
  <c r="V58" i="3"/>
  <c r="V99" i="3"/>
  <c r="V142" i="3"/>
  <c r="V169" i="3"/>
  <c r="V170" i="3"/>
  <c r="V424" i="3"/>
  <c r="V427" i="3"/>
  <c r="V428" i="3"/>
  <c r="V429" i="3"/>
  <c r="V498" i="3"/>
  <c r="V510" i="3"/>
  <c r="V511" i="3"/>
  <c r="V512" i="3"/>
  <c r="V539" i="3"/>
  <c r="V540" i="3"/>
  <c r="V541" i="3"/>
  <c r="V546" i="3"/>
  <c r="V579" i="3"/>
  <c r="V590" i="3"/>
  <c r="V16" i="3"/>
  <c r="V144" i="3"/>
  <c r="V230" i="3"/>
  <c r="V231" i="3"/>
  <c r="V239" i="3"/>
  <c r="V248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85" i="3"/>
  <c r="V425" i="3"/>
  <c r="V473" i="3"/>
  <c r="V552" i="3"/>
  <c r="V583" i="3"/>
  <c r="V584" i="3"/>
  <c r="V119" i="3"/>
  <c r="V131" i="3"/>
  <c r="V237" i="3"/>
  <c r="V242" i="3"/>
  <c r="V243" i="3"/>
  <c r="V282" i="3"/>
  <c r="V407" i="3"/>
  <c r="V408" i="3"/>
  <c r="V409" i="3"/>
  <c r="V410" i="3"/>
  <c r="V468" i="3"/>
  <c r="V534" i="3"/>
  <c r="V580" i="3"/>
  <c r="V581" i="3"/>
  <c r="V85" i="3"/>
  <c r="V86" i="3"/>
  <c r="V228" i="3"/>
  <c r="V240" i="3"/>
  <c r="V330" i="3"/>
  <c r="V399" i="3"/>
  <c r="V400" i="3"/>
  <c r="V401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63" i="3"/>
  <c r="V464" i="3"/>
  <c r="V465" i="3"/>
  <c r="V504" i="3"/>
  <c r="V592" i="3"/>
  <c r="V593" i="3"/>
  <c r="V595" i="3"/>
  <c r="V596" i="3"/>
  <c r="V10" i="3"/>
  <c r="V298" i="3"/>
  <c r="V310" i="3"/>
  <c r="V311" i="3"/>
  <c r="V312" i="3"/>
  <c r="V313" i="3"/>
  <c r="V377" i="3"/>
  <c r="V378" i="3"/>
  <c r="V379" i="3"/>
  <c r="V380" i="3"/>
  <c r="V381" i="3"/>
  <c r="V382" i="3"/>
  <c r="V383" i="3"/>
  <c r="V402" i="3"/>
  <c r="V492" i="3"/>
  <c r="V503" i="3"/>
  <c r="V527" i="3"/>
  <c r="V528" i="3"/>
  <c r="V553" i="3"/>
  <c r="V575" i="3"/>
  <c r="V7" i="3"/>
  <c r="V8" i="3"/>
  <c r="V9" i="3"/>
  <c r="V234" i="3"/>
  <c r="V235" i="3"/>
  <c r="V236" i="3"/>
  <c r="V295" i="3"/>
  <c r="V357" i="3"/>
  <c r="V358" i="3"/>
  <c r="V359" i="3"/>
  <c r="V360" i="3"/>
  <c r="V361" i="3"/>
  <c r="V362" i="3"/>
  <c r="V363" i="3"/>
  <c r="V396" i="3"/>
  <c r="V448" i="3"/>
  <c r="V449" i="3"/>
  <c r="V450" i="3"/>
  <c r="V571" i="3"/>
  <c r="V574" i="3"/>
  <c r="V3" i="3"/>
  <c r="V4" i="3"/>
  <c r="V5" i="3"/>
  <c r="V13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354" i="3"/>
  <c r="V355" i="3"/>
  <c r="V356" i="3"/>
  <c r="V387" i="3"/>
  <c r="V389" i="3"/>
  <c r="V508" i="3"/>
  <c r="V563" i="3"/>
  <c r="V567" i="3"/>
  <c r="V187" i="3"/>
  <c r="V188" i="3"/>
  <c r="V283" i="3"/>
  <c r="V284" i="3"/>
  <c r="V285" i="3"/>
  <c r="V286" i="3"/>
  <c r="V287" i="3"/>
  <c r="V288" i="3"/>
  <c r="V289" i="3"/>
  <c r="V479" i="3"/>
  <c r="V140" i="3"/>
  <c r="V229" i="3"/>
  <c r="V253" i="3"/>
  <c r="V346" i="3"/>
  <c r="V474" i="3"/>
  <c r="V136" i="3"/>
  <c r="V343" i="3"/>
  <c r="V557" i="3"/>
  <c r="V558" i="3"/>
  <c r="V279" i="3"/>
  <c r="V280" i="3"/>
  <c r="V561" i="3"/>
  <c r="V562" i="3"/>
  <c r="V54" i="3"/>
  <c r="V221" i="3"/>
  <c r="V244" i="3"/>
  <c r="V249" i="3"/>
  <c r="V458" i="3"/>
  <c r="V537" i="3"/>
  <c r="V6" i="3"/>
  <c r="V47" i="3"/>
  <c r="V174" i="3"/>
  <c r="V364" i="3"/>
  <c r="V365" i="3"/>
  <c r="V366" i="3"/>
  <c r="V367" i="3"/>
  <c r="V368" i="3"/>
  <c r="V369" i="3"/>
  <c r="V370" i="3"/>
  <c r="V371" i="3"/>
  <c r="V372" i="3"/>
  <c r="V373" i="3"/>
  <c r="V374" i="3"/>
  <c r="V480" i="3"/>
  <c r="V496" i="3"/>
  <c r="V535" i="3"/>
  <c r="V46" i="3"/>
  <c r="V218" i="3"/>
  <c r="V219" i="3"/>
  <c r="V220" i="3"/>
  <c r="V241" i="3"/>
  <c r="V542" i="3"/>
  <c r="V543" i="3"/>
  <c r="V544" i="3"/>
  <c r="V545" i="3"/>
  <c r="V586" i="3"/>
  <c r="V49" i="3"/>
  <c r="V347" i="3"/>
  <c r="V348" i="3"/>
  <c r="V349" i="3"/>
  <c r="V350" i="3"/>
  <c r="V475" i="3"/>
  <c r="V497" i="3"/>
  <c r="V538" i="3"/>
  <c r="V585" i="3"/>
  <c r="V203" i="3"/>
  <c r="V204" i="3"/>
  <c r="V205" i="3"/>
  <c r="V206" i="3"/>
  <c r="V207" i="3"/>
  <c r="V493" i="3"/>
  <c r="V494" i="3"/>
  <c r="V495" i="3"/>
  <c r="V513" i="3"/>
  <c r="V560" i="3"/>
  <c r="V35" i="3"/>
  <c r="V36" i="3"/>
  <c r="V197" i="3"/>
  <c r="V559" i="3"/>
  <c r="V302" i="3"/>
  <c r="V303" i="3"/>
  <c r="V304" i="3"/>
  <c r="V305" i="3"/>
  <c r="V306" i="3"/>
  <c r="V547" i="3"/>
  <c r="V548" i="3"/>
  <c r="V549" i="3"/>
  <c r="V554" i="3"/>
  <c r="V555" i="3"/>
  <c r="V556" i="3"/>
  <c r="V39" i="3"/>
  <c r="V195" i="3"/>
  <c r="V199" i="3"/>
  <c r="V200" i="3"/>
  <c r="V611" i="3"/>
  <c r="V194" i="3"/>
  <c r="V484" i="3"/>
  <c r="V485" i="3"/>
  <c r="V486" i="3"/>
  <c r="V487" i="3"/>
  <c r="V488" i="3"/>
  <c r="V499" i="3"/>
  <c r="V500" i="3"/>
  <c r="V501" i="3"/>
  <c r="V22" i="3"/>
  <c r="V476" i="3"/>
  <c r="V477" i="3"/>
  <c r="V17" i="3"/>
  <c r="V18" i="3"/>
  <c r="V19" i="3"/>
  <c r="V20" i="3"/>
  <c r="V21" i="3"/>
  <c r="V451" i="3"/>
  <c r="V452" i="3"/>
  <c r="V181" i="3"/>
  <c r="V182" i="3"/>
  <c r="V183" i="3"/>
  <c r="V184" i="3"/>
  <c r="V296" i="3"/>
  <c r="V297" i="3"/>
  <c r="V375" i="3"/>
  <c r="V376" i="3"/>
  <c r="V453" i="3"/>
  <c r="V454" i="3"/>
  <c r="V444" i="3"/>
  <c r="V15" i="3"/>
  <c r="V232" i="3"/>
  <c r="V307" i="3"/>
  <c r="V290" i="3"/>
  <c r="V267" i="3"/>
  <c r="V2" i="3"/>
  <c r="V258" i="3"/>
  <c r="V605" i="3"/>
  <c r="V612" i="3"/>
  <c r="V618" i="3"/>
  <c r="V619" i="3"/>
  <c r="V620" i="3"/>
  <c r="V621" i="3"/>
  <c r="V622" i="3"/>
  <c r="V623" i="3"/>
  <c r="V629" i="3"/>
  <c r="V624" i="3"/>
  <c r="V630" i="3"/>
  <c r="V626" i="3"/>
  <c r="V627" i="3"/>
  <c r="V625" i="3"/>
  <c r="V628" i="3"/>
  <c r="V636" i="3"/>
  <c r="V635" i="3"/>
  <c r="V633" i="3"/>
  <c r="V631" i="3"/>
  <c r="V632" i="3"/>
  <c r="V634" i="3"/>
  <c r="V637" i="3"/>
  <c r="V550" i="3"/>
  <c r="T550" i="3"/>
  <c r="T481" i="3"/>
  <c r="T314" i="3"/>
  <c r="T299" i="3"/>
  <c r="T388" i="3"/>
  <c r="T339" i="3"/>
  <c r="T551" i="3"/>
  <c r="T489" i="3"/>
  <c r="T478" i="3"/>
  <c r="T455" i="3"/>
  <c r="T445" i="3"/>
  <c r="T459" i="3"/>
  <c r="T460" i="3"/>
  <c r="T461" i="3"/>
  <c r="T469" i="3"/>
  <c r="T446" i="3"/>
  <c r="T438" i="3"/>
  <c r="T439" i="3"/>
  <c r="T440" i="3"/>
  <c r="T180" i="3"/>
  <c r="T340" i="3"/>
  <c r="T594" i="3"/>
  <c r="T337" i="3"/>
  <c r="T529" i="3"/>
  <c r="T578" i="3"/>
  <c r="T208" i="3"/>
  <c r="T209" i="3"/>
  <c r="T210" i="3"/>
  <c r="T211" i="3"/>
  <c r="T270" i="3"/>
  <c r="T470" i="3"/>
  <c r="T341" i="3"/>
  <c r="T462" i="3"/>
  <c r="T447" i="3"/>
  <c r="T300" i="3"/>
  <c r="T193" i="3"/>
  <c r="T384" i="3"/>
  <c r="T56" i="3"/>
  <c r="T57" i="3"/>
  <c r="T190" i="3"/>
  <c r="T502" i="3"/>
  <c r="T233" i="3"/>
  <c r="T607" i="3"/>
  <c r="T613" i="3"/>
  <c r="T608" i="3"/>
  <c r="T609" i="3"/>
  <c r="T23" i="3"/>
  <c r="T55" i="3"/>
  <c r="T301" i="3"/>
  <c r="T196" i="3"/>
  <c r="T198" i="3"/>
  <c r="T331" i="3"/>
  <c r="T597" i="3"/>
  <c r="T598" i="3"/>
  <c r="T599" i="3"/>
  <c r="T247" i="3"/>
  <c r="T291" i="3"/>
  <c r="T292" i="3"/>
  <c r="T201" i="3"/>
  <c r="T222" i="3"/>
  <c r="T223" i="3"/>
  <c r="T224" i="3"/>
  <c r="T456" i="3"/>
  <c r="T615" i="3"/>
  <c r="T281" i="3"/>
  <c r="T308" i="3"/>
  <c r="T482" i="3"/>
  <c r="T14" i="3"/>
  <c r="T94" i="3"/>
  <c r="T95" i="3"/>
  <c r="T175" i="3"/>
  <c r="T332" i="3"/>
  <c r="T582" i="3"/>
  <c r="T48" i="3"/>
  <c r="T87" i="3"/>
  <c r="T90" i="3"/>
  <c r="T91" i="3"/>
  <c r="T92" i="3"/>
  <c r="T96" i="3"/>
  <c r="T471" i="3"/>
  <c r="T12" i="3"/>
  <c r="T93" i="3"/>
  <c r="T120" i="3"/>
  <c r="T121" i="3"/>
  <c r="T122" i="3"/>
  <c r="T168" i="3"/>
  <c r="T189" i="3"/>
  <c r="T191" i="3"/>
  <c r="T192" i="3"/>
  <c r="T268" i="3"/>
  <c r="T277" i="3"/>
  <c r="T293" i="3"/>
  <c r="T472" i="3"/>
  <c r="T530" i="3"/>
  <c r="T577" i="3"/>
  <c r="T25" i="3"/>
  <c r="T26" i="3"/>
  <c r="T44" i="3"/>
  <c r="T45" i="3"/>
  <c r="T159" i="3"/>
  <c r="T160" i="3"/>
  <c r="T161" i="3"/>
  <c r="T162" i="3"/>
  <c r="T276" i="3"/>
  <c r="T403" i="3"/>
  <c r="T404" i="3"/>
  <c r="T426" i="3"/>
  <c r="T40" i="3"/>
  <c r="T41" i="3"/>
  <c r="T42" i="3"/>
  <c r="T43" i="3"/>
  <c r="T75" i="3"/>
  <c r="T76" i="3"/>
  <c r="T77" i="3"/>
  <c r="T88" i="3"/>
  <c r="T89" i="3"/>
  <c r="T107" i="3"/>
  <c r="T108" i="3"/>
  <c r="T109" i="3"/>
  <c r="T130" i="3"/>
  <c r="T157" i="3"/>
  <c r="T164" i="3"/>
  <c r="T165" i="3"/>
  <c r="T166" i="3"/>
  <c r="T167" i="3"/>
  <c r="T185" i="3"/>
  <c r="T186" i="3"/>
  <c r="T225" i="3"/>
  <c r="T226" i="3"/>
  <c r="T227" i="3"/>
  <c r="T271" i="3"/>
  <c r="T272" i="3"/>
  <c r="T273" i="3"/>
  <c r="T274" i="3"/>
  <c r="T275" i="3"/>
  <c r="T309" i="3"/>
  <c r="T351" i="3"/>
  <c r="T352" i="3"/>
  <c r="T353" i="3"/>
  <c r="T397" i="3"/>
  <c r="T576" i="3"/>
  <c r="T587" i="3"/>
  <c r="T588" i="3"/>
  <c r="T617" i="3"/>
  <c r="T616" i="3"/>
  <c r="T11" i="3"/>
  <c r="T37" i="3"/>
  <c r="T38" i="3"/>
  <c r="T71" i="3"/>
  <c r="T78" i="3"/>
  <c r="T79" i="3"/>
  <c r="T80" i="3"/>
  <c r="T81" i="3"/>
  <c r="T82" i="3"/>
  <c r="T83" i="3"/>
  <c r="T84" i="3"/>
  <c r="T106" i="3"/>
  <c r="T112" i="3"/>
  <c r="T113" i="3"/>
  <c r="T114" i="3"/>
  <c r="T115" i="3"/>
  <c r="T116" i="3"/>
  <c r="T126" i="3"/>
  <c r="T127" i="3"/>
  <c r="T163" i="3"/>
  <c r="T269" i="3"/>
  <c r="T390" i="3"/>
  <c r="T391" i="3"/>
  <c r="T392" i="3"/>
  <c r="T393" i="3"/>
  <c r="T394" i="3"/>
  <c r="T395" i="3"/>
  <c r="T457" i="3"/>
  <c r="T572" i="3"/>
  <c r="T573" i="3"/>
  <c r="T600" i="3"/>
  <c r="T33" i="3"/>
  <c r="T34" i="3"/>
  <c r="T67" i="3"/>
  <c r="T72" i="3"/>
  <c r="T73" i="3"/>
  <c r="T74" i="3"/>
  <c r="T105" i="3"/>
  <c r="T111" i="3"/>
  <c r="T123" i="3"/>
  <c r="T202" i="3"/>
  <c r="T250" i="3"/>
  <c r="T263" i="3"/>
  <c r="T264" i="3"/>
  <c r="T265" i="3"/>
  <c r="T266" i="3"/>
  <c r="T405" i="3"/>
  <c r="T406" i="3"/>
  <c r="T441" i="3"/>
  <c r="T466" i="3"/>
  <c r="T467" i="3"/>
  <c r="T568" i="3"/>
  <c r="T569" i="3"/>
  <c r="T570" i="3"/>
  <c r="T606" i="3"/>
  <c r="T604" i="3"/>
  <c r="T614" i="3"/>
  <c r="T27" i="3"/>
  <c r="T28" i="3"/>
  <c r="T29" i="3"/>
  <c r="T30" i="3"/>
  <c r="T31" i="3"/>
  <c r="T32" i="3"/>
  <c r="T50" i="3"/>
  <c r="T51" i="3"/>
  <c r="T52" i="3"/>
  <c r="T53" i="3"/>
  <c r="T66" i="3"/>
  <c r="T68" i="3"/>
  <c r="T110" i="3"/>
  <c r="T158" i="3"/>
  <c r="T245" i="3"/>
  <c r="T246" i="3"/>
  <c r="T259" i="3"/>
  <c r="T260" i="3"/>
  <c r="T261" i="3"/>
  <c r="T262" i="3"/>
  <c r="T294" i="3"/>
  <c r="T315" i="3"/>
  <c r="T342" i="3"/>
  <c r="T344" i="3"/>
  <c r="T345" i="3"/>
  <c r="T398" i="3"/>
  <c r="T442" i="3"/>
  <c r="T505" i="3"/>
  <c r="T506" i="3"/>
  <c r="T507" i="3"/>
  <c r="T509" i="3"/>
  <c r="T536" i="3"/>
  <c r="T564" i="3"/>
  <c r="T565" i="3"/>
  <c r="T566" i="3"/>
  <c r="T610" i="3"/>
  <c r="T62" i="3"/>
  <c r="T63" i="3"/>
  <c r="T64" i="3"/>
  <c r="T65" i="3"/>
  <c r="T69" i="3"/>
  <c r="T70" i="3"/>
  <c r="T97" i="3"/>
  <c r="T98" i="3"/>
  <c r="T100" i="3"/>
  <c r="T101" i="3"/>
  <c r="T102" i="3"/>
  <c r="T103" i="3"/>
  <c r="T104" i="3"/>
  <c r="T118" i="3"/>
  <c r="T141" i="3"/>
  <c r="T176" i="3"/>
  <c r="T177" i="3"/>
  <c r="T178" i="3"/>
  <c r="T179" i="3"/>
  <c r="T254" i="3"/>
  <c r="T255" i="3"/>
  <c r="T256" i="3"/>
  <c r="T257" i="3"/>
  <c r="T437" i="3"/>
  <c r="T443" i="3"/>
  <c r="T490" i="3"/>
  <c r="T531" i="3"/>
  <c r="T532" i="3"/>
  <c r="T533" i="3"/>
  <c r="T602" i="3"/>
  <c r="T603" i="3"/>
  <c r="T601" i="3"/>
  <c r="T59" i="3"/>
  <c r="T60" i="3"/>
  <c r="T61" i="3"/>
  <c r="T117" i="3"/>
  <c r="T124" i="3"/>
  <c r="T125" i="3"/>
  <c r="T128" i="3"/>
  <c r="T129" i="3"/>
  <c r="T137" i="3"/>
  <c r="T138" i="3"/>
  <c r="T139" i="3"/>
  <c r="T171" i="3"/>
  <c r="T238" i="3"/>
  <c r="T278" i="3"/>
  <c r="T338" i="3"/>
  <c r="T430" i="3"/>
  <c r="T431" i="3"/>
  <c r="T432" i="3"/>
  <c r="T433" i="3"/>
  <c r="T434" i="3"/>
  <c r="T435" i="3"/>
  <c r="T483" i="3"/>
  <c r="T523" i="3"/>
  <c r="T524" i="3"/>
  <c r="T525" i="3"/>
  <c r="T526" i="3"/>
  <c r="T589" i="3"/>
  <c r="T24" i="3"/>
  <c r="T132" i="3"/>
  <c r="T133" i="3"/>
  <c r="T134" i="3"/>
  <c r="T135" i="3"/>
  <c r="T143" i="3"/>
  <c r="T172" i="3"/>
  <c r="T173" i="3"/>
  <c r="T212" i="3"/>
  <c r="T213" i="3"/>
  <c r="T214" i="3"/>
  <c r="T215" i="3"/>
  <c r="T216" i="3"/>
  <c r="T217" i="3"/>
  <c r="T251" i="3"/>
  <c r="T252" i="3"/>
  <c r="T333" i="3"/>
  <c r="T334" i="3"/>
  <c r="T335" i="3"/>
  <c r="T336" i="3"/>
  <c r="T386" i="3"/>
  <c r="T436" i="3"/>
  <c r="T491" i="3"/>
  <c r="T514" i="3"/>
  <c r="T515" i="3"/>
  <c r="T516" i="3"/>
  <c r="T517" i="3"/>
  <c r="T518" i="3"/>
  <c r="T519" i="3"/>
  <c r="T520" i="3"/>
  <c r="T521" i="3"/>
  <c r="T522" i="3"/>
  <c r="T591" i="3"/>
  <c r="T58" i="3"/>
  <c r="T99" i="3"/>
  <c r="T142" i="3"/>
  <c r="T169" i="3"/>
  <c r="T170" i="3"/>
  <c r="T424" i="3"/>
  <c r="T427" i="3"/>
  <c r="T428" i="3"/>
  <c r="T429" i="3"/>
  <c r="T498" i="3"/>
  <c r="T510" i="3"/>
  <c r="T511" i="3"/>
  <c r="T512" i="3"/>
  <c r="T539" i="3"/>
  <c r="T540" i="3"/>
  <c r="T541" i="3"/>
  <c r="T546" i="3"/>
  <c r="T579" i="3"/>
  <c r="T590" i="3"/>
  <c r="T16" i="3"/>
  <c r="T144" i="3"/>
  <c r="T230" i="3"/>
  <c r="T231" i="3"/>
  <c r="T239" i="3"/>
  <c r="T248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85" i="3"/>
  <c r="T425" i="3"/>
  <c r="T473" i="3"/>
  <c r="T552" i="3"/>
  <c r="T583" i="3"/>
  <c r="T584" i="3"/>
  <c r="T119" i="3"/>
  <c r="T131" i="3"/>
  <c r="T237" i="3"/>
  <c r="T242" i="3"/>
  <c r="T243" i="3"/>
  <c r="T282" i="3"/>
  <c r="T407" i="3"/>
  <c r="T408" i="3"/>
  <c r="T409" i="3"/>
  <c r="T410" i="3"/>
  <c r="T468" i="3"/>
  <c r="T534" i="3"/>
  <c r="T580" i="3"/>
  <c r="T581" i="3"/>
  <c r="T85" i="3"/>
  <c r="T86" i="3"/>
  <c r="T228" i="3"/>
  <c r="T240" i="3"/>
  <c r="T330" i="3"/>
  <c r="T399" i="3"/>
  <c r="T400" i="3"/>
  <c r="T401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63" i="3"/>
  <c r="T464" i="3"/>
  <c r="T465" i="3"/>
  <c r="T504" i="3"/>
  <c r="T592" i="3"/>
  <c r="T593" i="3"/>
  <c r="T595" i="3"/>
  <c r="T596" i="3"/>
  <c r="T10" i="3"/>
  <c r="T298" i="3"/>
  <c r="T310" i="3"/>
  <c r="T311" i="3"/>
  <c r="T312" i="3"/>
  <c r="T313" i="3"/>
  <c r="T377" i="3"/>
  <c r="T378" i="3"/>
  <c r="T379" i="3"/>
  <c r="T380" i="3"/>
  <c r="T381" i="3"/>
  <c r="T382" i="3"/>
  <c r="T383" i="3"/>
  <c r="T402" i="3"/>
  <c r="T492" i="3"/>
  <c r="T503" i="3"/>
  <c r="T527" i="3"/>
  <c r="T528" i="3"/>
  <c r="T553" i="3"/>
  <c r="T575" i="3"/>
  <c r="T7" i="3"/>
  <c r="T8" i="3"/>
  <c r="T9" i="3"/>
  <c r="T234" i="3"/>
  <c r="T235" i="3"/>
  <c r="T236" i="3"/>
  <c r="T295" i="3"/>
  <c r="T357" i="3"/>
  <c r="T358" i="3"/>
  <c r="T359" i="3"/>
  <c r="T360" i="3"/>
  <c r="T361" i="3"/>
  <c r="T362" i="3"/>
  <c r="T363" i="3"/>
  <c r="T396" i="3"/>
  <c r="T448" i="3"/>
  <c r="T449" i="3"/>
  <c r="T450" i="3"/>
  <c r="T571" i="3"/>
  <c r="T574" i="3"/>
  <c r="T3" i="3"/>
  <c r="T5" i="3"/>
  <c r="T13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354" i="3"/>
  <c r="T355" i="3"/>
  <c r="T356" i="3"/>
  <c r="T387" i="3"/>
  <c r="T389" i="3"/>
  <c r="T508" i="3"/>
  <c r="T563" i="3"/>
  <c r="T567" i="3"/>
  <c r="T187" i="3"/>
  <c r="T188" i="3"/>
  <c r="T283" i="3"/>
  <c r="T284" i="3"/>
  <c r="T285" i="3"/>
  <c r="T286" i="3"/>
  <c r="T287" i="3"/>
  <c r="T288" i="3"/>
  <c r="T289" i="3"/>
  <c r="T479" i="3"/>
  <c r="T140" i="3"/>
  <c r="T229" i="3"/>
  <c r="T253" i="3"/>
  <c r="T346" i="3"/>
  <c r="T474" i="3"/>
  <c r="T136" i="3"/>
  <c r="T343" i="3"/>
  <c r="T557" i="3"/>
  <c r="T558" i="3"/>
  <c r="T279" i="3"/>
  <c r="T280" i="3"/>
  <c r="T561" i="3"/>
  <c r="T562" i="3"/>
  <c r="T54" i="3"/>
  <c r="T221" i="3"/>
  <c r="T244" i="3"/>
  <c r="T249" i="3"/>
  <c r="T458" i="3"/>
  <c r="T537" i="3"/>
  <c r="T6" i="3"/>
  <c r="T47" i="3"/>
  <c r="T174" i="3"/>
  <c r="T364" i="3"/>
  <c r="T365" i="3"/>
  <c r="T366" i="3"/>
  <c r="T367" i="3"/>
  <c r="T368" i="3"/>
  <c r="T369" i="3"/>
  <c r="T370" i="3"/>
  <c r="T371" i="3"/>
  <c r="T372" i="3"/>
  <c r="T373" i="3"/>
  <c r="T374" i="3"/>
  <c r="T480" i="3"/>
  <c r="T496" i="3"/>
  <c r="T535" i="3"/>
  <c r="T46" i="3"/>
  <c r="T218" i="3"/>
  <c r="T219" i="3"/>
  <c r="T220" i="3"/>
  <c r="T241" i="3"/>
  <c r="T542" i="3"/>
  <c r="T543" i="3"/>
  <c r="T544" i="3"/>
  <c r="T545" i="3"/>
  <c r="T586" i="3"/>
  <c r="T49" i="3"/>
  <c r="T347" i="3"/>
  <c r="T348" i="3"/>
  <c r="T349" i="3"/>
  <c r="T350" i="3"/>
  <c r="T475" i="3"/>
  <c r="T497" i="3"/>
  <c r="T538" i="3"/>
  <c r="T585" i="3"/>
  <c r="T203" i="3"/>
  <c r="T204" i="3"/>
  <c r="T205" i="3"/>
  <c r="T206" i="3"/>
  <c r="T207" i="3"/>
  <c r="T493" i="3"/>
  <c r="T494" i="3"/>
  <c r="T495" i="3"/>
  <c r="T513" i="3"/>
  <c r="T560" i="3"/>
  <c r="T35" i="3"/>
  <c r="T36" i="3"/>
  <c r="T197" i="3"/>
  <c r="T559" i="3"/>
  <c r="T302" i="3"/>
  <c r="T303" i="3"/>
  <c r="T304" i="3"/>
  <c r="T305" i="3"/>
  <c r="T306" i="3"/>
  <c r="T547" i="3"/>
  <c r="T548" i="3"/>
  <c r="T549" i="3"/>
  <c r="T554" i="3"/>
  <c r="T555" i="3"/>
  <c r="T556" i="3"/>
  <c r="T39" i="3"/>
  <c r="T195" i="3"/>
  <c r="T199" i="3"/>
  <c r="T200" i="3"/>
  <c r="T611" i="3"/>
  <c r="T194" i="3"/>
  <c r="T484" i="3"/>
  <c r="T485" i="3"/>
  <c r="T486" i="3"/>
  <c r="T487" i="3"/>
  <c r="T488" i="3"/>
  <c r="T499" i="3"/>
  <c r="T500" i="3"/>
  <c r="T501" i="3"/>
  <c r="T22" i="3"/>
  <c r="T476" i="3"/>
  <c r="T477" i="3"/>
  <c r="T17" i="3"/>
  <c r="T18" i="3"/>
  <c r="T19" i="3"/>
  <c r="T20" i="3"/>
  <c r="T21" i="3"/>
  <c r="T451" i="3"/>
  <c r="T452" i="3"/>
  <c r="T181" i="3"/>
  <c r="T182" i="3"/>
  <c r="T183" i="3"/>
  <c r="T184" i="3"/>
  <c r="T296" i="3"/>
  <c r="T297" i="3"/>
  <c r="T375" i="3"/>
  <c r="T376" i="3"/>
  <c r="T453" i="3"/>
  <c r="T454" i="3"/>
  <c r="T444" i="3"/>
  <c r="T15" i="3"/>
  <c r="T232" i="3"/>
  <c r="T307" i="3"/>
  <c r="T290" i="3"/>
  <c r="T267" i="3"/>
  <c r="T2" i="3"/>
  <c r="T258" i="3"/>
  <c r="T605" i="3"/>
  <c r="T612" i="3"/>
  <c r="T618" i="3"/>
  <c r="T619" i="3"/>
  <c r="T620" i="3"/>
  <c r="T621" i="3"/>
  <c r="T622" i="3"/>
  <c r="T623" i="3"/>
  <c r="T629" i="3"/>
  <c r="T624" i="3"/>
  <c r="T630" i="3"/>
  <c r="T626" i="3"/>
  <c r="T627" i="3"/>
  <c r="T625" i="3"/>
  <c r="T628" i="3"/>
  <c r="T636" i="3"/>
  <c r="T635" i="3"/>
  <c r="T633" i="3"/>
  <c r="T631" i="3"/>
  <c r="T632" i="3"/>
  <c r="T634" i="3"/>
  <c r="T637" i="3"/>
  <c r="S637" i="3"/>
  <c r="AC637" i="3" s="1" a="1"/>
  <c r="AC637" i="3" s="1"/>
  <c r="A637" i="3"/>
  <c r="S634" i="3"/>
  <c r="AC634" i="3" s="1" a="1"/>
  <c r="AC634" i="3" s="1"/>
  <c r="D634" i="3"/>
  <c r="A634" i="3"/>
  <c r="D632" i="3"/>
  <c r="S632" i="3"/>
  <c r="A632" i="3"/>
  <c r="S631" i="3"/>
  <c r="D631" i="3"/>
  <c r="A631" i="3"/>
  <c r="S633" i="3"/>
  <c r="AC633" i="3" s="1" a="1"/>
  <c r="AC633" i="3" s="1"/>
  <c r="D633" i="3"/>
  <c r="A633" i="3"/>
  <c r="S635" i="3"/>
  <c r="AC635" i="3" s="1" a="1"/>
  <c r="AC635" i="3" s="1"/>
  <c r="D635" i="3"/>
  <c r="A635" i="3"/>
  <c r="S636" i="3"/>
  <c r="AC636" i="3" s="1" a="1"/>
  <c r="AC636" i="3" s="1"/>
  <c r="D636" i="3"/>
  <c r="A636" i="3"/>
  <c r="O371" i="1"/>
  <c r="P371" i="1"/>
  <c r="S628" i="3"/>
  <c r="D628" i="3"/>
  <c r="A628" i="3"/>
  <c r="O373" i="1"/>
  <c r="P373" i="1"/>
  <c r="O370" i="1"/>
  <c r="P370" i="1"/>
  <c r="O372" i="1"/>
  <c r="P372" i="1"/>
  <c r="O374" i="1"/>
  <c r="P374" i="1"/>
  <c r="O369" i="1"/>
  <c r="P369" i="1"/>
  <c r="O367" i="1"/>
  <c r="P367" i="1"/>
  <c r="O366" i="1"/>
  <c r="P366" i="1"/>
  <c r="A625" i="3"/>
  <c r="D625" i="3"/>
  <c r="S625" i="3"/>
  <c r="S627" i="3"/>
  <c r="D627" i="3"/>
  <c r="A627" i="3"/>
  <c r="S626" i="3"/>
  <c r="D626" i="3"/>
  <c r="A626" i="3"/>
  <c r="S630" i="3"/>
  <c r="D630" i="3"/>
  <c r="A630" i="3"/>
  <c r="O357" i="1"/>
  <c r="P357" i="1"/>
  <c r="A624" i="3"/>
  <c r="S624" i="3"/>
  <c r="S629" i="3"/>
  <c r="D629" i="3"/>
  <c r="A629" i="3"/>
  <c r="S623" i="3"/>
  <c r="AC623" i="3" s="1" a="1"/>
  <c r="AC623" i="3" s="1"/>
  <c r="D623" i="3"/>
  <c r="A623" i="3"/>
  <c r="A622" i="3"/>
  <c r="D622" i="3"/>
  <c r="S622" i="3"/>
  <c r="AC622" i="3" s="1" a="1"/>
  <c r="AC622" i="3" s="1"/>
  <c r="S621" i="3"/>
  <c r="AC621" i="3" s="1" a="1"/>
  <c r="AC621" i="3" s="1"/>
  <c r="D621" i="3"/>
  <c r="A621" i="3"/>
  <c r="S620" i="3"/>
  <c r="AC620" i="3" s="1" a="1"/>
  <c r="AC620" i="3" s="1"/>
  <c r="D620" i="3"/>
  <c r="A620" i="3"/>
  <c r="S619" i="3"/>
  <c r="D619" i="3"/>
  <c r="A619" i="3"/>
  <c r="A597" i="3"/>
  <c r="A593" i="3"/>
  <c r="D614" i="3"/>
  <c r="S618" i="3"/>
  <c r="D618" i="3"/>
  <c r="A618" i="3"/>
  <c r="A612" i="3"/>
  <c r="D612" i="3"/>
  <c r="S612" i="3"/>
  <c r="S605" i="3"/>
  <c r="D605" i="3"/>
  <c r="A605" i="3"/>
  <c r="S616" i="3"/>
  <c r="AC616" i="3" s="1" a="1"/>
  <c r="AC616" i="3" s="1"/>
  <c r="D616" i="3"/>
  <c r="A616" i="3"/>
  <c r="S617" i="3"/>
  <c r="AC617" i="3" s="1" a="1"/>
  <c r="AC617" i="3" s="1"/>
  <c r="D617" i="3"/>
  <c r="A617" i="3"/>
  <c r="S615" i="3"/>
  <c r="AC615" i="3" s="1" a="1"/>
  <c r="AC615" i="3" s="1"/>
  <c r="D615" i="3"/>
  <c r="A615" i="3"/>
  <c r="S614" i="3"/>
  <c r="A614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4" i="3"/>
  <c r="A23" i="3"/>
  <c r="A25" i="3"/>
  <c r="A27" i="3"/>
  <c r="A26" i="3"/>
  <c r="A28" i="3"/>
  <c r="A29" i="3"/>
  <c r="A30" i="3"/>
  <c r="A31" i="3"/>
  <c r="A32" i="3"/>
  <c r="A33" i="3"/>
  <c r="A35" i="3"/>
  <c r="A36" i="3"/>
  <c r="A34" i="3"/>
  <c r="A39" i="3"/>
  <c r="A37" i="3"/>
  <c r="A38" i="3"/>
  <c r="A40" i="3"/>
  <c r="A41" i="3"/>
  <c r="A42" i="3"/>
  <c r="A43" i="3"/>
  <c r="A46" i="3"/>
  <c r="A44" i="3"/>
  <c r="A45" i="3"/>
  <c r="A47" i="3"/>
  <c r="A48" i="3"/>
  <c r="A49" i="3"/>
  <c r="A50" i="3"/>
  <c r="A51" i="3"/>
  <c r="A54" i="3"/>
  <c r="A52" i="3"/>
  <c r="A53" i="3"/>
  <c r="A55" i="3"/>
  <c r="A56" i="3"/>
  <c r="A57" i="3"/>
  <c r="A58" i="3"/>
  <c r="A59" i="3"/>
  <c r="A60" i="3"/>
  <c r="A61" i="3"/>
  <c r="A62" i="3"/>
  <c r="A63" i="3"/>
  <c r="A64" i="3"/>
  <c r="A65" i="3"/>
  <c r="A66" i="3"/>
  <c r="A68" i="3"/>
  <c r="A69" i="3"/>
  <c r="A67" i="3"/>
  <c r="A70" i="3"/>
  <c r="A72" i="3"/>
  <c r="A73" i="3"/>
  <c r="A71" i="3"/>
  <c r="A74" i="3"/>
  <c r="A78" i="3"/>
  <c r="A79" i="3"/>
  <c r="A80" i="3"/>
  <c r="A75" i="3"/>
  <c r="A81" i="3"/>
  <c r="A82" i="3"/>
  <c r="A83" i="3"/>
  <c r="A76" i="3"/>
  <c r="A84" i="3"/>
  <c r="A85" i="3"/>
  <c r="A86" i="3"/>
  <c r="A77" i="3"/>
  <c r="A87" i="3"/>
  <c r="A88" i="3"/>
  <c r="A89" i="3"/>
  <c r="A90" i="3"/>
  <c r="A91" i="3"/>
  <c r="A92" i="3"/>
  <c r="A93" i="3"/>
  <c r="A94" i="3"/>
  <c r="A96" i="3"/>
  <c r="A97" i="3"/>
  <c r="A95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8" i="3"/>
  <c r="A129" i="3"/>
  <c r="A127" i="3"/>
  <c r="A130" i="3"/>
  <c r="A131" i="3"/>
  <c r="A132" i="3"/>
  <c r="A133" i="3"/>
  <c r="A134" i="3"/>
  <c r="A135" i="3"/>
  <c r="A136" i="3"/>
  <c r="A137" i="3"/>
  <c r="A138" i="3"/>
  <c r="A139" i="3"/>
  <c r="A140" i="3"/>
  <c r="A142" i="3"/>
  <c r="A141" i="3"/>
  <c r="A143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44" i="3"/>
  <c r="A157" i="3"/>
  <c r="A158" i="3"/>
  <c r="A159" i="3"/>
  <c r="A160" i="3"/>
  <c r="A161" i="3"/>
  <c r="A163" i="3"/>
  <c r="A162" i="3"/>
  <c r="A164" i="3"/>
  <c r="A165" i="3"/>
  <c r="A166" i="3"/>
  <c r="A167" i="3"/>
  <c r="A168" i="3"/>
  <c r="A169" i="3"/>
  <c r="A170" i="3"/>
  <c r="A172" i="3"/>
  <c r="A171" i="3"/>
  <c r="A173" i="3"/>
  <c r="A174" i="3"/>
  <c r="A176" i="3"/>
  <c r="A177" i="3"/>
  <c r="A178" i="3"/>
  <c r="A175" i="3"/>
  <c r="A179" i="3"/>
  <c r="A180" i="3"/>
  <c r="A181" i="3"/>
  <c r="A182" i="3"/>
  <c r="A183" i="3"/>
  <c r="A184" i="3"/>
  <c r="A185" i="3"/>
  <c r="A187" i="3"/>
  <c r="A186" i="3"/>
  <c r="A188" i="3"/>
  <c r="A189" i="3"/>
  <c r="A191" i="3"/>
  <c r="A190" i="3"/>
  <c r="A192" i="3"/>
  <c r="A193" i="3"/>
  <c r="A194" i="3"/>
  <c r="A195" i="3"/>
  <c r="A196" i="3"/>
  <c r="A197" i="3"/>
  <c r="A199" i="3"/>
  <c r="A200" i="3"/>
  <c r="A198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9" i="3"/>
  <c r="A226" i="3"/>
  <c r="A227" i="3"/>
  <c r="A228" i="3"/>
  <c r="A230" i="3"/>
  <c r="A232" i="3"/>
  <c r="A231" i="3"/>
  <c r="A234" i="3"/>
  <c r="A233" i="3"/>
  <c r="A235" i="3"/>
  <c r="A236" i="3"/>
  <c r="A237" i="3"/>
  <c r="A239" i="3"/>
  <c r="A241" i="3"/>
  <c r="A238" i="3"/>
  <c r="A240" i="3"/>
  <c r="A242" i="3"/>
  <c r="A243" i="3"/>
  <c r="A244" i="3"/>
  <c r="A245" i="3"/>
  <c r="A246" i="3"/>
  <c r="A247" i="3"/>
  <c r="A248" i="3"/>
  <c r="A249" i="3"/>
  <c r="A250" i="3"/>
  <c r="A253" i="3"/>
  <c r="A251" i="3"/>
  <c r="A252" i="3"/>
  <c r="A258" i="3"/>
  <c r="A254" i="3"/>
  <c r="A255" i="3"/>
  <c r="A256" i="3"/>
  <c r="A257" i="3"/>
  <c r="A259" i="3"/>
  <c r="A260" i="3"/>
  <c r="A261" i="3"/>
  <c r="A262" i="3"/>
  <c r="A263" i="3"/>
  <c r="A264" i="3"/>
  <c r="A265" i="3"/>
  <c r="A266" i="3"/>
  <c r="A267" i="3"/>
  <c r="A269" i="3"/>
  <c r="A268" i="3"/>
  <c r="A271" i="3"/>
  <c r="A272" i="3"/>
  <c r="A273" i="3"/>
  <c r="A274" i="3"/>
  <c r="A270" i="3"/>
  <c r="A275" i="3"/>
  <c r="A276" i="3"/>
  <c r="A277" i="3"/>
  <c r="A278" i="3"/>
  <c r="A279" i="3"/>
  <c r="A280" i="3"/>
  <c r="A283" i="3"/>
  <c r="A281" i="3"/>
  <c r="A284" i="3"/>
  <c r="A285" i="3"/>
  <c r="A286" i="3"/>
  <c r="A287" i="3"/>
  <c r="A288" i="3"/>
  <c r="A282" i="3"/>
  <c r="A289" i="3"/>
  <c r="A290" i="3"/>
  <c r="A291" i="3"/>
  <c r="A296" i="3"/>
  <c r="A297" i="3"/>
  <c r="A293" i="3"/>
  <c r="A292" i="3"/>
  <c r="A294" i="3"/>
  <c r="A295" i="3"/>
  <c r="A298" i="3"/>
  <c r="A301" i="3"/>
  <c r="A302" i="3"/>
  <c r="A303" i="3"/>
  <c r="A304" i="3"/>
  <c r="A305" i="3"/>
  <c r="A307" i="3"/>
  <c r="A299" i="3"/>
  <c r="A300" i="3"/>
  <c r="A306" i="3"/>
  <c r="A309" i="3"/>
  <c r="A310" i="3"/>
  <c r="A311" i="3"/>
  <c r="A312" i="3"/>
  <c r="A313" i="3"/>
  <c r="A308" i="3"/>
  <c r="A314" i="3"/>
  <c r="A315" i="3"/>
  <c r="A330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1" i="3"/>
  <c r="A332" i="3"/>
  <c r="A333" i="3"/>
  <c r="A334" i="3"/>
  <c r="A335" i="3"/>
  <c r="A336" i="3"/>
  <c r="A337" i="3"/>
  <c r="A338" i="3"/>
  <c r="A339" i="3"/>
  <c r="A343" i="3"/>
  <c r="A342" i="3"/>
  <c r="A341" i="3"/>
  <c r="A340" i="3"/>
  <c r="A344" i="3"/>
  <c r="A345" i="3"/>
  <c r="A346" i="3"/>
  <c r="A347" i="3"/>
  <c r="A348" i="3"/>
  <c r="A349" i="3"/>
  <c r="A350" i="3"/>
  <c r="A354" i="3"/>
  <c r="A355" i="3"/>
  <c r="A356" i="3"/>
  <c r="A351" i="3"/>
  <c r="A352" i="3"/>
  <c r="A353" i="3"/>
  <c r="A357" i="3"/>
  <c r="A358" i="3"/>
  <c r="A359" i="3"/>
  <c r="A360" i="3"/>
  <c r="A364" i="3"/>
  <c r="A361" i="3"/>
  <c r="A362" i="3"/>
  <c r="A365" i="3"/>
  <c r="A366" i="3"/>
  <c r="A363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6" i="3"/>
  <c r="A390" i="3"/>
  <c r="A391" i="3"/>
  <c r="A392" i="3"/>
  <c r="A393" i="3"/>
  <c r="A394" i="3"/>
  <c r="A395" i="3"/>
  <c r="A397" i="3"/>
  <c r="A398" i="3"/>
  <c r="A399" i="3"/>
  <c r="A400" i="3"/>
  <c r="A402" i="3"/>
  <c r="A401" i="3"/>
  <c r="A403" i="3"/>
  <c r="A405" i="3"/>
  <c r="A411" i="3"/>
  <c r="A407" i="3"/>
  <c r="A412" i="3"/>
  <c r="A413" i="3"/>
  <c r="A414" i="3"/>
  <c r="A415" i="3"/>
  <c r="A416" i="3"/>
  <c r="A417" i="3"/>
  <c r="A418" i="3"/>
  <c r="A419" i="3"/>
  <c r="A420" i="3"/>
  <c r="A421" i="3"/>
  <c r="A422" i="3"/>
  <c r="A404" i="3"/>
  <c r="A408" i="3"/>
  <c r="A409" i="3"/>
  <c r="A410" i="3"/>
  <c r="A423" i="3"/>
  <c r="A406" i="3"/>
  <c r="A424" i="3"/>
  <c r="A425" i="3"/>
  <c r="A427" i="3"/>
  <c r="A426" i="3"/>
  <c r="A428" i="3"/>
  <c r="A429" i="3"/>
  <c r="A430" i="3"/>
  <c r="A431" i="3"/>
  <c r="A432" i="3"/>
  <c r="A433" i="3"/>
  <c r="A434" i="3"/>
  <c r="A435" i="3"/>
  <c r="A436" i="3"/>
  <c r="A437" i="3"/>
  <c r="A441" i="3"/>
  <c r="A444" i="3"/>
  <c r="A442" i="3"/>
  <c r="A438" i="3"/>
  <c r="A443" i="3"/>
  <c r="A439" i="3"/>
  <c r="A440" i="3"/>
  <c r="A451" i="3"/>
  <c r="A453" i="3"/>
  <c r="A448" i="3"/>
  <c r="A449" i="3"/>
  <c r="A445" i="3"/>
  <c r="A454" i="3"/>
  <c r="A446" i="3"/>
  <c r="A452" i="3"/>
  <c r="A450" i="3"/>
  <c r="A447" i="3"/>
  <c r="A456" i="3"/>
  <c r="A457" i="3"/>
  <c r="A458" i="3"/>
  <c r="A455" i="3"/>
  <c r="A459" i="3"/>
  <c r="A460" i="3"/>
  <c r="A461" i="3"/>
  <c r="A462" i="3"/>
  <c r="A463" i="3"/>
  <c r="A464" i="3"/>
  <c r="A465" i="3"/>
  <c r="A466" i="3"/>
  <c r="A468" i="3"/>
  <c r="A467" i="3"/>
  <c r="A473" i="3"/>
  <c r="A469" i="3"/>
  <c r="A472" i="3"/>
  <c r="A471" i="3"/>
  <c r="A474" i="3"/>
  <c r="A475" i="3"/>
  <c r="A470" i="3"/>
  <c r="A476" i="3"/>
  <c r="A477" i="3"/>
  <c r="A480" i="3"/>
  <c r="A479" i="3"/>
  <c r="A478" i="3"/>
  <c r="A484" i="3"/>
  <c r="A485" i="3"/>
  <c r="A481" i="3"/>
  <c r="A482" i="3"/>
  <c r="A483" i="3"/>
  <c r="A486" i="3"/>
  <c r="A487" i="3"/>
  <c r="A488" i="3"/>
  <c r="A490" i="3"/>
  <c r="A489" i="3"/>
  <c r="A492" i="3"/>
  <c r="A491" i="3"/>
  <c r="A493" i="3"/>
  <c r="A494" i="3"/>
  <c r="A495" i="3"/>
  <c r="A497" i="3"/>
  <c r="A496" i="3"/>
  <c r="A498" i="3"/>
  <c r="A499" i="3"/>
  <c r="A500" i="3"/>
  <c r="A501" i="3"/>
  <c r="A503" i="3"/>
  <c r="A502" i="3"/>
  <c r="A504" i="3"/>
  <c r="A505" i="3"/>
  <c r="A508" i="3"/>
  <c r="A506" i="3"/>
  <c r="A507" i="3"/>
  <c r="A550" i="3"/>
  <c r="A510" i="3"/>
  <c r="A513" i="3"/>
  <c r="A511" i="3"/>
  <c r="A512" i="3"/>
  <c r="A509" i="3"/>
  <c r="A514" i="3"/>
  <c r="A515" i="3"/>
  <c r="A516" i="3"/>
  <c r="A517" i="3"/>
  <c r="A518" i="3"/>
  <c r="A519" i="3"/>
  <c r="A520" i="3"/>
  <c r="A521" i="3"/>
  <c r="A522" i="3"/>
  <c r="A523" i="3"/>
  <c r="A524" i="3"/>
  <c r="A527" i="3"/>
  <c r="A525" i="3"/>
  <c r="A526" i="3"/>
  <c r="A528" i="3"/>
  <c r="A530" i="3"/>
  <c r="A531" i="3"/>
  <c r="A532" i="3"/>
  <c r="A533" i="3"/>
  <c r="A529" i="3"/>
  <c r="A534" i="3"/>
  <c r="A535" i="3"/>
  <c r="A536" i="3"/>
  <c r="A538" i="3"/>
  <c r="A537" i="3"/>
  <c r="A542" i="3"/>
  <c r="A543" i="3"/>
  <c r="A544" i="3"/>
  <c r="A539" i="3"/>
  <c r="A540" i="3"/>
  <c r="A541" i="3"/>
  <c r="A545" i="3"/>
  <c r="A547" i="3"/>
  <c r="A548" i="3"/>
  <c r="A546" i="3"/>
  <c r="A549" i="3"/>
  <c r="A552" i="3"/>
  <c r="A554" i="3"/>
  <c r="A555" i="3"/>
  <c r="A556" i="3"/>
  <c r="A553" i="3"/>
  <c r="A551" i="3"/>
  <c r="A559" i="3"/>
  <c r="A557" i="3"/>
  <c r="A558" i="3"/>
  <c r="A561" i="3"/>
  <c r="A560" i="3"/>
  <c r="A562" i="3"/>
  <c r="A563" i="3"/>
  <c r="A564" i="3"/>
  <c r="A565" i="3"/>
  <c r="A567" i="3"/>
  <c r="A566" i="3"/>
  <c r="A568" i="3"/>
  <c r="A569" i="3"/>
  <c r="A570" i="3"/>
  <c r="A571" i="3"/>
  <c r="A572" i="3"/>
  <c r="A573" i="3"/>
  <c r="A574" i="3"/>
  <c r="A575" i="3"/>
  <c r="A577" i="3"/>
  <c r="A576" i="3"/>
  <c r="A580" i="3"/>
  <c r="A579" i="3"/>
  <c r="A578" i="3"/>
  <c r="A581" i="3"/>
  <c r="A583" i="3"/>
  <c r="A585" i="3"/>
  <c r="A582" i="3"/>
  <c r="A584" i="3"/>
  <c r="A587" i="3"/>
  <c r="A589" i="3"/>
  <c r="A586" i="3"/>
  <c r="A588" i="3"/>
  <c r="A590" i="3"/>
  <c r="A591" i="3"/>
  <c r="A592" i="3"/>
  <c r="A595" i="3"/>
  <c r="A596" i="3"/>
  <c r="A594" i="3"/>
  <c r="A598" i="3"/>
  <c r="A599" i="3"/>
  <c r="A600" i="3"/>
  <c r="A602" i="3"/>
  <c r="A606" i="3"/>
  <c r="A604" i="3"/>
  <c r="A603" i="3"/>
  <c r="A601" i="3"/>
  <c r="A607" i="3"/>
  <c r="A610" i="3"/>
  <c r="A611" i="3"/>
  <c r="A613" i="3"/>
  <c r="A608" i="3"/>
  <c r="S609" i="3"/>
  <c r="D609" i="3"/>
  <c r="S608" i="3"/>
  <c r="D608" i="3"/>
  <c r="S613" i="3"/>
  <c r="D613" i="3"/>
  <c r="S611" i="3"/>
  <c r="D611" i="3"/>
  <c r="S610" i="3"/>
  <c r="D610" i="3"/>
  <c r="S607" i="3"/>
  <c r="D607" i="3"/>
  <c r="D601" i="3"/>
  <c r="S601" i="3"/>
  <c r="S603" i="3"/>
  <c r="D603" i="3"/>
  <c r="D604" i="3"/>
  <c r="S604" i="3"/>
  <c r="AC604" i="3" s="1" a="1"/>
  <c r="AC604" i="3" s="1"/>
  <c r="S606" i="3"/>
  <c r="AC606" i="3" s="1" a="1"/>
  <c r="AC606" i="3" s="1"/>
  <c r="D606" i="3"/>
  <c r="P386" i="1"/>
  <c r="P387" i="1"/>
  <c r="P388" i="1"/>
  <c r="P389" i="1"/>
  <c r="O386" i="1"/>
  <c r="O387" i="1"/>
  <c r="O388" i="1"/>
  <c r="O389" i="1"/>
  <c r="D590" i="3"/>
  <c r="S598" i="3"/>
  <c r="D598" i="3"/>
  <c r="S602" i="3"/>
  <c r="D602" i="3"/>
  <c r="S600" i="3"/>
  <c r="D600" i="3"/>
  <c r="S597" i="3"/>
  <c r="D597" i="3"/>
  <c r="D599" i="3"/>
  <c r="S599" i="3"/>
  <c r="P382" i="1"/>
  <c r="O382" i="1"/>
  <c r="S594" i="3"/>
  <c r="D594" i="3"/>
  <c r="S590" i="3"/>
  <c r="D576" i="3"/>
  <c r="D588" i="3"/>
  <c r="S588" i="3"/>
  <c r="S587" i="3"/>
  <c r="D587" i="3"/>
  <c r="D585" i="3"/>
  <c r="S552" i="3"/>
  <c r="D552" i="3"/>
  <c r="S551" i="3"/>
  <c r="D551" i="3"/>
  <c r="D548" i="3"/>
  <c r="S548" i="3"/>
  <c r="D547" i="3"/>
  <c r="S547" i="3"/>
  <c r="S549" i="3"/>
  <c r="D549" i="3"/>
  <c r="D546" i="3"/>
  <c r="S546" i="3"/>
  <c r="S596" i="3"/>
  <c r="D596" i="3"/>
  <c r="S595" i="3"/>
  <c r="D595" i="3"/>
  <c r="D593" i="3"/>
  <c r="S593" i="3"/>
  <c r="S592" i="3"/>
  <c r="D592" i="3"/>
  <c r="S591" i="3"/>
  <c r="D591" i="3"/>
  <c r="S586" i="3"/>
  <c r="D586" i="3"/>
  <c r="P368" i="1"/>
  <c r="P365" i="1"/>
  <c r="O368" i="1"/>
  <c r="D589" i="3"/>
  <c r="S585" i="3"/>
  <c r="S583" i="3"/>
  <c r="S589" i="3"/>
  <c r="D583" i="3"/>
  <c r="S584" i="3"/>
  <c r="D584" i="3"/>
  <c r="D545" i="3"/>
  <c r="D556" i="3"/>
  <c r="D513" i="3"/>
  <c r="D582" i="3"/>
  <c r="S582" i="3"/>
  <c r="S581" i="3"/>
  <c r="P358" i="1"/>
  <c r="O358" i="1"/>
  <c r="D562" i="3"/>
  <c r="D579" i="3"/>
  <c r="S579" i="3"/>
  <c r="S578" i="3"/>
  <c r="S580" i="3"/>
  <c r="D580" i="3"/>
  <c r="S576" i="3"/>
  <c r="D553" i="3"/>
  <c r="D542" i="3"/>
  <c r="D543" i="3"/>
  <c r="D544" i="3"/>
  <c r="S577" i="3"/>
  <c r="D577" i="3"/>
  <c r="S575" i="3"/>
  <c r="D575" i="3"/>
  <c r="S574" i="3"/>
  <c r="D574" i="3"/>
  <c r="D573" i="3"/>
  <c r="S573" i="3"/>
  <c r="D572" i="3"/>
  <c r="S572" i="3"/>
  <c r="S571" i="3"/>
  <c r="D571" i="3"/>
  <c r="S570" i="3"/>
  <c r="D570" i="3"/>
  <c r="S569" i="3"/>
  <c r="D569" i="3"/>
  <c r="S568" i="3"/>
  <c r="D568" i="3"/>
  <c r="S567" i="3"/>
  <c r="D567" i="3"/>
  <c r="S564" i="3"/>
  <c r="D564" i="3"/>
  <c r="D565" i="3"/>
  <c r="S565" i="3"/>
  <c r="O331" i="1"/>
  <c r="O330" i="1"/>
  <c r="P330" i="1"/>
  <c r="P355" i="1"/>
  <c r="S566" i="3"/>
  <c r="D566" i="3"/>
  <c r="D563" i="3"/>
  <c r="D528" i="3"/>
  <c r="S561" i="3"/>
  <c r="D561" i="3"/>
  <c r="S560" i="3"/>
  <c r="D560" i="3"/>
  <c r="S562" i="3"/>
  <c r="S557" i="3"/>
  <c r="D557" i="3"/>
  <c r="S559" i="3"/>
  <c r="D559" i="3"/>
  <c r="S558" i="3"/>
  <c r="D558" i="3"/>
  <c r="S555" i="3"/>
  <c r="D555" i="3"/>
  <c r="S556" i="3"/>
  <c r="S554" i="3"/>
  <c r="D554" i="3"/>
  <c r="P327" i="1"/>
  <c r="P328" i="1"/>
  <c r="P329" i="1"/>
  <c r="P331" i="1"/>
  <c r="O327" i="1"/>
  <c r="O328" i="1"/>
  <c r="O329" i="1"/>
  <c r="O326" i="1"/>
  <c r="S550" i="3"/>
  <c r="D550" i="3"/>
  <c r="S553" i="3"/>
  <c r="S563" i="3"/>
  <c r="S284" i="3"/>
  <c r="S285" i="3"/>
  <c r="S286" i="3"/>
  <c r="S283" i="3"/>
  <c r="S316" i="3"/>
  <c r="S317" i="3"/>
  <c r="S318" i="3"/>
  <c r="S319" i="3"/>
  <c r="S320" i="3"/>
  <c r="S287" i="3"/>
  <c r="S288" i="3"/>
  <c r="S333" i="3"/>
  <c r="S334" i="3"/>
  <c r="S325" i="3"/>
  <c r="S326" i="3"/>
  <c r="S327" i="3"/>
  <c r="S321" i="3"/>
  <c r="S322" i="3"/>
  <c r="S323" i="3"/>
  <c r="S324" i="3"/>
  <c r="S335" i="3"/>
  <c r="S342" i="3"/>
  <c r="S328" i="3"/>
  <c r="S329" i="3"/>
  <c r="S298" i="3"/>
  <c r="S336" i="3"/>
  <c r="S295" i="3"/>
  <c r="S338" i="3"/>
  <c r="S289" i="3"/>
  <c r="S351" i="3"/>
  <c r="S352" i="3"/>
  <c r="S353" i="3"/>
  <c r="S447" i="3"/>
  <c r="S462" i="3"/>
  <c r="S470" i="3"/>
  <c r="D284" i="3"/>
  <c r="D285" i="3"/>
  <c r="D286" i="3"/>
  <c r="D283" i="3"/>
  <c r="D316" i="3"/>
  <c r="D317" i="3"/>
  <c r="D318" i="3"/>
  <c r="D319" i="3"/>
  <c r="D320" i="3"/>
  <c r="D287" i="3"/>
  <c r="D288" i="3"/>
  <c r="D333" i="3"/>
  <c r="D334" i="3"/>
  <c r="D325" i="3"/>
  <c r="D326" i="3"/>
  <c r="D327" i="3"/>
  <c r="D321" i="3"/>
  <c r="D322" i="3"/>
  <c r="D323" i="3"/>
  <c r="D324" i="3"/>
  <c r="D335" i="3"/>
  <c r="D342" i="3"/>
  <c r="D328" i="3"/>
  <c r="D329" i="3"/>
  <c r="D298" i="3"/>
  <c r="D336" i="3"/>
  <c r="D295" i="3"/>
  <c r="D338" i="3"/>
  <c r="D289" i="3"/>
  <c r="D351" i="3"/>
  <c r="D352" i="3"/>
  <c r="D353" i="3"/>
  <c r="D447" i="3"/>
  <c r="D462" i="3"/>
  <c r="D470" i="3"/>
  <c r="P317" i="1"/>
  <c r="O317" i="1"/>
  <c r="D539" i="3"/>
  <c r="S539" i="3"/>
  <c r="D540" i="3"/>
  <c r="D541" i="3"/>
  <c r="S541" i="3"/>
  <c r="S540" i="3"/>
  <c r="S544" i="3"/>
  <c r="S543" i="3"/>
  <c r="S542" i="3"/>
  <c r="S545" i="3"/>
  <c r="S538" i="3"/>
  <c r="D538" i="3"/>
  <c r="S537" i="3"/>
  <c r="S536" i="3"/>
  <c r="S533" i="3"/>
  <c r="S532" i="3"/>
  <c r="S535" i="3"/>
  <c r="D529" i="3"/>
  <c r="S529" i="3"/>
  <c r="S530" i="3"/>
  <c r="D530" i="3"/>
  <c r="S534" i="3"/>
  <c r="D534" i="3"/>
  <c r="S531" i="3"/>
  <c r="D531" i="3"/>
  <c r="D507" i="3"/>
  <c r="D505" i="3"/>
  <c r="S507" i="3"/>
  <c r="S505" i="3"/>
  <c r="D506" i="3"/>
  <c r="S506" i="3"/>
  <c r="D527" i="3"/>
  <c r="S527" i="3"/>
  <c r="S528" i="3"/>
  <c r="D524" i="3"/>
  <c r="S524" i="3"/>
  <c r="D526" i="3"/>
  <c r="S526" i="3"/>
  <c r="D523" i="3"/>
  <c r="S523" i="3"/>
  <c r="S525" i="3"/>
  <c r="D525" i="3"/>
  <c r="D518" i="3"/>
  <c r="D522" i="3"/>
  <c r="S518" i="3"/>
  <c r="S522" i="3"/>
  <c r="S517" i="3"/>
  <c r="S516" i="3"/>
  <c r="S515" i="3"/>
  <c r="S520" i="3"/>
  <c r="D520" i="3"/>
  <c r="D521" i="3"/>
  <c r="S521" i="3"/>
  <c r="S514" i="3"/>
  <c r="S519" i="3"/>
  <c r="S513" i="3"/>
  <c r="S511" i="3"/>
  <c r="D511" i="3"/>
  <c r="S512" i="3"/>
  <c r="D512" i="3"/>
  <c r="S510" i="3"/>
  <c r="D510" i="3"/>
  <c r="D509" i="3"/>
  <c r="S509" i="3"/>
  <c r="D508" i="3"/>
  <c r="S508" i="3"/>
  <c r="D501" i="3"/>
  <c r="S501" i="3"/>
  <c r="S504" i="3"/>
  <c r="D503" i="3"/>
  <c r="S503" i="3"/>
  <c r="S502" i="3"/>
  <c r="D502" i="3"/>
  <c r="S500" i="3"/>
  <c r="D500" i="3"/>
  <c r="S499" i="3"/>
  <c r="D499" i="3"/>
  <c r="S498" i="3"/>
  <c r="D498" i="3"/>
  <c r="S497" i="3"/>
  <c r="D497" i="3"/>
  <c r="S496" i="3"/>
  <c r="D495" i="3"/>
  <c r="D494" i="3"/>
  <c r="S495" i="3"/>
  <c r="S494" i="3"/>
  <c r="S493" i="3"/>
  <c r="D493" i="3"/>
  <c r="S492" i="3"/>
  <c r="D492" i="3"/>
  <c r="S489" i="3"/>
  <c r="D458" i="3"/>
  <c r="S468" i="3"/>
  <c r="S490" i="3"/>
  <c r="S491" i="3"/>
  <c r="D478" i="3"/>
  <c r="S476" i="3"/>
  <c r="S486" i="3"/>
  <c r="D486" i="3"/>
  <c r="S487" i="3"/>
  <c r="D487" i="3"/>
  <c r="S483" i="3"/>
  <c r="D483" i="3"/>
  <c r="S481" i="3"/>
  <c r="S488" i="3"/>
  <c r="D481" i="3"/>
  <c r="S485" i="3"/>
  <c r="S484" i="3"/>
  <c r="D484" i="3"/>
  <c r="S479" i="3"/>
  <c r="D479" i="3"/>
  <c r="S478" i="3"/>
  <c r="S480" i="3"/>
  <c r="S477" i="3"/>
  <c r="S482" i="3"/>
  <c r="D482" i="3"/>
  <c r="S365" i="3"/>
  <c r="D365" i="3"/>
  <c r="P289" i="1"/>
  <c r="O289" i="1"/>
  <c r="D469" i="3"/>
  <c r="S475" i="3"/>
  <c r="D475" i="3"/>
  <c r="S474" i="3"/>
  <c r="D474" i="3"/>
  <c r="S469" i="3"/>
  <c r="D471" i="3"/>
  <c r="S471" i="3"/>
  <c r="D473" i="3"/>
  <c r="S473" i="3"/>
  <c r="D441" i="3"/>
  <c r="S441" i="3"/>
  <c r="S472" i="3"/>
  <c r="D472" i="3"/>
  <c r="D467" i="3"/>
  <c r="D466" i="3"/>
  <c r="S466" i="3"/>
  <c r="S467" i="3"/>
  <c r="D465" i="3"/>
  <c r="D464" i="3"/>
  <c r="D463" i="3"/>
  <c r="S461" i="3"/>
  <c r="D461" i="3"/>
  <c r="D460" i="3"/>
  <c r="D459" i="3"/>
  <c r="D455" i="3"/>
  <c r="S465" i="3"/>
  <c r="S464" i="3"/>
  <c r="S463" i="3"/>
  <c r="S460" i="3"/>
  <c r="S459" i="3"/>
  <c r="S455" i="3"/>
  <c r="S458" i="3"/>
  <c r="S456" i="3"/>
  <c r="D456" i="3"/>
  <c r="D457" i="3"/>
  <c r="S457" i="3"/>
  <c r="D449" i="3"/>
  <c r="S449" i="3"/>
  <c r="D448" i="3"/>
  <c r="S448" i="3"/>
  <c r="S450" i="3"/>
  <c r="D450" i="3"/>
  <c r="D453" i="3"/>
  <c r="S453" i="3"/>
  <c r="D445" i="3"/>
  <c r="S445" i="3"/>
  <c r="D454" i="3"/>
  <c r="S454" i="3"/>
  <c r="D446" i="3"/>
  <c r="S446" i="3"/>
  <c r="D451" i="3"/>
  <c r="S451" i="3"/>
  <c r="S452" i="3"/>
  <c r="D452" i="3"/>
  <c r="D438" i="3"/>
  <c r="D440" i="3"/>
  <c r="S438" i="3"/>
  <c r="S440" i="3"/>
  <c r="S442" i="3"/>
  <c r="D442" i="3"/>
  <c r="S444" i="3"/>
  <c r="D444" i="3"/>
  <c r="D439" i="3"/>
  <c r="S439" i="3"/>
  <c r="D375" i="3"/>
  <c r="D360" i="3"/>
  <c r="S360" i="3"/>
  <c r="D400" i="3"/>
  <c r="S399" i="3"/>
  <c r="D399" i="3"/>
  <c r="S401" i="3"/>
  <c r="D401" i="3"/>
  <c r="D432" i="3"/>
  <c r="D431" i="3"/>
  <c r="D430" i="3"/>
  <c r="S432" i="3"/>
  <c r="S431" i="3"/>
  <c r="S430" i="3"/>
  <c r="D436" i="3"/>
  <c r="S436" i="3"/>
  <c r="D427" i="3"/>
  <c r="S427" i="3"/>
  <c r="D428" i="3"/>
  <c r="S428" i="3"/>
  <c r="D429" i="3"/>
  <c r="S429" i="3"/>
  <c r="D426" i="3"/>
  <c r="S426" i="3"/>
  <c r="D425" i="3"/>
  <c r="S425" i="3"/>
  <c r="D424" i="3"/>
  <c r="S424" i="3"/>
  <c r="D395" i="3"/>
  <c r="S395" i="3"/>
  <c r="D404" i="3"/>
  <c r="D443" i="3"/>
  <c r="D433" i="3"/>
  <c r="D434" i="3"/>
  <c r="D435" i="3"/>
  <c r="D437" i="3"/>
  <c r="D418" i="3"/>
  <c r="D417" i="3"/>
  <c r="D413" i="3"/>
  <c r="D416" i="3"/>
  <c r="D415" i="3"/>
  <c r="D422" i="3"/>
  <c r="D419" i="3"/>
  <c r="D405" i="3"/>
  <c r="D414" i="3"/>
  <c r="D421" i="3"/>
  <c r="D411" i="3"/>
  <c r="D412" i="3"/>
  <c r="D406" i="3"/>
  <c r="D420" i="3"/>
  <c r="D423" i="3"/>
  <c r="D410" i="3"/>
  <c r="D403" i="3"/>
  <c r="D409" i="3"/>
  <c r="S435" i="3"/>
  <c r="S434" i="3"/>
  <c r="S433" i="3"/>
  <c r="S443" i="3"/>
  <c r="S437" i="3"/>
  <c r="P294" i="1"/>
  <c r="P295" i="1"/>
  <c r="P296" i="1"/>
  <c r="P297" i="1"/>
  <c r="P298" i="1"/>
  <c r="P299" i="1"/>
  <c r="P300" i="1"/>
  <c r="P301" i="1"/>
  <c r="P302" i="1"/>
  <c r="O294" i="1"/>
  <c r="O295" i="1"/>
  <c r="O296" i="1"/>
  <c r="O297" i="1"/>
  <c r="O298" i="1"/>
  <c r="O299" i="1"/>
  <c r="O300" i="1"/>
  <c r="O301" i="1"/>
  <c r="O302" i="1"/>
  <c r="O288" i="1"/>
  <c r="P288" i="1"/>
  <c r="S420" i="3"/>
  <c r="S421" i="3"/>
  <c r="S422" i="3"/>
  <c r="S419" i="3"/>
  <c r="S405" i="3"/>
  <c r="S414" i="3"/>
  <c r="S415" i="3"/>
  <c r="S416" i="3"/>
  <c r="S418" i="3"/>
  <c r="S417" i="3"/>
  <c r="S413" i="3"/>
  <c r="S406" i="3"/>
  <c r="S412" i="3"/>
  <c r="S411" i="3"/>
  <c r="S423" i="3"/>
  <c r="S410" i="3"/>
  <c r="S403" i="3"/>
  <c r="S409" i="3"/>
  <c r="S404" i="3"/>
  <c r="D407" i="3"/>
  <c r="D408" i="3"/>
  <c r="S407" i="3"/>
  <c r="S408" i="3"/>
  <c r="D398" i="3"/>
  <c r="S402" i="3"/>
  <c r="D402" i="3"/>
  <c r="S397" i="3"/>
  <c r="D397" i="3"/>
  <c r="S398" i="3"/>
  <c r="S400" i="3"/>
  <c r="S394" i="3"/>
  <c r="D394" i="3"/>
  <c r="S392" i="3"/>
  <c r="D392" i="3"/>
  <c r="S390" i="3"/>
  <c r="D390" i="3"/>
  <c r="S391" i="3"/>
  <c r="D391" i="3"/>
  <c r="D393" i="3"/>
  <c r="S393" i="3"/>
  <c r="S396" i="3"/>
  <c r="D396" i="3"/>
  <c r="S389" i="3"/>
  <c r="D389" i="3"/>
  <c r="P278" i="1"/>
  <c r="O278" i="1"/>
  <c r="D388" i="3"/>
  <c r="S388" i="3"/>
  <c r="D5" i="10"/>
  <c r="D387" i="3"/>
  <c r="S387" i="3"/>
  <c r="D386" i="3"/>
  <c r="S386" i="3"/>
  <c r="D379" i="3"/>
  <c r="D378" i="3"/>
  <c r="D377" i="3"/>
  <c r="S377" i="3"/>
  <c r="S378" i="3"/>
  <c r="S379" i="3"/>
  <c r="S381" i="3"/>
  <c r="D381" i="3"/>
  <c r="D385" i="3"/>
  <c r="S385" i="3"/>
  <c r="F5" i="10"/>
  <c r="E5" i="10"/>
  <c r="D380" i="3"/>
  <c r="S380" i="3"/>
  <c r="D383" i="3"/>
  <c r="D382" i="3"/>
  <c r="D362" i="3"/>
  <c r="S383" i="3"/>
  <c r="S382" i="3"/>
  <c r="D384" i="3"/>
  <c r="S384" i="3"/>
  <c r="S87" i="3"/>
  <c r="O277" i="1"/>
  <c r="P277" i="1"/>
  <c r="G48" i="6"/>
  <c r="G49" i="6"/>
  <c r="G61" i="6"/>
  <c r="D356" i="3"/>
  <c r="D364" i="3"/>
  <c r="D366" i="3"/>
  <c r="D368" i="3"/>
  <c r="D369" i="3"/>
  <c r="D370" i="3"/>
  <c r="D371" i="3"/>
  <c r="D372" i="3"/>
  <c r="D373" i="3"/>
  <c r="D374" i="3"/>
  <c r="D376" i="3"/>
  <c r="S376" i="3"/>
  <c r="S375" i="3"/>
  <c r="S374" i="3"/>
  <c r="S373" i="3"/>
  <c r="S372" i="3"/>
  <c r="S371" i="3"/>
  <c r="S370" i="3"/>
  <c r="S369" i="3"/>
  <c r="S368" i="3"/>
  <c r="S366" i="3"/>
  <c r="S364" i="3"/>
  <c r="D361" i="3"/>
  <c r="D367" i="3"/>
  <c r="S367" i="3"/>
  <c r="S362" i="3"/>
  <c r="S361" i="3"/>
  <c r="S357" i="3"/>
  <c r="D357" i="3"/>
  <c r="D358" i="3"/>
  <c r="S358" i="3"/>
  <c r="D359" i="3"/>
  <c r="S359" i="3"/>
  <c r="D355" i="3"/>
  <c r="D354" i="3"/>
  <c r="S363" i="3"/>
  <c r="D363" i="3"/>
  <c r="S356" i="3"/>
  <c r="S355" i="3"/>
  <c r="S354" i="3"/>
  <c r="D350" i="3"/>
  <c r="S350" i="3"/>
  <c r="D345" i="3"/>
  <c r="D349" i="3"/>
  <c r="S349" i="3"/>
  <c r="S345" i="3"/>
  <c r="S344" i="3"/>
  <c r="D344" i="3"/>
  <c r="D348" i="3"/>
  <c r="S348" i="3"/>
  <c r="S347" i="3"/>
  <c r="D347" i="3"/>
  <c r="D346" i="3"/>
  <c r="S346" i="3"/>
  <c r="P230" i="1"/>
  <c r="D340" i="3"/>
  <c r="S340" i="3"/>
  <c r="D341" i="3"/>
  <c r="S341" i="3"/>
  <c r="D343" i="3"/>
  <c r="S343" i="3"/>
  <c r="D339" i="3"/>
  <c r="S339" i="3"/>
  <c r="O233" i="1"/>
  <c r="S247" i="3"/>
  <c r="D337" i="3"/>
  <c r="S337" i="3"/>
  <c r="P242" i="1"/>
  <c r="O242" i="1"/>
  <c r="P241" i="1"/>
  <c r="P210" i="1"/>
  <c r="O256" i="6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9" i="1"/>
  <c r="P280" i="1"/>
  <c r="P281" i="1"/>
  <c r="P282" i="1"/>
  <c r="P283" i="1"/>
  <c r="P284" i="1"/>
  <c r="P285" i="1"/>
  <c r="P286" i="1"/>
  <c r="P287" i="1"/>
  <c r="P290" i="1"/>
  <c r="P291" i="1"/>
  <c r="P292" i="1"/>
  <c r="P293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8" i="1"/>
  <c r="P319" i="1"/>
  <c r="P320" i="1"/>
  <c r="P321" i="1"/>
  <c r="P325" i="1"/>
  <c r="P326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7" i="1"/>
  <c r="P348" i="1"/>
  <c r="P349" i="1"/>
  <c r="P350" i="1"/>
  <c r="P351" i="1"/>
  <c r="P352" i="1"/>
  <c r="P353" i="1"/>
  <c r="P354" i="1"/>
  <c r="P356" i="1"/>
  <c r="P359" i="1"/>
  <c r="P360" i="1"/>
  <c r="P361" i="1"/>
  <c r="P362" i="1"/>
  <c r="P363" i="1"/>
  <c r="P364" i="1"/>
  <c r="P375" i="1"/>
  <c r="P376" i="1"/>
  <c r="P377" i="1"/>
  <c r="P378" i="1"/>
  <c r="P379" i="1"/>
  <c r="P380" i="1"/>
  <c r="P381" i="1"/>
  <c r="P383" i="1"/>
  <c r="P384" i="1"/>
  <c r="P385" i="1"/>
  <c r="P390" i="1"/>
  <c r="P391" i="1"/>
  <c r="P392" i="1"/>
  <c r="P393" i="1"/>
  <c r="P394" i="1"/>
  <c r="P399" i="1"/>
  <c r="P401" i="1"/>
  <c r="P402" i="1"/>
  <c r="P403" i="1"/>
  <c r="P404" i="1"/>
  <c r="P405" i="1"/>
  <c r="P406" i="1"/>
  <c r="P409" i="1"/>
  <c r="P410" i="1"/>
  <c r="P411" i="1"/>
  <c r="P412" i="1"/>
  <c r="P413" i="1"/>
  <c r="P414" i="1"/>
  <c r="P415" i="1"/>
  <c r="P418" i="1"/>
  <c r="P419" i="1"/>
  <c r="P420" i="1"/>
  <c r="P421" i="1"/>
  <c r="P422" i="1"/>
  <c r="P423" i="1"/>
  <c r="P424" i="1"/>
  <c r="P425" i="1"/>
  <c r="P426" i="1"/>
  <c r="P427" i="1"/>
  <c r="P435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255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9" i="1"/>
  <c r="O280" i="1"/>
  <c r="O281" i="1"/>
  <c r="O282" i="1"/>
  <c r="O283" i="1"/>
  <c r="O284" i="1"/>
  <c r="O285" i="1"/>
  <c r="O286" i="1"/>
  <c r="O287" i="1"/>
  <c r="O290" i="1"/>
  <c r="O291" i="1"/>
  <c r="O292" i="1"/>
  <c r="O293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8" i="1"/>
  <c r="O319" i="1"/>
  <c r="O320" i="1"/>
  <c r="O321" i="1"/>
  <c r="O325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9" i="1"/>
  <c r="O360" i="1"/>
  <c r="O361" i="1"/>
  <c r="O362" i="1"/>
  <c r="O363" i="1"/>
  <c r="O364" i="1"/>
  <c r="O365" i="1"/>
  <c r="O375" i="1"/>
  <c r="O376" i="1"/>
  <c r="O377" i="1"/>
  <c r="O378" i="1"/>
  <c r="O379" i="1"/>
  <c r="O380" i="1"/>
  <c r="O381" i="1"/>
  <c r="O383" i="1"/>
  <c r="O384" i="1"/>
  <c r="O385" i="1"/>
  <c r="O390" i="1"/>
  <c r="O391" i="1"/>
  <c r="O392" i="1"/>
  <c r="O393" i="1"/>
  <c r="O394" i="1"/>
  <c r="O399" i="1"/>
  <c r="O400" i="1"/>
  <c r="O402" i="1"/>
  <c r="O403" i="1"/>
  <c r="O404" i="1"/>
  <c r="O405" i="1"/>
  <c r="O406" i="1"/>
  <c r="O409" i="1"/>
  <c r="O410" i="1"/>
  <c r="O411" i="1"/>
  <c r="O412" i="1"/>
  <c r="O413" i="1"/>
  <c r="O414" i="1"/>
  <c r="O415" i="1"/>
  <c r="O418" i="1"/>
  <c r="O419" i="1"/>
  <c r="O420" i="1"/>
  <c r="O421" i="1"/>
  <c r="O422" i="1"/>
  <c r="O423" i="1"/>
  <c r="O424" i="1"/>
  <c r="O425" i="1"/>
  <c r="O426" i="1"/>
  <c r="O427" i="1"/>
  <c r="O435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S331" i="3"/>
  <c r="D331" i="3"/>
  <c r="D332" i="3"/>
  <c r="O241" i="1"/>
  <c r="S332" i="3"/>
  <c r="D257" i="3"/>
  <c r="D253" i="3"/>
  <c r="D277" i="3"/>
  <c r="S278" i="3"/>
  <c r="D278" i="3"/>
  <c r="S277" i="3"/>
  <c r="P240" i="1"/>
  <c r="O240" i="1"/>
  <c r="P253" i="1"/>
  <c r="O253" i="1"/>
  <c r="P232" i="1"/>
  <c r="D308" i="3"/>
  <c r="D309" i="3"/>
  <c r="D313" i="3"/>
  <c r="S308" i="3"/>
  <c r="S309" i="3"/>
  <c r="S313" i="3"/>
  <c r="D311" i="3"/>
  <c r="D310" i="3"/>
  <c r="D312" i="3"/>
  <c r="S312" i="3"/>
  <c r="S311" i="3"/>
  <c r="S310" i="3"/>
  <c r="S330" i="3"/>
  <c r="D330" i="3"/>
  <c r="D314" i="3"/>
  <c r="S314" i="3"/>
  <c r="D315" i="3"/>
  <c r="S315" i="3"/>
  <c r="P248" i="1"/>
  <c r="P249" i="1"/>
  <c r="O248" i="1"/>
  <c r="O249" i="1"/>
  <c r="P227" i="1"/>
  <c r="P226" i="1"/>
  <c r="P228" i="1"/>
  <c r="P229" i="1"/>
  <c r="P231" i="1"/>
  <c r="O226" i="1"/>
  <c r="O227" i="1"/>
  <c r="O228" i="1"/>
  <c r="O229" i="1"/>
  <c r="O230" i="1"/>
  <c r="O231" i="1"/>
  <c r="O232" i="1"/>
  <c r="D173" i="3"/>
  <c r="D157" i="3"/>
  <c r="S300" i="3"/>
  <c r="D307" i="3"/>
  <c r="D305" i="3"/>
  <c r="D304" i="3"/>
  <c r="D303" i="3"/>
  <c r="D292" i="3"/>
  <c r="S307" i="3"/>
  <c r="S305" i="3"/>
  <c r="S306" i="3"/>
  <c r="D306" i="3"/>
  <c r="S299" i="3"/>
  <c r="D299" i="3"/>
  <c r="S304" i="3"/>
  <c r="S303" i="3"/>
  <c r="S302" i="3"/>
  <c r="D302" i="3"/>
  <c r="S301" i="3"/>
  <c r="D301" i="3"/>
  <c r="D300" i="3"/>
  <c r="S293" i="3"/>
  <c r="D293" i="3"/>
  <c r="S297" i="3"/>
  <c r="D297" i="3"/>
  <c r="D294" i="3"/>
  <c r="S294" i="3"/>
  <c r="S296" i="3"/>
  <c r="D296" i="3"/>
  <c r="D282" i="3"/>
  <c r="D290" i="3"/>
  <c r="D281" i="3"/>
  <c r="D291" i="3"/>
  <c r="S282" i="3"/>
  <c r="S290" i="3"/>
  <c r="S281" i="3"/>
  <c r="S291" i="3"/>
  <c r="S292" i="3"/>
  <c r="S262" i="3"/>
  <c r="AD857" i="3" l="1"/>
  <c r="W857" i="3"/>
  <c r="X857" i="3" s="1"/>
  <c r="AD856" i="3"/>
  <c r="W856" i="3"/>
  <c r="X856" i="3" s="1"/>
  <c r="AD805" i="3"/>
  <c r="W805" i="3"/>
  <c r="X805" i="3" s="1"/>
  <c r="AD831" i="3"/>
  <c r="W831" i="3"/>
  <c r="X831" i="3" s="1"/>
  <c r="AD830" i="3"/>
  <c r="W830" i="3"/>
  <c r="X830" i="3" s="1"/>
  <c r="AD762" i="3"/>
  <c r="W762" i="3"/>
  <c r="X762" i="3" s="1"/>
  <c r="AD851" i="3"/>
  <c r="W851" i="3"/>
  <c r="X851" i="3" s="1"/>
  <c r="AD850" i="3"/>
  <c r="W850" i="3"/>
  <c r="X850" i="3" s="1"/>
  <c r="AD849" i="3"/>
  <c r="W849" i="3"/>
  <c r="X849" i="3" s="1"/>
  <c r="AD848" i="3"/>
  <c r="W848" i="3"/>
  <c r="X848" i="3" s="1"/>
  <c r="AD843" i="3"/>
  <c r="W843" i="3"/>
  <c r="X843" i="3" s="1"/>
  <c r="AD846" i="3"/>
  <c r="W846" i="3"/>
  <c r="X846" i="3" s="1"/>
  <c r="AD845" i="3"/>
  <c r="W845" i="3"/>
  <c r="X845" i="3" s="1"/>
  <c r="AD847" i="3"/>
  <c r="W847" i="3"/>
  <c r="X847" i="3" s="1"/>
  <c r="AD844" i="3"/>
  <c r="W844" i="3"/>
  <c r="X844" i="3" s="1"/>
  <c r="AD842" i="3"/>
  <c r="W842" i="3"/>
  <c r="X842" i="3" s="1"/>
  <c r="AD781" i="3"/>
  <c r="W781" i="3"/>
  <c r="X781" i="3" s="1"/>
  <c r="AD839" i="3"/>
  <c r="AI839" i="3" s="1"/>
  <c r="AD854" i="3"/>
  <c r="AE854" i="3" s="1"/>
  <c r="AD837" i="3"/>
  <c r="AE837" i="3" s="1"/>
  <c r="AD829" i="3"/>
  <c r="AI829" i="3" s="1"/>
  <c r="W837" i="3"/>
  <c r="X837" i="3" s="1"/>
  <c r="Y837" i="3" s="1"/>
  <c r="Z837" i="3" s="1"/>
  <c r="W855" i="3"/>
  <c r="X855" i="3" s="1"/>
  <c r="Y855" i="3" s="1"/>
  <c r="Z855" i="3" s="1"/>
  <c r="AC855" i="3" a="1"/>
  <c r="AC855" i="3" s="1"/>
  <c r="AH855" i="3" s="1"/>
  <c r="W829" i="3"/>
  <c r="X829" i="3" s="1"/>
  <c r="Y829" i="3" s="1"/>
  <c r="Z829" i="3" s="1"/>
  <c r="X854" i="3"/>
  <c r="Y854" i="3" s="1"/>
  <c r="AD822" i="3"/>
  <c r="AE822" i="3" s="1"/>
  <c r="AI855" i="3"/>
  <c r="W839" i="3"/>
  <c r="X839" i="3" s="1"/>
  <c r="AC854" i="3" a="1"/>
  <c r="AC854" i="3" s="1"/>
  <c r="AD835" i="3"/>
  <c r="W835" i="3"/>
  <c r="X835" i="3" s="1"/>
  <c r="AD834" i="3"/>
  <c r="W834" i="3"/>
  <c r="X834" i="3" s="1"/>
  <c r="AD833" i="3"/>
  <c r="W833" i="3"/>
  <c r="X833" i="3" s="1"/>
  <c r="AD832" i="3"/>
  <c r="W832" i="3"/>
  <c r="X832" i="3" s="1"/>
  <c r="AD811" i="3"/>
  <c r="W811" i="3"/>
  <c r="X811" i="3" s="1"/>
  <c r="AD798" i="3"/>
  <c r="W798" i="3"/>
  <c r="X798" i="3" s="1"/>
  <c r="X822" i="3"/>
  <c r="Y822" i="3" s="1"/>
  <c r="Z822" i="3" s="1"/>
  <c r="AD838" i="3"/>
  <c r="W838" i="3"/>
  <c r="X838" i="3" s="1"/>
  <c r="AD826" i="3"/>
  <c r="W826" i="3"/>
  <c r="X826" i="3" s="1"/>
  <c r="AD828" i="3"/>
  <c r="W828" i="3"/>
  <c r="X828" i="3" s="1"/>
  <c r="AD827" i="3"/>
  <c r="W827" i="3"/>
  <c r="X827" i="3" s="1"/>
  <c r="AD825" i="3"/>
  <c r="W825" i="3"/>
  <c r="X825" i="3" s="1"/>
  <c r="AD797" i="3"/>
  <c r="W797" i="3"/>
  <c r="X797" i="3" s="1"/>
  <c r="AD824" i="3"/>
  <c r="W824" i="3"/>
  <c r="X824" i="3" s="1"/>
  <c r="AD791" i="3"/>
  <c r="AE791" i="3" s="1"/>
  <c r="W791" i="3"/>
  <c r="X791" i="3" s="1"/>
  <c r="Y791" i="3" s="1"/>
  <c r="AD819" i="3"/>
  <c r="W819" i="3"/>
  <c r="X819" i="3" s="1"/>
  <c r="AD821" i="3"/>
  <c r="W821" i="3"/>
  <c r="X821" i="3" s="1"/>
  <c r="AD818" i="3"/>
  <c r="W818" i="3"/>
  <c r="X818" i="3" s="1"/>
  <c r="AD823" i="3"/>
  <c r="W823" i="3"/>
  <c r="X823" i="3" s="1"/>
  <c r="AC813" i="3" a="1"/>
  <c r="AC813" i="3" s="1"/>
  <c r="W786" i="3"/>
  <c r="X786" i="3" s="1"/>
  <c r="Y786" i="3" s="1"/>
  <c r="Z786" i="3" s="1"/>
  <c r="AD810" i="3"/>
  <c r="W810" i="3"/>
  <c r="X810" i="3" s="1"/>
  <c r="AD820" i="3"/>
  <c r="W820" i="3"/>
  <c r="X820" i="3" s="1"/>
  <c r="AD816" i="3"/>
  <c r="W816" i="3"/>
  <c r="X816" i="3" s="1"/>
  <c r="AD817" i="3"/>
  <c r="W817" i="3"/>
  <c r="X817" i="3" s="1"/>
  <c r="AD809" i="3"/>
  <c r="W809" i="3"/>
  <c r="X809" i="3" s="1"/>
  <c r="AD808" i="3"/>
  <c r="W808" i="3"/>
  <c r="X808" i="3" s="1"/>
  <c r="AD807" i="3"/>
  <c r="W807" i="3"/>
  <c r="X807" i="3" s="1"/>
  <c r="AD815" i="3"/>
  <c r="W815" i="3"/>
  <c r="X815" i="3" s="1"/>
  <c r="AD806" i="3"/>
  <c r="W806" i="3"/>
  <c r="X806" i="3" s="1"/>
  <c r="AD814" i="3"/>
  <c r="W814" i="3"/>
  <c r="X814" i="3" s="1"/>
  <c r="AD795" i="3"/>
  <c r="W795" i="3"/>
  <c r="X795" i="3" s="1"/>
  <c r="AD764" i="3"/>
  <c r="W764" i="3"/>
  <c r="X764" i="3" s="1"/>
  <c r="AD750" i="3"/>
  <c r="W750" i="3"/>
  <c r="X750" i="3" s="1"/>
  <c r="AD763" i="3"/>
  <c r="W763" i="3"/>
  <c r="X763" i="3" s="1"/>
  <c r="AD741" i="3"/>
  <c r="W741" i="3"/>
  <c r="X741" i="3" s="1"/>
  <c r="AD804" i="3"/>
  <c r="W804" i="3"/>
  <c r="X804" i="3" s="1"/>
  <c r="AD803" i="3"/>
  <c r="W803" i="3"/>
  <c r="X803" i="3" s="1"/>
  <c r="AD802" i="3"/>
  <c r="W802" i="3"/>
  <c r="X802" i="3" s="1"/>
  <c r="AD799" i="3"/>
  <c r="W799" i="3"/>
  <c r="X799" i="3" s="1"/>
  <c r="AD801" i="3"/>
  <c r="W801" i="3"/>
  <c r="X801" i="3" s="1"/>
  <c r="W793" i="3"/>
  <c r="X793" i="3" s="1"/>
  <c r="Y793" i="3" s="1"/>
  <c r="Z793" i="3" s="1"/>
  <c r="AD813" i="3"/>
  <c r="AE813" i="3" s="1"/>
  <c r="AE793" i="3"/>
  <c r="AD777" i="3"/>
  <c r="AE777" i="3" s="1"/>
  <c r="W777" i="3"/>
  <c r="X777" i="3" s="1"/>
  <c r="Y777" i="3" s="1"/>
  <c r="Z777" i="3" s="1"/>
  <c r="AI793" i="3"/>
  <c r="AD751" i="3"/>
  <c r="W751" i="3"/>
  <c r="X751" i="3" s="1"/>
  <c r="AD740" i="3"/>
  <c r="W740" i="3"/>
  <c r="X740" i="3" s="1"/>
  <c r="AD782" i="3"/>
  <c r="W782" i="3"/>
  <c r="X782" i="3" s="1"/>
  <c r="AD717" i="3"/>
  <c r="W717" i="3"/>
  <c r="X717" i="3" s="1"/>
  <c r="AD785" i="3"/>
  <c r="W785" i="3"/>
  <c r="X785" i="3" s="1"/>
  <c r="X813" i="3"/>
  <c r="Y813" i="3" s="1"/>
  <c r="Z813" i="3" s="1"/>
  <c r="AD786" i="3"/>
  <c r="AH786" i="3" s="1"/>
  <c r="AD789" i="3"/>
  <c r="W789" i="3"/>
  <c r="X789" i="3" s="1"/>
  <c r="AD853" i="3"/>
  <c r="W853" i="3"/>
  <c r="X853" i="3" s="1"/>
  <c r="AD841" i="3"/>
  <c r="W841" i="3"/>
  <c r="X841" i="3" s="1"/>
  <c r="AD840" i="3"/>
  <c r="W840" i="3"/>
  <c r="X840" i="3" s="1"/>
  <c r="AD852" i="3"/>
  <c r="W852" i="3"/>
  <c r="X852" i="3" s="1"/>
  <c r="AD794" i="3"/>
  <c r="W794" i="3"/>
  <c r="X794" i="3" s="1"/>
  <c r="AD792" i="3"/>
  <c r="W792" i="3"/>
  <c r="X792" i="3" s="1"/>
  <c r="AD796" i="3"/>
  <c r="W796" i="3"/>
  <c r="X796" i="3" s="1"/>
  <c r="AD752" i="3"/>
  <c r="W752" i="3"/>
  <c r="X752" i="3" s="1"/>
  <c r="AD784" i="3"/>
  <c r="W784" i="3"/>
  <c r="X784" i="3" s="1"/>
  <c r="AD778" i="3"/>
  <c r="W778" i="3"/>
  <c r="X778" i="3" s="1"/>
  <c r="AD812" i="3"/>
  <c r="W812" i="3"/>
  <c r="X812" i="3" s="1"/>
  <c r="AD776" i="3"/>
  <c r="W776" i="3"/>
  <c r="X776" i="3" s="1"/>
  <c r="AD780" i="3"/>
  <c r="W780" i="3"/>
  <c r="X780" i="3" s="1"/>
  <c r="AD783" i="3"/>
  <c r="W783" i="3"/>
  <c r="X783" i="3" s="1"/>
  <c r="AD800" i="3"/>
  <c r="W800" i="3"/>
  <c r="X800" i="3" s="1"/>
  <c r="AD779" i="3"/>
  <c r="W779" i="3"/>
  <c r="X779" i="3" s="1"/>
  <c r="AD773" i="3"/>
  <c r="W773" i="3"/>
  <c r="X773" i="3" s="1"/>
  <c r="AD775" i="3"/>
  <c r="W775" i="3"/>
  <c r="X775" i="3" s="1"/>
  <c r="AD772" i="3"/>
  <c r="W772" i="3"/>
  <c r="X772" i="3" s="1"/>
  <c r="AD790" i="3"/>
  <c r="W790" i="3"/>
  <c r="X790" i="3" s="1"/>
  <c r="AD771" i="3"/>
  <c r="W771" i="3"/>
  <c r="X771" i="3" s="1"/>
  <c r="AD774" i="3"/>
  <c r="W774" i="3"/>
  <c r="X774" i="3" s="1"/>
  <c r="AD767" i="3"/>
  <c r="W767" i="3"/>
  <c r="X767" i="3" s="1"/>
  <c r="AD788" i="3"/>
  <c r="W788" i="3"/>
  <c r="X788" i="3" s="1"/>
  <c r="AD787" i="3"/>
  <c r="W787" i="3"/>
  <c r="X787" i="3" s="1"/>
  <c r="AD769" i="3"/>
  <c r="W769" i="3"/>
  <c r="X769" i="3" s="1"/>
  <c r="AD761" i="3"/>
  <c r="W761" i="3"/>
  <c r="X761" i="3" s="1"/>
  <c r="AD760" i="3"/>
  <c r="W760" i="3"/>
  <c r="X760" i="3" s="1"/>
  <c r="AD759" i="3"/>
  <c r="W759" i="3"/>
  <c r="X759" i="3" s="1"/>
  <c r="AD757" i="3"/>
  <c r="W757" i="3"/>
  <c r="X757" i="3" s="1"/>
  <c r="AD758" i="3"/>
  <c r="W758" i="3"/>
  <c r="X758" i="3" s="1"/>
  <c r="AD756" i="3"/>
  <c r="W756" i="3"/>
  <c r="X756" i="3" s="1"/>
  <c r="AD754" i="3"/>
  <c r="W754" i="3"/>
  <c r="X754" i="3" s="1"/>
  <c r="AD755" i="3"/>
  <c r="W755" i="3"/>
  <c r="X755" i="3" s="1"/>
  <c r="AD748" i="3"/>
  <c r="W748" i="3"/>
  <c r="X748" i="3" s="1"/>
  <c r="AD836" i="3"/>
  <c r="W836" i="3"/>
  <c r="X836" i="3" s="1"/>
  <c r="AD770" i="3"/>
  <c r="W770" i="3"/>
  <c r="X770" i="3" s="1"/>
  <c r="AD749" i="3"/>
  <c r="W749" i="3"/>
  <c r="X749" i="3" s="1"/>
  <c r="AD768" i="3"/>
  <c r="W768" i="3"/>
  <c r="X768" i="3" s="1"/>
  <c r="AD766" i="3"/>
  <c r="W766" i="3"/>
  <c r="X766" i="3" s="1"/>
  <c r="AD728" i="3"/>
  <c r="W728" i="3"/>
  <c r="X728" i="3" s="1"/>
  <c r="AD747" i="3"/>
  <c r="W747" i="3"/>
  <c r="X747" i="3" s="1"/>
  <c r="AD745" i="3"/>
  <c r="W745" i="3"/>
  <c r="X745" i="3" s="1"/>
  <c r="AD746" i="3"/>
  <c r="W746" i="3"/>
  <c r="X746" i="3" s="1"/>
  <c r="AD744" i="3"/>
  <c r="W744" i="3"/>
  <c r="X744" i="3" s="1"/>
  <c r="AD743" i="3"/>
  <c r="W743" i="3"/>
  <c r="X743" i="3" s="1"/>
  <c r="AD742" i="3"/>
  <c r="W742" i="3"/>
  <c r="X742" i="3" s="1"/>
  <c r="AD739" i="3"/>
  <c r="W739" i="3"/>
  <c r="X739" i="3" s="1"/>
  <c r="AD738" i="3"/>
  <c r="W738" i="3"/>
  <c r="X738" i="3" s="1"/>
  <c r="AD765" i="3"/>
  <c r="W765" i="3"/>
  <c r="X765" i="3" s="1"/>
  <c r="AD753" i="3"/>
  <c r="W753" i="3"/>
  <c r="X753" i="3" s="1"/>
  <c r="AD737" i="3"/>
  <c r="W737" i="3"/>
  <c r="X737" i="3" s="1"/>
  <c r="AD735" i="3"/>
  <c r="W735" i="3"/>
  <c r="X735" i="3" s="1"/>
  <c r="AD736" i="3"/>
  <c r="W736" i="3"/>
  <c r="X736" i="3" s="1"/>
  <c r="AD734" i="3"/>
  <c r="W734" i="3"/>
  <c r="X734" i="3" s="1"/>
  <c r="AD733" i="3"/>
  <c r="W733" i="3"/>
  <c r="X733" i="3" s="1"/>
  <c r="AD732" i="3"/>
  <c r="W732" i="3"/>
  <c r="X732" i="3" s="1"/>
  <c r="AD730" i="3"/>
  <c r="W730" i="3"/>
  <c r="X730" i="3" s="1"/>
  <c r="AD729" i="3"/>
  <c r="W729" i="3"/>
  <c r="X729" i="3" s="1"/>
  <c r="AD731" i="3"/>
  <c r="W731" i="3"/>
  <c r="X731" i="3" s="1"/>
  <c r="AD727" i="3"/>
  <c r="W727" i="3"/>
  <c r="X727" i="3" s="1"/>
  <c r="AD726" i="3"/>
  <c r="W726" i="3"/>
  <c r="X726" i="3" s="1"/>
  <c r="AD725" i="3"/>
  <c r="W725" i="3"/>
  <c r="X725" i="3" s="1"/>
  <c r="AD724" i="3"/>
  <c r="W724" i="3"/>
  <c r="X724" i="3" s="1"/>
  <c r="AD723" i="3"/>
  <c r="W723" i="3"/>
  <c r="X723" i="3" s="1"/>
  <c r="AD722" i="3"/>
  <c r="W722" i="3"/>
  <c r="X722" i="3" s="1"/>
  <c r="AD721" i="3"/>
  <c r="W721" i="3"/>
  <c r="X721" i="3" s="1"/>
  <c r="AD720" i="3"/>
  <c r="W720" i="3"/>
  <c r="X720" i="3" s="1"/>
  <c r="AD719" i="3"/>
  <c r="W719" i="3"/>
  <c r="X719" i="3" s="1"/>
  <c r="AD718" i="3"/>
  <c r="W718" i="3"/>
  <c r="X718" i="3" s="1"/>
  <c r="AD716" i="3"/>
  <c r="W716" i="3"/>
  <c r="X716" i="3" s="1"/>
  <c r="AD713" i="3"/>
  <c r="W713" i="3"/>
  <c r="X713" i="3" s="1"/>
  <c r="AD712" i="3"/>
  <c r="W712" i="3"/>
  <c r="X712" i="3" s="1"/>
  <c r="AD715" i="3"/>
  <c r="W715" i="3"/>
  <c r="X715" i="3" s="1"/>
  <c r="AD714" i="3"/>
  <c r="W714" i="3"/>
  <c r="X714" i="3" s="1"/>
  <c r="AD711" i="3"/>
  <c r="W711" i="3"/>
  <c r="X711" i="3" s="1"/>
  <c r="AD710" i="3"/>
  <c r="W710" i="3"/>
  <c r="X710" i="3" s="1"/>
  <c r="AD709" i="3"/>
  <c r="W709" i="3"/>
  <c r="X709" i="3" s="1"/>
  <c r="W707" i="3"/>
  <c r="X707" i="3" s="1"/>
  <c r="AD707" i="3"/>
  <c r="AD704" i="3"/>
  <c r="AE704" i="3" s="1"/>
  <c r="AC704" i="3" a="1"/>
  <c r="AC704" i="3" s="1"/>
  <c r="AD706" i="3"/>
  <c r="AE706" i="3" s="1"/>
  <c r="AC706" i="3" a="1"/>
  <c r="AC706" i="3" s="1"/>
  <c r="AD705" i="3"/>
  <c r="AI705" i="3" s="1"/>
  <c r="AC705" i="3" a="1"/>
  <c r="AC705" i="3" s="1"/>
  <c r="AD708" i="3"/>
  <c r="W708" i="3"/>
  <c r="X708" i="3" s="1"/>
  <c r="W705" i="3"/>
  <c r="X705" i="3" s="1"/>
  <c r="W706" i="3"/>
  <c r="X706" i="3" s="1"/>
  <c r="W704" i="3"/>
  <c r="X704" i="3" s="1"/>
  <c r="Y704" i="3" s="1"/>
  <c r="Z704" i="3" s="1"/>
  <c r="AD703" i="3"/>
  <c r="W703" i="3"/>
  <c r="X703" i="3" s="1"/>
  <c r="AD684" i="3"/>
  <c r="AI684" i="3" s="1"/>
  <c r="W696" i="3"/>
  <c r="X696" i="3" s="1"/>
  <c r="X684" i="3"/>
  <c r="Y684" i="3" s="1"/>
  <c r="Z684" i="3" s="1"/>
  <c r="AD673" i="3"/>
  <c r="AH673" i="3" s="1"/>
  <c r="W692" i="3"/>
  <c r="X692" i="3" s="1"/>
  <c r="AD692" i="3"/>
  <c r="AH696" i="3"/>
  <c r="AI696" i="3"/>
  <c r="AE696" i="3"/>
  <c r="W673" i="3"/>
  <c r="X673" i="3" s="1"/>
  <c r="AD702" i="3"/>
  <c r="W702" i="3"/>
  <c r="X702" i="3" s="1"/>
  <c r="AD698" i="3"/>
  <c r="W698" i="3"/>
  <c r="X698" i="3" s="1"/>
  <c r="AD701" i="3"/>
  <c r="W701" i="3"/>
  <c r="X701" i="3" s="1"/>
  <c r="AD700" i="3"/>
  <c r="W700" i="3"/>
  <c r="X700" i="3" s="1"/>
  <c r="AD699" i="3"/>
  <c r="W699" i="3"/>
  <c r="X699" i="3" s="1"/>
  <c r="AD695" i="3"/>
  <c r="W695" i="3"/>
  <c r="X695" i="3" s="1"/>
  <c r="AD697" i="3"/>
  <c r="W697" i="3"/>
  <c r="X697" i="3" s="1"/>
  <c r="AD694" i="3"/>
  <c r="W694" i="3"/>
  <c r="X694" i="3" s="1"/>
  <c r="AD693" i="3"/>
  <c r="W693" i="3"/>
  <c r="X693" i="3" s="1"/>
  <c r="AD691" i="3"/>
  <c r="W691" i="3"/>
  <c r="X691" i="3" s="1"/>
  <c r="AD690" i="3"/>
  <c r="W690" i="3"/>
  <c r="X690" i="3" s="1"/>
  <c r="AD689" i="3"/>
  <c r="W689" i="3"/>
  <c r="X689" i="3" s="1"/>
  <c r="AD688" i="3"/>
  <c r="W688" i="3"/>
  <c r="X688" i="3" s="1"/>
  <c r="AD687" i="3"/>
  <c r="W687" i="3"/>
  <c r="X687" i="3" s="1"/>
  <c r="AD686" i="3"/>
  <c r="W686" i="3"/>
  <c r="X686" i="3" s="1"/>
  <c r="AD685" i="3"/>
  <c r="W685" i="3"/>
  <c r="X685" i="3" s="1"/>
  <c r="AD681" i="3"/>
  <c r="W681" i="3"/>
  <c r="X681" i="3" s="1"/>
  <c r="AD682" i="3"/>
  <c r="W682" i="3"/>
  <c r="X682" i="3" s="1"/>
  <c r="AD680" i="3"/>
  <c r="W680" i="3"/>
  <c r="X680" i="3" s="1"/>
  <c r="F11" i="7"/>
  <c r="AD679" i="3"/>
  <c r="W679" i="3"/>
  <c r="X679" i="3" s="1"/>
  <c r="AD678" i="3"/>
  <c r="W678" i="3"/>
  <c r="X678" i="3" s="1"/>
  <c r="AD677" i="3"/>
  <c r="W677" i="3"/>
  <c r="X677" i="3" s="1"/>
  <c r="AD676" i="3"/>
  <c r="W676" i="3"/>
  <c r="X676" i="3" s="1"/>
  <c r="AD675" i="3"/>
  <c r="W675" i="3"/>
  <c r="X675" i="3" s="1"/>
  <c r="AD674" i="3"/>
  <c r="W674" i="3"/>
  <c r="X674" i="3" s="1"/>
  <c r="AD672" i="3"/>
  <c r="W672" i="3"/>
  <c r="X672" i="3" s="1"/>
  <c r="AD671" i="3"/>
  <c r="W671" i="3"/>
  <c r="X671" i="3" s="1"/>
  <c r="AD670" i="3"/>
  <c r="W670" i="3"/>
  <c r="X670" i="3" s="1"/>
  <c r="AD669" i="3"/>
  <c r="W669" i="3"/>
  <c r="X669" i="3" s="1"/>
  <c r="AD668" i="3"/>
  <c r="W668" i="3"/>
  <c r="X668" i="3" s="1"/>
  <c r="AD665" i="3"/>
  <c r="W665" i="3"/>
  <c r="X665" i="3" s="1"/>
  <c r="AD666" i="3"/>
  <c r="W666" i="3"/>
  <c r="X666" i="3" s="1"/>
  <c r="W667" i="3"/>
  <c r="X667" i="3" s="1"/>
  <c r="AD664" i="3"/>
  <c r="W664" i="3"/>
  <c r="X664" i="3" s="1"/>
  <c r="AD661" i="3"/>
  <c r="W661" i="3"/>
  <c r="X661" i="3" s="1"/>
  <c r="AD660" i="3"/>
  <c r="W660" i="3"/>
  <c r="X660" i="3" s="1"/>
  <c r="AD663" i="3"/>
  <c r="W663" i="3"/>
  <c r="X663" i="3" s="1"/>
  <c r="AD662" i="3"/>
  <c r="W662" i="3"/>
  <c r="X662" i="3" s="1"/>
  <c r="AD659" i="3"/>
  <c r="W659" i="3"/>
  <c r="X659" i="3" s="1"/>
  <c r="AD683" i="3"/>
  <c r="W683" i="3"/>
  <c r="X683" i="3" s="1"/>
  <c r="AD657" i="3"/>
  <c r="W657" i="3"/>
  <c r="X657" i="3" s="1"/>
  <c r="W262" i="3"/>
  <c r="X262" i="3" s="1"/>
  <c r="AD262" i="3"/>
  <c r="W292" i="3"/>
  <c r="X292" i="3" s="1"/>
  <c r="AD292" i="3"/>
  <c r="W291" i="3"/>
  <c r="X291" i="3" s="1"/>
  <c r="AD291" i="3"/>
  <c r="W281" i="3"/>
  <c r="X281" i="3" s="1"/>
  <c r="AD281" i="3"/>
  <c r="W290" i="3"/>
  <c r="X290" i="3" s="1"/>
  <c r="AD290" i="3"/>
  <c r="W282" i="3"/>
  <c r="X282" i="3" s="1"/>
  <c r="AD282" i="3"/>
  <c r="W296" i="3"/>
  <c r="X296" i="3" s="1"/>
  <c r="AD296" i="3"/>
  <c r="W294" i="3"/>
  <c r="X294" i="3" s="1"/>
  <c r="Y294" i="3" s="1"/>
  <c r="AD294" i="3"/>
  <c r="W297" i="3"/>
  <c r="X297" i="3" s="1"/>
  <c r="AD297" i="3"/>
  <c r="W293" i="3"/>
  <c r="X293" i="3" s="1"/>
  <c r="AD293" i="3"/>
  <c r="W301" i="3"/>
  <c r="X301" i="3" s="1"/>
  <c r="AD301" i="3"/>
  <c r="W302" i="3"/>
  <c r="X302" i="3" s="1"/>
  <c r="AD302" i="3"/>
  <c r="W303" i="3"/>
  <c r="X303" i="3" s="1"/>
  <c r="AD303" i="3"/>
  <c r="W304" i="3"/>
  <c r="X304" i="3" s="1"/>
  <c r="AD304" i="3"/>
  <c r="W299" i="3"/>
  <c r="X299" i="3" s="1"/>
  <c r="AD299" i="3"/>
  <c r="W306" i="3"/>
  <c r="X306" i="3" s="1"/>
  <c r="AD306" i="3"/>
  <c r="W305" i="3"/>
  <c r="X305" i="3" s="1"/>
  <c r="AD305" i="3"/>
  <c r="W307" i="3"/>
  <c r="X307" i="3" s="1"/>
  <c r="AD307" i="3"/>
  <c r="W300" i="3"/>
  <c r="X300" i="3" s="1"/>
  <c r="AD300" i="3"/>
  <c r="W315" i="3"/>
  <c r="X315" i="3" s="1"/>
  <c r="Y315" i="3" s="1"/>
  <c r="AD315" i="3"/>
  <c r="W314" i="3"/>
  <c r="X314" i="3" s="1"/>
  <c r="AD314" i="3"/>
  <c r="W330" i="3"/>
  <c r="X330" i="3" s="1"/>
  <c r="AD330" i="3"/>
  <c r="W310" i="3"/>
  <c r="X310" i="3" s="1"/>
  <c r="AD310" i="3"/>
  <c r="W311" i="3"/>
  <c r="X311" i="3" s="1"/>
  <c r="AD311" i="3"/>
  <c r="W312" i="3"/>
  <c r="X312" i="3" s="1"/>
  <c r="AD312" i="3"/>
  <c r="W313" i="3"/>
  <c r="X313" i="3" s="1"/>
  <c r="AD313" i="3"/>
  <c r="W309" i="3"/>
  <c r="X309" i="3" s="1"/>
  <c r="AD309" i="3"/>
  <c r="W308" i="3"/>
  <c r="X308" i="3" s="1"/>
  <c r="AD308" i="3"/>
  <c r="W277" i="3"/>
  <c r="X277" i="3" s="1"/>
  <c r="AD277" i="3"/>
  <c r="W278" i="3"/>
  <c r="X278" i="3" s="1"/>
  <c r="AD278" i="3"/>
  <c r="W332" i="3"/>
  <c r="X332" i="3" s="1"/>
  <c r="AD332" i="3"/>
  <c r="W331" i="3"/>
  <c r="X331" i="3" s="1"/>
  <c r="AD331" i="3"/>
  <c r="W337" i="3"/>
  <c r="X337" i="3" s="1"/>
  <c r="AD337" i="3"/>
  <c r="W247" i="3"/>
  <c r="X247" i="3" s="1"/>
  <c r="AD247" i="3"/>
  <c r="W339" i="3"/>
  <c r="X339" i="3" s="1"/>
  <c r="AD339" i="3"/>
  <c r="W343" i="3"/>
  <c r="X343" i="3" s="1"/>
  <c r="Y343" i="3" s="1"/>
  <c r="Z343" i="3" s="1"/>
  <c r="AD343" i="3"/>
  <c r="W341" i="3"/>
  <c r="X341" i="3" s="1"/>
  <c r="AD341" i="3"/>
  <c r="W340" i="3"/>
  <c r="X340" i="3" s="1"/>
  <c r="AD340" i="3"/>
  <c r="W346" i="3"/>
  <c r="X346" i="3" s="1"/>
  <c r="AD346" i="3"/>
  <c r="W347" i="3"/>
  <c r="X347" i="3" s="1"/>
  <c r="AD347" i="3"/>
  <c r="W348" i="3"/>
  <c r="X348" i="3" s="1"/>
  <c r="AD348" i="3"/>
  <c r="W344" i="3"/>
  <c r="X344" i="3" s="1"/>
  <c r="AD344" i="3"/>
  <c r="W345" i="3"/>
  <c r="X345" i="3" s="1"/>
  <c r="AD345" i="3"/>
  <c r="W349" i="3"/>
  <c r="X349" i="3" s="1"/>
  <c r="AD349" i="3"/>
  <c r="W350" i="3"/>
  <c r="X350" i="3" s="1"/>
  <c r="AD350" i="3"/>
  <c r="W354" i="3"/>
  <c r="X354" i="3" s="1"/>
  <c r="AD354" i="3"/>
  <c r="W355" i="3"/>
  <c r="X355" i="3" s="1"/>
  <c r="AD355" i="3"/>
  <c r="W356" i="3"/>
  <c r="X356" i="3" s="1"/>
  <c r="AD356" i="3"/>
  <c r="W363" i="3"/>
  <c r="X363" i="3" s="1"/>
  <c r="AD363" i="3"/>
  <c r="W359" i="3"/>
  <c r="X359" i="3" s="1"/>
  <c r="AD359" i="3"/>
  <c r="W358" i="3"/>
  <c r="X358" i="3" s="1"/>
  <c r="AD358" i="3"/>
  <c r="W357" i="3"/>
  <c r="X357" i="3" s="1"/>
  <c r="Y357" i="3" s="1"/>
  <c r="AD357" i="3"/>
  <c r="W361" i="3"/>
  <c r="X361" i="3" s="1"/>
  <c r="AD361" i="3"/>
  <c r="W362" i="3"/>
  <c r="X362" i="3" s="1"/>
  <c r="AD362" i="3"/>
  <c r="W367" i="3"/>
  <c r="X367" i="3" s="1"/>
  <c r="AD367" i="3"/>
  <c r="W364" i="3"/>
  <c r="X364" i="3" s="1"/>
  <c r="AD364" i="3"/>
  <c r="W366" i="3"/>
  <c r="X366" i="3" s="1"/>
  <c r="AD366" i="3"/>
  <c r="W368" i="3"/>
  <c r="X368" i="3" s="1"/>
  <c r="AD368" i="3"/>
  <c r="W369" i="3"/>
  <c r="X369" i="3" s="1"/>
  <c r="AD369" i="3"/>
  <c r="W370" i="3"/>
  <c r="X370" i="3" s="1"/>
  <c r="AD370" i="3"/>
  <c r="W371" i="3"/>
  <c r="X371" i="3" s="1"/>
  <c r="AD371" i="3"/>
  <c r="W372" i="3"/>
  <c r="X372" i="3" s="1"/>
  <c r="AD372" i="3"/>
  <c r="W373" i="3"/>
  <c r="X373" i="3" s="1"/>
  <c r="AD373" i="3"/>
  <c r="W374" i="3"/>
  <c r="X374" i="3" s="1"/>
  <c r="AD374" i="3"/>
  <c r="W375" i="3"/>
  <c r="X375" i="3" s="1"/>
  <c r="AD375" i="3"/>
  <c r="W376" i="3"/>
  <c r="X376" i="3" s="1"/>
  <c r="AD376" i="3"/>
  <c r="W87" i="3"/>
  <c r="AD87" i="3"/>
  <c r="W384" i="3"/>
  <c r="X384" i="3" s="1"/>
  <c r="AD384" i="3"/>
  <c r="W382" i="3"/>
  <c r="X382" i="3" s="1"/>
  <c r="AD382" i="3"/>
  <c r="W383" i="3"/>
  <c r="X383" i="3" s="1"/>
  <c r="AD383" i="3"/>
  <c r="W380" i="3"/>
  <c r="X380" i="3" s="1"/>
  <c r="AD380" i="3"/>
  <c r="W385" i="3"/>
  <c r="X385" i="3" s="1"/>
  <c r="AD385" i="3"/>
  <c r="W381" i="3"/>
  <c r="X381" i="3" s="1"/>
  <c r="AD381" i="3"/>
  <c r="W379" i="3"/>
  <c r="X379" i="3" s="1"/>
  <c r="AD379" i="3"/>
  <c r="W378" i="3"/>
  <c r="X378" i="3" s="1"/>
  <c r="AD378" i="3"/>
  <c r="W377" i="3"/>
  <c r="X377" i="3" s="1"/>
  <c r="AD377" i="3"/>
  <c r="W386" i="3"/>
  <c r="X386" i="3" s="1"/>
  <c r="AD386" i="3"/>
  <c r="W387" i="3"/>
  <c r="X387" i="3" s="1"/>
  <c r="AD387" i="3"/>
  <c r="W388" i="3"/>
  <c r="X388" i="3" s="1"/>
  <c r="AD388" i="3"/>
  <c r="W389" i="3"/>
  <c r="X389" i="3" s="1"/>
  <c r="AD389" i="3"/>
  <c r="W396" i="3"/>
  <c r="X396" i="3" s="1"/>
  <c r="AD396" i="3"/>
  <c r="W393" i="3"/>
  <c r="X393" i="3" s="1"/>
  <c r="Y393" i="3" s="1"/>
  <c r="Z393" i="3" s="1"/>
  <c r="AD393" i="3"/>
  <c r="W391" i="3"/>
  <c r="X391" i="3" s="1"/>
  <c r="AD391" i="3"/>
  <c r="W390" i="3"/>
  <c r="X390" i="3" s="1"/>
  <c r="AD390" i="3"/>
  <c r="W392" i="3"/>
  <c r="X392" i="3" s="1"/>
  <c r="AD392" i="3"/>
  <c r="W394" i="3"/>
  <c r="X394" i="3" s="1"/>
  <c r="AD394" i="3"/>
  <c r="W400" i="3"/>
  <c r="X400" i="3" s="1"/>
  <c r="AD400" i="3"/>
  <c r="W398" i="3"/>
  <c r="X398" i="3" s="1"/>
  <c r="AD398" i="3"/>
  <c r="W397" i="3"/>
  <c r="X397" i="3" s="1"/>
  <c r="AD397" i="3"/>
  <c r="W402" i="3"/>
  <c r="X402" i="3" s="1"/>
  <c r="AD402" i="3"/>
  <c r="W408" i="3"/>
  <c r="X408" i="3" s="1"/>
  <c r="AD408" i="3"/>
  <c r="W407" i="3"/>
  <c r="X407" i="3" s="1"/>
  <c r="AD407" i="3"/>
  <c r="W404" i="3"/>
  <c r="X404" i="3" s="1"/>
  <c r="AD404" i="3"/>
  <c r="W409" i="3"/>
  <c r="X409" i="3" s="1"/>
  <c r="AD409" i="3"/>
  <c r="W403" i="3"/>
  <c r="X403" i="3" s="1"/>
  <c r="AD403" i="3"/>
  <c r="W410" i="3"/>
  <c r="X410" i="3" s="1"/>
  <c r="AD410" i="3"/>
  <c r="W423" i="3"/>
  <c r="X423" i="3" s="1"/>
  <c r="AD423" i="3"/>
  <c r="W411" i="3"/>
  <c r="X411" i="3" s="1"/>
  <c r="AD411" i="3"/>
  <c r="W412" i="3"/>
  <c r="X412" i="3" s="1"/>
  <c r="AD412" i="3"/>
  <c r="W406" i="3"/>
  <c r="X406" i="3" s="1"/>
  <c r="AD406" i="3"/>
  <c r="W413" i="3"/>
  <c r="X413" i="3" s="1"/>
  <c r="AD413" i="3"/>
  <c r="W417" i="3"/>
  <c r="X417" i="3" s="1"/>
  <c r="AD417" i="3"/>
  <c r="W418" i="3"/>
  <c r="X418" i="3" s="1"/>
  <c r="AD418" i="3"/>
  <c r="W416" i="3"/>
  <c r="X416" i="3" s="1"/>
  <c r="AD416" i="3"/>
  <c r="W415" i="3"/>
  <c r="X415" i="3" s="1"/>
  <c r="AD415" i="3"/>
  <c r="W414" i="3"/>
  <c r="X414" i="3" s="1"/>
  <c r="AD414" i="3"/>
  <c r="W405" i="3"/>
  <c r="X405" i="3" s="1"/>
  <c r="AD405" i="3"/>
  <c r="W419" i="3"/>
  <c r="X419" i="3" s="1"/>
  <c r="AD419" i="3"/>
  <c r="W422" i="3"/>
  <c r="X422" i="3" s="1"/>
  <c r="AD422" i="3"/>
  <c r="W421" i="3"/>
  <c r="X421" i="3" s="1"/>
  <c r="AD421" i="3"/>
  <c r="W420" i="3"/>
  <c r="X420" i="3" s="1"/>
  <c r="AD420" i="3"/>
  <c r="W437" i="3"/>
  <c r="X437" i="3" s="1"/>
  <c r="AD437" i="3"/>
  <c r="W443" i="3"/>
  <c r="X443" i="3" s="1"/>
  <c r="Y443" i="3" s="1"/>
  <c r="Z443" i="3" s="1"/>
  <c r="AD443" i="3"/>
  <c r="W433" i="3"/>
  <c r="X433" i="3" s="1"/>
  <c r="AD433" i="3"/>
  <c r="W434" i="3"/>
  <c r="X434" i="3" s="1"/>
  <c r="AD434" i="3"/>
  <c r="W435" i="3"/>
  <c r="X435" i="3" s="1"/>
  <c r="AD435" i="3"/>
  <c r="W395" i="3"/>
  <c r="X395" i="3" s="1"/>
  <c r="AD395" i="3"/>
  <c r="W424" i="3"/>
  <c r="X424" i="3" s="1"/>
  <c r="AD424" i="3"/>
  <c r="W425" i="3"/>
  <c r="X425" i="3" s="1"/>
  <c r="AD425" i="3"/>
  <c r="W426" i="3"/>
  <c r="X426" i="3" s="1"/>
  <c r="AD426" i="3"/>
  <c r="W429" i="3"/>
  <c r="X429" i="3" s="1"/>
  <c r="AD429" i="3"/>
  <c r="W428" i="3"/>
  <c r="X428" i="3" s="1"/>
  <c r="AD428" i="3"/>
  <c r="W427" i="3"/>
  <c r="X427" i="3" s="1"/>
  <c r="AD427" i="3"/>
  <c r="W436" i="3"/>
  <c r="X436" i="3" s="1"/>
  <c r="AD436" i="3"/>
  <c r="W430" i="3"/>
  <c r="X430" i="3" s="1"/>
  <c r="AD430" i="3"/>
  <c r="W431" i="3"/>
  <c r="X431" i="3" s="1"/>
  <c r="AD431" i="3"/>
  <c r="W432" i="3"/>
  <c r="X432" i="3" s="1"/>
  <c r="AD432" i="3"/>
  <c r="W401" i="3"/>
  <c r="X401" i="3" s="1"/>
  <c r="AD401" i="3"/>
  <c r="W399" i="3"/>
  <c r="X399" i="3" s="1"/>
  <c r="AD399" i="3"/>
  <c r="W360" i="3"/>
  <c r="X360" i="3" s="1"/>
  <c r="Y360" i="3" s="1"/>
  <c r="AD360" i="3"/>
  <c r="W439" i="3"/>
  <c r="X439" i="3" s="1"/>
  <c r="AD439" i="3"/>
  <c r="W444" i="3"/>
  <c r="X444" i="3" s="1"/>
  <c r="AD444" i="3"/>
  <c r="W442" i="3"/>
  <c r="X442" i="3" s="1"/>
  <c r="AD442" i="3"/>
  <c r="W440" i="3"/>
  <c r="X440" i="3" s="1"/>
  <c r="AD440" i="3"/>
  <c r="W438" i="3"/>
  <c r="X438" i="3" s="1"/>
  <c r="AD438" i="3"/>
  <c r="W452" i="3"/>
  <c r="X452" i="3" s="1"/>
  <c r="AD452" i="3"/>
  <c r="W451" i="3"/>
  <c r="X451" i="3" s="1"/>
  <c r="Y451" i="3" s="1"/>
  <c r="Z451" i="3" s="1"/>
  <c r="AD451" i="3"/>
  <c r="W446" i="3"/>
  <c r="X446" i="3" s="1"/>
  <c r="AD446" i="3"/>
  <c r="W454" i="3"/>
  <c r="X454" i="3" s="1"/>
  <c r="AD454" i="3"/>
  <c r="W445" i="3"/>
  <c r="X445" i="3" s="1"/>
  <c r="AD445" i="3"/>
  <c r="W453" i="3"/>
  <c r="X453" i="3" s="1"/>
  <c r="AD453" i="3"/>
  <c r="W450" i="3"/>
  <c r="X450" i="3" s="1"/>
  <c r="AD450" i="3"/>
  <c r="W448" i="3"/>
  <c r="X448" i="3" s="1"/>
  <c r="AD448" i="3"/>
  <c r="W449" i="3"/>
  <c r="X449" i="3" s="1"/>
  <c r="AD449" i="3"/>
  <c r="W457" i="3"/>
  <c r="X457" i="3" s="1"/>
  <c r="AD457" i="3"/>
  <c r="W456" i="3"/>
  <c r="X456" i="3" s="1"/>
  <c r="AD456" i="3"/>
  <c r="W458" i="3"/>
  <c r="X458" i="3" s="1"/>
  <c r="AD458" i="3"/>
  <c r="W455" i="3"/>
  <c r="X455" i="3" s="1"/>
  <c r="AD455" i="3"/>
  <c r="W459" i="3"/>
  <c r="X459" i="3" s="1"/>
  <c r="AD459" i="3"/>
  <c r="W460" i="3"/>
  <c r="X460" i="3" s="1"/>
  <c r="AD460" i="3"/>
  <c r="W463" i="3"/>
  <c r="X463" i="3" s="1"/>
  <c r="AD463" i="3"/>
  <c r="W464" i="3"/>
  <c r="X464" i="3" s="1"/>
  <c r="Y464" i="3" s="1"/>
  <c r="Z464" i="3" s="1"/>
  <c r="AD464" i="3"/>
  <c r="W465" i="3"/>
  <c r="X465" i="3" s="1"/>
  <c r="Y465" i="3" s="1"/>
  <c r="Z465" i="3" s="1"/>
  <c r="AD465" i="3"/>
  <c r="W461" i="3"/>
  <c r="X461" i="3" s="1"/>
  <c r="AD461" i="3"/>
  <c r="W467" i="3"/>
  <c r="X467" i="3" s="1"/>
  <c r="Y467" i="3" s="1"/>
  <c r="AD467" i="3"/>
  <c r="W466" i="3"/>
  <c r="X466" i="3" s="1"/>
  <c r="AD466" i="3"/>
  <c r="W472" i="3"/>
  <c r="X472" i="3" s="1"/>
  <c r="AD472" i="3"/>
  <c r="W441" i="3"/>
  <c r="X441" i="3" s="1"/>
  <c r="Y441" i="3" s="1"/>
  <c r="Z441" i="3" s="1"/>
  <c r="AD441" i="3"/>
  <c r="W473" i="3"/>
  <c r="X473" i="3" s="1"/>
  <c r="AD473" i="3"/>
  <c r="W471" i="3"/>
  <c r="X471" i="3" s="1"/>
  <c r="AD471" i="3"/>
  <c r="W469" i="3"/>
  <c r="X469" i="3" s="1"/>
  <c r="AD469" i="3"/>
  <c r="W474" i="3"/>
  <c r="X474" i="3" s="1"/>
  <c r="AD474" i="3"/>
  <c r="W475" i="3"/>
  <c r="X475" i="3" s="1"/>
  <c r="AD475" i="3"/>
  <c r="W365" i="3"/>
  <c r="X365" i="3" s="1"/>
  <c r="AD365" i="3"/>
  <c r="W482" i="3"/>
  <c r="X482" i="3" s="1"/>
  <c r="AD482" i="3"/>
  <c r="W477" i="3"/>
  <c r="X477" i="3" s="1"/>
  <c r="AD477" i="3"/>
  <c r="W480" i="3"/>
  <c r="X480" i="3" s="1"/>
  <c r="AD480" i="3"/>
  <c r="W478" i="3"/>
  <c r="X478" i="3" s="1"/>
  <c r="AD478" i="3"/>
  <c r="W479" i="3"/>
  <c r="X479" i="3" s="1"/>
  <c r="AD479" i="3"/>
  <c r="W484" i="3"/>
  <c r="X484" i="3" s="1"/>
  <c r="AD484" i="3"/>
  <c r="W485" i="3"/>
  <c r="X485" i="3" s="1"/>
  <c r="AD485" i="3"/>
  <c r="W488" i="3"/>
  <c r="X488" i="3" s="1"/>
  <c r="AD488" i="3"/>
  <c r="W481" i="3"/>
  <c r="X481" i="3" s="1"/>
  <c r="AD481" i="3"/>
  <c r="W483" i="3"/>
  <c r="X483" i="3" s="1"/>
  <c r="AD483" i="3"/>
  <c r="W487" i="3"/>
  <c r="X487" i="3" s="1"/>
  <c r="AD487" i="3"/>
  <c r="W486" i="3"/>
  <c r="X486" i="3" s="1"/>
  <c r="AD486" i="3"/>
  <c r="W476" i="3"/>
  <c r="X476" i="3" s="1"/>
  <c r="Y476" i="3" s="1"/>
  <c r="AD476" i="3"/>
  <c r="W491" i="3"/>
  <c r="X491" i="3" s="1"/>
  <c r="AD491" i="3"/>
  <c r="W490" i="3"/>
  <c r="X490" i="3" s="1"/>
  <c r="Y490" i="3" s="1"/>
  <c r="Z490" i="3" s="1"/>
  <c r="AD490" i="3"/>
  <c r="W468" i="3"/>
  <c r="X468" i="3" s="1"/>
  <c r="AD468" i="3"/>
  <c r="W489" i="3"/>
  <c r="X489" i="3" s="1"/>
  <c r="AD489" i="3"/>
  <c r="W492" i="3"/>
  <c r="X492" i="3" s="1"/>
  <c r="AD492" i="3"/>
  <c r="W493" i="3"/>
  <c r="X493" i="3" s="1"/>
  <c r="AD493" i="3"/>
  <c r="W494" i="3"/>
  <c r="X494" i="3" s="1"/>
  <c r="AD494" i="3"/>
  <c r="W495" i="3"/>
  <c r="X495" i="3" s="1"/>
  <c r="AD495" i="3"/>
  <c r="W496" i="3"/>
  <c r="X496" i="3" s="1"/>
  <c r="Y496" i="3" s="1"/>
  <c r="AD496" i="3"/>
  <c r="W497" i="3"/>
  <c r="X497" i="3" s="1"/>
  <c r="AD497" i="3"/>
  <c r="W498" i="3"/>
  <c r="X498" i="3" s="1"/>
  <c r="AD498" i="3"/>
  <c r="W499" i="3"/>
  <c r="X499" i="3" s="1"/>
  <c r="AD499" i="3"/>
  <c r="W500" i="3"/>
  <c r="AD500" i="3"/>
  <c r="W502" i="3"/>
  <c r="X502" i="3" s="1"/>
  <c r="AD502" i="3"/>
  <c r="W503" i="3"/>
  <c r="X503" i="3" s="1"/>
  <c r="AD503" i="3"/>
  <c r="W504" i="3"/>
  <c r="X504" i="3" s="1"/>
  <c r="Y504" i="3" s="1"/>
  <c r="AD504" i="3"/>
  <c r="W501" i="3"/>
  <c r="X501" i="3" s="1"/>
  <c r="Y501" i="3" s="1"/>
  <c r="Z501" i="3" s="1"/>
  <c r="AD501" i="3"/>
  <c r="W508" i="3"/>
  <c r="X508" i="3" s="1"/>
  <c r="Y508" i="3" s="1"/>
  <c r="Z508" i="3" s="1"/>
  <c r="AD508" i="3"/>
  <c r="W509" i="3"/>
  <c r="X509" i="3" s="1"/>
  <c r="Y509" i="3" s="1"/>
  <c r="Z509" i="3" s="1"/>
  <c r="AD509" i="3"/>
  <c r="W510" i="3"/>
  <c r="X510" i="3" s="1"/>
  <c r="AD510" i="3"/>
  <c r="W512" i="3"/>
  <c r="X512" i="3" s="1"/>
  <c r="AD512" i="3"/>
  <c r="W511" i="3"/>
  <c r="X511" i="3" s="1"/>
  <c r="AD511" i="3"/>
  <c r="W513" i="3"/>
  <c r="X513" i="3" s="1"/>
  <c r="AD513" i="3"/>
  <c r="W519" i="3"/>
  <c r="X519" i="3" s="1"/>
  <c r="AD519" i="3"/>
  <c r="W514" i="3"/>
  <c r="X514" i="3" s="1"/>
  <c r="Y514" i="3" s="1"/>
  <c r="Z514" i="3" s="1"/>
  <c r="AD514" i="3"/>
  <c r="W521" i="3"/>
  <c r="X521" i="3" s="1"/>
  <c r="AD521" i="3"/>
  <c r="W520" i="3"/>
  <c r="X520" i="3" s="1"/>
  <c r="AD520" i="3"/>
  <c r="W515" i="3"/>
  <c r="X515" i="3" s="1"/>
  <c r="AD515" i="3"/>
  <c r="W516" i="3"/>
  <c r="X516" i="3" s="1"/>
  <c r="AD516" i="3"/>
  <c r="W517" i="3"/>
  <c r="X517" i="3" s="1"/>
  <c r="AD517" i="3"/>
  <c r="W522" i="3"/>
  <c r="X522" i="3" s="1"/>
  <c r="AD522" i="3"/>
  <c r="W518" i="3"/>
  <c r="X518" i="3" s="1"/>
  <c r="AD518" i="3"/>
  <c r="W525" i="3"/>
  <c r="X525" i="3" s="1"/>
  <c r="AD525" i="3"/>
  <c r="W523" i="3"/>
  <c r="X523" i="3" s="1"/>
  <c r="AD523" i="3"/>
  <c r="W526" i="3"/>
  <c r="X526" i="3" s="1"/>
  <c r="AD526" i="3"/>
  <c r="W524" i="3"/>
  <c r="X524" i="3" s="1"/>
  <c r="AD524" i="3"/>
  <c r="W528" i="3"/>
  <c r="X528" i="3" s="1"/>
  <c r="AD528" i="3"/>
  <c r="W527" i="3"/>
  <c r="X527" i="3" s="1"/>
  <c r="Y527" i="3" s="1"/>
  <c r="AD527" i="3"/>
  <c r="W506" i="3"/>
  <c r="X506" i="3" s="1"/>
  <c r="Y506" i="3" s="1"/>
  <c r="AD506" i="3"/>
  <c r="W505" i="3"/>
  <c r="X505" i="3" s="1"/>
  <c r="Y505" i="3" s="1"/>
  <c r="Z505" i="3" s="1"/>
  <c r="AD505" i="3"/>
  <c r="W507" i="3"/>
  <c r="X507" i="3" s="1"/>
  <c r="AD507" i="3"/>
  <c r="W531" i="3"/>
  <c r="X531" i="3" s="1"/>
  <c r="AD531" i="3"/>
  <c r="W534" i="3"/>
  <c r="X534" i="3" s="1"/>
  <c r="AD534" i="3"/>
  <c r="W530" i="3"/>
  <c r="X530" i="3" s="1"/>
  <c r="AD530" i="3"/>
  <c r="W529" i="3"/>
  <c r="X529" i="3" s="1"/>
  <c r="AD529" i="3"/>
  <c r="W535" i="3"/>
  <c r="X535" i="3" s="1"/>
  <c r="AD535" i="3"/>
  <c r="W532" i="3"/>
  <c r="X532" i="3" s="1"/>
  <c r="AD532" i="3"/>
  <c r="W533" i="3"/>
  <c r="X533" i="3" s="1"/>
  <c r="AD533" i="3"/>
  <c r="W536" i="3"/>
  <c r="X536" i="3" s="1"/>
  <c r="AD536" i="3"/>
  <c r="W537" i="3"/>
  <c r="X537" i="3" s="1"/>
  <c r="AD537" i="3"/>
  <c r="W538" i="3"/>
  <c r="X538" i="3" s="1"/>
  <c r="AD538" i="3"/>
  <c r="W545" i="3"/>
  <c r="X545" i="3" s="1"/>
  <c r="AD545" i="3"/>
  <c r="W542" i="3"/>
  <c r="X542" i="3" s="1"/>
  <c r="Y542" i="3" s="1"/>
  <c r="Z542" i="3" s="1"/>
  <c r="AD542" i="3"/>
  <c r="W543" i="3"/>
  <c r="X543" i="3" s="1"/>
  <c r="Y543" i="3" s="1"/>
  <c r="AD543" i="3"/>
  <c r="W544" i="3"/>
  <c r="X544" i="3" s="1"/>
  <c r="Y544" i="3" s="1"/>
  <c r="AD544" i="3"/>
  <c r="W540" i="3"/>
  <c r="X540" i="3" s="1"/>
  <c r="Y540" i="3" s="1"/>
  <c r="AD540" i="3"/>
  <c r="W541" i="3"/>
  <c r="X541" i="3" s="1"/>
  <c r="Y541" i="3" s="1"/>
  <c r="AD541" i="3"/>
  <c r="W539" i="3"/>
  <c r="X539" i="3" s="1"/>
  <c r="AD539" i="3"/>
  <c r="W470" i="3"/>
  <c r="X470" i="3" s="1"/>
  <c r="AD470" i="3"/>
  <c r="W462" i="3"/>
  <c r="X462" i="3" s="1"/>
  <c r="AD462" i="3"/>
  <c r="W447" i="3"/>
  <c r="X447" i="3" s="1"/>
  <c r="AD447" i="3"/>
  <c r="W353" i="3"/>
  <c r="X353" i="3" s="1"/>
  <c r="AD353" i="3"/>
  <c r="W352" i="3"/>
  <c r="X352" i="3" s="1"/>
  <c r="AD352" i="3"/>
  <c r="W351" i="3"/>
  <c r="X351" i="3" s="1"/>
  <c r="AD351" i="3"/>
  <c r="W289" i="3"/>
  <c r="X289" i="3" s="1"/>
  <c r="AD289" i="3"/>
  <c r="W338" i="3"/>
  <c r="X338" i="3" s="1"/>
  <c r="AD338" i="3"/>
  <c r="W295" i="3"/>
  <c r="X295" i="3" s="1"/>
  <c r="AD295" i="3"/>
  <c r="W336" i="3"/>
  <c r="X336" i="3" s="1"/>
  <c r="AD336" i="3"/>
  <c r="W298" i="3"/>
  <c r="X298" i="3" s="1"/>
  <c r="AD298" i="3"/>
  <c r="W329" i="3"/>
  <c r="X329" i="3" s="1"/>
  <c r="AD329" i="3"/>
  <c r="W328" i="3"/>
  <c r="X328" i="3" s="1"/>
  <c r="AD328" i="3"/>
  <c r="W342" i="3"/>
  <c r="X342" i="3" s="1"/>
  <c r="AD342" i="3"/>
  <c r="W335" i="3"/>
  <c r="X335" i="3" s="1"/>
  <c r="AD335" i="3"/>
  <c r="W324" i="3"/>
  <c r="X324" i="3" s="1"/>
  <c r="AD324" i="3"/>
  <c r="W323" i="3"/>
  <c r="X323" i="3" s="1"/>
  <c r="AD323" i="3"/>
  <c r="W322" i="3"/>
  <c r="X322" i="3" s="1"/>
  <c r="AD322" i="3"/>
  <c r="W321" i="3"/>
  <c r="X321" i="3" s="1"/>
  <c r="AD321" i="3"/>
  <c r="W327" i="3"/>
  <c r="X327" i="3" s="1"/>
  <c r="AD327" i="3"/>
  <c r="W326" i="3"/>
  <c r="X326" i="3" s="1"/>
  <c r="AD326" i="3"/>
  <c r="W325" i="3"/>
  <c r="X325" i="3" s="1"/>
  <c r="AD325" i="3"/>
  <c r="W334" i="3"/>
  <c r="X334" i="3" s="1"/>
  <c r="AD334" i="3"/>
  <c r="W333" i="3"/>
  <c r="X333" i="3" s="1"/>
  <c r="AD333" i="3"/>
  <c r="W288" i="3"/>
  <c r="X288" i="3" s="1"/>
  <c r="AD288" i="3"/>
  <c r="W287" i="3"/>
  <c r="X287" i="3" s="1"/>
  <c r="AD287" i="3"/>
  <c r="W320" i="3"/>
  <c r="X320" i="3" s="1"/>
  <c r="AD320" i="3"/>
  <c r="W319" i="3"/>
  <c r="X319" i="3" s="1"/>
  <c r="AD319" i="3"/>
  <c r="W318" i="3"/>
  <c r="X318" i="3" s="1"/>
  <c r="AD318" i="3"/>
  <c r="W317" i="3"/>
  <c r="X317" i="3" s="1"/>
  <c r="AD317" i="3"/>
  <c r="W316" i="3"/>
  <c r="X316" i="3" s="1"/>
  <c r="AD316" i="3"/>
  <c r="W283" i="3"/>
  <c r="X283" i="3" s="1"/>
  <c r="AD283" i="3"/>
  <c r="W286" i="3"/>
  <c r="X286" i="3" s="1"/>
  <c r="AD286" i="3"/>
  <c r="W285" i="3"/>
  <c r="X285" i="3" s="1"/>
  <c r="AD285" i="3"/>
  <c r="W284" i="3"/>
  <c r="X284" i="3" s="1"/>
  <c r="AD284" i="3"/>
  <c r="W563" i="3"/>
  <c r="X563" i="3" s="1"/>
  <c r="AD563" i="3"/>
  <c r="W553" i="3"/>
  <c r="X553" i="3" s="1"/>
  <c r="AD553" i="3"/>
  <c r="W550" i="3"/>
  <c r="X550" i="3" s="1"/>
  <c r="AD550" i="3"/>
  <c r="W554" i="3"/>
  <c r="X554" i="3" s="1"/>
  <c r="AD554" i="3"/>
  <c r="W556" i="3"/>
  <c r="X556" i="3" s="1"/>
  <c r="AD556" i="3"/>
  <c r="W555" i="3"/>
  <c r="X555" i="3" s="1"/>
  <c r="AD555" i="3"/>
  <c r="W558" i="3"/>
  <c r="X558" i="3" s="1"/>
  <c r="AD558" i="3"/>
  <c r="W559" i="3"/>
  <c r="X559" i="3" s="1"/>
  <c r="AD559" i="3"/>
  <c r="W557" i="3"/>
  <c r="X557" i="3" s="1"/>
  <c r="AD557" i="3"/>
  <c r="W562" i="3"/>
  <c r="X562" i="3" s="1"/>
  <c r="Y562" i="3" s="1"/>
  <c r="AD562" i="3"/>
  <c r="W560" i="3"/>
  <c r="X560" i="3" s="1"/>
  <c r="AD560" i="3"/>
  <c r="W561" i="3"/>
  <c r="X561" i="3" s="1"/>
  <c r="AD561" i="3"/>
  <c r="W566" i="3"/>
  <c r="X566" i="3" s="1"/>
  <c r="AD566" i="3"/>
  <c r="W565" i="3"/>
  <c r="X565" i="3" s="1"/>
  <c r="Y565" i="3" s="1"/>
  <c r="Z565" i="3" s="1"/>
  <c r="AD565" i="3"/>
  <c r="W564" i="3"/>
  <c r="X564" i="3" s="1"/>
  <c r="AD564" i="3"/>
  <c r="W567" i="3"/>
  <c r="X567" i="3" s="1"/>
  <c r="AD567" i="3"/>
  <c r="W568" i="3"/>
  <c r="X568" i="3" s="1"/>
  <c r="AD568" i="3"/>
  <c r="W569" i="3"/>
  <c r="X569" i="3" s="1"/>
  <c r="AD569" i="3"/>
  <c r="W570" i="3"/>
  <c r="X570" i="3" s="1"/>
  <c r="AD570" i="3"/>
  <c r="W571" i="3"/>
  <c r="X571" i="3" s="1"/>
  <c r="AD571" i="3"/>
  <c r="W572" i="3"/>
  <c r="X572" i="3" s="1"/>
  <c r="Y572" i="3" s="1"/>
  <c r="Z572" i="3" s="1"/>
  <c r="AD572" i="3"/>
  <c r="W573" i="3"/>
  <c r="X573" i="3" s="1"/>
  <c r="Y573" i="3" s="1"/>
  <c r="AD573" i="3"/>
  <c r="W574" i="3"/>
  <c r="X574" i="3" s="1"/>
  <c r="AD574" i="3"/>
  <c r="W575" i="3"/>
  <c r="X575" i="3" s="1"/>
  <c r="AD575" i="3"/>
  <c r="W577" i="3"/>
  <c r="X577" i="3" s="1"/>
  <c r="AD577" i="3"/>
  <c r="W576" i="3"/>
  <c r="X576" i="3" s="1"/>
  <c r="Y576" i="3" s="1"/>
  <c r="Z576" i="3" s="1"/>
  <c r="AD576" i="3"/>
  <c r="W580" i="3"/>
  <c r="X580" i="3" s="1"/>
  <c r="AD580" i="3"/>
  <c r="W578" i="3"/>
  <c r="X578" i="3" s="1"/>
  <c r="Y578" i="3" s="1"/>
  <c r="Z578" i="3" s="1"/>
  <c r="AD578" i="3"/>
  <c r="AE578" i="3" s="1"/>
  <c r="W579" i="3"/>
  <c r="X579" i="3" s="1"/>
  <c r="Y579" i="3" s="1"/>
  <c r="Z579" i="3" s="1"/>
  <c r="AD579" i="3"/>
  <c r="W581" i="3"/>
  <c r="X581" i="3" s="1"/>
  <c r="AD581" i="3"/>
  <c r="W582" i="3"/>
  <c r="X582" i="3" s="1"/>
  <c r="AD582" i="3"/>
  <c r="W584" i="3"/>
  <c r="X584" i="3" s="1"/>
  <c r="AD584" i="3"/>
  <c r="W589" i="3"/>
  <c r="X589" i="3" s="1"/>
  <c r="AD589" i="3"/>
  <c r="W583" i="3"/>
  <c r="X583" i="3" s="1"/>
  <c r="AD583" i="3"/>
  <c r="W585" i="3"/>
  <c r="X585" i="3" s="1"/>
  <c r="AD585" i="3"/>
  <c r="W586" i="3"/>
  <c r="X586" i="3" s="1"/>
  <c r="AD586" i="3"/>
  <c r="W591" i="3"/>
  <c r="X591" i="3" s="1"/>
  <c r="AD591" i="3"/>
  <c r="W592" i="3"/>
  <c r="X592" i="3" s="1"/>
  <c r="AD592" i="3"/>
  <c r="W593" i="3"/>
  <c r="X593" i="3" s="1"/>
  <c r="Y593" i="3" s="1"/>
  <c r="AD593" i="3"/>
  <c r="W595" i="3"/>
  <c r="X595" i="3" s="1"/>
  <c r="AD595" i="3"/>
  <c r="W596" i="3"/>
  <c r="X596" i="3" s="1"/>
  <c r="AD596" i="3"/>
  <c r="W546" i="3"/>
  <c r="X546" i="3" s="1"/>
  <c r="Y546" i="3" s="1"/>
  <c r="Z546" i="3" s="1"/>
  <c r="AD546" i="3"/>
  <c r="W549" i="3"/>
  <c r="X549" i="3" s="1"/>
  <c r="AD549" i="3"/>
  <c r="W547" i="3"/>
  <c r="X547" i="3" s="1"/>
  <c r="AD547" i="3"/>
  <c r="W548" i="3"/>
  <c r="X548" i="3" s="1"/>
  <c r="AD548" i="3"/>
  <c r="W551" i="3"/>
  <c r="X551" i="3" s="1"/>
  <c r="AD551" i="3"/>
  <c r="W552" i="3"/>
  <c r="X552" i="3" s="1"/>
  <c r="AD552" i="3"/>
  <c r="W587" i="3"/>
  <c r="X587" i="3" s="1"/>
  <c r="AD587" i="3"/>
  <c r="W588" i="3"/>
  <c r="X588" i="3" s="1"/>
  <c r="AD588" i="3"/>
  <c r="W590" i="3"/>
  <c r="X590" i="3" s="1"/>
  <c r="AD590" i="3"/>
  <c r="W594" i="3"/>
  <c r="X594" i="3" s="1"/>
  <c r="AD594" i="3"/>
  <c r="W599" i="3"/>
  <c r="X599" i="3" s="1"/>
  <c r="AD599" i="3"/>
  <c r="W597" i="3"/>
  <c r="X597" i="3" s="1"/>
  <c r="AD597" i="3"/>
  <c r="W600" i="3"/>
  <c r="X600" i="3" s="1"/>
  <c r="AD600" i="3"/>
  <c r="W602" i="3"/>
  <c r="X602" i="3" s="1"/>
  <c r="AD602" i="3"/>
  <c r="W598" i="3"/>
  <c r="X598" i="3" s="1"/>
  <c r="AD598" i="3"/>
  <c r="W606" i="3"/>
  <c r="X606" i="3" s="1"/>
  <c r="AD606" i="3"/>
  <c r="W604" i="3"/>
  <c r="X604" i="3" s="1"/>
  <c r="AD604" i="3"/>
  <c r="W603" i="3"/>
  <c r="X603" i="3" s="1"/>
  <c r="AD603" i="3"/>
  <c r="W601" i="3"/>
  <c r="X601" i="3" s="1"/>
  <c r="AD601" i="3"/>
  <c r="W607" i="3"/>
  <c r="X607" i="3" s="1"/>
  <c r="AD607" i="3"/>
  <c r="W610" i="3"/>
  <c r="X610" i="3" s="1"/>
  <c r="AD610" i="3"/>
  <c r="W611" i="3"/>
  <c r="X611" i="3" s="1"/>
  <c r="AD611" i="3"/>
  <c r="W613" i="3"/>
  <c r="X613" i="3" s="1"/>
  <c r="AD613" i="3"/>
  <c r="W608" i="3"/>
  <c r="X608" i="3" s="1"/>
  <c r="AD608" i="3"/>
  <c r="W609" i="3"/>
  <c r="X609" i="3" s="1"/>
  <c r="AD609" i="3"/>
  <c r="W614" i="3"/>
  <c r="X614" i="3" s="1"/>
  <c r="AD614" i="3"/>
  <c r="W615" i="3"/>
  <c r="X615" i="3" s="1"/>
  <c r="AD615" i="3"/>
  <c r="W617" i="3"/>
  <c r="X617" i="3" s="1"/>
  <c r="AD617" i="3"/>
  <c r="W616" i="3"/>
  <c r="X616" i="3" s="1"/>
  <c r="AD616" i="3"/>
  <c r="W605" i="3"/>
  <c r="X605" i="3" s="1"/>
  <c r="AD605" i="3"/>
  <c r="AE605" i="3" s="1"/>
  <c r="W612" i="3"/>
  <c r="X612" i="3" s="1"/>
  <c r="AD612" i="3"/>
  <c r="AE612" i="3" s="1"/>
  <c r="W618" i="3"/>
  <c r="X618" i="3" s="1"/>
  <c r="AD618" i="3"/>
  <c r="AE618" i="3" s="1"/>
  <c r="W619" i="3"/>
  <c r="X619" i="3" s="1"/>
  <c r="AD619" i="3"/>
  <c r="AE619" i="3" s="1"/>
  <c r="W620" i="3"/>
  <c r="X620" i="3" s="1"/>
  <c r="AD620" i="3"/>
  <c r="AE620" i="3" s="1"/>
  <c r="W621" i="3"/>
  <c r="X621" i="3" s="1"/>
  <c r="AD621" i="3"/>
  <c r="AE621" i="3" s="1"/>
  <c r="W622" i="3"/>
  <c r="X622" i="3" s="1"/>
  <c r="AD622" i="3"/>
  <c r="AE622" i="3" s="1"/>
  <c r="W623" i="3"/>
  <c r="X623" i="3" s="1"/>
  <c r="AD623" i="3"/>
  <c r="AE623" i="3" s="1"/>
  <c r="W629" i="3"/>
  <c r="X629" i="3" s="1"/>
  <c r="AD629" i="3"/>
  <c r="AE629" i="3" s="1"/>
  <c r="W624" i="3"/>
  <c r="X624" i="3" s="1"/>
  <c r="AD624" i="3"/>
  <c r="AE624" i="3" s="1"/>
  <c r="W630" i="3"/>
  <c r="X630" i="3" s="1"/>
  <c r="AD630" i="3"/>
  <c r="AE630" i="3" s="1"/>
  <c r="W626" i="3"/>
  <c r="X626" i="3" s="1"/>
  <c r="AD626" i="3"/>
  <c r="AE626" i="3" s="1"/>
  <c r="W627" i="3"/>
  <c r="X627" i="3" s="1"/>
  <c r="AD627" i="3"/>
  <c r="AE627" i="3" s="1"/>
  <c r="W625" i="3"/>
  <c r="X625" i="3" s="1"/>
  <c r="AD625" i="3"/>
  <c r="AE625" i="3" s="1"/>
  <c r="W628" i="3"/>
  <c r="X628" i="3" s="1"/>
  <c r="AD628" i="3"/>
  <c r="W636" i="3"/>
  <c r="X636" i="3" s="1"/>
  <c r="AD636" i="3"/>
  <c r="AE636" i="3" s="1"/>
  <c r="W635" i="3"/>
  <c r="X635" i="3" s="1"/>
  <c r="AD635" i="3"/>
  <c r="AE635" i="3" s="1"/>
  <c r="W633" i="3"/>
  <c r="X633" i="3" s="1"/>
  <c r="AD633" i="3"/>
  <c r="AE633" i="3" s="1"/>
  <c r="W631" i="3"/>
  <c r="X631" i="3" s="1"/>
  <c r="AD631" i="3"/>
  <c r="AE631" i="3" s="1"/>
  <c r="W632" i="3"/>
  <c r="X632" i="3" s="1"/>
  <c r="AD632" i="3"/>
  <c r="AE632" i="3" s="1"/>
  <c r="W634" i="3"/>
  <c r="X634" i="3" s="1"/>
  <c r="AD634" i="3"/>
  <c r="AE634" i="3" s="1"/>
  <c r="W637" i="3"/>
  <c r="X637" i="3" s="1"/>
  <c r="AD637" i="3"/>
  <c r="AE637" i="3" s="1"/>
  <c r="W640" i="3"/>
  <c r="X640" i="3" s="1"/>
  <c r="AD640" i="3"/>
  <c r="W639" i="3"/>
  <c r="X639" i="3" s="1"/>
  <c r="AD639" i="3"/>
  <c r="W641" i="3"/>
  <c r="X641" i="3" s="1"/>
  <c r="AD641" i="3"/>
  <c r="W642" i="3"/>
  <c r="X642" i="3" s="1"/>
  <c r="AD642" i="3"/>
  <c r="W644" i="3"/>
  <c r="X644" i="3" s="1"/>
  <c r="AD644" i="3"/>
  <c r="W643" i="3"/>
  <c r="X643" i="3" s="1"/>
  <c r="AD643" i="3"/>
  <c r="W638" i="3"/>
  <c r="X638" i="3" s="1"/>
  <c r="AD638" i="3"/>
  <c r="W648" i="3"/>
  <c r="X648" i="3" s="1"/>
  <c r="AD648" i="3"/>
  <c r="W646" i="3"/>
  <c r="X646" i="3" s="1"/>
  <c r="AD646" i="3"/>
  <c r="W647" i="3"/>
  <c r="X647" i="3" s="1"/>
  <c r="AD647" i="3"/>
  <c r="W645" i="3"/>
  <c r="X645" i="3" s="1"/>
  <c r="AD645" i="3"/>
  <c r="W649" i="3"/>
  <c r="X649" i="3" s="1"/>
  <c r="AD649" i="3"/>
  <c r="W651" i="3"/>
  <c r="X651" i="3" s="1"/>
  <c r="AD651" i="3"/>
  <c r="W650" i="3"/>
  <c r="X650" i="3" s="1"/>
  <c r="AD650" i="3"/>
  <c r="W652" i="3"/>
  <c r="X652" i="3" s="1"/>
  <c r="AD652" i="3"/>
  <c r="W653" i="3"/>
  <c r="X653" i="3" s="1"/>
  <c r="AD653" i="3"/>
  <c r="W654" i="3"/>
  <c r="X654" i="3" s="1"/>
  <c r="AD654" i="3"/>
  <c r="W658" i="3"/>
  <c r="X658" i="3" s="1"/>
  <c r="AD658" i="3"/>
  <c r="W655" i="3"/>
  <c r="X655" i="3" s="1"/>
  <c r="AD655" i="3"/>
  <c r="W656" i="3"/>
  <c r="X656" i="3" s="1"/>
  <c r="AD656" i="3"/>
  <c r="AC581" i="3"/>
  <c r="AC359" i="3"/>
  <c r="AH359" i="3" s="1"/>
  <c r="AC367" i="3"/>
  <c r="AH367" i="3" s="1"/>
  <c r="AC374" i="3"/>
  <c r="AH374" i="3" s="1"/>
  <c r="AC375" i="3"/>
  <c r="AH375" i="3" s="1"/>
  <c r="AC433" i="3"/>
  <c r="AH433" i="3" s="1"/>
  <c r="AC360" i="3"/>
  <c r="AH360" i="3" s="1"/>
  <c r="AC439" i="3"/>
  <c r="AH439" i="3" s="1"/>
  <c r="AC444" i="3"/>
  <c r="AH444" i="3" s="1"/>
  <c r="AC442" i="3"/>
  <c r="AH442" i="3" s="1"/>
  <c r="AC440" i="3"/>
  <c r="AH440" i="3" s="1"/>
  <c r="AC452" i="3"/>
  <c r="AH452" i="3" s="1"/>
  <c r="AC446" i="3"/>
  <c r="AH446" i="3" s="1"/>
  <c r="AC454" i="3"/>
  <c r="AH454" i="3" s="1"/>
  <c r="AC445" i="3"/>
  <c r="AH445" i="3" s="1"/>
  <c r="AC453" i="3"/>
  <c r="AH453" i="3" s="1"/>
  <c r="AC448" i="3"/>
  <c r="AH448" i="3" s="1"/>
  <c r="AC449" i="3"/>
  <c r="AH449" i="3" s="1"/>
  <c r="AC457" i="3"/>
  <c r="AH457" i="3" s="1"/>
  <c r="AC458" i="3"/>
  <c r="AH458" i="3" s="1"/>
  <c r="AC459" i="3"/>
  <c r="AH459" i="3" s="1"/>
  <c r="AC460" i="3"/>
  <c r="AH460" i="3" s="1"/>
  <c r="AC463" i="3"/>
  <c r="AH463" i="3" s="1"/>
  <c r="AC464" i="3"/>
  <c r="AH464" i="3" s="1"/>
  <c r="AC465" i="3"/>
  <c r="AH465" i="3" s="1"/>
  <c r="AC461" i="3"/>
  <c r="AH461" i="3" s="1"/>
  <c r="AC466" i="3"/>
  <c r="AH466" i="3" s="1"/>
  <c r="AC441" i="3"/>
  <c r="AH441" i="3" s="1"/>
  <c r="AC473" i="3"/>
  <c r="AH473" i="3" s="1"/>
  <c r="AC469" i="3"/>
  <c r="AH469" i="3" s="1"/>
  <c r="AC474" i="3"/>
  <c r="AH474" i="3" s="1"/>
  <c r="AC475" i="3"/>
  <c r="AH475" i="3" s="1"/>
  <c r="AC365" i="3"/>
  <c r="AH365" i="3" s="1"/>
  <c r="AC482" i="3"/>
  <c r="AH482" i="3" s="1"/>
  <c r="AC477" i="3"/>
  <c r="AH477" i="3" s="1"/>
  <c r="AC480" i="3"/>
  <c r="AH480" i="3" s="1"/>
  <c r="AC478" i="3"/>
  <c r="AH478" i="3" s="1"/>
  <c r="AC479" i="3"/>
  <c r="AH479" i="3" s="1"/>
  <c r="AC484" i="3"/>
  <c r="AH484" i="3" s="1"/>
  <c r="AC485" i="3"/>
  <c r="AH485" i="3" s="1"/>
  <c r="AC488" i="3"/>
  <c r="AH488" i="3" s="1"/>
  <c r="AC481" i="3"/>
  <c r="AH481" i="3" s="1"/>
  <c r="AC483" i="3"/>
  <c r="AH483" i="3" s="1"/>
  <c r="AC487" i="3"/>
  <c r="AH487" i="3" s="1"/>
  <c r="AC486" i="3"/>
  <c r="AH486" i="3" s="1"/>
  <c r="AC490" i="3"/>
  <c r="AH490" i="3" s="1"/>
  <c r="AC468" i="3"/>
  <c r="AH468" i="3" s="1"/>
  <c r="AC489" i="3"/>
  <c r="AH489" i="3" s="1"/>
  <c r="AC492" i="3"/>
  <c r="AH492" i="3" s="1"/>
  <c r="AC494" i="3"/>
  <c r="AH494" i="3" s="1"/>
  <c r="AC495" i="3"/>
  <c r="AH495" i="3" s="1"/>
  <c r="AC497" i="3"/>
  <c r="AH497" i="3" s="1"/>
  <c r="AC498" i="3"/>
  <c r="AH498" i="3" s="1"/>
  <c r="AC499" i="3"/>
  <c r="AH499" i="3" s="1"/>
  <c r="AC500" i="3"/>
  <c r="AH500" i="3" s="1"/>
  <c r="AC502" i="3"/>
  <c r="AH502" i="3" s="1"/>
  <c r="AC503" i="3"/>
  <c r="AH503" i="3" s="1"/>
  <c r="AC504" i="3"/>
  <c r="AH504" i="3" s="1"/>
  <c r="AC501" i="3"/>
  <c r="AH501" i="3" s="1"/>
  <c r="AC509" i="3"/>
  <c r="AH509" i="3" s="1"/>
  <c r="AC510" i="3"/>
  <c r="AH510" i="3" s="1"/>
  <c r="AC512" i="3"/>
  <c r="AH512" i="3" s="1"/>
  <c r="AC513" i="3"/>
  <c r="AH513" i="3" s="1"/>
  <c r="AC514" i="3"/>
  <c r="AH514" i="3" s="1"/>
  <c r="AC521" i="3"/>
  <c r="AH521" i="3" s="1"/>
  <c r="AC520" i="3"/>
  <c r="AH520" i="3" s="1"/>
  <c r="AC517" i="3"/>
  <c r="AH517" i="3" s="1"/>
  <c r="AC522" i="3"/>
  <c r="AH522" i="3" s="1"/>
  <c r="AC518" i="3"/>
  <c r="AH518" i="3" s="1"/>
  <c r="AC523" i="3"/>
  <c r="AH523" i="3" s="1"/>
  <c r="AC526" i="3"/>
  <c r="AH526" i="3" s="1"/>
  <c r="AC524" i="3"/>
  <c r="AH524" i="3" s="1"/>
  <c r="AC531" i="3"/>
  <c r="AH531" i="3" s="1"/>
  <c r="AC534" i="3"/>
  <c r="AH534" i="3" s="1"/>
  <c r="AC530" i="3"/>
  <c r="AH530" i="3" s="1"/>
  <c r="AC529" i="3"/>
  <c r="AH529" i="3" s="1"/>
  <c r="AC535" i="3"/>
  <c r="AH535" i="3" s="1"/>
  <c r="AC532" i="3"/>
  <c r="AH532" i="3" s="1"/>
  <c r="AC533" i="3"/>
  <c r="AH533" i="3" s="1"/>
  <c r="AC536" i="3"/>
  <c r="AH536" i="3" s="1"/>
  <c r="AC537" i="3"/>
  <c r="AH537" i="3" s="1"/>
  <c r="AC538" i="3"/>
  <c r="AH538" i="3" s="1"/>
  <c r="AC545" i="3"/>
  <c r="AH545" i="3" s="1"/>
  <c r="AC543" i="3"/>
  <c r="AH543" i="3" s="1"/>
  <c r="AC539" i="3"/>
  <c r="AH539" i="3" s="1"/>
  <c r="AC470" i="3"/>
  <c r="AH470" i="3" s="1"/>
  <c r="AC462" i="3"/>
  <c r="AH462" i="3" s="1"/>
  <c r="AC447" i="3"/>
  <c r="AH447" i="3" s="1"/>
  <c r="AC353" i="3"/>
  <c r="AH353" i="3" s="1"/>
  <c r="AC352" i="3"/>
  <c r="AH352" i="3" s="1"/>
  <c r="AC351" i="3"/>
  <c r="AH351" i="3" s="1"/>
  <c r="AC289" i="3"/>
  <c r="AH289" i="3" s="1"/>
  <c r="AC338" i="3"/>
  <c r="AH338" i="3" s="1"/>
  <c r="AC295" i="3"/>
  <c r="AH295" i="3" s="1"/>
  <c r="AC336" i="3"/>
  <c r="AH336" i="3" s="1"/>
  <c r="AC298" i="3"/>
  <c r="AH298" i="3" s="1"/>
  <c r="AC329" i="3"/>
  <c r="AH329" i="3" s="1"/>
  <c r="AC328" i="3"/>
  <c r="AH328" i="3" s="1"/>
  <c r="AC342" i="3"/>
  <c r="AH342" i="3" s="1"/>
  <c r="AC335" i="3"/>
  <c r="AH335" i="3" s="1"/>
  <c r="AC324" i="3"/>
  <c r="AH324" i="3" s="1"/>
  <c r="AC323" i="3"/>
  <c r="AH323" i="3" s="1"/>
  <c r="AC322" i="3"/>
  <c r="AH322" i="3" s="1"/>
  <c r="AC321" i="3"/>
  <c r="AH321" i="3" s="1"/>
  <c r="AC327" i="3"/>
  <c r="AH327" i="3" s="1"/>
  <c r="AC326" i="3"/>
  <c r="AH326" i="3" s="1"/>
  <c r="AC325" i="3"/>
  <c r="AH325" i="3" s="1"/>
  <c r="AC334" i="3"/>
  <c r="AH334" i="3" s="1"/>
  <c r="AC333" i="3"/>
  <c r="AH333" i="3" s="1"/>
  <c r="AC288" i="3"/>
  <c r="AH288" i="3" s="1"/>
  <c r="AC287" i="3"/>
  <c r="AH287" i="3" s="1"/>
  <c r="AC320" i="3"/>
  <c r="AH320" i="3" s="1"/>
  <c r="AC319" i="3"/>
  <c r="AH319" i="3" s="1"/>
  <c r="AC318" i="3"/>
  <c r="AH318" i="3" s="1"/>
  <c r="AC317" i="3"/>
  <c r="AH317" i="3" s="1"/>
  <c r="AC316" i="3"/>
  <c r="AH316" i="3" s="1"/>
  <c r="AC283" i="3"/>
  <c r="AH283" i="3" s="1"/>
  <c r="AC286" i="3"/>
  <c r="AH286" i="3" s="1"/>
  <c r="AC285" i="3"/>
  <c r="AH285" i="3" s="1"/>
  <c r="AC284" i="3"/>
  <c r="AH284" i="3" s="1"/>
  <c r="AC563" i="3"/>
  <c r="AH563" i="3" s="1"/>
  <c r="AC553" i="3"/>
  <c r="AH553" i="3" s="1"/>
  <c r="AC550" i="3"/>
  <c r="AH550" i="3" s="1"/>
  <c r="AC554" i="3"/>
  <c r="AH554" i="3" s="1"/>
  <c r="AC556" i="3"/>
  <c r="AH556" i="3" s="1"/>
  <c r="AC555" i="3"/>
  <c r="AH555" i="3" s="1"/>
  <c r="AC558" i="3"/>
  <c r="AH558" i="3" s="1"/>
  <c r="AC559" i="3"/>
  <c r="AH559" i="3" s="1"/>
  <c r="AC557" i="3"/>
  <c r="AC560" i="3"/>
  <c r="AH560" i="3" s="1"/>
  <c r="AC565" i="3"/>
  <c r="AH565" i="3" s="1"/>
  <c r="AC564" i="3"/>
  <c r="AH564" i="3" s="1"/>
  <c r="AC568" i="3"/>
  <c r="AH568" i="3" s="1"/>
  <c r="AC569" i="3"/>
  <c r="AH569" i="3" s="1"/>
  <c r="AC572" i="3"/>
  <c r="AH572" i="3" s="1"/>
  <c r="AC573" i="3"/>
  <c r="AH573" i="3" s="1"/>
  <c r="AC574" i="3"/>
  <c r="AC575" i="3"/>
  <c r="AH575" i="3" s="1"/>
  <c r="AC577" i="3"/>
  <c r="AH577" i="3" s="1"/>
  <c r="AC576" i="3"/>
  <c r="AC580" i="3"/>
  <c r="AH580" i="3" s="1"/>
  <c r="AC578" i="3"/>
  <c r="AH578" i="3" s="1"/>
  <c r="AC584" i="3"/>
  <c r="AH584" i="3" s="1"/>
  <c r="AC589" i="3"/>
  <c r="AH589" i="3" s="1"/>
  <c r="AC583" i="3"/>
  <c r="AC591" i="3"/>
  <c r="AC592" i="3"/>
  <c r="AH592" i="3" s="1"/>
  <c r="AC593" i="3"/>
  <c r="AH593" i="3" s="1"/>
  <c r="AC595" i="3"/>
  <c r="AH595" i="3" s="1"/>
  <c r="AC596" i="3"/>
  <c r="AH596" i="3" s="1"/>
  <c r="AC546" i="3"/>
  <c r="AH546" i="3" s="1"/>
  <c r="AC549" i="3"/>
  <c r="AH549" i="3" s="1"/>
  <c r="AC548" i="3"/>
  <c r="AH548" i="3" s="1"/>
  <c r="AC551" i="3"/>
  <c r="AH551" i="3" s="1"/>
  <c r="AC552" i="3"/>
  <c r="AH552" i="3" s="1"/>
  <c r="AC587" i="3"/>
  <c r="AH587" i="3" s="1"/>
  <c r="AC588" i="3"/>
  <c r="AH588" i="3" s="1"/>
  <c r="AC590" i="3"/>
  <c r="AC594" i="3"/>
  <c r="AH594" i="3" s="1"/>
  <c r="AC597" i="3"/>
  <c r="AC600" i="3"/>
  <c r="AC602" i="3"/>
  <c r="AC598" i="3"/>
  <c r="AC603" i="3"/>
  <c r="AC607" i="3"/>
  <c r="AH607" i="3" s="1"/>
  <c r="AC610" i="3"/>
  <c r="AH610" i="3" s="1"/>
  <c r="AC611" i="3"/>
  <c r="AH611" i="3" s="1"/>
  <c r="AC613" i="3"/>
  <c r="AC609" i="3"/>
  <c r="AC614" i="3"/>
  <c r="AH615" i="3"/>
  <c r="AC343" i="3"/>
  <c r="AH343" i="3" s="1"/>
  <c r="AC540" i="3"/>
  <c r="AH540" i="3" s="1"/>
  <c r="AC476" i="3"/>
  <c r="AH476" i="3" s="1"/>
  <c r="AC508" i="3"/>
  <c r="AH508" i="3" s="1"/>
  <c r="AC496" i="3"/>
  <c r="AH496" i="3" s="1"/>
  <c r="AC467" i="3"/>
  <c r="AH467" i="3" s="1"/>
  <c r="AC491" i="3"/>
  <c r="AH491" i="3" s="1"/>
  <c r="AC505" i="3"/>
  <c r="AH505" i="3" s="1"/>
  <c r="AC582" i="3"/>
  <c r="AH582" i="3" s="1"/>
  <c r="AC456" i="3"/>
  <c r="AH456" i="3" s="1"/>
  <c r="AC393" i="3"/>
  <c r="AH393" i="3" s="1"/>
  <c r="AC599" i="3"/>
  <c r="AC544" i="3"/>
  <c r="AH544" i="3" s="1"/>
  <c r="AC601" i="3"/>
  <c r="AC542" i="3"/>
  <c r="AH542" i="3" s="1"/>
  <c r="AC547" i="3"/>
  <c r="AC541" i="3"/>
  <c r="AH541" i="3" s="1"/>
  <c r="AC507" i="3"/>
  <c r="AH507" i="3" s="1"/>
  <c r="AC438" i="3"/>
  <c r="AH438" i="3" s="1"/>
  <c r="AC506" i="3"/>
  <c r="AH506" i="3" s="1"/>
  <c r="AC586" i="3"/>
  <c r="AC571" i="3"/>
  <c r="AH571" i="3" s="1"/>
  <c r="AC493" i="3"/>
  <c r="AH493" i="3" s="1"/>
  <c r="AC443" i="3"/>
  <c r="AH443" i="3" s="1"/>
  <c r="AC432" i="3"/>
  <c r="AH432" i="3" s="1"/>
  <c r="AC431" i="3"/>
  <c r="AH431" i="3" s="1"/>
  <c r="AC430" i="3"/>
  <c r="AH430" i="3" s="1"/>
  <c r="AC436" i="3"/>
  <c r="AH436" i="3" s="1"/>
  <c r="AC427" i="3"/>
  <c r="AH427" i="3" s="1"/>
  <c r="AC428" i="3"/>
  <c r="AH428" i="3" s="1"/>
  <c r="AC429" i="3"/>
  <c r="AH429" i="3" s="1"/>
  <c r="AC426" i="3"/>
  <c r="AH426" i="3" s="1"/>
  <c r="AC425" i="3"/>
  <c r="AH425" i="3" s="1"/>
  <c r="AC424" i="3"/>
  <c r="AH424" i="3" s="1"/>
  <c r="AC395" i="3"/>
  <c r="AH395" i="3" s="1"/>
  <c r="AC435" i="3"/>
  <c r="AH435" i="3" s="1"/>
  <c r="AC434" i="3"/>
  <c r="AH434" i="3" s="1"/>
  <c r="AC437" i="3"/>
  <c r="AH437" i="3" s="1"/>
  <c r="AC413" i="3"/>
  <c r="AH413" i="3" s="1"/>
  <c r="AC417" i="3"/>
  <c r="AH417" i="3" s="1"/>
  <c r="AC418" i="3"/>
  <c r="AH418" i="3" s="1"/>
  <c r="AC416" i="3"/>
  <c r="AH416" i="3" s="1"/>
  <c r="AC415" i="3"/>
  <c r="AH415" i="3" s="1"/>
  <c r="AC414" i="3"/>
  <c r="AH414" i="3" s="1"/>
  <c r="AC405" i="3"/>
  <c r="AH405" i="3" s="1"/>
  <c r="AC419" i="3"/>
  <c r="AH419" i="3" s="1"/>
  <c r="AC422" i="3"/>
  <c r="AH422" i="3" s="1"/>
  <c r="AC421" i="3"/>
  <c r="AH421" i="3" s="1"/>
  <c r="AC420" i="3"/>
  <c r="AH420" i="3" s="1"/>
  <c r="AC406" i="3"/>
  <c r="AH406" i="3" s="1"/>
  <c r="AC412" i="3"/>
  <c r="AH412" i="3" s="1"/>
  <c r="AC411" i="3"/>
  <c r="AH411" i="3" s="1"/>
  <c r="AC423" i="3"/>
  <c r="AH423" i="3" s="1"/>
  <c r="AC410" i="3"/>
  <c r="AH410" i="3" s="1"/>
  <c r="AC403" i="3"/>
  <c r="AH403" i="3" s="1"/>
  <c r="AC409" i="3"/>
  <c r="AH409" i="3" s="1"/>
  <c r="AC404" i="3"/>
  <c r="AH404" i="3" s="1"/>
  <c r="AC407" i="3"/>
  <c r="AH407" i="3" s="1"/>
  <c r="AC402" i="3"/>
  <c r="AH402" i="3" s="1"/>
  <c r="AC397" i="3"/>
  <c r="AH397" i="3" s="1"/>
  <c r="AC398" i="3"/>
  <c r="AH398" i="3" s="1"/>
  <c r="AC400" i="3"/>
  <c r="AH400" i="3" s="1"/>
  <c r="AC399" i="3"/>
  <c r="AH399" i="3" s="1"/>
  <c r="AC401" i="3"/>
  <c r="AH401" i="3" s="1"/>
  <c r="AC394" i="3"/>
  <c r="AH394" i="3" s="1"/>
  <c r="AC392" i="3"/>
  <c r="AH392" i="3" s="1"/>
  <c r="AC390" i="3"/>
  <c r="AH390" i="3" s="1"/>
  <c r="AC391" i="3"/>
  <c r="AH391" i="3" s="1"/>
  <c r="AC396" i="3"/>
  <c r="AH396" i="3" s="1"/>
  <c r="AC389" i="3"/>
  <c r="AH389" i="3" s="1"/>
  <c r="AC388" i="3"/>
  <c r="AH388" i="3" s="1"/>
  <c r="AC387" i="3"/>
  <c r="AH387" i="3" s="1"/>
  <c r="AC386" i="3"/>
  <c r="AH386" i="3" s="1"/>
  <c r="AC377" i="3"/>
  <c r="AH377" i="3" s="1"/>
  <c r="AC378" i="3"/>
  <c r="AH378" i="3" s="1"/>
  <c r="AC379" i="3"/>
  <c r="AH379" i="3" s="1"/>
  <c r="AC381" i="3"/>
  <c r="AH381" i="3" s="1"/>
  <c r="AC385" i="3"/>
  <c r="AH385" i="3" s="1"/>
  <c r="AC380" i="3"/>
  <c r="AH380" i="3" s="1"/>
  <c r="AC383" i="3"/>
  <c r="AH383" i="3" s="1"/>
  <c r="AC382" i="3"/>
  <c r="AH382" i="3" s="1"/>
  <c r="AC384" i="3"/>
  <c r="AH384" i="3" s="1"/>
  <c r="AC357" i="3"/>
  <c r="AH357" i="3" s="1"/>
  <c r="AC315" i="3"/>
  <c r="AH315" i="3" s="1"/>
  <c r="H11" i="7"/>
  <c r="AC376" i="3"/>
  <c r="AH376" i="3" s="1"/>
  <c r="AC373" i="3"/>
  <c r="AH373" i="3" s="1"/>
  <c r="AC372" i="3"/>
  <c r="AH372" i="3" s="1"/>
  <c r="AC371" i="3"/>
  <c r="AH371" i="3" s="1"/>
  <c r="AC370" i="3"/>
  <c r="AH370" i="3" s="1"/>
  <c r="AC369" i="3"/>
  <c r="AH369" i="3" s="1"/>
  <c r="AC368" i="3"/>
  <c r="AH368" i="3" s="1"/>
  <c r="AC366" i="3"/>
  <c r="AH366" i="3" s="1"/>
  <c r="AC364" i="3"/>
  <c r="AH364" i="3" s="1"/>
  <c r="AC362" i="3"/>
  <c r="AH362" i="3" s="1"/>
  <c r="AC361" i="3"/>
  <c r="AH361" i="3" s="1"/>
  <c r="AC358" i="3"/>
  <c r="AH358" i="3" s="1"/>
  <c r="AC363" i="3"/>
  <c r="AH363" i="3" s="1"/>
  <c r="AC356" i="3"/>
  <c r="AH356" i="3" s="1"/>
  <c r="AC355" i="3"/>
  <c r="AH355" i="3" s="1"/>
  <c r="AC354" i="3"/>
  <c r="AH354" i="3" s="1"/>
  <c r="AC345" i="3"/>
  <c r="AH345" i="3" s="1"/>
  <c r="AC344" i="3"/>
  <c r="AH344" i="3" s="1"/>
  <c r="AC347" i="3"/>
  <c r="AH347" i="3" s="1"/>
  <c r="AC346" i="3"/>
  <c r="AH346" i="3" s="1"/>
  <c r="AC311" i="3"/>
  <c r="AH311" i="3" s="1"/>
  <c r="AC339" i="3"/>
  <c r="AH339" i="3" s="1"/>
  <c r="AC341" i="3"/>
  <c r="AH341" i="3" s="1"/>
  <c r="AC340" i="3"/>
  <c r="AH340" i="3" s="1"/>
  <c r="AC337" i="3"/>
  <c r="AH337" i="3" s="1"/>
  <c r="AC331" i="3"/>
  <c r="AH331" i="3" s="1"/>
  <c r="AC332" i="3"/>
  <c r="AH332" i="3" s="1"/>
  <c r="AC278" i="3"/>
  <c r="AH278" i="3" s="1"/>
  <c r="AC277" i="3"/>
  <c r="AH277" i="3" s="1"/>
  <c r="AC308" i="3"/>
  <c r="AH308" i="3" s="1"/>
  <c r="AC309" i="3"/>
  <c r="AH309" i="3" s="1"/>
  <c r="AC313" i="3"/>
  <c r="AH313" i="3" s="1"/>
  <c r="AC312" i="3"/>
  <c r="AH312" i="3" s="1"/>
  <c r="AC310" i="3"/>
  <c r="AH310" i="3" s="1"/>
  <c r="AC330" i="3"/>
  <c r="AH330" i="3" s="1"/>
  <c r="AC314" i="3"/>
  <c r="AH314" i="3" s="1"/>
  <c r="AC294" i="3"/>
  <c r="AH294" i="3" s="1"/>
  <c r="AC307" i="3"/>
  <c r="AH307" i="3" s="1"/>
  <c r="AC305" i="3"/>
  <c r="AH305" i="3" s="1"/>
  <c r="AC306" i="3"/>
  <c r="AH306" i="3" s="1"/>
  <c r="AC299" i="3"/>
  <c r="AH299" i="3" s="1"/>
  <c r="AC304" i="3"/>
  <c r="AH304" i="3" s="1"/>
  <c r="AC303" i="3"/>
  <c r="AH303" i="3" s="1"/>
  <c r="AC302" i="3"/>
  <c r="AH302" i="3" s="1"/>
  <c r="AC300" i="3"/>
  <c r="AH300" i="3" s="1"/>
  <c r="AC293" i="3"/>
  <c r="AH293" i="3" s="1"/>
  <c r="AC297" i="3"/>
  <c r="AH297" i="3" s="1"/>
  <c r="AC296" i="3"/>
  <c r="AH296" i="3" s="1"/>
  <c r="AC291" i="3"/>
  <c r="AH291" i="3" s="1"/>
  <c r="AC281" i="3"/>
  <c r="AH281" i="3" s="1"/>
  <c r="AC290" i="3"/>
  <c r="AH290" i="3" s="1"/>
  <c r="AC282" i="3"/>
  <c r="AH282" i="3" s="1"/>
  <c r="P219" i="1"/>
  <c r="P218" i="1"/>
  <c r="O219" i="1"/>
  <c r="O218" i="1"/>
  <c r="P233" i="1"/>
  <c r="Y857" i="3" l="1"/>
  <c r="Z857" i="3" s="1"/>
  <c r="AI857" i="3"/>
  <c r="AH857" i="3"/>
  <c r="AE857" i="3"/>
  <c r="Y856" i="3"/>
  <c r="Z856" i="3" s="1"/>
  <c r="AI856" i="3"/>
  <c r="AH856" i="3"/>
  <c r="AE856" i="3"/>
  <c r="Y805" i="3"/>
  <c r="Z805" i="3" s="1"/>
  <c r="AI805" i="3"/>
  <c r="AH805" i="3"/>
  <c r="AE805" i="3"/>
  <c r="Y831" i="3"/>
  <c r="Z831" i="3" s="1"/>
  <c r="AI831" i="3"/>
  <c r="AH831" i="3"/>
  <c r="AE831" i="3"/>
  <c r="Y830" i="3"/>
  <c r="Z830" i="3" s="1"/>
  <c r="AI830" i="3"/>
  <c r="AH830" i="3"/>
  <c r="AE830" i="3"/>
  <c r="Y762" i="3"/>
  <c r="Z762" i="3" s="1"/>
  <c r="AI762" i="3"/>
  <c r="AH762" i="3"/>
  <c r="AE762" i="3"/>
  <c r="Y851" i="3"/>
  <c r="Z851" i="3" s="1"/>
  <c r="AI851" i="3"/>
  <c r="AH851" i="3"/>
  <c r="AE851" i="3"/>
  <c r="Y850" i="3"/>
  <c r="Z850" i="3" s="1"/>
  <c r="AI850" i="3"/>
  <c r="AH850" i="3"/>
  <c r="AE850" i="3"/>
  <c r="Y849" i="3"/>
  <c r="Z849" i="3" s="1"/>
  <c r="AI849" i="3"/>
  <c r="AH849" i="3"/>
  <c r="AE849" i="3"/>
  <c r="Y848" i="3"/>
  <c r="Z848" i="3" s="1"/>
  <c r="AI848" i="3"/>
  <c r="AH848" i="3"/>
  <c r="AE848" i="3"/>
  <c r="Y843" i="3"/>
  <c r="Z843" i="3" s="1"/>
  <c r="AI843" i="3"/>
  <c r="AH843" i="3"/>
  <c r="AE843" i="3"/>
  <c r="Y846" i="3"/>
  <c r="Z846" i="3" s="1"/>
  <c r="AI846" i="3"/>
  <c r="AH846" i="3"/>
  <c r="AE846" i="3"/>
  <c r="Y845" i="3"/>
  <c r="Z845" i="3" s="1"/>
  <c r="AI845" i="3"/>
  <c r="AH845" i="3"/>
  <c r="AE845" i="3"/>
  <c r="Y847" i="3"/>
  <c r="Z847" i="3" s="1"/>
  <c r="AI847" i="3"/>
  <c r="AH847" i="3"/>
  <c r="AE847" i="3"/>
  <c r="Y844" i="3"/>
  <c r="Z844" i="3" s="1"/>
  <c r="AI844" i="3"/>
  <c r="AH844" i="3"/>
  <c r="AE844" i="3"/>
  <c r="Y842" i="3"/>
  <c r="Z842" i="3" s="1"/>
  <c r="AI842" i="3"/>
  <c r="AH842" i="3"/>
  <c r="AE842" i="3"/>
  <c r="Y781" i="3"/>
  <c r="Z781" i="3" s="1"/>
  <c r="AI781" i="3"/>
  <c r="AH781" i="3"/>
  <c r="AE781" i="3"/>
  <c r="AH839" i="3"/>
  <c r="AE839" i="3"/>
  <c r="AE829" i="3"/>
  <c r="AH829" i="3"/>
  <c r="AI837" i="3"/>
  <c r="AH837" i="3"/>
  <c r="Z854" i="3"/>
  <c r="AI854" i="3"/>
  <c r="AH854" i="3"/>
  <c r="Y839" i="3"/>
  <c r="Z839" i="3" s="1"/>
  <c r="AH822" i="3"/>
  <c r="AI822" i="3"/>
  <c r="Y835" i="3"/>
  <c r="Z835" i="3" s="1"/>
  <c r="AI835" i="3"/>
  <c r="AH835" i="3"/>
  <c r="AE835" i="3"/>
  <c r="Y834" i="3"/>
  <c r="Z834" i="3" s="1"/>
  <c r="AI834" i="3"/>
  <c r="AH834" i="3"/>
  <c r="AE834" i="3"/>
  <c r="Y833" i="3"/>
  <c r="Z833" i="3" s="1"/>
  <c r="AI833" i="3"/>
  <c r="AH833" i="3"/>
  <c r="AE833" i="3"/>
  <c r="Y832" i="3"/>
  <c r="Z832" i="3" s="1"/>
  <c r="AI832" i="3"/>
  <c r="AH832" i="3"/>
  <c r="AE832" i="3"/>
  <c r="Y811" i="3"/>
  <c r="Z811" i="3" s="1"/>
  <c r="AI811" i="3"/>
  <c r="AH811" i="3"/>
  <c r="AE811" i="3"/>
  <c r="Y798" i="3"/>
  <c r="Z798" i="3" s="1"/>
  <c r="AI798" i="3"/>
  <c r="AH798" i="3"/>
  <c r="AE798" i="3"/>
  <c r="Y838" i="3"/>
  <c r="Z838" i="3" s="1"/>
  <c r="AI838" i="3"/>
  <c r="AH838" i="3"/>
  <c r="AE838" i="3"/>
  <c r="Y826" i="3"/>
  <c r="Z826" i="3" s="1"/>
  <c r="AI826" i="3"/>
  <c r="AH826" i="3"/>
  <c r="AE826" i="3"/>
  <c r="Y828" i="3"/>
  <c r="Z828" i="3" s="1"/>
  <c r="AI828" i="3"/>
  <c r="AH828" i="3"/>
  <c r="AE828" i="3"/>
  <c r="Y827" i="3"/>
  <c r="Z827" i="3" s="1"/>
  <c r="AI827" i="3"/>
  <c r="AH827" i="3"/>
  <c r="AE827" i="3"/>
  <c r="Y825" i="3"/>
  <c r="Z825" i="3" s="1"/>
  <c r="AI825" i="3"/>
  <c r="AH825" i="3"/>
  <c r="AE825" i="3"/>
  <c r="Y797" i="3"/>
  <c r="Z797" i="3" s="1"/>
  <c r="AI797" i="3"/>
  <c r="AH797" i="3"/>
  <c r="AE797" i="3"/>
  <c r="Y824" i="3"/>
  <c r="Z824" i="3" s="1"/>
  <c r="AI824" i="3"/>
  <c r="AH824" i="3"/>
  <c r="AE824" i="3"/>
  <c r="Z791" i="3"/>
  <c r="AI791" i="3"/>
  <c r="AH791" i="3"/>
  <c r="Y819" i="3"/>
  <c r="Z819" i="3" s="1"/>
  <c r="AI819" i="3"/>
  <c r="AH819" i="3"/>
  <c r="AE819" i="3"/>
  <c r="Y821" i="3"/>
  <c r="Z821" i="3" s="1"/>
  <c r="AI821" i="3"/>
  <c r="AH821" i="3"/>
  <c r="AE821" i="3"/>
  <c r="Y818" i="3"/>
  <c r="Z818" i="3" s="1"/>
  <c r="AI818" i="3"/>
  <c r="AH818" i="3"/>
  <c r="AE818" i="3"/>
  <c r="Y823" i="3"/>
  <c r="Z823" i="3" s="1"/>
  <c r="AI823" i="3"/>
  <c r="AH823" i="3"/>
  <c r="AE823" i="3"/>
  <c r="AI813" i="3"/>
  <c r="AH813" i="3"/>
  <c r="Y810" i="3"/>
  <c r="Z810" i="3" s="1"/>
  <c r="AI810" i="3"/>
  <c r="AH810" i="3"/>
  <c r="AE810" i="3"/>
  <c r="Y820" i="3"/>
  <c r="Z820" i="3" s="1"/>
  <c r="AI820" i="3"/>
  <c r="AH820" i="3"/>
  <c r="AE820" i="3"/>
  <c r="Y816" i="3"/>
  <c r="Z816" i="3" s="1"/>
  <c r="AI816" i="3"/>
  <c r="AH816" i="3"/>
  <c r="AE816" i="3"/>
  <c r="Y817" i="3"/>
  <c r="Z817" i="3" s="1"/>
  <c r="AI817" i="3"/>
  <c r="AH817" i="3"/>
  <c r="AE817" i="3"/>
  <c r="Y809" i="3"/>
  <c r="Z809" i="3" s="1"/>
  <c r="AI809" i="3"/>
  <c r="AH809" i="3"/>
  <c r="AE809" i="3"/>
  <c r="Y808" i="3"/>
  <c r="Z808" i="3" s="1"/>
  <c r="AI808" i="3"/>
  <c r="AH808" i="3"/>
  <c r="AE808" i="3"/>
  <c r="Y807" i="3"/>
  <c r="Z807" i="3" s="1"/>
  <c r="AI807" i="3"/>
  <c r="AH807" i="3"/>
  <c r="AE807" i="3"/>
  <c r="Y815" i="3"/>
  <c r="Z815" i="3" s="1"/>
  <c r="AI815" i="3"/>
  <c r="AH815" i="3"/>
  <c r="AE815" i="3"/>
  <c r="Y806" i="3"/>
  <c r="Z806" i="3" s="1"/>
  <c r="AI806" i="3"/>
  <c r="AH806" i="3"/>
  <c r="AE806" i="3"/>
  <c r="Y814" i="3"/>
  <c r="Z814" i="3" s="1"/>
  <c r="AI814" i="3"/>
  <c r="AH814" i="3"/>
  <c r="AE814" i="3"/>
  <c r="Y795" i="3"/>
  <c r="Z795" i="3" s="1"/>
  <c r="AI795" i="3"/>
  <c r="AH795" i="3"/>
  <c r="AE795" i="3"/>
  <c r="Y764" i="3"/>
  <c r="Z764" i="3" s="1"/>
  <c r="AI764" i="3"/>
  <c r="AH764" i="3"/>
  <c r="AE764" i="3"/>
  <c r="Y750" i="3"/>
  <c r="Z750" i="3" s="1"/>
  <c r="AI750" i="3"/>
  <c r="AH750" i="3"/>
  <c r="AE750" i="3"/>
  <c r="Y763" i="3"/>
  <c r="Z763" i="3" s="1"/>
  <c r="AI763" i="3"/>
  <c r="AH763" i="3"/>
  <c r="AE763" i="3"/>
  <c r="Y741" i="3"/>
  <c r="Z741" i="3" s="1"/>
  <c r="AI741" i="3"/>
  <c r="AH741" i="3"/>
  <c r="AE741" i="3"/>
  <c r="Y804" i="3"/>
  <c r="Z804" i="3" s="1"/>
  <c r="AI804" i="3"/>
  <c r="AH804" i="3"/>
  <c r="AE804" i="3"/>
  <c r="Y803" i="3"/>
  <c r="Z803" i="3" s="1"/>
  <c r="AI803" i="3"/>
  <c r="AH803" i="3"/>
  <c r="AE803" i="3"/>
  <c r="Y802" i="3"/>
  <c r="Z802" i="3" s="1"/>
  <c r="AI802" i="3"/>
  <c r="AH802" i="3"/>
  <c r="AE802" i="3"/>
  <c r="Y799" i="3"/>
  <c r="Z799" i="3" s="1"/>
  <c r="AI799" i="3"/>
  <c r="AH799" i="3"/>
  <c r="AE799" i="3"/>
  <c r="Y801" i="3"/>
  <c r="Z801" i="3" s="1"/>
  <c r="AI801" i="3"/>
  <c r="AH801" i="3"/>
  <c r="AE801" i="3"/>
  <c r="AH777" i="3"/>
  <c r="AI777" i="3"/>
  <c r="Y751" i="3"/>
  <c r="Z751" i="3" s="1"/>
  <c r="AI751" i="3"/>
  <c r="AH751" i="3"/>
  <c r="AE751" i="3"/>
  <c r="Y740" i="3"/>
  <c r="Z740" i="3" s="1"/>
  <c r="AI740" i="3"/>
  <c r="AH740" i="3"/>
  <c r="AE740" i="3"/>
  <c r="Y782" i="3"/>
  <c r="Z782" i="3" s="1"/>
  <c r="AI782" i="3"/>
  <c r="AH782" i="3"/>
  <c r="AE782" i="3"/>
  <c r="Y717" i="3"/>
  <c r="Z717" i="3" s="1"/>
  <c r="AI717" i="3"/>
  <c r="AH717" i="3"/>
  <c r="AE717" i="3"/>
  <c r="Y785" i="3"/>
  <c r="Z785" i="3" s="1"/>
  <c r="AI785" i="3"/>
  <c r="AH785" i="3"/>
  <c r="AE785" i="3"/>
  <c r="AE786" i="3"/>
  <c r="AI786" i="3"/>
  <c r="Y789" i="3"/>
  <c r="Z789" i="3" s="1"/>
  <c r="AI789" i="3"/>
  <c r="AH789" i="3"/>
  <c r="AE789" i="3"/>
  <c r="Y853" i="3"/>
  <c r="Z853" i="3" s="1"/>
  <c r="AI853" i="3"/>
  <c r="AH853" i="3"/>
  <c r="AE853" i="3"/>
  <c r="Y841" i="3"/>
  <c r="Z841" i="3" s="1"/>
  <c r="AI841" i="3"/>
  <c r="AH841" i="3"/>
  <c r="AE841" i="3"/>
  <c r="Y840" i="3"/>
  <c r="Z840" i="3" s="1"/>
  <c r="AI840" i="3"/>
  <c r="AH840" i="3"/>
  <c r="AE840" i="3"/>
  <c r="Y852" i="3"/>
  <c r="Z852" i="3" s="1"/>
  <c r="AI852" i="3"/>
  <c r="AH852" i="3"/>
  <c r="AE852" i="3"/>
  <c r="Y794" i="3"/>
  <c r="Z794" i="3" s="1"/>
  <c r="AI794" i="3"/>
  <c r="AH794" i="3"/>
  <c r="AE794" i="3"/>
  <c r="Y792" i="3"/>
  <c r="Z792" i="3" s="1"/>
  <c r="AI792" i="3"/>
  <c r="AH792" i="3"/>
  <c r="AE792" i="3"/>
  <c r="Y796" i="3"/>
  <c r="Z796" i="3" s="1"/>
  <c r="AI796" i="3"/>
  <c r="AH796" i="3"/>
  <c r="AE796" i="3"/>
  <c r="Y752" i="3"/>
  <c r="Z752" i="3" s="1"/>
  <c r="AI752" i="3"/>
  <c r="AH752" i="3"/>
  <c r="AE752" i="3"/>
  <c r="Y784" i="3"/>
  <c r="Z784" i="3" s="1"/>
  <c r="AI784" i="3"/>
  <c r="AH784" i="3"/>
  <c r="AE784" i="3"/>
  <c r="Y778" i="3"/>
  <c r="Z778" i="3" s="1"/>
  <c r="AI778" i="3"/>
  <c r="AH778" i="3"/>
  <c r="AE778" i="3"/>
  <c r="Y812" i="3"/>
  <c r="Z812" i="3" s="1"/>
  <c r="AI812" i="3"/>
  <c r="AH812" i="3"/>
  <c r="AE812" i="3"/>
  <c r="Y776" i="3"/>
  <c r="Z776" i="3" s="1"/>
  <c r="AI776" i="3"/>
  <c r="AH776" i="3"/>
  <c r="AE776" i="3"/>
  <c r="Y780" i="3"/>
  <c r="Z780" i="3" s="1"/>
  <c r="AI780" i="3"/>
  <c r="AH780" i="3"/>
  <c r="AE780" i="3"/>
  <c r="Y783" i="3"/>
  <c r="Z783" i="3" s="1"/>
  <c r="AI783" i="3"/>
  <c r="AH783" i="3"/>
  <c r="AE783" i="3"/>
  <c r="Y800" i="3"/>
  <c r="Z800" i="3" s="1"/>
  <c r="AI800" i="3"/>
  <c r="AH800" i="3"/>
  <c r="AE800" i="3"/>
  <c r="Y779" i="3"/>
  <c r="Z779" i="3" s="1"/>
  <c r="AI779" i="3"/>
  <c r="AH779" i="3"/>
  <c r="AE779" i="3"/>
  <c r="Y773" i="3"/>
  <c r="Z773" i="3" s="1"/>
  <c r="AI773" i="3"/>
  <c r="AH773" i="3"/>
  <c r="AE773" i="3"/>
  <c r="Y775" i="3"/>
  <c r="Z775" i="3" s="1"/>
  <c r="AI775" i="3"/>
  <c r="AH775" i="3"/>
  <c r="AE775" i="3"/>
  <c r="Y772" i="3"/>
  <c r="Z772" i="3" s="1"/>
  <c r="AI772" i="3"/>
  <c r="AH772" i="3"/>
  <c r="AE772" i="3"/>
  <c r="Y790" i="3"/>
  <c r="Z790" i="3" s="1"/>
  <c r="AI790" i="3"/>
  <c r="AH790" i="3"/>
  <c r="AE790" i="3"/>
  <c r="Y771" i="3"/>
  <c r="Z771" i="3" s="1"/>
  <c r="AI771" i="3"/>
  <c r="AH771" i="3"/>
  <c r="AE771" i="3"/>
  <c r="Y774" i="3"/>
  <c r="Z774" i="3" s="1"/>
  <c r="AI774" i="3"/>
  <c r="AH774" i="3"/>
  <c r="AE774" i="3"/>
  <c r="Z767" i="3"/>
  <c r="Y767" i="3"/>
  <c r="AI767" i="3"/>
  <c r="AH767" i="3"/>
  <c r="AE767" i="3"/>
  <c r="Y788" i="3"/>
  <c r="Z788" i="3" s="1"/>
  <c r="AI788" i="3"/>
  <c r="AH788" i="3"/>
  <c r="AE788" i="3"/>
  <c r="Y787" i="3"/>
  <c r="Z787" i="3" s="1"/>
  <c r="AI787" i="3"/>
  <c r="AH787" i="3"/>
  <c r="AE787" i="3"/>
  <c r="Y769" i="3"/>
  <c r="Z769" i="3" s="1"/>
  <c r="AI769" i="3"/>
  <c r="AH769" i="3"/>
  <c r="AE769" i="3"/>
  <c r="Y761" i="3"/>
  <c r="Z761" i="3" s="1"/>
  <c r="AI761" i="3"/>
  <c r="AH761" i="3"/>
  <c r="AE761" i="3"/>
  <c r="Y760" i="3"/>
  <c r="Z760" i="3" s="1"/>
  <c r="AI760" i="3"/>
  <c r="AH760" i="3"/>
  <c r="AE760" i="3"/>
  <c r="Y759" i="3"/>
  <c r="Z759" i="3" s="1"/>
  <c r="AI759" i="3"/>
  <c r="AH759" i="3"/>
  <c r="AE759" i="3"/>
  <c r="Y757" i="3"/>
  <c r="Z757" i="3" s="1"/>
  <c r="AI757" i="3"/>
  <c r="AH757" i="3"/>
  <c r="AE757" i="3"/>
  <c r="Y758" i="3"/>
  <c r="Z758" i="3" s="1"/>
  <c r="AI758" i="3"/>
  <c r="AH758" i="3"/>
  <c r="AE758" i="3"/>
  <c r="Y756" i="3"/>
  <c r="Z756" i="3" s="1"/>
  <c r="AI756" i="3"/>
  <c r="AH756" i="3"/>
  <c r="AE756" i="3"/>
  <c r="Y754" i="3"/>
  <c r="Z754" i="3" s="1"/>
  <c r="AI754" i="3"/>
  <c r="AH754" i="3"/>
  <c r="AE754" i="3"/>
  <c r="Y755" i="3"/>
  <c r="Z755" i="3" s="1"/>
  <c r="AE755" i="3"/>
  <c r="AH755" i="3"/>
  <c r="AI755" i="3"/>
  <c r="Y748" i="3"/>
  <c r="Z748" i="3" s="1"/>
  <c r="AI748" i="3"/>
  <c r="AH748" i="3"/>
  <c r="AE748" i="3"/>
  <c r="Y836" i="3"/>
  <c r="Z836" i="3" s="1"/>
  <c r="AI836" i="3"/>
  <c r="AH836" i="3"/>
  <c r="AE836" i="3"/>
  <c r="Y770" i="3"/>
  <c r="Z770" i="3" s="1"/>
  <c r="AI770" i="3"/>
  <c r="AH770" i="3"/>
  <c r="AE770" i="3"/>
  <c r="Y749" i="3"/>
  <c r="Z749" i="3" s="1"/>
  <c r="AI749" i="3"/>
  <c r="AH749" i="3"/>
  <c r="AE749" i="3"/>
  <c r="Y768" i="3"/>
  <c r="Z768" i="3" s="1"/>
  <c r="AI768" i="3"/>
  <c r="AH768" i="3"/>
  <c r="AE768" i="3"/>
  <c r="Y766" i="3"/>
  <c r="Z766" i="3" s="1"/>
  <c r="AI766" i="3"/>
  <c r="AH766" i="3"/>
  <c r="AE766" i="3"/>
  <c r="Y728" i="3"/>
  <c r="Z728" i="3" s="1"/>
  <c r="AI728" i="3"/>
  <c r="AH728" i="3"/>
  <c r="AE728" i="3"/>
  <c r="Y747" i="3"/>
  <c r="Z747" i="3" s="1"/>
  <c r="AI747" i="3"/>
  <c r="AH747" i="3"/>
  <c r="AE747" i="3"/>
  <c r="Y745" i="3"/>
  <c r="Z745" i="3" s="1"/>
  <c r="AI745" i="3"/>
  <c r="AH745" i="3"/>
  <c r="AE745" i="3"/>
  <c r="Y746" i="3"/>
  <c r="Z746" i="3" s="1"/>
  <c r="AI746" i="3"/>
  <c r="AH746" i="3"/>
  <c r="AE746" i="3"/>
  <c r="Y744" i="3"/>
  <c r="Z744" i="3" s="1"/>
  <c r="AI744" i="3"/>
  <c r="AH744" i="3"/>
  <c r="AE744" i="3"/>
  <c r="Y743" i="3"/>
  <c r="Z743" i="3" s="1"/>
  <c r="AI743" i="3"/>
  <c r="AH743" i="3"/>
  <c r="AE743" i="3"/>
  <c r="Y742" i="3"/>
  <c r="Z742" i="3" s="1"/>
  <c r="AI742" i="3"/>
  <c r="AH742" i="3"/>
  <c r="AE742" i="3"/>
  <c r="Y739" i="3"/>
  <c r="Z739" i="3" s="1"/>
  <c r="AI739" i="3"/>
  <c r="AH739" i="3"/>
  <c r="AE739" i="3"/>
  <c r="Y738" i="3"/>
  <c r="Z738" i="3" s="1"/>
  <c r="AI738" i="3"/>
  <c r="AH738" i="3"/>
  <c r="AE738" i="3"/>
  <c r="Y765" i="3"/>
  <c r="Z765" i="3" s="1"/>
  <c r="AI765" i="3"/>
  <c r="AH765" i="3"/>
  <c r="AE765" i="3"/>
  <c r="Y753" i="3"/>
  <c r="Z753" i="3" s="1"/>
  <c r="AI753" i="3"/>
  <c r="AH753" i="3"/>
  <c r="AE753" i="3"/>
  <c r="Y737" i="3"/>
  <c r="Z737" i="3" s="1"/>
  <c r="AI737" i="3"/>
  <c r="AH737" i="3"/>
  <c r="AE737" i="3"/>
  <c r="Y735" i="3"/>
  <c r="Z735" i="3" s="1"/>
  <c r="AI735" i="3"/>
  <c r="AH735" i="3"/>
  <c r="AE735" i="3"/>
  <c r="Y736" i="3"/>
  <c r="Z736" i="3" s="1"/>
  <c r="AI736" i="3"/>
  <c r="AH736" i="3"/>
  <c r="AE736" i="3"/>
  <c r="Y734" i="3"/>
  <c r="Z734" i="3" s="1"/>
  <c r="AI734" i="3"/>
  <c r="AH734" i="3"/>
  <c r="AE734" i="3"/>
  <c r="Y733" i="3"/>
  <c r="Z733" i="3" s="1"/>
  <c r="AI733" i="3"/>
  <c r="AH733" i="3"/>
  <c r="AE733" i="3"/>
  <c r="Y732" i="3"/>
  <c r="Z732" i="3" s="1"/>
  <c r="AI732" i="3"/>
  <c r="AH732" i="3"/>
  <c r="AE732" i="3"/>
  <c r="Y730" i="3"/>
  <c r="Z730" i="3" s="1"/>
  <c r="AI730" i="3"/>
  <c r="AH730" i="3"/>
  <c r="AE730" i="3"/>
  <c r="Y729" i="3"/>
  <c r="Z729" i="3" s="1"/>
  <c r="AI729" i="3"/>
  <c r="AH729" i="3"/>
  <c r="AE729" i="3"/>
  <c r="Y731" i="3"/>
  <c r="Z731" i="3" s="1"/>
  <c r="AI731" i="3"/>
  <c r="AH731" i="3"/>
  <c r="AE731" i="3"/>
  <c r="Y727" i="3"/>
  <c r="Z727" i="3" s="1"/>
  <c r="AI727" i="3"/>
  <c r="AH727" i="3"/>
  <c r="AE727" i="3"/>
  <c r="Y726" i="3"/>
  <c r="Z726" i="3" s="1"/>
  <c r="AI726" i="3"/>
  <c r="AH726" i="3"/>
  <c r="AE726" i="3"/>
  <c r="Y725" i="3"/>
  <c r="Z725" i="3" s="1"/>
  <c r="AI725" i="3"/>
  <c r="AH725" i="3"/>
  <c r="AE725" i="3"/>
  <c r="Y724" i="3"/>
  <c r="Z724" i="3" s="1"/>
  <c r="AI724" i="3"/>
  <c r="AH724" i="3"/>
  <c r="AE724" i="3"/>
  <c r="Y723" i="3"/>
  <c r="Z723" i="3" s="1"/>
  <c r="AI723" i="3"/>
  <c r="AH723" i="3"/>
  <c r="AE723" i="3"/>
  <c r="Y722" i="3"/>
  <c r="Z722" i="3" s="1"/>
  <c r="AI722" i="3"/>
  <c r="AH722" i="3"/>
  <c r="AE722" i="3"/>
  <c r="Y721" i="3"/>
  <c r="Z721" i="3" s="1"/>
  <c r="AI721" i="3"/>
  <c r="AH721" i="3"/>
  <c r="AE721" i="3"/>
  <c r="Y720" i="3"/>
  <c r="Z720" i="3" s="1"/>
  <c r="AI720" i="3"/>
  <c r="AH720" i="3"/>
  <c r="AE720" i="3"/>
  <c r="Y719" i="3"/>
  <c r="Z719" i="3" s="1"/>
  <c r="AI719" i="3"/>
  <c r="AH719" i="3"/>
  <c r="AE719" i="3"/>
  <c r="Y718" i="3"/>
  <c r="Z718" i="3" s="1"/>
  <c r="AI718" i="3"/>
  <c r="AH718" i="3"/>
  <c r="AE718" i="3"/>
  <c r="Y716" i="3"/>
  <c r="Z716" i="3" s="1"/>
  <c r="AI716" i="3"/>
  <c r="AH716" i="3"/>
  <c r="AE716" i="3"/>
  <c r="Y713" i="3"/>
  <c r="Z713" i="3" s="1"/>
  <c r="AI713" i="3"/>
  <c r="AH713" i="3"/>
  <c r="AE713" i="3"/>
  <c r="Y712" i="3"/>
  <c r="Z712" i="3" s="1"/>
  <c r="AI712" i="3"/>
  <c r="AH712" i="3"/>
  <c r="AE712" i="3"/>
  <c r="Y715" i="3"/>
  <c r="Z715" i="3" s="1"/>
  <c r="AI715" i="3"/>
  <c r="AH715" i="3"/>
  <c r="AE715" i="3"/>
  <c r="Y714" i="3"/>
  <c r="Z714" i="3" s="1"/>
  <c r="AI714" i="3"/>
  <c r="AH714" i="3"/>
  <c r="AE714" i="3"/>
  <c r="Y711" i="3"/>
  <c r="Z711" i="3" s="1"/>
  <c r="AI711" i="3"/>
  <c r="AH711" i="3"/>
  <c r="AE711" i="3"/>
  <c r="Y710" i="3"/>
  <c r="Z710" i="3" s="1"/>
  <c r="AI710" i="3"/>
  <c r="AH710" i="3"/>
  <c r="AE710" i="3"/>
  <c r="Y709" i="3"/>
  <c r="Z709" i="3" s="1"/>
  <c r="AI709" i="3"/>
  <c r="AH709" i="3"/>
  <c r="AE709" i="3"/>
  <c r="AH706" i="3"/>
  <c r="AE705" i="3"/>
  <c r="AH705" i="3"/>
  <c r="AI706" i="3"/>
  <c r="AI704" i="3"/>
  <c r="AH704" i="3"/>
  <c r="AE707" i="3"/>
  <c r="AI707" i="3"/>
  <c r="Z707" i="3"/>
  <c r="Y707" i="3"/>
  <c r="AH707" i="3"/>
  <c r="Y708" i="3"/>
  <c r="Z708" i="3" s="1"/>
  <c r="AI708" i="3"/>
  <c r="AH708" i="3"/>
  <c r="AE708" i="3"/>
  <c r="Y705" i="3"/>
  <c r="Z705" i="3" s="1"/>
  <c r="Y706" i="3"/>
  <c r="Z706" i="3" s="1"/>
  <c r="Y703" i="3"/>
  <c r="Z703" i="3" s="1"/>
  <c r="AI703" i="3"/>
  <c r="AH703" i="3"/>
  <c r="AE703" i="3"/>
  <c r="AH684" i="3"/>
  <c r="AE684" i="3"/>
  <c r="AI673" i="3"/>
  <c r="AE673" i="3"/>
  <c r="AE692" i="3"/>
  <c r="AH692" i="3"/>
  <c r="AI692" i="3"/>
  <c r="Y692" i="3"/>
  <c r="Z692" i="3" s="1"/>
  <c r="Y696" i="3"/>
  <c r="Z696" i="3" s="1"/>
  <c r="Y673" i="3"/>
  <c r="Z673" i="3" s="1"/>
  <c r="Y702" i="3"/>
  <c r="Z702" i="3" s="1"/>
  <c r="AI702" i="3"/>
  <c r="AH702" i="3"/>
  <c r="AE702" i="3"/>
  <c r="Y698" i="3"/>
  <c r="Z698" i="3" s="1"/>
  <c r="AI698" i="3"/>
  <c r="AH698" i="3"/>
  <c r="AE698" i="3"/>
  <c r="Y701" i="3"/>
  <c r="Z701" i="3" s="1"/>
  <c r="AI701" i="3"/>
  <c r="AH701" i="3"/>
  <c r="AE701" i="3"/>
  <c r="Y700" i="3"/>
  <c r="Z700" i="3" s="1"/>
  <c r="AI700" i="3"/>
  <c r="AH700" i="3"/>
  <c r="AE700" i="3"/>
  <c r="Y699" i="3"/>
  <c r="Z699" i="3" s="1"/>
  <c r="AI699" i="3"/>
  <c r="AH699" i="3"/>
  <c r="AE699" i="3"/>
  <c r="Y695" i="3"/>
  <c r="Z695" i="3" s="1"/>
  <c r="AI695" i="3"/>
  <c r="AH695" i="3"/>
  <c r="AE695" i="3"/>
  <c r="Y697" i="3"/>
  <c r="Z697" i="3" s="1"/>
  <c r="AI697" i="3"/>
  <c r="AH697" i="3"/>
  <c r="AE697" i="3"/>
  <c r="Y694" i="3"/>
  <c r="Z694" i="3" s="1"/>
  <c r="AI694" i="3"/>
  <c r="AH694" i="3"/>
  <c r="AE694" i="3"/>
  <c r="Y693" i="3"/>
  <c r="Z693" i="3" s="1"/>
  <c r="AI693" i="3"/>
  <c r="AH693" i="3"/>
  <c r="AE693" i="3"/>
  <c r="Y691" i="3"/>
  <c r="Z691" i="3" s="1"/>
  <c r="AI691" i="3"/>
  <c r="AH691" i="3"/>
  <c r="AE691" i="3"/>
  <c r="Y690" i="3"/>
  <c r="Z690" i="3" s="1"/>
  <c r="AI690" i="3"/>
  <c r="AH690" i="3"/>
  <c r="AE690" i="3"/>
  <c r="Y689" i="3"/>
  <c r="Z689" i="3" s="1"/>
  <c r="AI689" i="3"/>
  <c r="AH689" i="3"/>
  <c r="AE689" i="3"/>
  <c r="Y688" i="3"/>
  <c r="Z688" i="3" s="1"/>
  <c r="AI688" i="3"/>
  <c r="AH688" i="3"/>
  <c r="AE688" i="3"/>
  <c r="Y687" i="3"/>
  <c r="Z687" i="3" s="1"/>
  <c r="AI687" i="3"/>
  <c r="AH687" i="3"/>
  <c r="AE687" i="3"/>
  <c r="Y686" i="3"/>
  <c r="Z686" i="3" s="1"/>
  <c r="AI686" i="3"/>
  <c r="AH686" i="3"/>
  <c r="AE686" i="3"/>
  <c r="Y685" i="3"/>
  <c r="Z685" i="3" s="1"/>
  <c r="AI685" i="3"/>
  <c r="AH685" i="3"/>
  <c r="AE685" i="3"/>
  <c r="Y681" i="3"/>
  <c r="Z681" i="3" s="1"/>
  <c r="AI681" i="3"/>
  <c r="AH681" i="3"/>
  <c r="AE681" i="3"/>
  <c r="Y682" i="3"/>
  <c r="Z682" i="3" s="1"/>
  <c r="AI682" i="3"/>
  <c r="AH682" i="3"/>
  <c r="AE682" i="3"/>
  <c r="Y680" i="3"/>
  <c r="Z680" i="3" s="1"/>
  <c r="AI680" i="3"/>
  <c r="AH680" i="3"/>
  <c r="AE680" i="3"/>
  <c r="Y679" i="3"/>
  <c r="Z679" i="3" s="1"/>
  <c r="AI679" i="3"/>
  <c r="AH679" i="3"/>
  <c r="AE679" i="3"/>
  <c r="Y678" i="3"/>
  <c r="Z678" i="3" s="1"/>
  <c r="AI678" i="3"/>
  <c r="AH678" i="3"/>
  <c r="AE678" i="3"/>
  <c r="Y677" i="3"/>
  <c r="Z677" i="3" s="1"/>
  <c r="AI677" i="3"/>
  <c r="AH677" i="3"/>
  <c r="AE677" i="3"/>
  <c r="Y676" i="3"/>
  <c r="Z676" i="3" s="1"/>
  <c r="AI676" i="3"/>
  <c r="AH676" i="3"/>
  <c r="AE676" i="3"/>
  <c r="Y675" i="3"/>
  <c r="Z675" i="3" s="1"/>
  <c r="AI675" i="3"/>
  <c r="AH675" i="3"/>
  <c r="AE675" i="3"/>
  <c r="Y674" i="3"/>
  <c r="Z674" i="3" s="1"/>
  <c r="AI674" i="3"/>
  <c r="AH674" i="3"/>
  <c r="AE674" i="3"/>
  <c r="Y672" i="3"/>
  <c r="Z672" i="3" s="1"/>
  <c r="AI672" i="3"/>
  <c r="AH672" i="3"/>
  <c r="AE672" i="3"/>
  <c r="Y671" i="3"/>
  <c r="Z671" i="3" s="1"/>
  <c r="AI671" i="3"/>
  <c r="AH671" i="3"/>
  <c r="AE671" i="3"/>
  <c r="Y670" i="3"/>
  <c r="Z670" i="3" s="1"/>
  <c r="AI670" i="3"/>
  <c r="AH670" i="3"/>
  <c r="AE670" i="3"/>
  <c r="Y669" i="3"/>
  <c r="Z669" i="3" s="1"/>
  <c r="AI669" i="3"/>
  <c r="AH669" i="3"/>
  <c r="AE669" i="3"/>
  <c r="Y668" i="3"/>
  <c r="Z668" i="3" s="1"/>
  <c r="AI668" i="3"/>
  <c r="AH668" i="3"/>
  <c r="AE668" i="3"/>
  <c r="Y665" i="3"/>
  <c r="Z665" i="3" s="1"/>
  <c r="AI665" i="3"/>
  <c r="AH665" i="3"/>
  <c r="AE665" i="3"/>
  <c r="Y666" i="3"/>
  <c r="Z666" i="3" s="1"/>
  <c r="AI666" i="3"/>
  <c r="AH666" i="3"/>
  <c r="AE666" i="3"/>
  <c r="Y667" i="3"/>
  <c r="Z667" i="3" s="1"/>
  <c r="AI667" i="3"/>
  <c r="AH667" i="3"/>
  <c r="AE667" i="3"/>
  <c r="Y664" i="3"/>
  <c r="Z664" i="3" s="1"/>
  <c r="AI664" i="3"/>
  <c r="AH664" i="3"/>
  <c r="AE664" i="3"/>
  <c r="Y661" i="3"/>
  <c r="Z661" i="3" s="1"/>
  <c r="AI661" i="3"/>
  <c r="AH661" i="3"/>
  <c r="AE661" i="3"/>
  <c r="Y660" i="3"/>
  <c r="Z660" i="3" s="1"/>
  <c r="AI660" i="3"/>
  <c r="AH660" i="3"/>
  <c r="AE660" i="3"/>
  <c r="Y663" i="3"/>
  <c r="Z663" i="3" s="1"/>
  <c r="AI663" i="3"/>
  <c r="AH663" i="3"/>
  <c r="AE663" i="3"/>
  <c r="Y662" i="3"/>
  <c r="Z662" i="3" s="1"/>
  <c r="AI662" i="3"/>
  <c r="AH662" i="3"/>
  <c r="AE662" i="3"/>
  <c r="Y659" i="3"/>
  <c r="Z659" i="3" s="1"/>
  <c r="AI659" i="3"/>
  <c r="AH659" i="3"/>
  <c r="AE659" i="3"/>
  <c r="Y683" i="3"/>
  <c r="Z683" i="3" s="1"/>
  <c r="AI683" i="3"/>
  <c r="AH683" i="3"/>
  <c r="AE683" i="3"/>
  <c r="Y657" i="3"/>
  <c r="Z657" i="3" s="1"/>
  <c r="AI657" i="3"/>
  <c r="AH657" i="3"/>
  <c r="AE657" i="3"/>
  <c r="Y656" i="3"/>
  <c r="Z656" i="3" s="1"/>
  <c r="AI656" i="3"/>
  <c r="AH656" i="3"/>
  <c r="AE656" i="3"/>
  <c r="Y655" i="3"/>
  <c r="Z655" i="3" s="1"/>
  <c r="AI655" i="3"/>
  <c r="AH655" i="3"/>
  <c r="AE655" i="3"/>
  <c r="Y658" i="3"/>
  <c r="Z658" i="3" s="1"/>
  <c r="AI658" i="3"/>
  <c r="AH658" i="3"/>
  <c r="AE658" i="3"/>
  <c r="Y654" i="3"/>
  <c r="Z654" i="3" s="1"/>
  <c r="AI654" i="3"/>
  <c r="AH654" i="3"/>
  <c r="AE654" i="3"/>
  <c r="Y653" i="3"/>
  <c r="Z653" i="3" s="1"/>
  <c r="AI653" i="3"/>
  <c r="AH653" i="3"/>
  <c r="AE653" i="3"/>
  <c r="Y652" i="3"/>
  <c r="Z652" i="3" s="1"/>
  <c r="AI652" i="3"/>
  <c r="AH652" i="3"/>
  <c r="AE652" i="3"/>
  <c r="Y650" i="3"/>
  <c r="Z650" i="3" s="1"/>
  <c r="AI650" i="3"/>
  <c r="AH650" i="3"/>
  <c r="AE650" i="3"/>
  <c r="Y651" i="3"/>
  <c r="Z651" i="3" s="1"/>
  <c r="AI651" i="3"/>
  <c r="AH651" i="3"/>
  <c r="AE651" i="3"/>
  <c r="Y649" i="3"/>
  <c r="Z649" i="3" s="1"/>
  <c r="AI649" i="3"/>
  <c r="AH649" i="3"/>
  <c r="AE649" i="3"/>
  <c r="Y645" i="3"/>
  <c r="Z645" i="3" s="1"/>
  <c r="AI645" i="3"/>
  <c r="AH645" i="3"/>
  <c r="AE645" i="3"/>
  <c r="Y647" i="3"/>
  <c r="Z647" i="3" s="1"/>
  <c r="AI647" i="3"/>
  <c r="AH647" i="3"/>
  <c r="AE647" i="3"/>
  <c r="Y646" i="3"/>
  <c r="Z646" i="3" s="1"/>
  <c r="AI646" i="3"/>
  <c r="AH646" i="3"/>
  <c r="AE646" i="3"/>
  <c r="Y648" i="3"/>
  <c r="Z648" i="3" s="1"/>
  <c r="AI648" i="3"/>
  <c r="AH648" i="3"/>
  <c r="AE648" i="3"/>
  <c r="Y638" i="3"/>
  <c r="Z638" i="3" s="1"/>
  <c r="AI638" i="3"/>
  <c r="AH638" i="3"/>
  <c r="AE638" i="3"/>
  <c r="Y643" i="3"/>
  <c r="Z643" i="3" s="1"/>
  <c r="AI643" i="3"/>
  <c r="AH643" i="3"/>
  <c r="AE643" i="3"/>
  <c r="Y644" i="3"/>
  <c r="Z644" i="3" s="1"/>
  <c r="AI644" i="3"/>
  <c r="AH644" i="3"/>
  <c r="AE644" i="3"/>
  <c r="Y642" i="3"/>
  <c r="Z642" i="3" s="1"/>
  <c r="AI642" i="3"/>
  <c r="AH642" i="3"/>
  <c r="AE642" i="3"/>
  <c r="Y641" i="3"/>
  <c r="Z641" i="3" s="1"/>
  <c r="AI641" i="3"/>
  <c r="AH641" i="3"/>
  <c r="AE641" i="3"/>
  <c r="Y639" i="3"/>
  <c r="Z639" i="3" s="1"/>
  <c r="AI639" i="3"/>
  <c r="AH639" i="3"/>
  <c r="AE639" i="3"/>
  <c r="Y640" i="3"/>
  <c r="Z640" i="3" s="1"/>
  <c r="AI640" i="3"/>
  <c r="AH640" i="3"/>
  <c r="AE640" i="3"/>
  <c r="AH609" i="3"/>
  <c r="AH562" i="3"/>
  <c r="AH557" i="3"/>
  <c r="AH614" i="3"/>
  <c r="AH590" i="3"/>
  <c r="AH613" i="3"/>
  <c r="AH617" i="3"/>
  <c r="AH547" i="3"/>
  <c r="AH616" i="3"/>
  <c r="AH601" i="3"/>
  <c r="AH602" i="3"/>
  <c r="AH586" i="3"/>
  <c r="AH597" i="3"/>
  <c r="AH599" i="3"/>
  <c r="AH583" i="3"/>
  <c r="AH606" i="3"/>
  <c r="Y548" i="3"/>
  <c r="Z548" i="3" s="1"/>
  <c r="Y463" i="3"/>
  <c r="Z463" i="3" s="1"/>
  <c r="Y365" i="3"/>
  <c r="Z365" i="3"/>
  <c r="AH591" i="3"/>
  <c r="AH603" i="3"/>
  <c r="AH598" i="3"/>
  <c r="AH581" i="3"/>
  <c r="AH604" i="3"/>
  <c r="AH576" i="3"/>
  <c r="AH600" i="3"/>
  <c r="AH574" i="3"/>
  <c r="AH561" i="3"/>
  <c r="AI628" i="3"/>
  <c r="AE628" i="3"/>
  <c r="AI616" i="3"/>
  <c r="AE616" i="3"/>
  <c r="AI617" i="3"/>
  <c r="AE617" i="3"/>
  <c r="AI615" i="3"/>
  <c r="AE615" i="3"/>
  <c r="AI614" i="3"/>
  <c r="AE614" i="3"/>
  <c r="AI609" i="3"/>
  <c r="AE609" i="3"/>
  <c r="AI608" i="3"/>
  <c r="AE608" i="3"/>
  <c r="AI613" i="3"/>
  <c r="AE613" i="3"/>
  <c r="AI611" i="3"/>
  <c r="AE611" i="3"/>
  <c r="AI610" i="3"/>
  <c r="AE610" i="3"/>
  <c r="AI607" i="3"/>
  <c r="AE607" i="3"/>
  <c r="AI601" i="3"/>
  <c r="AE601" i="3"/>
  <c r="AI603" i="3"/>
  <c r="AE603" i="3"/>
  <c r="AI604" i="3"/>
  <c r="AE604" i="3"/>
  <c r="AI606" i="3"/>
  <c r="AE606" i="3"/>
  <c r="AI598" i="3"/>
  <c r="AE598" i="3"/>
  <c r="AI602" i="3"/>
  <c r="AE602" i="3"/>
  <c r="AI600" i="3"/>
  <c r="AE600" i="3"/>
  <c r="AI597" i="3"/>
  <c r="AE597" i="3"/>
  <c r="AI599" i="3"/>
  <c r="AE599" i="3"/>
  <c r="AI594" i="3"/>
  <c r="AE594" i="3"/>
  <c r="AI590" i="3"/>
  <c r="AE590" i="3"/>
  <c r="AI588" i="3"/>
  <c r="AE588" i="3"/>
  <c r="AI587" i="3"/>
  <c r="AE587" i="3"/>
  <c r="AI552" i="3"/>
  <c r="AE552" i="3"/>
  <c r="AI551" i="3"/>
  <c r="AE551" i="3"/>
  <c r="AI548" i="3"/>
  <c r="AE548" i="3"/>
  <c r="AI547" i="3"/>
  <c r="AE547" i="3"/>
  <c r="AI549" i="3"/>
  <c r="AE549" i="3"/>
  <c r="AI546" i="3"/>
  <c r="AE546" i="3"/>
  <c r="AI596" i="3"/>
  <c r="AE596" i="3"/>
  <c r="AI595" i="3"/>
  <c r="AE595" i="3"/>
  <c r="AI593" i="3"/>
  <c r="AE593" i="3"/>
  <c r="AI592" i="3"/>
  <c r="AE592" i="3"/>
  <c r="AI591" i="3"/>
  <c r="AE591" i="3"/>
  <c r="AI586" i="3"/>
  <c r="AE586" i="3"/>
  <c r="AI585" i="3"/>
  <c r="AE585" i="3"/>
  <c r="AI583" i="3"/>
  <c r="AE583" i="3"/>
  <c r="AI589" i="3"/>
  <c r="AE589" i="3"/>
  <c r="AI584" i="3"/>
  <c r="AE584" i="3"/>
  <c r="AI582" i="3"/>
  <c r="AE582" i="3"/>
  <c r="AI581" i="3"/>
  <c r="AE581" i="3"/>
  <c r="AI579" i="3"/>
  <c r="AE579" i="3"/>
  <c r="AI578" i="3"/>
  <c r="AI580" i="3"/>
  <c r="AE580" i="3"/>
  <c r="AI576" i="3"/>
  <c r="AE576" i="3"/>
  <c r="AI577" i="3"/>
  <c r="AE577" i="3"/>
  <c r="AI575" i="3"/>
  <c r="AE575" i="3"/>
  <c r="AI574" i="3"/>
  <c r="AE574" i="3"/>
  <c r="AI573" i="3"/>
  <c r="AE573" i="3"/>
  <c r="AI572" i="3"/>
  <c r="AE572" i="3"/>
  <c r="AI571" i="3"/>
  <c r="AE571" i="3"/>
  <c r="AI570" i="3"/>
  <c r="AE570" i="3"/>
  <c r="AI569" i="3"/>
  <c r="AE569" i="3"/>
  <c r="AI568" i="3"/>
  <c r="AE568" i="3"/>
  <c r="AI567" i="3"/>
  <c r="AE567" i="3"/>
  <c r="AI564" i="3"/>
  <c r="AE564" i="3"/>
  <c r="AI565" i="3"/>
  <c r="AE565" i="3"/>
  <c r="AI566" i="3"/>
  <c r="AE566" i="3"/>
  <c r="AI561" i="3"/>
  <c r="AE561" i="3"/>
  <c r="AI560" i="3"/>
  <c r="AE560" i="3"/>
  <c r="AI562" i="3"/>
  <c r="AE562" i="3"/>
  <c r="AI557" i="3"/>
  <c r="AE557" i="3"/>
  <c r="AI559" i="3"/>
  <c r="AE559" i="3"/>
  <c r="AI558" i="3"/>
  <c r="AE558" i="3"/>
  <c r="AI555" i="3"/>
  <c r="AE555" i="3"/>
  <c r="AI556" i="3"/>
  <c r="AE556" i="3"/>
  <c r="AI554" i="3"/>
  <c r="AE554" i="3"/>
  <c r="AI550" i="3"/>
  <c r="AE550" i="3"/>
  <c r="AI553" i="3"/>
  <c r="AE553" i="3"/>
  <c r="AI563" i="3"/>
  <c r="AE563" i="3"/>
  <c r="AI284" i="3"/>
  <c r="AE284" i="3"/>
  <c r="AI285" i="3"/>
  <c r="AE285" i="3"/>
  <c r="AI286" i="3"/>
  <c r="AE286" i="3"/>
  <c r="AI283" i="3"/>
  <c r="AE283" i="3"/>
  <c r="AI316" i="3"/>
  <c r="AE316" i="3"/>
  <c r="AI317" i="3"/>
  <c r="AE317" i="3"/>
  <c r="AI318" i="3"/>
  <c r="AE318" i="3"/>
  <c r="AI319" i="3"/>
  <c r="AE319" i="3"/>
  <c r="AI320" i="3"/>
  <c r="AE320" i="3"/>
  <c r="AI287" i="3"/>
  <c r="AE287" i="3"/>
  <c r="AI288" i="3"/>
  <c r="AE288" i="3"/>
  <c r="AI333" i="3"/>
  <c r="AE333" i="3"/>
  <c r="AI334" i="3"/>
  <c r="AE334" i="3"/>
  <c r="AI325" i="3"/>
  <c r="AE325" i="3"/>
  <c r="AI326" i="3"/>
  <c r="AE326" i="3"/>
  <c r="AI327" i="3"/>
  <c r="AE327" i="3"/>
  <c r="AI321" i="3"/>
  <c r="AE321" i="3"/>
  <c r="AI322" i="3"/>
  <c r="AE322" i="3"/>
  <c r="AI323" i="3"/>
  <c r="AE323" i="3"/>
  <c r="AI324" i="3"/>
  <c r="AE324" i="3"/>
  <c r="AI335" i="3"/>
  <c r="AE335" i="3"/>
  <c r="AI342" i="3"/>
  <c r="AE342" i="3"/>
  <c r="AI328" i="3"/>
  <c r="AE328" i="3"/>
  <c r="AI329" i="3"/>
  <c r="AE329" i="3"/>
  <c r="AI298" i="3"/>
  <c r="AE298" i="3"/>
  <c r="AI336" i="3"/>
  <c r="AE336" i="3"/>
  <c r="AI295" i="3"/>
  <c r="AE295" i="3"/>
  <c r="AI338" i="3"/>
  <c r="AE338" i="3"/>
  <c r="AI289" i="3"/>
  <c r="AE289" i="3"/>
  <c r="AI351" i="3"/>
  <c r="AE351" i="3"/>
  <c r="AI352" i="3"/>
  <c r="AE352" i="3"/>
  <c r="AI353" i="3"/>
  <c r="AE353" i="3"/>
  <c r="AI447" i="3"/>
  <c r="AE447" i="3"/>
  <c r="AI462" i="3"/>
  <c r="AE462" i="3"/>
  <c r="AI470" i="3"/>
  <c r="AE470" i="3"/>
  <c r="AI539" i="3"/>
  <c r="AE539" i="3"/>
  <c r="AI541" i="3"/>
  <c r="AE541" i="3"/>
  <c r="AI540" i="3"/>
  <c r="AE540" i="3"/>
  <c r="AI544" i="3"/>
  <c r="AE544" i="3"/>
  <c r="AI543" i="3"/>
  <c r="AE543" i="3"/>
  <c r="AI542" i="3"/>
  <c r="AE542" i="3"/>
  <c r="AI545" i="3"/>
  <c r="AE545" i="3"/>
  <c r="AI538" i="3"/>
  <c r="AE538" i="3"/>
  <c r="AI537" i="3"/>
  <c r="AE537" i="3"/>
  <c r="AI536" i="3"/>
  <c r="AE536" i="3"/>
  <c r="AI533" i="3"/>
  <c r="AE533" i="3"/>
  <c r="AI532" i="3"/>
  <c r="AE532" i="3"/>
  <c r="AI535" i="3"/>
  <c r="AE535" i="3"/>
  <c r="AI529" i="3"/>
  <c r="AE529" i="3"/>
  <c r="AI530" i="3"/>
  <c r="AE530" i="3"/>
  <c r="AI534" i="3"/>
  <c r="AE534" i="3"/>
  <c r="AI531" i="3"/>
  <c r="AE531" i="3"/>
  <c r="AI507" i="3"/>
  <c r="AE507" i="3"/>
  <c r="AI505" i="3"/>
  <c r="AE505" i="3"/>
  <c r="AI506" i="3"/>
  <c r="AE506" i="3"/>
  <c r="AI527" i="3"/>
  <c r="AE527" i="3"/>
  <c r="AI528" i="3"/>
  <c r="AE528" i="3"/>
  <c r="AI524" i="3"/>
  <c r="AE524" i="3"/>
  <c r="AI526" i="3"/>
  <c r="AE526" i="3"/>
  <c r="AI523" i="3"/>
  <c r="AE523" i="3"/>
  <c r="AI525" i="3"/>
  <c r="AE525" i="3"/>
  <c r="AI518" i="3"/>
  <c r="AE518" i="3"/>
  <c r="AI522" i="3"/>
  <c r="AE522" i="3"/>
  <c r="AI517" i="3"/>
  <c r="AE517" i="3"/>
  <c r="AI516" i="3"/>
  <c r="AE516" i="3"/>
  <c r="AI515" i="3"/>
  <c r="AE515" i="3"/>
  <c r="AI520" i="3"/>
  <c r="AE520" i="3"/>
  <c r="AI521" i="3"/>
  <c r="AE521" i="3"/>
  <c r="AI514" i="3"/>
  <c r="AE514" i="3"/>
  <c r="AI519" i="3"/>
  <c r="AE519" i="3"/>
  <c r="AI513" i="3"/>
  <c r="AE513" i="3"/>
  <c r="AI511" i="3"/>
  <c r="AE511" i="3"/>
  <c r="AI512" i="3"/>
  <c r="AE512" i="3"/>
  <c r="AI510" i="3"/>
  <c r="AE510" i="3"/>
  <c r="AI509" i="3"/>
  <c r="AE509" i="3"/>
  <c r="AI508" i="3"/>
  <c r="AE508" i="3"/>
  <c r="AI501" i="3"/>
  <c r="AE501" i="3"/>
  <c r="AI504" i="3"/>
  <c r="AE504" i="3"/>
  <c r="AI503" i="3"/>
  <c r="AE503" i="3"/>
  <c r="AI502" i="3"/>
  <c r="AE502" i="3"/>
  <c r="AI500" i="3"/>
  <c r="AE500" i="3"/>
  <c r="AI499" i="3"/>
  <c r="AE499" i="3"/>
  <c r="AI498" i="3"/>
  <c r="AE498" i="3"/>
  <c r="AI497" i="3"/>
  <c r="AE497" i="3"/>
  <c r="AI496" i="3"/>
  <c r="AE496" i="3"/>
  <c r="AI495" i="3"/>
  <c r="AE495" i="3"/>
  <c r="AI494" i="3"/>
  <c r="AE494" i="3"/>
  <c r="AI493" i="3"/>
  <c r="AE493" i="3"/>
  <c r="AI492" i="3"/>
  <c r="AE492" i="3"/>
  <c r="AI489" i="3"/>
  <c r="AE489" i="3"/>
  <c r="AI468" i="3"/>
  <c r="AE468" i="3"/>
  <c r="AI490" i="3"/>
  <c r="AE490" i="3"/>
  <c r="AI491" i="3"/>
  <c r="AE491" i="3"/>
  <c r="AI476" i="3"/>
  <c r="AE476" i="3"/>
  <c r="AI486" i="3"/>
  <c r="AE486" i="3"/>
  <c r="AI487" i="3"/>
  <c r="AE487" i="3"/>
  <c r="AI483" i="3"/>
  <c r="AE483" i="3"/>
  <c r="AI481" i="3"/>
  <c r="AE481" i="3"/>
  <c r="AI488" i="3"/>
  <c r="AE488" i="3"/>
  <c r="AI485" i="3"/>
  <c r="AE485" i="3"/>
  <c r="AI484" i="3"/>
  <c r="AE484" i="3"/>
  <c r="AI479" i="3"/>
  <c r="AE479" i="3"/>
  <c r="AI478" i="3"/>
  <c r="AE478" i="3"/>
  <c r="AI480" i="3"/>
  <c r="AE480" i="3"/>
  <c r="AI477" i="3"/>
  <c r="AE477" i="3"/>
  <c r="AI482" i="3"/>
  <c r="AE482" i="3"/>
  <c r="AI365" i="3"/>
  <c r="AE365" i="3"/>
  <c r="AI475" i="3"/>
  <c r="AE475" i="3"/>
  <c r="AI474" i="3"/>
  <c r="AE474" i="3"/>
  <c r="AI469" i="3"/>
  <c r="AE469" i="3"/>
  <c r="AI471" i="3"/>
  <c r="AE471" i="3"/>
  <c r="AI473" i="3"/>
  <c r="AE473" i="3"/>
  <c r="AI441" i="3"/>
  <c r="AE441" i="3"/>
  <c r="AI472" i="3"/>
  <c r="AE472" i="3"/>
  <c r="AI466" i="3"/>
  <c r="AE466" i="3"/>
  <c r="AI467" i="3"/>
  <c r="AE467" i="3"/>
  <c r="AI461" i="3"/>
  <c r="AE461" i="3"/>
  <c r="AI465" i="3"/>
  <c r="AE465" i="3"/>
  <c r="AI464" i="3"/>
  <c r="AE464" i="3"/>
  <c r="AI463" i="3"/>
  <c r="AE463" i="3"/>
  <c r="AI460" i="3"/>
  <c r="AE460" i="3"/>
  <c r="AI459" i="3"/>
  <c r="AE459" i="3"/>
  <c r="AI455" i="3"/>
  <c r="AE455" i="3"/>
  <c r="AI458" i="3"/>
  <c r="AE458" i="3"/>
  <c r="AI456" i="3"/>
  <c r="AE456" i="3"/>
  <c r="AI457" i="3"/>
  <c r="AE457" i="3"/>
  <c r="AI449" i="3"/>
  <c r="AE449" i="3"/>
  <c r="AI448" i="3"/>
  <c r="AE448" i="3"/>
  <c r="AI450" i="3"/>
  <c r="AE450" i="3"/>
  <c r="AI453" i="3"/>
  <c r="AE453" i="3"/>
  <c r="AI445" i="3"/>
  <c r="AE445" i="3"/>
  <c r="AI454" i="3"/>
  <c r="AE454" i="3"/>
  <c r="AI446" i="3"/>
  <c r="AE446" i="3"/>
  <c r="AI451" i="3"/>
  <c r="AE451" i="3"/>
  <c r="AI452" i="3"/>
  <c r="AE452" i="3"/>
  <c r="AI438" i="3"/>
  <c r="AE438" i="3"/>
  <c r="AI440" i="3"/>
  <c r="AE440" i="3"/>
  <c r="AI442" i="3"/>
  <c r="AE442" i="3"/>
  <c r="AI444" i="3"/>
  <c r="AE444" i="3"/>
  <c r="AI439" i="3"/>
  <c r="AE439" i="3"/>
  <c r="AI360" i="3"/>
  <c r="AE360" i="3"/>
  <c r="AI399" i="3"/>
  <c r="AE399" i="3"/>
  <c r="AI401" i="3"/>
  <c r="AE401" i="3"/>
  <c r="AI432" i="3"/>
  <c r="AE432" i="3"/>
  <c r="AI431" i="3"/>
  <c r="AE431" i="3"/>
  <c r="AI430" i="3"/>
  <c r="AE430" i="3"/>
  <c r="AI436" i="3"/>
  <c r="AE436" i="3"/>
  <c r="AI427" i="3"/>
  <c r="AE427" i="3"/>
  <c r="AI428" i="3"/>
  <c r="AE428" i="3"/>
  <c r="AI429" i="3"/>
  <c r="AE429" i="3"/>
  <c r="AI426" i="3"/>
  <c r="AE426" i="3"/>
  <c r="AI425" i="3"/>
  <c r="AE425" i="3"/>
  <c r="AI424" i="3"/>
  <c r="AE424" i="3"/>
  <c r="AI395" i="3"/>
  <c r="AE395" i="3"/>
  <c r="AI435" i="3"/>
  <c r="AE435" i="3"/>
  <c r="AI434" i="3"/>
  <c r="AE434" i="3"/>
  <c r="AI433" i="3"/>
  <c r="AE433" i="3"/>
  <c r="AI443" i="3"/>
  <c r="AE443" i="3"/>
  <c r="AI437" i="3"/>
  <c r="AE437" i="3"/>
  <c r="AI420" i="3"/>
  <c r="AE420" i="3"/>
  <c r="AI421" i="3"/>
  <c r="AE421" i="3"/>
  <c r="AI422" i="3"/>
  <c r="AE422" i="3"/>
  <c r="AI419" i="3"/>
  <c r="AE419" i="3"/>
  <c r="AI405" i="3"/>
  <c r="AE405" i="3"/>
  <c r="AI414" i="3"/>
  <c r="AE414" i="3"/>
  <c r="AI415" i="3"/>
  <c r="AE415" i="3"/>
  <c r="AI416" i="3"/>
  <c r="AE416" i="3"/>
  <c r="AI418" i="3"/>
  <c r="AE418" i="3"/>
  <c r="AI417" i="3"/>
  <c r="AE417" i="3"/>
  <c r="AI413" i="3"/>
  <c r="AE413" i="3"/>
  <c r="AI406" i="3"/>
  <c r="AE406" i="3"/>
  <c r="AI412" i="3"/>
  <c r="AE412" i="3"/>
  <c r="AI411" i="3"/>
  <c r="AE411" i="3"/>
  <c r="AI423" i="3"/>
  <c r="AE423" i="3"/>
  <c r="AI410" i="3"/>
  <c r="AE410" i="3"/>
  <c r="AI403" i="3"/>
  <c r="AE403" i="3"/>
  <c r="AI409" i="3"/>
  <c r="AE409" i="3"/>
  <c r="AI404" i="3"/>
  <c r="AE404" i="3"/>
  <c r="AI407" i="3"/>
  <c r="AE407" i="3"/>
  <c r="AI408" i="3"/>
  <c r="AE408" i="3"/>
  <c r="AI402" i="3"/>
  <c r="AE402" i="3"/>
  <c r="AI397" i="3"/>
  <c r="AE397" i="3"/>
  <c r="AI398" i="3"/>
  <c r="AE398" i="3"/>
  <c r="AI400" i="3"/>
  <c r="AE400" i="3"/>
  <c r="AI394" i="3"/>
  <c r="AE394" i="3"/>
  <c r="AI392" i="3"/>
  <c r="AE392" i="3"/>
  <c r="AI390" i="3"/>
  <c r="AE390" i="3"/>
  <c r="AI391" i="3"/>
  <c r="AE391" i="3"/>
  <c r="AI393" i="3"/>
  <c r="AE393" i="3"/>
  <c r="AI396" i="3"/>
  <c r="AE396" i="3"/>
  <c r="AI389" i="3"/>
  <c r="AE389" i="3"/>
  <c r="AI388" i="3"/>
  <c r="AE388" i="3"/>
  <c r="AI387" i="3"/>
  <c r="AE387" i="3"/>
  <c r="AI386" i="3"/>
  <c r="AE386" i="3"/>
  <c r="AI377" i="3"/>
  <c r="AE377" i="3"/>
  <c r="AI378" i="3"/>
  <c r="AE378" i="3"/>
  <c r="AI379" i="3"/>
  <c r="AE379" i="3"/>
  <c r="AI381" i="3"/>
  <c r="AE381" i="3"/>
  <c r="AI385" i="3"/>
  <c r="AE385" i="3"/>
  <c r="AI380" i="3"/>
  <c r="AE380" i="3"/>
  <c r="AI383" i="3"/>
  <c r="AE383" i="3"/>
  <c r="AI382" i="3"/>
  <c r="AE382" i="3"/>
  <c r="AI384" i="3"/>
  <c r="AE384" i="3"/>
  <c r="AI87" i="3"/>
  <c r="AE87" i="3"/>
  <c r="AI376" i="3"/>
  <c r="AE376" i="3"/>
  <c r="AI375" i="3"/>
  <c r="AE375" i="3"/>
  <c r="AI374" i="3"/>
  <c r="AE374" i="3"/>
  <c r="AI373" i="3"/>
  <c r="AE373" i="3"/>
  <c r="AI372" i="3"/>
  <c r="AE372" i="3"/>
  <c r="AI371" i="3"/>
  <c r="AE371" i="3"/>
  <c r="AI370" i="3"/>
  <c r="AE370" i="3"/>
  <c r="AI369" i="3"/>
  <c r="AE369" i="3"/>
  <c r="AI368" i="3"/>
  <c r="AE368" i="3"/>
  <c r="AI366" i="3"/>
  <c r="AE366" i="3"/>
  <c r="AI364" i="3"/>
  <c r="AE364" i="3"/>
  <c r="AI367" i="3"/>
  <c r="AE367" i="3"/>
  <c r="AI362" i="3"/>
  <c r="AE362" i="3"/>
  <c r="AI361" i="3"/>
  <c r="AE361" i="3"/>
  <c r="AI357" i="3"/>
  <c r="AE357" i="3"/>
  <c r="AI358" i="3"/>
  <c r="AE358" i="3"/>
  <c r="AI359" i="3"/>
  <c r="AE359" i="3"/>
  <c r="AI363" i="3"/>
  <c r="AE363" i="3"/>
  <c r="AI356" i="3"/>
  <c r="AE356" i="3"/>
  <c r="AI355" i="3"/>
  <c r="AE355" i="3"/>
  <c r="AI354" i="3"/>
  <c r="AE354" i="3"/>
  <c r="AI350" i="3"/>
  <c r="AE350" i="3"/>
  <c r="AI349" i="3"/>
  <c r="AE349" i="3"/>
  <c r="AI345" i="3"/>
  <c r="AE345" i="3"/>
  <c r="AI344" i="3"/>
  <c r="AE344" i="3"/>
  <c r="AI348" i="3"/>
  <c r="AE348" i="3"/>
  <c r="AI347" i="3"/>
  <c r="AE347" i="3"/>
  <c r="AI346" i="3"/>
  <c r="AE346" i="3"/>
  <c r="AI340" i="3"/>
  <c r="AE340" i="3"/>
  <c r="AI341" i="3"/>
  <c r="AE341" i="3"/>
  <c r="AI343" i="3"/>
  <c r="AE343" i="3"/>
  <c r="AI339" i="3"/>
  <c r="AE339" i="3"/>
  <c r="AI247" i="3"/>
  <c r="AE247" i="3"/>
  <c r="AI337" i="3"/>
  <c r="AE337" i="3"/>
  <c r="AI331" i="3"/>
  <c r="AE331" i="3"/>
  <c r="AI332" i="3"/>
  <c r="AE332" i="3"/>
  <c r="AI278" i="3"/>
  <c r="AE278" i="3"/>
  <c r="AI277" i="3"/>
  <c r="AE277" i="3"/>
  <c r="AI308" i="3"/>
  <c r="AE308" i="3"/>
  <c r="AI309" i="3"/>
  <c r="AE309" i="3"/>
  <c r="AI313" i="3"/>
  <c r="AE313" i="3"/>
  <c r="AI312" i="3"/>
  <c r="AE312" i="3"/>
  <c r="AI311" i="3"/>
  <c r="AE311" i="3"/>
  <c r="AI310" i="3"/>
  <c r="AE310" i="3"/>
  <c r="AI330" i="3"/>
  <c r="AE330" i="3"/>
  <c r="AI314" i="3"/>
  <c r="AE314" i="3"/>
  <c r="AI315" i="3"/>
  <c r="AE315" i="3"/>
  <c r="AI300" i="3"/>
  <c r="AE300" i="3"/>
  <c r="AI307" i="3"/>
  <c r="AE307" i="3"/>
  <c r="AI305" i="3"/>
  <c r="AE305" i="3"/>
  <c r="AI306" i="3"/>
  <c r="AE306" i="3"/>
  <c r="AI299" i="3"/>
  <c r="AE299" i="3"/>
  <c r="AI304" i="3"/>
  <c r="AE304" i="3"/>
  <c r="AI303" i="3"/>
  <c r="AE303" i="3"/>
  <c r="AI302" i="3"/>
  <c r="AE302" i="3"/>
  <c r="AI301" i="3"/>
  <c r="AE301" i="3"/>
  <c r="AI293" i="3"/>
  <c r="AE293" i="3"/>
  <c r="AI297" i="3"/>
  <c r="AE297" i="3"/>
  <c r="AI294" i="3"/>
  <c r="AE294" i="3"/>
  <c r="AI296" i="3"/>
  <c r="AE296" i="3"/>
  <c r="AI282" i="3"/>
  <c r="AE282" i="3"/>
  <c r="AI290" i="3"/>
  <c r="AE290" i="3"/>
  <c r="AI281" i="3"/>
  <c r="AE281" i="3"/>
  <c r="AI291" i="3"/>
  <c r="AE291" i="3"/>
  <c r="AI292" i="3"/>
  <c r="AE292" i="3"/>
  <c r="AI262" i="3"/>
  <c r="AE262" i="3"/>
  <c r="AH637" i="3"/>
  <c r="AI637" i="3"/>
  <c r="AH634" i="3"/>
  <c r="AI634" i="3"/>
  <c r="AH632" i="3"/>
  <c r="AI632" i="3"/>
  <c r="AH631" i="3"/>
  <c r="AI631" i="3"/>
  <c r="AH633" i="3"/>
  <c r="AI633" i="3"/>
  <c r="AH635" i="3"/>
  <c r="AI635" i="3"/>
  <c r="AH636" i="3"/>
  <c r="AI636" i="3"/>
  <c r="AH625" i="3"/>
  <c r="AI625" i="3"/>
  <c r="AH627" i="3"/>
  <c r="AI627" i="3"/>
  <c r="AH626" i="3"/>
  <c r="AI626" i="3"/>
  <c r="AH630" i="3"/>
  <c r="AI630" i="3"/>
  <c r="AH624" i="3"/>
  <c r="AI624" i="3"/>
  <c r="AH629" i="3"/>
  <c r="AI629" i="3"/>
  <c r="AH623" i="3"/>
  <c r="AI623" i="3"/>
  <c r="AH622" i="3"/>
  <c r="AI622" i="3"/>
  <c r="AH621" i="3"/>
  <c r="AI621" i="3"/>
  <c r="AH620" i="3"/>
  <c r="AI620" i="3"/>
  <c r="AH619" i="3"/>
  <c r="AI619" i="3"/>
  <c r="AH618" i="3"/>
  <c r="AI618" i="3"/>
  <c r="AH612" i="3"/>
  <c r="AI612" i="3"/>
  <c r="AH605" i="3"/>
  <c r="AI605" i="3"/>
  <c r="Y625" i="3"/>
  <c r="Z625" i="3" s="1"/>
  <c r="Y624" i="3"/>
  <c r="Z624" i="3" s="1"/>
  <c r="Y622" i="3"/>
  <c r="Z622" i="3" s="1"/>
  <c r="Y612" i="3"/>
  <c r="Z612" i="3" s="1"/>
  <c r="Y637" i="3"/>
  <c r="Z637" i="3" s="1"/>
  <c r="Y634" i="3"/>
  <c r="Z634" i="3" s="1"/>
  <c r="Y632" i="3"/>
  <c r="Z632" i="3" s="1"/>
  <c r="Y631" i="3"/>
  <c r="Z631" i="3" s="1"/>
  <c r="Y633" i="3"/>
  <c r="Z633" i="3" s="1"/>
  <c r="Y635" i="3"/>
  <c r="Z635" i="3" s="1"/>
  <c r="Y636" i="3"/>
  <c r="Z636" i="3" s="1"/>
  <c r="Y628" i="3"/>
  <c r="Z628" i="3" s="1"/>
  <c r="Y627" i="3"/>
  <c r="Z627" i="3" s="1"/>
  <c r="Y626" i="3"/>
  <c r="Z626" i="3" s="1"/>
  <c r="Y630" i="3"/>
  <c r="Z630" i="3" s="1"/>
  <c r="Y629" i="3"/>
  <c r="Z629" i="3" s="1"/>
  <c r="Y623" i="3"/>
  <c r="Z623" i="3" s="1"/>
  <c r="Y621" i="3"/>
  <c r="Z621" i="3" s="1"/>
  <c r="Y620" i="3"/>
  <c r="Z620" i="3" s="1"/>
  <c r="Y619" i="3"/>
  <c r="Z619" i="3" s="1"/>
  <c r="Y618" i="3"/>
  <c r="Z618" i="3" s="1"/>
  <c r="Y605" i="3"/>
  <c r="Z605" i="3" s="1"/>
  <c r="Z562" i="3"/>
  <c r="Y616" i="3"/>
  <c r="Z616" i="3" s="1"/>
  <c r="Z527" i="3"/>
  <c r="Z541" i="3"/>
  <c r="Z506" i="3"/>
  <c r="Z593" i="3"/>
  <c r="Y617" i="3"/>
  <c r="Z617" i="3" s="1"/>
  <c r="Z360" i="3"/>
  <c r="Z543" i="3"/>
  <c r="Z504" i="3"/>
  <c r="Z573" i="3"/>
  <c r="Z476" i="3"/>
  <c r="Z544" i="3"/>
  <c r="Z467" i="3"/>
  <c r="Z540" i="3"/>
  <c r="Z496" i="3"/>
  <c r="Y582" i="3"/>
  <c r="Z582" i="3" s="1"/>
  <c r="Y438" i="3"/>
  <c r="Z438" i="3" s="1"/>
  <c r="Y482" i="3"/>
  <c r="Z482" i="3" s="1"/>
  <c r="Y547" i="3"/>
  <c r="Z547" i="3" s="1"/>
  <c r="Y491" i="3"/>
  <c r="Z491" i="3" s="1"/>
  <c r="Y507" i="3"/>
  <c r="Z507" i="3" s="1"/>
  <c r="Y604" i="3"/>
  <c r="Z604" i="3" s="1"/>
  <c r="Y601" i="3"/>
  <c r="Z601" i="3" s="1"/>
  <c r="Y599" i="3"/>
  <c r="Z599" i="3" s="1"/>
  <c r="Y456" i="3"/>
  <c r="Z456" i="3" s="1"/>
  <c r="Y615" i="3"/>
  <c r="Z615" i="3" s="1"/>
  <c r="Y614" i="3"/>
  <c r="Z614" i="3" s="1"/>
  <c r="Y609" i="3"/>
  <c r="Z609" i="3" s="1"/>
  <c r="Y608" i="3"/>
  <c r="Z608" i="3" s="1"/>
  <c r="Y613" i="3"/>
  <c r="Z613" i="3" s="1"/>
  <c r="Y611" i="3"/>
  <c r="Z611" i="3" s="1"/>
  <c r="Y610" i="3"/>
  <c r="Z610" i="3" s="1"/>
  <c r="Y607" i="3"/>
  <c r="Z607" i="3" s="1"/>
  <c r="Y603" i="3"/>
  <c r="Z603" i="3" s="1"/>
  <c r="Y606" i="3"/>
  <c r="Z606" i="3" s="1"/>
  <c r="Y598" i="3"/>
  <c r="Z598" i="3" s="1"/>
  <c r="Y602" i="3"/>
  <c r="Z602" i="3" s="1"/>
  <c r="Y600" i="3"/>
  <c r="Z600" i="3" s="1"/>
  <c r="Y597" i="3"/>
  <c r="Z597" i="3" s="1"/>
  <c r="Y594" i="3"/>
  <c r="Z594" i="3" s="1"/>
  <c r="Y590" i="3"/>
  <c r="Z590" i="3" s="1"/>
  <c r="Y588" i="3"/>
  <c r="Z588" i="3" s="1"/>
  <c r="Y587" i="3"/>
  <c r="Z587" i="3" s="1"/>
  <c r="Y552" i="3"/>
  <c r="Z552" i="3" s="1"/>
  <c r="Y551" i="3"/>
  <c r="Z551" i="3" s="1"/>
  <c r="Y549" i="3"/>
  <c r="Z549" i="3" s="1"/>
  <c r="Y596" i="3"/>
  <c r="Z596" i="3" s="1"/>
  <c r="Y595" i="3"/>
  <c r="Z595" i="3" s="1"/>
  <c r="Y592" i="3"/>
  <c r="Z592" i="3" s="1"/>
  <c r="Y591" i="3"/>
  <c r="Z591" i="3" s="1"/>
  <c r="Y586" i="3"/>
  <c r="Z586" i="3" s="1"/>
  <c r="Y585" i="3"/>
  <c r="Z585" i="3" s="1"/>
  <c r="Y583" i="3"/>
  <c r="Z583" i="3" s="1"/>
  <c r="Y589" i="3"/>
  <c r="Z589" i="3" s="1"/>
  <c r="Y584" i="3"/>
  <c r="Z584" i="3" s="1"/>
  <c r="Y581" i="3"/>
  <c r="Z581" i="3" s="1"/>
  <c r="Y580" i="3"/>
  <c r="Z580" i="3" s="1"/>
  <c r="Y577" i="3"/>
  <c r="Z577" i="3" s="1"/>
  <c r="Y575" i="3"/>
  <c r="Z575" i="3" s="1"/>
  <c r="Y574" i="3"/>
  <c r="Z574" i="3" s="1"/>
  <c r="Y571" i="3"/>
  <c r="Z571" i="3" s="1"/>
  <c r="Y570" i="3"/>
  <c r="Z570" i="3" s="1"/>
  <c r="Y569" i="3"/>
  <c r="Z569" i="3" s="1"/>
  <c r="Y568" i="3"/>
  <c r="Z568" i="3" s="1"/>
  <c r="Y567" i="3"/>
  <c r="Z567" i="3" s="1"/>
  <c r="Y564" i="3"/>
  <c r="Z564" i="3" s="1"/>
  <c r="Y566" i="3"/>
  <c r="Z566" i="3" s="1"/>
  <c r="Y561" i="3"/>
  <c r="Z561" i="3" s="1"/>
  <c r="Y560" i="3"/>
  <c r="Z560" i="3" s="1"/>
  <c r="Y557" i="3"/>
  <c r="Z557" i="3" s="1"/>
  <c r="Y559" i="3"/>
  <c r="Z559" i="3" s="1"/>
  <c r="Y558" i="3"/>
  <c r="Z558" i="3" s="1"/>
  <c r="Y555" i="3"/>
  <c r="Z555" i="3" s="1"/>
  <c r="Y556" i="3"/>
  <c r="Z556" i="3" s="1"/>
  <c r="Y554" i="3"/>
  <c r="Z554" i="3" s="1"/>
  <c r="Y550" i="3"/>
  <c r="Z550" i="3" s="1"/>
  <c r="Y553" i="3"/>
  <c r="Z553" i="3" s="1"/>
  <c r="Y563" i="3"/>
  <c r="Z563" i="3" s="1"/>
  <c r="Y284" i="3"/>
  <c r="Z284" i="3" s="1"/>
  <c r="Y285" i="3"/>
  <c r="Z285" i="3" s="1"/>
  <c r="Y286" i="3"/>
  <c r="Z286" i="3" s="1"/>
  <c r="Y283" i="3"/>
  <c r="Z283" i="3" s="1"/>
  <c r="Y316" i="3"/>
  <c r="Z316" i="3" s="1"/>
  <c r="Y317" i="3"/>
  <c r="Z317" i="3" s="1"/>
  <c r="Y318" i="3"/>
  <c r="Z318" i="3" s="1"/>
  <c r="Y319" i="3"/>
  <c r="Z319" i="3" s="1"/>
  <c r="Y320" i="3"/>
  <c r="Z320" i="3" s="1"/>
  <c r="Y287" i="3"/>
  <c r="Z287" i="3" s="1"/>
  <c r="Y288" i="3"/>
  <c r="Z288" i="3" s="1"/>
  <c r="Y333" i="3"/>
  <c r="Z333" i="3" s="1"/>
  <c r="Y334" i="3"/>
  <c r="Z334" i="3" s="1"/>
  <c r="Y325" i="3"/>
  <c r="Z325" i="3" s="1"/>
  <c r="Y326" i="3"/>
  <c r="Z326" i="3" s="1"/>
  <c r="Y327" i="3"/>
  <c r="Z327" i="3" s="1"/>
  <c r="Y321" i="3"/>
  <c r="Z321" i="3" s="1"/>
  <c r="Y322" i="3"/>
  <c r="Z322" i="3" s="1"/>
  <c r="Y323" i="3"/>
  <c r="Z323" i="3" s="1"/>
  <c r="Y324" i="3"/>
  <c r="Z324" i="3" s="1"/>
  <c r="Y335" i="3"/>
  <c r="Z335" i="3" s="1"/>
  <c r="Y342" i="3"/>
  <c r="Z342" i="3" s="1"/>
  <c r="Y328" i="3"/>
  <c r="Z328" i="3" s="1"/>
  <c r="Y329" i="3"/>
  <c r="Z329" i="3" s="1"/>
  <c r="Y298" i="3"/>
  <c r="Z298" i="3" s="1"/>
  <c r="Y336" i="3"/>
  <c r="Z336" i="3" s="1"/>
  <c r="Y295" i="3"/>
  <c r="Z295" i="3" s="1"/>
  <c r="Y338" i="3"/>
  <c r="Z338" i="3" s="1"/>
  <c r="Y289" i="3"/>
  <c r="Z289" i="3" s="1"/>
  <c r="Y351" i="3"/>
  <c r="Z351" i="3" s="1"/>
  <c r="Y352" i="3"/>
  <c r="Z352" i="3" s="1"/>
  <c r="Y353" i="3"/>
  <c r="Z353" i="3" s="1"/>
  <c r="Y447" i="3"/>
  <c r="Z447" i="3" s="1"/>
  <c r="Y462" i="3"/>
  <c r="Z462" i="3" s="1"/>
  <c r="Y470" i="3"/>
  <c r="Z470" i="3" s="1"/>
  <c r="Y539" i="3"/>
  <c r="Z539" i="3" s="1"/>
  <c r="Y545" i="3"/>
  <c r="Z545" i="3" s="1"/>
  <c r="Y538" i="3"/>
  <c r="Z538" i="3" s="1"/>
  <c r="Y537" i="3"/>
  <c r="Z537" i="3" s="1"/>
  <c r="Y536" i="3"/>
  <c r="Z536" i="3" s="1"/>
  <c r="Y533" i="3"/>
  <c r="Z533" i="3" s="1"/>
  <c r="Y532" i="3"/>
  <c r="Z532" i="3" s="1"/>
  <c r="Y535" i="3"/>
  <c r="Z535" i="3" s="1"/>
  <c r="Y529" i="3"/>
  <c r="Z529" i="3" s="1"/>
  <c r="Y530" i="3"/>
  <c r="Z530" i="3" s="1"/>
  <c r="Y534" i="3"/>
  <c r="Z534" i="3" s="1"/>
  <c r="Y531" i="3"/>
  <c r="Z531" i="3" s="1"/>
  <c r="Y528" i="3"/>
  <c r="Z528" i="3" s="1"/>
  <c r="Y524" i="3"/>
  <c r="Z524" i="3" s="1"/>
  <c r="Y526" i="3"/>
  <c r="Z526" i="3" s="1"/>
  <c r="Y523" i="3"/>
  <c r="Z523" i="3" s="1"/>
  <c r="Y525" i="3"/>
  <c r="Z525" i="3" s="1"/>
  <c r="Y518" i="3"/>
  <c r="Z518" i="3" s="1"/>
  <c r="Y522" i="3"/>
  <c r="Z522" i="3" s="1"/>
  <c r="Y517" i="3"/>
  <c r="Z517" i="3" s="1"/>
  <c r="Y516" i="3"/>
  <c r="Z516" i="3" s="1"/>
  <c r="Y515" i="3"/>
  <c r="Z515" i="3" s="1"/>
  <c r="Y520" i="3"/>
  <c r="Z520" i="3" s="1"/>
  <c r="Y521" i="3"/>
  <c r="Z521" i="3" s="1"/>
  <c r="Y519" i="3"/>
  <c r="Z519" i="3" s="1"/>
  <c r="Y513" i="3"/>
  <c r="Z513" i="3" s="1"/>
  <c r="Y511" i="3"/>
  <c r="Z511" i="3" s="1"/>
  <c r="Y512" i="3"/>
  <c r="Z512" i="3" s="1"/>
  <c r="Y510" i="3"/>
  <c r="Z510" i="3" s="1"/>
  <c r="X500" i="3"/>
  <c r="Y500" i="3" s="1"/>
  <c r="Y503" i="3"/>
  <c r="Z503" i="3" s="1"/>
  <c r="Y502" i="3"/>
  <c r="Z502" i="3" s="1"/>
  <c r="Y499" i="3"/>
  <c r="Z499" i="3" s="1"/>
  <c r="Y498" i="3"/>
  <c r="Z498" i="3" s="1"/>
  <c r="Y497" i="3"/>
  <c r="Z497" i="3" s="1"/>
  <c r="Y495" i="3"/>
  <c r="Z495" i="3" s="1"/>
  <c r="Y494" i="3"/>
  <c r="Z494" i="3" s="1"/>
  <c r="Y493" i="3"/>
  <c r="Z493" i="3" s="1"/>
  <c r="Y492" i="3"/>
  <c r="Z492" i="3" s="1"/>
  <c r="Y489" i="3"/>
  <c r="Z489" i="3" s="1"/>
  <c r="Y468" i="3"/>
  <c r="Z468" i="3" s="1"/>
  <c r="Y486" i="3"/>
  <c r="Z486" i="3" s="1"/>
  <c r="Y487" i="3"/>
  <c r="Z487" i="3" s="1"/>
  <c r="Y483" i="3"/>
  <c r="Z483" i="3" s="1"/>
  <c r="Y481" i="3"/>
  <c r="Z481" i="3" s="1"/>
  <c r="Y488" i="3"/>
  <c r="Z488" i="3" s="1"/>
  <c r="Y485" i="3"/>
  <c r="Z485" i="3" s="1"/>
  <c r="Y484" i="3"/>
  <c r="Z484" i="3" s="1"/>
  <c r="Y479" i="3"/>
  <c r="Z479" i="3" s="1"/>
  <c r="Y478" i="3"/>
  <c r="Z478" i="3" s="1"/>
  <c r="Y480" i="3"/>
  <c r="Z480" i="3" s="1"/>
  <c r="Y477" i="3"/>
  <c r="Z477" i="3" s="1"/>
  <c r="Y475" i="3"/>
  <c r="Z475" i="3" s="1"/>
  <c r="Y474" i="3"/>
  <c r="Z474" i="3" s="1"/>
  <c r="Y469" i="3"/>
  <c r="Z469" i="3" s="1"/>
  <c r="Y471" i="3"/>
  <c r="Z471" i="3" s="1"/>
  <c r="Y473" i="3"/>
  <c r="Z473" i="3" s="1"/>
  <c r="Y472" i="3"/>
  <c r="Z472" i="3" s="1"/>
  <c r="Y466" i="3"/>
  <c r="Z466" i="3" s="1"/>
  <c r="Y461" i="3"/>
  <c r="Z461" i="3" s="1"/>
  <c r="Y460" i="3"/>
  <c r="Z460" i="3" s="1"/>
  <c r="Y459" i="3"/>
  <c r="Z459" i="3" s="1"/>
  <c r="Y455" i="3"/>
  <c r="Z455" i="3" s="1"/>
  <c r="Y458" i="3"/>
  <c r="Z458" i="3" s="1"/>
  <c r="Y457" i="3"/>
  <c r="Z457" i="3" s="1"/>
  <c r="Y449" i="3"/>
  <c r="Z449" i="3" s="1"/>
  <c r="Y448" i="3"/>
  <c r="Z448" i="3" s="1"/>
  <c r="Y450" i="3"/>
  <c r="Z450" i="3" s="1"/>
  <c r="Y453" i="3"/>
  <c r="Z453" i="3" s="1"/>
  <c r="Y445" i="3"/>
  <c r="Z445" i="3" s="1"/>
  <c r="Y454" i="3"/>
  <c r="Z454" i="3" s="1"/>
  <c r="Y446" i="3"/>
  <c r="Z446" i="3" s="1"/>
  <c r="Y452" i="3"/>
  <c r="Z452" i="3" s="1"/>
  <c r="Y440" i="3"/>
  <c r="Z440" i="3" s="1"/>
  <c r="Y442" i="3"/>
  <c r="Z442" i="3" s="1"/>
  <c r="Y444" i="3"/>
  <c r="Z444" i="3" s="1"/>
  <c r="Y439" i="3"/>
  <c r="Z439" i="3" s="1"/>
  <c r="Y432" i="3"/>
  <c r="Z432" i="3" s="1"/>
  <c r="Y431" i="3"/>
  <c r="Z431" i="3" s="1"/>
  <c r="Y430" i="3"/>
  <c r="Z430" i="3" s="1"/>
  <c r="Y436" i="3"/>
  <c r="Z436" i="3" s="1"/>
  <c r="Y427" i="3"/>
  <c r="Z427" i="3" s="1"/>
  <c r="Y428" i="3"/>
  <c r="Z428" i="3" s="1"/>
  <c r="Y429" i="3"/>
  <c r="Z429" i="3" s="1"/>
  <c r="Y426" i="3"/>
  <c r="Z426" i="3" s="1"/>
  <c r="Y425" i="3"/>
  <c r="Z425" i="3" s="1"/>
  <c r="Y424" i="3"/>
  <c r="Z424" i="3" s="1"/>
  <c r="Y395" i="3"/>
  <c r="Z395" i="3" s="1"/>
  <c r="Y435" i="3"/>
  <c r="Z435" i="3" s="1"/>
  <c r="Y434" i="3"/>
  <c r="Z434" i="3" s="1"/>
  <c r="Y433" i="3"/>
  <c r="Z433" i="3" s="1"/>
  <c r="Y437" i="3"/>
  <c r="Z437" i="3" s="1"/>
  <c r="Y420" i="3"/>
  <c r="Z420" i="3" s="1"/>
  <c r="Y421" i="3"/>
  <c r="Z421" i="3" s="1"/>
  <c r="Y422" i="3"/>
  <c r="Z422" i="3" s="1"/>
  <c r="Y419" i="3"/>
  <c r="Z419" i="3" s="1"/>
  <c r="Y405" i="3"/>
  <c r="Z405" i="3" s="1"/>
  <c r="Y414" i="3"/>
  <c r="Z414" i="3" s="1"/>
  <c r="Y415" i="3"/>
  <c r="Z415" i="3" s="1"/>
  <c r="Y416" i="3"/>
  <c r="Z416" i="3" s="1"/>
  <c r="Y418" i="3"/>
  <c r="Z418" i="3" s="1"/>
  <c r="Y417" i="3"/>
  <c r="Z417" i="3" s="1"/>
  <c r="Y413" i="3"/>
  <c r="Z413" i="3" s="1"/>
  <c r="Y406" i="3"/>
  <c r="Z406" i="3" s="1"/>
  <c r="Y412" i="3"/>
  <c r="Z412" i="3" s="1"/>
  <c r="Y411" i="3"/>
  <c r="Z411" i="3" s="1"/>
  <c r="Y423" i="3"/>
  <c r="Z423" i="3" s="1"/>
  <c r="Y410" i="3"/>
  <c r="Z410" i="3" s="1"/>
  <c r="Y403" i="3"/>
  <c r="Z403" i="3" s="1"/>
  <c r="Y409" i="3"/>
  <c r="Z409" i="3" s="1"/>
  <c r="Y404" i="3"/>
  <c r="Z404" i="3" s="1"/>
  <c r="Y407" i="3"/>
  <c r="Z407" i="3" s="1"/>
  <c r="Y408" i="3"/>
  <c r="Z408" i="3" s="1"/>
  <c r="Y402" i="3"/>
  <c r="Z402" i="3" s="1"/>
  <c r="Y397" i="3"/>
  <c r="Z397" i="3" s="1"/>
  <c r="Y398" i="3"/>
  <c r="Z398" i="3" s="1"/>
  <c r="Y400" i="3"/>
  <c r="Z400" i="3" s="1"/>
  <c r="Y399" i="3"/>
  <c r="Z399" i="3" s="1"/>
  <c r="Y401" i="3"/>
  <c r="Z401" i="3" s="1"/>
  <c r="Y394" i="3"/>
  <c r="Z394" i="3" s="1"/>
  <c r="Y392" i="3"/>
  <c r="Z392" i="3" s="1"/>
  <c r="Y390" i="3"/>
  <c r="Z390" i="3" s="1"/>
  <c r="Y391" i="3"/>
  <c r="Z391" i="3" s="1"/>
  <c r="Y396" i="3"/>
  <c r="Z396" i="3" s="1"/>
  <c r="Y389" i="3"/>
  <c r="Z389" i="3" s="1"/>
  <c r="Y388" i="3"/>
  <c r="Z388" i="3" s="1"/>
  <c r="Y387" i="3"/>
  <c r="Z387" i="3" s="1"/>
  <c r="Y386" i="3"/>
  <c r="Z386" i="3" s="1"/>
  <c r="Y377" i="3"/>
  <c r="Z377" i="3" s="1"/>
  <c r="Y378" i="3"/>
  <c r="Z378" i="3" s="1"/>
  <c r="Y379" i="3"/>
  <c r="Z379" i="3" s="1"/>
  <c r="Y381" i="3"/>
  <c r="Z381" i="3" s="1"/>
  <c r="Y385" i="3"/>
  <c r="Z385" i="3" s="1"/>
  <c r="Y380" i="3"/>
  <c r="Z380" i="3" s="1"/>
  <c r="Y383" i="3"/>
  <c r="Z383" i="3" s="1"/>
  <c r="Y382" i="3"/>
  <c r="Z382" i="3" s="1"/>
  <c r="Y384" i="3"/>
  <c r="Z384" i="3" s="1"/>
  <c r="Y367" i="3"/>
  <c r="Y376" i="3"/>
  <c r="Z376" i="3" s="1"/>
  <c r="Y375" i="3"/>
  <c r="Z375" i="3" s="1"/>
  <c r="Y374" i="3"/>
  <c r="Y373" i="3"/>
  <c r="Y372" i="3"/>
  <c r="Y371" i="3"/>
  <c r="Y370" i="3"/>
  <c r="Y369" i="3"/>
  <c r="Y368" i="3"/>
  <c r="Y366" i="3"/>
  <c r="Y364" i="3"/>
  <c r="Y362" i="3"/>
  <c r="Y361" i="3"/>
  <c r="Y358" i="3"/>
  <c r="Y359" i="3"/>
  <c r="Y363" i="3"/>
  <c r="Y356" i="3"/>
  <c r="Y355" i="3"/>
  <c r="Z355" i="3" s="1"/>
  <c r="Y354" i="3"/>
  <c r="Z354" i="3" s="1"/>
  <c r="Y350" i="3"/>
  <c r="Y349" i="3"/>
  <c r="Y345" i="3"/>
  <c r="Z345" i="3" s="1"/>
  <c r="Y344" i="3"/>
  <c r="Z344" i="3" s="1"/>
  <c r="Y348" i="3"/>
  <c r="Y347" i="3"/>
  <c r="Y346" i="3"/>
  <c r="Z346" i="3" s="1"/>
  <c r="Y341" i="3"/>
  <c r="Z341" i="3" s="1"/>
  <c r="Y311" i="3"/>
  <c r="Z311" i="3" s="1"/>
  <c r="Y339" i="3"/>
  <c r="Z339" i="3" s="1"/>
  <c r="Y340" i="3"/>
  <c r="Y337" i="3"/>
  <c r="Y331" i="3"/>
  <c r="Z331" i="3" s="1"/>
  <c r="Y332" i="3"/>
  <c r="Z332" i="3" s="1"/>
  <c r="Y278" i="3"/>
  <c r="Z278" i="3" s="1"/>
  <c r="Y277" i="3"/>
  <c r="Z277" i="3" s="1"/>
  <c r="Y308" i="3"/>
  <c r="Z308" i="3" s="1"/>
  <c r="Y309" i="3"/>
  <c r="Y313" i="3"/>
  <c r="Z313" i="3" s="1"/>
  <c r="Y312" i="3"/>
  <c r="Z312" i="3" s="1"/>
  <c r="Y310" i="3"/>
  <c r="Z310" i="3" s="1"/>
  <c r="Y330" i="3"/>
  <c r="Z330" i="3" s="1"/>
  <c r="Y314" i="3"/>
  <c r="Y307" i="3"/>
  <c r="Z307" i="3" s="1"/>
  <c r="Y305" i="3"/>
  <c r="Z305" i="3" s="1"/>
  <c r="Y306" i="3"/>
  <c r="Z306" i="3" s="1"/>
  <c r="Y299" i="3"/>
  <c r="Y304" i="3"/>
  <c r="Z304" i="3" s="1"/>
  <c r="Y303" i="3"/>
  <c r="Z303" i="3" s="1"/>
  <c r="Y302" i="3"/>
  <c r="Z302" i="3" s="1"/>
  <c r="Y301" i="3"/>
  <c r="Z301" i="3" s="1"/>
  <c r="Y300" i="3"/>
  <c r="Z300" i="3" s="1"/>
  <c r="Y293" i="3"/>
  <c r="Z293" i="3" s="1"/>
  <c r="Y297" i="3"/>
  <c r="Z297" i="3" s="1"/>
  <c r="Y296" i="3"/>
  <c r="Z296" i="3" s="1"/>
  <c r="Y282" i="3"/>
  <c r="Y290" i="3"/>
  <c r="Z290" i="3" s="1"/>
  <c r="Y281" i="3"/>
  <c r="Z281" i="3" s="1"/>
  <c r="Y291" i="3"/>
  <c r="Z291" i="3" s="1"/>
  <c r="Y292" i="3"/>
  <c r="Z292" i="3" s="1"/>
  <c r="P215" i="1"/>
  <c r="O215" i="1"/>
  <c r="O214" i="1"/>
  <c r="O217" i="1"/>
  <c r="D280" i="3"/>
  <c r="S280" i="3"/>
  <c r="D279" i="3"/>
  <c r="S279" i="3"/>
  <c r="S264" i="3"/>
  <c r="O243" i="1"/>
  <c r="P243" i="1"/>
  <c r="O244" i="1"/>
  <c r="P244" i="1"/>
  <c r="O245" i="1"/>
  <c r="P245" i="1"/>
  <c r="O237" i="1"/>
  <c r="P237" i="1"/>
  <c r="O238" i="1"/>
  <c r="P238" i="1"/>
  <c r="P239" i="1"/>
  <c r="O239" i="1"/>
  <c r="P216" i="1"/>
  <c r="P214" i="1"/>
  <c r="O216" i="1"/>
  <c r="P213" i="1"/>
  <c r="O222" i="1"/>
  <c r="P222" i="1"/>
  <c r="P220" i="1"/>
  <c r="P217" i="1"/>
  <c r="P212" i="1"/>
  <c r="O213" i="1"/>
  <c r="O220" i="1"/>
  <c r="O221" i="1"/>
  <c r="O223" i="1"/>
  <c r="O224" i="1"/>
  <c r="O225" i="1"/>
  <c r="P224" i="1"/>
  <c r="D265" i="3"/>
  <c r="D269" i="3"/>
  <c r="D275" i="3"/>
  <c r="D273" i="3"/>
  <c r="D272" i="3"/>
  <c r="D262" i="3"/>
  <c r="D267" i="3"/>
  <c r="D264" i="3"/>
  <c r="D260" i="3"/>
  <c r="S267" i="3"/>
  <c r="S260" i="3"/>
  <c r="S265" i="3"/>
  <c r="D268" i="3"/>
  <c r="D271" i="3"/>
  <c r="S271" i="3"/>
  <c r="S269" i="3"/>
  <c r="D276" i="3"/>
  <c r="D274" i="3"/>
  <c r="D270" i="3"/>
  <c r="S276" i="3"/>
  <c r="S274" i="3"/>
  <c r="S272" i="3"/>
  <c r="S273" i="3"/>
  <c r="S275" i="3"/>
  <c r="S270" i="3"/>
  <c r="D263" i="3"/>
  <c r="S266" i="3"/>
  <c r="S263" i="3"/>
  <c r="S268" i="3"/>
  <c r="D266" i="3"/>
  <c r="P221" i="1"/>
  <c r="S261" i="3"/>
  <c r="S259" i="3"/>
  <c r="D261" i="3"/>
  <c r="D259" i="3"/>
  <c r="D255" i="3"/>
  <c r="D256" i="3"/>
  <c r="D258" i="3"/>
  <c r="S256" i="3"/>
  <c r="S255" i="3"/>
  <c r="S258" i="3"/>
  <c r="D251" i="3"/>
  <c r="D254" i="3"/>
  <c r="S257" i="3"/>
  <c r="S254" i="3"/>
  <c r="S226" i="3"/>
  <c r="D247" i="3"/>
  <c r="D246" i="3"/>
  <c r="D245" i="3"/>
  <c r="D244" i="3"/>
  <c r="D242" i="3"/>
  <c r="D248" i="3"/>
  <c r="D249" i="3"/>
  <c r="D250" i="3"/>
  <c r="D252" i="3"/>
  <c r="S243" i="3"/>
  <c r="S242" i="3"/>
  <c r="S244" i="3"/>
  <c r="S245" i="3"/>
  <c r="S246" i="3"/>
  <c r="AC247" i="3"/>
  <c r="AH247" i="3" s="1"/>
  <c r="S248" i="3"/>
  <c r="S249" i="3"/>
  <c r="S250" i="3"/>
  <c r="S253" i="3"/>
  <c r="S251" i="3"/>
  <c r="S252" i="3"/>
  <c r="D243" i="3"/>
  <c r="P189" i="1"/>
  <c r="O189" i="1"/>
  <c r="P204" i="1"/>
  <c r="O204" i="1"/>
  <c r="P203" i="1"/>
  <c r="P202" i="1"/>
  <c r="P201" i="1"/>
  <c r="P200" i="1"/>
  <c r="D239" i="3"/>
  <c r="S238" i="3"/>
  <c r="S239" i="3"/>
  <c r="D238" i="3"/>
  <c r="S237" i="3"/>
  <c r="D237" i="3"/>
  <c r="D240" i="3"/>
  <c r="S240" i="3"/>
  <c r="D241" i="3"/>
  <c r="S241" i="3"/>
  <c r="P209" i="1"/>
  <c r="P208" i="1"/>
  <c r="P206" i="1"/>
  <c r="P205" i="1"/>
  <c r="S218" i="3"/>
  <c r="S219" i="3"/>
  <c r="S234" i="3"/>
  <c r="S235" i="3"/>
  <c r="S236" i="3"/>
  <c r="D233" i="3"/>
  <c r="D236" i="3"/>
  <c r="D235" i="3"/>
  <c r="S233" i="3"/>
  <c r="S202" i="3"/>
  <c r="S14" i="3"/>
  <c r="AD14" i="3" s="1"/>
  <c r="S215" i="3"/>
  <c r="O201" i="1"/>
  <c r="D234" i="3"/>
  <c r="D232" i="3"/>
  <c r="S231" i="3"/>
  <c r="S230" i="3"/>
  <c r="S232" i="3"/>
  <c r="D230" i="3"/>
  <c r="D231" i="3"/>
  <c r="D228" i="3"/>
  <c r="S228" i="3"/>
  <c r="D226" i="3"/>
  <c r="D222" i="3"/>
  <c r="D225" i="3"/>
  <c r="D229" i="3"/>
  <c r="D224" i="3"/>
  <c r="D223" i="3"/>
  <c r="S227" i="3"/>
  <c r="S225" i="3"/>
  <c r="S229" i="3"/>
  <c r="S224" i="3"/>
  <c r="S223" i="3"/>
  <c r="S222" i="3"/>
  <c r="D227" i="3"/>
  <c r="W222" i="3" l="1"/>
  <c r="X222" i="3" s="1"/>
  <c r="AD222" i="3"/>
  <c r="W223" i="3"/>
  <c r="X223" i="3" s="1"/>
  <c r="AD223" i="3"/>
  <c r="W224" i="3"/>
  <c r="X224" i="3" s="1"/>
  <c r="AD224" i="3"/>
  <c r="W229" i="3"/>
  <c r="X229" i="3" s="1"/>
  <c r="AD229" i="3"/>
  <c r="W225" i="3"/>
  <c r="X225" i="3" s="1"/>
  <c r="AD225" i="3"/>
  <c r="W227" i="3"/>
  <c r="X227" i="3" s="1"/>
  <c r="AD227" i="3"/>
  <c r="W228" i="3"/>
  <c r="X228" i="3" s="1"/>
  <c r="Y228" i="3" s="1"/>
  <c r="AD228" i="3"/>
  <c r="W232" i="3"/>
  <c r="X232" i="3" s="1"/>
  <c r="AD232" i="3"/>
  <c r="W230" i="3"/>
  <c r="X230" i="3" s="1"/>
  <c r="AD230" i="3"/>
  <c r="W231" i="3"/>
  <c r="X231" i="3" s="1"/>
  <c r="AD231" i="3"/>
  <c r="W215" i="3"/>
  <c r="X215" i="3" s="1"/>
  <c r="AD215" i="3"/>
  <c r="W202" i="3"/>
  <c r="X202" i="3" s="1"/>
  <c r="AD202" i="3"/>
  <c r="W233" i="3"/>
  <c r="X233" i="3" s="1"/>
  <c r="AD233" i="3"/>
  <c r="W236" i="3"/>
  <c r="X236" i="3" s="1"/>
  <c r="Z357" i="3" s="1"/>
  <c r="AD236" i="3"/>
  <c r="W235" i="3"/>
  <c r="X235" i="3" s="1"/>
  <c r="AD235" i="3"/>
  <c r="W234" i="3"/>
  <c r="X234" i="3" s="1"/>
  <c r="AD234" i="3"/>
  <c r="W219" i="3"/>
  <c r="X219" i="3" s="1"/>
  <c r="AD219" i="3"/>
  <c r="W218" i="3"/>
  <c r="X218" i="3" s="1"/>
  <c r="AD218" i="3"/>
  <c r="W241" i="3"/>
  <c r="X241" i="3" s="1"/>
  <c r="Y241" i="3" s="1"/>
  <c r="AD241" i="3"/>
  <c r="W240" i="3"/>
  <c r="X240" i="3" s="1"/>
  <c r="Y240" i="3" s="1"/>
  <c r="AD240" i="3"/>
  <c r="W237" i="3"/>
  <c r="X237" i="3" s="1"/>
  <c r="Y237" i="3" s="1"/>
  <c r="AD237" i="3"/>
  <c r="W239" i="3"/>
  <c r="X239" i="3" s="1"/>
  <c r="Y239" i="3" s="1"/>
  <c r="AD239" i="3"/>
  <c r="W238" i="3"/>
  <c r="X238" i="3" s="1"/>
  <c r="Y238" i="3" s="1"/>
  <c r="AD238" i="3"/>
  <c r="W252" i="3"/>
  <c r="X252" i="3" s="1"/>
  <c r="AD252" i="3"/>
  <c r="W251" i="3"/>
  <c r="X251" i="3" s="1"/>
  <c r="AD251" i="3"/>
  <c r="W253" i="3"/>
  <c r="X253" i="3" s="1"/>
  <c r="AD253" i="3"/>
  <c r="W250" i="3"/>
  <c r="X250" i="3" s="1"/>
  <c r="AD250" i="3"/>
  <c r="W249" i="3"/>
  <c r="X249" i="3" s="1"/>
  <c r="AD249" i="3"/>
  <c r="W248" i="3"/>
  <c r="X248" i="3" s="1"/>
  <c r="Y248" i="3" s="1"/>
  <c r="Z248" i="3" s="1"/>
  <c r="AD248" i="3"/>
  <c r="W246" i="3"/>
  <c r="X246" i="3" s="1"/>
  <c r="Y246" i="3" s="1"/>
  <c r="Z246" i="3" s="1"/>
  <c r="AD246" i="3"/>
  <c r="W245" i="3"/>
  <c r="X245" i="3" s="1"/>
  <c r="Y245" i="3" s="1"/>
  <c r="Z245" i="3" s="1"/>
  <c r="AD245" i="3"/>
  <c r="W244" i="3"/>
  <c r="X244" i="3" s="1"/>
  <c r="Y244" i="3" s="1"/>
  <c r="Z244" i="3" s="1"/>
  <c r="AD244" i="3"/>
  <c r="W242" i="3"/>
  <c r="X242" i="3" s="1"/>
  <c r="Y242" i="3" s="1"/>
  <c r="AD242" i="3"/>
  <c r="W243" i="3"/>
  <c r="X243" i="3" s="1"/>
  <c r="AD243" i="3"/>
  <c r="W226" i="3"/>
  <c r="X226" i="3" s="1"/>
  <c r="Y226" i="3" s="1"/>
  <c r="AD226" i="3"/>
  <c r="W254" i="3"/>
  <c r="X254" i="3" s="1"/>
  <c r="Y254" i="3" s="1"/>
  <c r="AD254" i="3"/>
  <c r="W257" i="3"/>
  <c r="X257" i="3" s="1"/>
  <c r="Y257" i="3" s="1"/>
  <c r="Z257" i="3" s="1"/>
  <c r="AD257" i="3"/>
  <c r="W258" i="3"/>
  <c r="X258" i="3" s="1"/>
  <c r="Y258" i="3" s="1"/>
  <c r="Z258" i="3" s="1"/>
  <c r="AD258" i="3"/>
  <c r="W255" i="3"/>
  <c r="X255" i="3" s="1"/>
  <c r="Y255" i="3" s="1"/>
  <c r="AD255" i="3"/>
  <c r="W256" i="3"/>
  <c r="X256" i="3" s="1"/>
  <c r="AD256" i="3"/>
  <c r="W259" i="3"/>
  <c r="X259" i="3" s="1"/>
  <c r="AD259" i="3"/>
  <c r="W261" i="3"/>
  <c r="X261" i="3" s="1"/>
  <c r="AD261" i="3"/>
  <c r="W268" i="3"/>
  <c r="X268" i="3" s="1"/>
  <c r="Y268" i="3" s="1"/>
  <c r="Z268" i="3" s="1"/>
  <c r="AD268" i="3"/>
  <c r="W263" i="3"/>
  <c r="X263" i="3" s="1"/>
  <c r="Y263" i="3" s="1"/>
  <c r="AD263" i="3"/>
  <c r="W266" i="3"/>
  <c r="X266" i="3" s="1"/>
  <c r="Y266" i="3" s="1"/>
  <c r="AD266" i="3"/>
  <c r="W270" i="3"/>
  <c r="X270" i="3" s="1"/>
  <c r="AD270" i="3"/>
  <c r="W275" i="3"/>
  <c r="X275" i="3" s="1"/>
  <c r="AD275" i="3"/>
  <c r="W273" i="3"/>
  <c r="X273" i="3" s="1"/>
  <c r="Y273" i="3" s="1"/>
  <c r="Z273" i="3" s="1"/>
  <c r="AD273" i="3"/>
  <c r="W272" i="3"/>
  <c r="X272" i="3" s="1"/>
  <c r="AD272" i="3"/>
  <c r="W274" i="3"/>
  <c r="X274" i="3" s="1"/>
  <c r="AD274" i="3"/>
  <c r="W276" i="3"/>
  <c r="X276" i="3" s="1"/>
  <c r="AD276" i="3"/>
  <c r="W269" i="3"/>
  <c r="X269" i="3" s="1"/>
  <c r="Y269" i="3" s="1"/>
  <c r="Z269" i="3" s="1"/>
  <c r="AD269" i="3"/>
  <c r="W271" i="3"/>
  <c r="X271" i="3" s="1"/>
  <c r="AD271" i="3"/>
  <c r="W265" i="3"/>
  <c r="X265" i="3" s="1"/>
  <c r="AD265" i="3"/>
  <c r="W260" i="3"/>
  <c r="X260" i="3" s="1"/>
  <c r="Y260" i="3" s="1"/>
  <c r="Z260" i="3" s="1"/>
  <c r="AD260" i="3"/>
  <c r="W267" i="3"/>
  <c r="X267" i="3" s="1"/>
  <c r="Y267" i="3" s="1"/>
  <c r="Z267" i="3" s="1"/>
  <c r="AD267" i="3"/>
  <c r="W264" i="3"/>
  <c r="X264" i="3" s="1"/>
  <c r="Y264" i="3" s="1"/>
  <c r="Z264" i="3" s="1"/>
  <c r="AD264" i="3"/>
  <c r="W279" i="3"/>
  <c r="X279" i="3" s="1"/>
  <c r="Y279" i="3" s="1"/>
  <c r="AD279" i="3"/>
  <c r="W280" i="3"/>
  <c r="X280" i="3" s="1"/>
  <c r="Y280" i="3" s="1"/>
  <c r="Z280" i="3" s="1"/>
  <c r="AD280" i="3"/>
  <c r="W14" i="3"/>
  <c r="X14" i="3" s="1"/>
  <c r="Z500" i="3"/>
  <c r="Z299" i="3"/>
  <c r="Z314" i="3"/>
  <c r="Z309" i="3"/>
  <c r="Z363" i="3"/>
  <c r="Z359" i="3"/>
  <c r="Z358" i="3"/>
  <c r="Z361" i="3"/>
  <c r="Z362" i="3"/>
  <c r="Z366" i="3"/>
  <c r="Z368" i="3"/>
  <c r="Z369" i="3"/>
  <c r="Z370" i="3"/>
  <c r="Z371" i="3"/>
  <c r="Z372" i="3"/>
  <c r="Z373" i="3"/>
  <c r="Z374" i="3"/>
  <c r="AC223" i="3"/>
  <c r="AH223" i="3" s="1"/>
  <c r="AC231" i="3"/>
  <c r="AH231" i="3" s="1"/>
  <c r="AC233" i="3"/>
  <c r="AH233" i="3" s="1"/>
  <c r="AC236" i="3"/>
  <c r="AH236" i="3" s="1"/>
  <c r="AC237" i="3"/>
  <c r="AH237" i="3" s="1"/>
  <c r="AC246" i="3"/>
  <c r="AH246" i="3" s="1"/>
  <c r="AC243" i="3"/>
  <c r="AH243" i="3" s="1"/>
  <c r="AC226" i="3"/>
  <c r="AH226" i="3" s="1"/>
  <c r="AC256" i="3"/>
  <c r="AH256" i="3" s="1"/>
  <c r="AC270" i="3"/>
  <c r="AH270" i="3" s="1"/>
  <c r="AC269" i="3"/>
  <c r="AH269" i="3" s="1"/>
  <c r="AC271" i="3"/>
  <c r="AH271" i="3" s="1"/>
  <c r="AC267" i="3"/>
  <c r="AH267" i="3" s="1"/>
  <c r="AC258" i="3"/>
  <c r="AH258" i="3" s="1"/>
  <c r="AC280" i="3"/>
  <c r="AH280" i="3" s="1"/>
  <c r="AC279" i="3"/>
  <c r="AH279" i="3" s="1"/>
  <c r="Y262" i="3"/>
  <c r="AC262" i="3"/>
  <c r="AH262" i="3" s="1"/>
  <c r="AC264" i="3"/>
  <c r="AH264" i="3" s="1"/>
  <c r="AC260" i="3"/>
  <c r="AH260" i="3" s="1"/>
  <c r="AC265" i="3"/>
  <c r="AH265" i="3" s="1"/>
  <c r="AC274" i="3"/>
  <c r="AH274" i="3" s="1"/>
  <c r="AC275" i="3"/>
  <c r="AH275" i="3" s="1"/>
  <c r="AC273" i="3"/>
  <c r="AH273" i="3" s="1"/>
  <c r="AC272" i="3"/>
  <c r="AH272" i="3" s="1"/>
  <c r="AC276" i="3"/>
  <c r="AH276" i="3" s="1"/>
  <c r="AC268" i="3"/>
  <c r="AH268" i="3" s="1"/>
  <c r="AC263" i="3"/>
  <c r="AH263" i="3" s="1"/>
  <c r="AC266" i="3"/>
  <c r="AH266" i="3" s="1"/>
  <c r="AC240" i="3"/>
  <c r="AH240" i="3" s="1"/>
  <c r="AC259" i="3"/>
  <c r="AH259" i="3" s="1"/>
  <c r="AC261" i="3"/>
  <c r="AH261" i="3" s="1"/>
  <c r="AC255" i="3"/>
  <c r="AH255" i="3" s="1"/>
  <c r="AC254" i="3"/>
  <c r="AH254" i="3" s="1"/>
  <c r="Y247" i="3"/>
  <c r="AC248" i="3"/>
  <c r="AH248" i="3" s="1"/>
  <c r="AC249" i="3"/>
  <c r="AH249" i="3" s="1"/>
  <c r="AC245" i="3"/>
  <c r="AH245" i="3" s="1"/>
  <c r="AC244" i="3"/>
  <c r="AH244" i="3" s="1"/>
  <c r="AC242" i="3"/>
  <c r="AH242" i="3" s="1"/>
  <c r="AC251" i="3"/>
  <c r="AH251" i="3" s="1"/>
  <c r="AC250" i="3"/>
  <c r="AH250" i="3" s="1"/>
  <c r="AC239" i="3"/>
  <c r="AH239" i="3" s="1"/>
  <c r="AC238" i="3"/>
  <c r="AH238" i="3" s="1"/>
  <c r="AC241" i="3"/>
  <c r="AH241" i="3" s="1"/>
  <c r="AC234" i="3"/>
  <c r="AH234" i="3" s="1"/>
  <c r="AC222" i="3"/>
  <c r="AH222" i="3" s="1"/>
  <c r="AC232" i="3"/>
  <c r="AH232" i="3" s="1"/>
  <c r="AC230" i="3"/>
  <c r="AH230" i="3" s="1"/>
  <c r="AC228" i="3"/>
  <c r="AH228" i="3" s="1"/>
  <c r="AC224" i="3"/>
  <c r="AH224" i="3" s="1"/>
  <c r="AC229" i="3"/>
  <c r="AH229" i="3" s="1"/>
  <c r="AC225" i="3"/>
  <c r="AH225" i="3" s="1"/>
  <c r="AC227" i="3"/>
  <c r="AH227" i="3" s="1"/>
  <c r="S206" i="3"/>
  <c r="D206" i="3"/>
  <c r="D221" i="3"/>
  <c r="S221" i="3"/>
  <c r="S23" i="3"/>
  <c r="D191" i="3"/>
  <c r="D135" i="3"/>
  <c r="D162" i="3"/>
  <c r="D127" i="3"/>
  <c r="D126" i="3"/>
  <c r="D125" i="3"/>
  <c r="D124" i="3"/>
  <c r="D118" i="3"/>
  <c r="D129" i="3"/>
  <c r="D121" i="3"/>
  <c r="D122" i="3"/>
  <c r="D128" i="3"/>
  <c r="D111" i="3"/>
  <c r="D115" i="3"/>
  <c r="D113" i="3"/>
  <c r="D112" i="3"/>
  <c r="D116" i="3"/>
  <c r="D114" i="3"/>
  <c r="D108" i="3"/>
  <c r="D109" i="3"/>
  <c r="D106" i="3"/>
  <c r="D105" i="3"/>
  <c r="D101" i="3"/>
  <c r="D102" i="3"/>
  <c r="D103" i="3"/>
  <c r="D104" i="3"/>
  <c r="D98" i="3"/>
  <c r="D83" i="3"/>
  <c r="D90" i="3"/>
  <c r="D92" i="3"/>
  <c r="D91" i="3"/>
  <c r="D95" i="3"/>
  <c r="D94" i="3"/>
  <c r="D74" i="3"/>
  <c r="D72" i="3"/>
  <c r="D73" i="3"/>
  <c r="D78" i="3"/>
  <c r="D79" i="3"/>
  <c r="D80" i="3"/>
  <c r="D81" i="3"/>
  <c r="D82" i="3"/>
  <c r="D84" i="3"/>
  <c r="D77" i="3"/>
  <c r="D75" i="3"/>
  <c r="D68" i="3"/>
  <c r="D71" i="3"/>
  <c r="D50" i="3"/>
  <c r="D51" i="3"/>
  <c r="D52" i="3"/>
  <c r="D48" i="3"/>
  <c r="D41" i="3"/>
  <c r="D42" i="3"/>
  <c r="D40" i="3"/>
  <c r="D45" i="3"/>
  <c r="D55" i="3"/>
  <c r="D44" i="3"/>
  <c r="D13" i="3"/>
  <c r="D28" i="3"/>
  <c r="D24" i="3"/>
  <c r="D27" i="3"/>
  <c r="D33" i="3"/>
  <c r="D34" i="3"/>
  <c r="D32" i="3"/>
  <c r="D30" i="3"/>
  <c r="D37" i="3"/>
  <c r="D38" i="3"/>
  <c r="D56" i="3"/>
  <c r="D57" i="3"/>
  <c r="D31" i="3"/>
  <c r="D26" i="3"/>
  <c r="D8" i="3"/>
  <c r="D7" i="3"/>
  <c r="D9" i="3"/>
  <c r="D5" i="3"/>
  <c r="D4" i="3"/>
  <c r="D3" i="3"/>
  <c r="D85" i="3"/>
  <c r="D86" i="3"/>
  <c r="D10" i="3"/>
  <c r="D6" i="3"/>
  <c r="D25" i="3"/>
  <c r="D29" i="3"/>
  <c r="D16" i="3"/>
  <c r="D43" i="3"/>
  <c r="D53" i="3"/>
  <c r="D76" i="3"/>
  <c r="D69" i="3"/>
  <c r="D97" i="3"/>
  <c r="D99" i="3"/>
  <c r="D100" i="3"/>
  <c r="D107" i="3"/>
  <c r="D110" i="3"/>
  <c r="D119" i="3"/>
  <c r="D120" i="3"/>
  <c r="D123" i="3"/>
  <c r="D117" i="3"/>
  <c r="D130" i="3"/>
  <c r="D131" i="3"/>
  <c r="D142" i="3"/>
  <c r="D144" i="3"/>
  <c r="D143" i="3"/>
  <c r="D168" i="3"/>
  <c r="D192" i="3"/>
  <c r="D201" i="3"/>
  <c r="D15" i="3"/>
  <c r="D39" i="3"/>
  <c r="D54" i="3"/>
  <c r="D49" i="3"/>
  <c r="D70" i="3"/>
  <c r="D89" i="3"/>
  <c r="D96" i="3"/>
  <c r="D93" i="3"/>
  <c r="D87" i="3"/>
  <c r="D17" i="3"/>
  <c r="D18" i="3"/>
  <c r="D21" i="3"/>
  <c r="D19" i="3"/>
  <c r="D22" i="3"/>
  <c r="D36" i="3"/>
  <c r="D35" i="3"/>
  <c r="D46" i="3"/>
  <c r="D47" i="3"/>
  <c r="D20" i="3"/>
  <c r="D58" i="3"/>
  <c r="D88" i="3"/>
  <c r="D2" i="3"/>
  <c r="S35" i="3"/>
  <c r="S46" i="3"/>
  <c r="S47" i="3"/>
  <c r="S20" i="3"/>
  <c r="AD20" i="3" s="1"/>
  <c r="S58" i="3"/>
  <c r="S88" i="3"/>
  <c r="S89" i="3"/>
  <c r="S96" i="3"/>
  <c r="S93" i="3"/>
  <c r="S39" i="3"/>
  <c r="S54" i="3"/>
  <c r="S49" i="3"/>
  <c r="S70" i="3"/>
  <c r="S15" i="3"/>
  <c r="AD15" i="3" s="1"/>
  <c r="S2" i="3"/>
  <c r="S86" i="3"/>
  <c r="S85" i="3"/>
  <c r="S10" i="3"/>
  <c r="S8" i="3"/>
  <c r="S7" i="3"/>
  <c r="S9" i="3"/>
  <c r="S5" i="3"/>
  <c r="S4" i="3"/>
  <c r="S3" i="3"/>
  <c r="S6" i="3"/>
  <c r="S25" i="3"/>
  <c r="S26" i="3"/>
  <c r="S29" i="3"/>
  <c r="S32" i="3"/>
  <c r="S30" i="3"/>
  <c r="S37" i="3"/>
  <c r="S38" i="3"/>
  <c r="S56" i="3"/>
  <c r="S57" i="3"/>
  <c r="S31" i="3"/>
  <c r="S16" i="3"/>
  <c r="AD16" i="3" s="1"/>
  <c r="S28" i="3"/>
  <c r="S24" i="3"/>
  <c r="S27" i="3"/>
  <c r="S33" i="3"/>
  <c r="S34" i="3"/>
  <c r="S13" i="3"/>
  <c r="AD13" i="3" s="1"/>
  <c r="S43" i="3"/>
  <c r="S41" i="3"/>
  <c r="S42" i="3"/>
  <c r="S40" i="3"/>
  <c r="S45" i="3"/>
  <c r="S55" i="3"/>
  <c r="S44" i="3"/>
  <c r="S48" i="3"/>
  <c r="S53" i="3"/>
  <c r="S50" i="3"/>
  <c r="S51" i="3"/>
  <c r="S52" i="3"/>
  <c r="S76" i="3"/>
  <c r="S77" i="3"/>
  <c r="S75" i="3"/>
  <c r="S68" i="3"/>
  <c r="S71" i="3"/>
  <c r="S69" i="3"/>
  <c r="S74" i="3"/>
  <c r="S72" i="3"/>
  <c r="S73" i="3"/>
  <c r="S78" i="3"/>
  <c r="S79" i="3"/>
  <c r="S80" i="3"/>
  <c r="S81" i="3"/>
  <c r="S82" i="3"/>
  <c r="S84" i="3"/>
  <c r="S83" i="3"/>
  <c r="S90" i="3"/>
  <c r="S92" i="3"/>
  <c r="S91" i="3"/>
  <c r="S95" i="3"/>
  <c r="S94" i="3"/>
  <c r="S97" i="3"/>
  <c r="S98" i="3"/>
  <c r="S99" i="3"/>
  <c r="S100" i="3"/>
  <c r="S106" i="3"/>
  <c r="S105" i="3"/>
  <c r="S101" i="3"/>
  <c r="S102" i="3"/>
  <c r="S103" i="3"/>
  <c r="S104" i="3"/>
  <c r="S107" i="3"/>
  <c r="S108" i="3"/>
  <c r="S109" i="3"/>
  <c r="S110" i="3"/>
  <c r="S112" i="3"/>
  <c r="S116" i="3"/>
  <c r="S114" i="3"/>
  <c r="S111" i="3"/>
  <c r="S115" i="3"/>
  <c r="S113" i="3"/>
  <c r="S119" i="3"/>
  <c r="S128" i="3"/>
  <c r="S120" i="3"/>
  <c r="S121" i="3"/>
  <c r="S122" i="3"/>
  <c r="S123" i="3"/>
  <c r="S129" i="3"/>
  <c r="S117" i="3"/>
  <c r="S118" i="3"/>
  <c r="S124" i="3"/>
  <c r="S125" i="3"/>
  <c r="S130" i="3"/>
  <c r="S127" i="3"/>
  <c r="S126" i="3"/>
  <c r="S131" i="3"/>
  <c r="S142" i="3"/>
  <c r="S144" i="3"/>
  <c r="S143" i="3"/>
  <c r="S162" i="3"/>
  <c r="S168" i="3"/>
  <c r="S135" i="3"/>
  <c r="S192" i="3"/>
  <c r="S191" i="3"/>
  <c r="S201" i="3"/>
  <c r="D61" i="3"/>
  <c r="D60" i="3"/>
  <c r="D59" i="3"/>
  <c r="D64" i="3"/>
  <c r="D63" i="3"/>
  <c r="D65" i="3"/>
  <c r="D66" i="3"/>
  <c r="D67" i="3"/>
  <c r="D23" i="3"/>
  <c r="D12" i="3"/>
  <c r="D11" i="3"/>
  <c r="D14" i="3"/>
  <c r="D62" i="3"/>
  <c r="S11" i="3"/>
  <c r="S12" i="3"/>
  <c r="AD12" i="3" s="1"/>
  <c r="S62" i="3"/>
  <c r="S61" i="3"/>
  <c r="S60" i="3"/>
  <c r="S59" i="3"/>
  <c r="S64" i="3"/>
  <c r="S63" i="3"/>
  <c r="S65" i="3"/>
  <c r="S66" i="3"/>
  <c r="S67" i="3"/>
  <c r="S17" i="3"/>
  <c r="AD17" i="3" s="1"/>
  <c r="S18" i="3"/>
  <c r="AD18" i="3" s="1"/>
  <c r="S21" i="3"/>
  <c r="AD21" i="3" s="1"/>
  <c r="S19" i="3"/>
  <c r="AD19" i="3" s="1"/>
  <c r="S22" i="3"/>
  <c r="AD22" i="3" s="1"/>
  <c r="S36" i="3"/>
  <c r="S200" i="3"/>
  <c r="S199" i="3"/>
  <c r="AC202" i="3"/>
  <c r="AH202" i="3" s="1"/>
  <c r="D200" i="3"/>
  <c r="D199" i="3"/>
  <c r="D202" i="3"/>
  <c r="D219" i="3"/>
  <c r="D220" i="3"/>
  <c r="S220" i="3"/>
  <c r="AC218" i="3"/>
  <c r="AH218" i="3" s="1"/>
  <c r="D218" i="3"/>
  <c r="P199" i="1"/>
  <c r="S214" i="3"/>
  <c r="AC215" i="3"/>
  <c r="AH215" i="3" s="1"/>
  <c r="S216" i="3"/>
  <c r="S217" i="3"/>
  <c r="D217" i="3"/>
  <c r="D216" i="3"/>
  <c r="D215" i="3"/>
  <c r="D214" i="3"/>
  <c r="D207" i="3"/>
  <c r="D205" i="3"/>
  <c r="D204" i="3"/>
  <c r="D203" i="3"/>
  <c r="S210" i="3"/>
  <c r="S209" i="3"/>
  <c r="S208" i="3"/>
  <c r="S207" i="3"/>
  <c r="S205" i="3"/>
  <c r="S204" i="3"/>
  <c r="S203" i="3"/>
  <c r="D208" i="3"/>
  <c r="D209" i="3"/>
  <c r="D210" i="3"/>
  <c r="D213" i="3"/>
  <c r="D211" i="3"/>
  <c r="S213" i="3"/>
  <c r="S211" i="3"/>
  <c r="D212" i="3"/>
  <c r="S212" i="3"/>
  <c r="S189" i="3"/>
  <c r="D198" i="3"/>
  <c r="D189" i="3"/>
  <c r="S198" i="3"/>
  <c r="P193" i="1"/>
  <c r="P197" i="1"/>
  <c r="P196" i="1"/>
  <c r="P195" i="1"/>
  <c r="P194" i="1"/>
  <c r="P192" i="1"/>
  <c r="P191" i="1"/>
  <c r="S196" i="3"/>
  <c r="D196" i="3"/>
  <c r="P185" i="1"/>
  <c r="O185" i="1"/>
  <c r="P173" i="1"/>
  <c r="P174" i="1"/>
  <c r="O174" i="1"/>
  <c r="S159" i="3"/>
  <c r="D197" i="3"/>
  <c r="S197" i="3"/>
  <c r="S195" i="3"/>
  <c r="P188" i="1"/>
  <c r="P168" i="1"/>
  <c r="O168" i="1"/>
  <c r="D177" i="3"/>
  <c r="D179" i="3"/>
  <c r="D176" i="3"/>
  <c r="D178" i="3"/>
  <c r="S177" i="3"/>
  <c r="S179" i="3"/>
  <c r="S176" i="3"/>
  <c r="S178" i="3"/>
  <c r="S171" i="3"/>
  <c r="D171" i="3"/>
  <c r="X188" i="1"/>
  <c r="U188" i="1"/>
  <c r="T188" i="1"/>
  <c r="S188" i="1"/>
  <c r="R188" i="1"/>
  <c r="D194" i="3"/>
  <c r="S194" i="3"/>
  <c r="X187" i="1"/>
  <c r="U187" i="1"/>
  <c r="T187" i="1"/>
  <c r="S187" i="1"/>
  <c r="R187" i="1"/>
  <c r="H187" i="1"/>
  <c r="E187" i="1"/>
  <c r="D187" i="1"/>
  <c r="C187" i="1"/>
  <c r="B187" i="1"/>
  <c r="D193" i="3"/>
  <c r="S193" i="3"/>
  <c r="P186" i="1"/>
  <c r="P184" i="1"/>
  <c r="P170" i="1"/>
  <c r="O177" i="1"/>
  <c r="P177" i="1"/>
  <c r="D175" i="3"/>
  <c r="S175" i="3"/>
  <c r="D190" i="3"/>
  <c r="S190" i="3"/>
  <c r="U182" i="1"/>
  <c r="T182" i="1"/>
  <c r="S182" i="1"/>
  <c r="R182" i="1"/>
  <c r="U181" i="1"/>
  <c r="T181" i="1"/>
  <c r="S181" i="1"/>
  <c r="R181" i="1"/>
  <c r="U180" i="1"/>
  <c r="T180" i="1"/>
  <c r="S180" i="1"/>
  <c r="R180" i="1"/>
  <c r="U179" i="1"/>
  <c r="T179" i="1"/>
  <c r="S179" i="1"/>
  <c r="R179" i="1"/>
  <c r="U139" i="1"/>
  <c r="T139" i="1"/>
  <c r="S139" i="1"/>
  <c r="R139" i="1"/>
  <c r="D187" i="3"/>
  <c r="D188" i="3"/>
  <c r="D185" i="3"/>
  <c r="D186" i="3"/>
  <c r="S187" i="3"/>
  <c r="S188" i="3"/>
  <c r="S185" i="3"/>
  <c r="S186" i="3"/>
  <c r="D181" i="3"/>
  <c r="D182" i="3"/>
  <c r="D184" i="3"/>
  <c r="D183" i="3"/>
  <c r="S181" i="3"/>
  <c r="S182" i="3"/>
  <c r="S184" i="3"/>
  <c r="S183" i="3"/>
  <c r="U125" i="1"/>
  <c r="U124" i="1"/>
  <c r="T125" i="1"/>
  <c r="T124" i="1"/>
  <c r="S125" i="1"/>
  <c r="S124" i="1"/>
  <c r="R125" i="1"/>
  <c r="R124" i="1"/>
  <c r="D137" i="3"/>
  <c r="D138" i="3"/>
  <c r="S137" i="3"/>
  <c r="S138" i="3"/>
  <c r="O107" i="1"/>
  <c r="P107" i="1"/>
  <c r="O176" i="1"/>
  <c r="B177" i="1"/>
  <c r="U177" i="1"/>
  <c r="T177" i="1"/>
  <c r="R177" i="1"/>
  <c r="S177" i="1"/>
  <c r="S180" i="3"/>
  <c r="D180" i="3"/>
  <c r="D170" i="3"/>
  <c r="S170" i="3"/>
  <c r="D169" i="3"/>
  <c r="S169" i="3"/>
  <c r="X166" i="1"/>
  <c r="U166" i="1"/>
  <c r="T166" i="1"/>
  <c r="U165" i="1"/>
  <c r="T165" i="1"/>
  <c r="U162" i="1"/>
  <c r="T162" i="1"/>
  <c r="X160" i="1"/>
  <c r="X159" i="1"/>
  <c r="U160" i="1"/>
  <c r="U159" i="1"/>
  <c r="R160" i="1"/>
  <c r="R159" i="1"/>
  <c r="T160" i="1"/>
  <c r="T159" i="1"/>
  <c r="S160" i="1"/>
  <c r="S159" i="1"/>
  <c r="X156" i="1"/>
  <c r="X157" i="1"/>
  <c r="X158" i="1"/>
  <c r="X155" i="1"/>
  <c r="U156" i="1"/>
  <c r="U157" i="1"/>
  <c r="U158" i="1"/>
  <c r="U155" i="1"/>
  <c r="T156" i="1"/>
  <c r="T157" i="1"/>
  <c r="T158" i="1"/>
  <c r="T155" i="1"/>
  <c r="R156" i="1"/>
  <c r="R157" i="1"/>
  <c r="R158" i="1"/>
  <c r="R155" i="1"/>
  <c r="S156" i="1"/>
  <c r="S157" i="1"/>
  <c r="S158" i="1"/>
  <c r="S155" i="1"/>
  <c r="X143" i="1"/>
  <c r="X144" i="1"/>
  <c r="X145" i="1"/>
  <c r="X146" i="1"/>
  <c r="X147" i="1"/>
  <c r="X149" i="1"/>
  <c r="X150" i="1"/>
  <c r="X151" i="1"/>
  <c r="X152" i="1"/>
  <c r="X153" i="1"/>
  <c r="X154" i="1"/>
  <c r="U143" i="1"/>
  <c r="U144" i="1"/>
  <c r="U145" i="1"/>
  <c r="U146" i="1"/>
  <c r="U147" i="1"/>
  <c r="U149" i="1"/>
  <c r="U150" i="1"/>
  <c r="U151" i="1"/>
  <c r="U152" i="1"/>
  <c r="U153" i="1"/>
  <c r="U154" i="1"/>
  <c r="T153" i="1"/>
  <c r="T154" i="1"/>
  <c r="S153" i="1"/>
  <c r="S154" i="1"/>
  <c r="S144" i="1"/>
  <c r="S145" i="1"/>
  <c r="S146" i="1"/>
  <c r="S147" i="1"/>
  <c r="S149" i="1"/>
  <c r="S150" i="1"/>
  <c r="S151" i="1"/>
  <c r="S152" i="1"/>
  <c r="S143" i="1"/>
  <c r="T144" i="1"/>
  <c r="T145" i="1"/>
  <c r="T146" i="1"/>
  <c r="T147" i="1"/>
  <c r="T149" i="1"/>
  <c r="T150" i="1"/>
  <c r="T151" i="1"/>
  <c r="T152" i="1"/>
  <c r="T143" i="1"/>
  <c r="X142" i="1"/>
  <c r="U142" i="1"/>
  <c r="T142" i="1"/>
  <c r="X141" i="1"/>
  <c r="U141" i="1"/>
  <c r="T141" i="1"/>
  <c r="X140" i="1"/>
  <c r="U140" i="1"/>
  <c r="T140" i="1"/>
  <c r="X133" i="1"/>
  <c r="U133" i="1"/>
  <c r="T133" i="1"/>
  <c r="D159" i="3"/>
  <c r="S161" i="3"/>
  <c r="S160" i="3"/>
  <c r="S157" i="3"/>
  <c r="S132" i="3"/>
  <c r="S136" i="3"/>
  <c r="S140" i="3"/>
  <c r="S145" i="3"/>
  <c r="S146" i="3"/>
  <c r="S147" i="3"/>
  <c r="S148" i="3"/>
  <c r="S149" i="3"/>
  <c r="S150" i="3"/>
  <c r="S151" i="3"/>
  <c r="S152" i="3"/>
  <c r="S153" i="3"/>
  <c r="S154" i="3"/>
  <c r="S155" i="3"/>
  <c r="S172" i="3"/>
  <c r="S156" i="3"/>
  <c r="S133" i="3"/>
  <c r="S134" i="3"/>
  <c r="S139" i="3"/>
  <c r="S141" i="3"/>
  <c r="S163" i="3"/>
  <c r="S167" i="3"/>
  <c r="S166" i="3"/>
  <c r="S165" i="3"/>
  <c r="S164" i="3"/>
  <c r="S158" i="3"/>
  <c r="S174" i="3"/>
  <c r="S173" i="3"/>
  <c r="P175" i="1"/>
  <c r="O175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179" i="1"/>
  <c r="O180" i="1"/>
  <c r="O181" i="1"/>
  <c r="O182" i="1"/>
  <c r="O183" i="1"/>
  <c r="O184" i="1"/>
  <c r="O186" i="1"/>
  <c r="O187" i="1"/>
  <c r="O188" i="1"/>
  <c r="O190" i="1"/>
  <c r="O191" i="1"/>
  <c r="O192" i="1"/>
  <c r="O193" i="1"/>
  <c r="O194" i="1"/>
  <c r="O195" i="1"/>
  <c r="O196" i="1"/>
  <c r="O197" i="1"/>
  <c r="O198" i="1"/>
  <c r="O199" i="1"/>
  <c r="O200" i="1"/>
  <c r="O202" i="1"/>
  <c r="O203" i="1"/>
  <c r="O205" i="1"/>
  <c r="O206" i="1"/>
  <c r="O207" i="1"/>
  <c r="O208" i="1"/>
  <c r="O209" i="1"/>
  <c r="O210" i="1"/>
  <c r="O212" i="1"/>
  <c r="O234" i="1"/>
  <c r="O235" i="1"/>
  <c r="O236" i="1"/>
  <c r="O246" i="1"/>
  <c r="O247" i="1"/>
  <c r="O250" i="1"/>
  <c r="O251" i="1"/>
  <c r="O252" i="1"/>
  <c r="O254" i="1"/>
  <c r="O159" i="1"/>
  <c r="O158" i="1"/>
  <c r="O157" i="1"/>
  <c r="P156" i="1"/>
  <c r="O156" i="1"/>
  <c r="O155" i="1"/>
  <c r="O154" i="1"/>
  <c r="O142" i="1"/>
  <c r="O143" i="1"/>
  <c r="O144" i="1"/>
  <c r="O145" i="1"/>
  <c r="O146" i="1"/>
  <c r="O147" i="1"/>
  <c r="O149" i="1"/>
  <c r="O150" i="1"/>
  <c r="O151" i="1"/>
  <c r="O152" i="1"/>
  <c r="O141" i="1"/>
  <c r="O140" i="1"/>
  <c r="O138" i="1"/>
  <c r="O137" i="1"/>
  <c r="P137" i="1"/>
  <c r="D161" i="3"/>
  <c r="D160" i="3"/>
  <c r="D132" i="3"/>
  <c r="D136" i="3"/>
  <c r="D140" i="3"/>
  <c r="D145" i="3"/>
  <c r="D146" i="3"/>
  <c r="D147" i="3"/>
  <c r="D148" i="3"/>
  <c r="D149" i="3"/>
  <c r="D150" i="3"/>
  <c r="D151" i="3"/>
  <c r="D152" i="3"/>
  <c r="D153" i="3"/>
  <c r="D154" i="3"/>
  <c r="D155" i="3"/>
  <c r="D172" i="3"/>
  <c r="D156" i="3"/>
  <c r="D133" i="3"/>
  <c r="D134" i="3"/>
  <c r="D139" i="3"/>
  <c r="D141" i="3"/>
  <c r="D163" i="3"/>
  <c r="D167" i="3"/>
  <c r="D166" i="3"/>
  <c r="D165" i="3"/>
  <c r="D164" i="3"/>
  <c r="D158" i="3"/>
  <c r="D174" i="3"/>
  <c r="O136" i="1"/>
  <c r="O135" i="1"/>
  <c r="O134" i="1"/>
  <c r="O133" i="1"/>
  <c r="O161" i="1"/>
  <c r="O162" i="1"/>
  <c r="P163" i="1"/>
  <c r="P165" i="1"/>
  <c r="P162" i="1"/>
  <c r="O165" i="1"/>
  <c r="O164" i="1"/>
  <c r="O163" i="1"/>
  <c r="O167" i="1"/>
  <c r="O166" i="1"/>
  <c r="P166" i="1"/>
  <c r="P167" i="1"/>
  <c r="O169" i="1"/>
  <c r="O172" i="1"/>
  <c r="O171" i="1"/>
  <c r="O173" i="1"/>
  <c r="O170" i="1"/>
  <c r="P133" i="1"/>
  <c r="P172" i="1"/>
  <c r="P171" i="1"/>
  <c r="P176" i="1"/>
  <c r="P138" i="1"/>
  <c r="P159" i="1"/>
  <c r="P164" i="1"/>
  <c r="P158" i="1"/>
  <c r="P161" i="1"/>
  <c r="P157" i="1"/>
  <c r="P155" i="1"/>
  <c r="P136" i="1"/>
  <c r="P135" i="1"/>
  <c r="P134" i="1"/>
  <c r="P132" i="1"/>
  <c r="P127" i="1"/>
  <c r="O130" i="1"/>
  <c r="O131" i="1"/>
  <c r="O126" i="1"/>
  <c r="O127" i="1"/>
  <c r="O129" i="1"/>
  <c r="P128" i="1"/>
  <c r="P129" i="1"/>
  <c r="P52" i="1"/>
  <c r="P126" i="1"/>
  <c r="P130" i="1"/>
  <c r="P131" i="1"/>
  <c r="P140" i="1"/>
  <c r="P141" i="1"/>
  <c r="P142" i="1"/>
  <c r="P143" i="1"/>
  <c r="P144" i="1"/>
  <c r="P145" i="1"/>
  <c r="P146" i="1"/>
  <c r="P147" i="1"/>
  <c r="P149" i="1"/>
  <c r="P150" i="1"/>
  <c r="P151" i="1"/>
  <c r="P152" i="1"/>
  <c r="P154" i="1"/>
  <c r="P169" i="1"/>
  <c r="P179" i="1"/>
  <c r="P180" i="1"/>
  <c r="P181" i="1"/>
  <c r="P182" i="1"/>
  <c r="P183" i="1"/>
  <c r="P190" i="1"/>
  <c r="P198" i="1"/>
  <c r="P207" i="1"/>
  <c r="P223" i="1"/>
  <c r="P225" i="1"/>
  <c r="P234" i="1"/>
  <c r="P235" i="1"/>
  <c r="P236" i="1"/>
  <c r="P246" i="1"/>
  <c r="P247" i="1"/>
  <c r="P250" i="1"/>
  <c r="P251" i="1"/>
  <c r="P252" i="1"/>
  <c r="P254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14" i="1"/>
  <c r="O118" i="1"/>
  <c r="O117" i="1"/>
  <c r="O115" i="1"/>
  <c r="P105" i="1"/>
  <c r="O105" i="1"/>
  <c r="P125" i="1"/>
  <c r="O125" i="1"/>
  <c r="P124" i="1"/>
  <c r="O124" i="1"/>
  <c r="O123" i="1"/>
  <c r="P121" i="1"/>
  <c r="O121" i="1"/>
  <c r="P120" i="1"/>
  <c r="P123" i="1"/>
  <c r="P122" i="1"/>
  <c r="O122" i="1"/>
  <c r="P118" i="1"/>
  <c r="P117" i="1"/>
  <c r="P116" i="1"/>
  <c r="O116" i="1"/>
  <c r="O120" i="1"/>
  <c r="P119" i="1"/>
  <c r="P115" i="1"/>
  <c r="P113" i="1"/>
  <c r="P112" i="1"/>
  <c r="P111" i="1"/>
  <c r="P110" i="1"/>
  <c r="P109" i="1"/>
  <c r="O109" i="1"/>
  <c r="O110" i="1"/>
  <c r="O111" i="1"/>
  <c r="O97" i="1"/>
  <c r="O99" i="1"/>
  <c r="P99" i="1"/>
  <c r="P98" i="1"/>
  <c r="O98" i="1"/>
  <c r="O100" i="1"/>
  <c r="P108" i="1"/>
  <c r="P106" i="1"/>
  <c r="P104" i="1"/>
  <c r="O104" i="1"/>
  <c r="P103" i="1"/>
  <c r="P102" i="1"/>
  <c r="P101" i="1"/>
  <c r="P100" i="1"/>
  <c r="P97" i="1"/>
  <c r="P96" i="1"/>
  <c r="O96" i="1"/>
  <c r="P21" i="1"/>
  <c r="P17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7" i="1"/>
  <c r="P78" i="1"/>
  <c r="P75" i="1"/>
  <c r="P74" i="1"/>
  <c r="P73" i="1"/>
  <c r="P72" i="1"/>
  <c r="P70" i="1"/>
  <c r="P69" i="1"/>
  <c r="P68" i="1"/>
  <c r="P66" i="1"/>
  <c r="P65" i="1"/>
  <c r="P64" i="1"/>
  <c r="P63" i="1"/>
  <c r="P62" i="1"/>
  <c r="P61" i="1"/>
  <c r="P59" i="1"/>
  <c r="P58" i="1"/>
  <c r="P57" i="1"/>
  <c r="P56" i="1"/>
  <c r="P55" i="1"/>
  <c r="O55" i="1"/>
  <c r="P53" i="1"/>
  <c r="P51" i="1"/>
  <c r="P50" i="1"/>
  <c r="P49" i="1"/>
  <c r="P48" i="1"/>
  <c r="P47" i="1"/>
  <c r="O47" i="1"/>
  <c r="O25" i="1"/>
  <c r="O26" i="1"/>
  <c r="P26" i="1"/>
  <c r="P25" i="1"/>
  <c r="P24" i="1"/>
  <c r="P23" i="1"/>
  <c r="P22" i="1"/>
  <c r="P20" i="1"/>
  <c r="P14" i="1"/>
  <c r="P13" i="1"/>
  <c r="P12" i="1"/>
  <c r="P11" i="1"/>
  <c r="P10" i="1"/>
  <c r="P9" i="1"/>
  <c r="P8" i="1"/>
  <c r="P7" i="1"/>
  <c r="P16" i="1"/>
  <c r="P19" i="1"/>
  <c r="P46" i="1"/>
  <c r="P54" i="1"/>
  <c r="P60" i="1"/>
  <c r="P67" i="1"/>
  <c r="P71" i="1"/>
  <c r="P7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22" i="1"/>
  <c r="O23" i="1"/>
  <c r="O24" i="1"/>
  <c r="O46" i="1"/>
  <c r="O48" i="1"/>
  <c r="O49" i="1"/>
  <c r="O50" i="1"/>
  <c r="O51" i="1"/>
  <c r="O52" i="1"/>
  <c r="O53" i="1"/>
  <c r="O54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101" i="1"/>
  <c r="O102" i="1"/>
  <c r="O103" i="1"/>
  <c r="O106" i="1"/>
  <c r="O108" i="1"/>
  <c r="O112" i="1"/>
  <c r="O113" i="1"/>
  <c r="O114" i="1"/>
  <c r="O119" i="1"/>
  <c r="O128" i="1"/>
  <c r="O132" i="1"/>
  <c r="P6" i="1"/>
  <c r="O6" i="1"/>
  <c r="G4" i="7" l="1"/>
  <c r="F4" i="7"/>
  <c r="E4" i="7"/>
  <c r="W173" i="3"/>
  <c r="X173" i="3" s="1"/>
  <c r="AD173" i="3"/>
  <c r="W174" i="3"/>
  <c r="X174" i="3" s="1"/>
  <c r="AD174" i="3"/>
  <c r="W158" i="3"/>
  <c r="X158" i="3" s="1"/>
  <c r="Y158" i="3" s="1"/>
  <c r="AD158" i="3"/>
  <c r="W164" i="3"/>
  <c r="X164" i="3" s="1"/>
  <c r="AD164" i="3"/>
  <c r="W165" i="3"/>
  <c r="X165" i="3" s="1"/>
  <c r="AD165" i="3"/>
  <c r="W166" i="3"/>
  <c r="X166" i="3" s="1"/>
  <c r="AD166" i="3"/>
  <c r="W167" i="3"/>
  <c r="X167" i="3" s="1"/>
  <c r="AD167" i="3"/>
  <c r="W163" i="3"/>
  <c r="X163" i="3" s="1"/>
  <c r="AD163" i="3"/>
  <c r="W141" i="3"/>
  <c r="X141" i="3" s="1"/>
  <c r="AD141" i="3"/>
  <c r="W139" i="3"/>
  <c r="X139" i="3" s="1"/>
  <c r="AD139" i="3"/>
  <c r="W134" i="3"/>
  <c r="X134" i="3" s="1"/>
  <c r="Y134" i="3" s="1"/>
  <c r="AD134" i="3"/>
  <c r="W133" i="3"/>
  <c r="X133" i="3" s="1"/>
  <c r="Y133" i="3" s="1"/>
  <c r="Z133" i="3" s="1"/>
  <c r="AD133" i="3"/>
  <c r="W156" i="3"/>
  <c r="X156" i="3" s="1"/>
  <c r="AD156" i="3"/>
  <c r="W172" i="3"/>
  <c r="X172" i="3" s="1"/>
  <c r="AD172" i="3"/>
  <c r="W155" i="3"/>
  <c r="X155" i="3" s="1"/>
  <c r="AD155" i="3"/>
  <c r="W154" i="3"/>
  <c r="X154" i="3" s="1"/>
  <c r="Y154" i="3" s="1"/>
  <c r="Z154" i="3" s="1"/>
  <c r="AD154" i="3"/>
  <c r="W153" i="3"/>
  <c r="X153" i="3" s="1"/>
  <c r="Y153" i="3" s="1"/>
  <c r="Z153" i="3" s="1"/>
  <c r="AD153" i="3"/>
  <c r="W152" i="3"/>
  <c r="X152" i="3" s="1"/>
  <c r="Y152" i="3" s="1"/>
  <c r="Z152" i="3" s="1"/>
  <c r="AD152" i="3"/>
  <c r="W151" i="3"/>
  <c r="X151" i="3" s="1"/>
  <c r="Y151" i="3" s="1"/>
  <c r="AD151" i="3"/>
  <c r="W150" i="3"/>
  <c r="X150" i="3" s="1"/>
  <c r="Y150" i="3" s="1"/>
  <c r="Z150" i="3" s="1"/>
  <c r="AD150" i="3"/>
  <c r="W149" i="3"/>
  <c r="X149" i="3" s="1"/>
  <c r="AD149" i="3"/>
  <c r="W148" i="3"/>
  <c r="X148" i="3" s="1"/>
  <c r="AD148" i="3"/>
  <c r="W147" i="3"/>
  <c r="X147" i="3" s="1"/>
  <c r="AD147" i="3"/>
  <c r="W146" i="3"/>
  <c r="X146" i="3" s="1"/>
  <c r="AD146" i="3"/>
  <c r="W145" i="3"/>
  <c r="X145" i="3" s="1"/>
  <c r="AD145" i="3"/>
  <c r="W140" i="3"/>
  <c r="X140" i="3" s="1"/>
  <c r="AD140" i="3"/>
  <c r="W136" i="3"/>
  <c r="X136" i="3" s="1"/>
  <c r="AD136" i="3"/>
  <c r="W132" i="3"/>
  <c r="X132" i="3" s="1"/>
  <c r="AD132" i="3"/>
  <c r="W157" i="3"/>
  <c r="X157" i="3" s="1"/>
  <c r="AD157" i="3"/>
  <c r="W160" i="3"/>
  <c r="X160" i="3" s="1"/>
  <c r="AD160" i="3"/>
  <c r="W161" i="3"/>
  <c r="X161" i="3" s="1"/>
  <c r="AD161" i="3"/>
  <c r="W169" i="3"/>
  <c r="X169" i="3" s="1"/>
  <c r="AD169" i="3"/>
  <c r="W170" i="3"/>
  <c r="X170" i="3" s="1"/>
  <c r="AD170" i="3"/>
  <c r="W180" i="3"/>
  <c r="X180" i="3" s="1"/>
  <c r="AD180" i="3"/>
  <c r="W138" i="3"/>
  <c r="X138" i="3" s="1"/>
  <c r="AD138" i="3"/>
  <c r="W137" i="3"/>
  <c r="X137" i="3" s="1"/>
  <c r="AD137" i="3"/>
  <c r="W183" i="3"/>
  <c r="X183" i="3" s="1"/>
  <c r="Y183" i="3" s="1"/>
  <c r="AD183" i="3"/>
  <c r="W184" i="3"/>
  <c r="X184" i="3" s="1"/>
  <c r="Y184" i="3" s="1"/>
  <c r="Z184" i="3" s="1"/>
  <c r="AD184" i="3"/>
  <c r="W182" i="3"/>
  <c r="X182" i="3" s="1"/>
  <c r="AD182" i="3"/>
  <c r="W181" i="3"/>
  <c r="X181" i="3" s="1"/>
  <c r="AD181" i="3"/>
  <c r="W186" i="3"/>
  <c r="X186" i="3" s="1"/>
  <c r="Y186" i="3" s="1"/>
  <c r="AD186" i="3"/>
  <c r="W185" i="3"/>
  <c r="X185" i="3" s="1"/>
  <c r="Y185" i="3" s="1"/>
  <c r="Z185" i="3" s="1"/>
  <c r="AD185" i="3"/>
  <c r="W188" i="3"/>
  <c r="X188" i="3" s="1"/>
  <c r="AD188" i="3"/>
  <c r="W187" i="3"/>
  <c r="X187" i="3" s="1"/>
  <c r="Y187" i="3" s="1"/>
  <c r="Z187" i="3" s="1"/>
  <c r="AD187" i="3"/>
  <c r="W190" i="3"/>
  <c r="X190" i="3" s="1"/>
  <c r="AD190" i="3"/>
  <c r="W175" i="3"/>
  <c r="X175" i="3" s="1"/>
  <c r="AD175" i="3"/>
  <c r="W193" i="3"/>
  <c r="X193" i="3" s="1"/>
  <c r="AD193" i="3"/>
  <c r="W194" i="3"/>
  <c r="X194" i="3" s="1"/>
  <c r="Y194" i="3" s="1"/>
  <c r="Z194" i="3" s="1"/>
  <c r="AD194" i="3"/>
  <c r="W171" i="3"/>
  <c r="X171" i="3" s="1"/>
  <c r="AD171" i="3"/>
  <c r="W178" i="3"/>
  <c r="X178" i="3" s="1"/>
  <c r="AD178" i="3"/>
  <c r="W176" i="3"/>
  <c r="X176" i="3" s="1"/>
  <c r="AD176" i="3"/>
  <c r="W179" i="3"/>
  <c r="X179" i="3" s="1"/>
  <c r="Y179" i="3" s="1"/>
  <c r="Z179" i="3" s="1"/>
  <c r="AD179" i="3"/>
  <c r="W177" i="3"/>
  <c r="X177" i="3" s="1"/>
  <c r="Y177" i="3" s="1"/>
  <c r="Z177" i="3" s="1"/>
  <c r="AD177" i="3"/>
  <c r="W195" i="3"/>
  <c r="X195" i="3" s="1"/>
  <c r="AD195" i="3"/>
  <c r="W197" i="3"/>
  <c r="X197" i="3" s="1"/>
  <c r="AD197" i="3"/>
  <c r="W159" i="3"/>
  <c r="X159" i="3" s="1"/>
  <c r="AD159" i="3"/>
  <c r="W196" i="3"/>
  <c r="X196" i="3" s="1"/>
  <c r="AD196" i="3"/>
  <c r="W198" i="3"/>
  <c r="X198" i="3" s="1"/>
  <c r="Z364" i="3" s="1"/>
  <c r="AD198" i="3"/>
  <c r="W189" i="3"/>
  <c r="X189" i="3" s="1"/>
  <c r="AD189" i="3"/>
  <c r="W212" i="3"/>
  <c r="X212" i="3" s="1"/>
  <c r="Y212" i="3" s="1"/>
  <c r="AD212" i="3"/>
  <c r="W211" i="3"/>
  <c r="X211" i="3" s="1"/>
  <c r="Y211" i="3" s="1"/>
  <c r="Z211" i="3" s="1"/>
  <c r="AD211" i="3"/>
  <c r="W213" i="3"/>
  <c r="X213" i="3" s="1"/>
  <c r="Y213" i="3" s="1"/>
  <c r="AD213" i="3"/>
  <c r="W203" i="3"/>
  <c r="X203" i="3" s="1"/>
  <c r="AD203" i="3"/>
  <c r="W204" i="3"/>
  <c r="X204" i="3" s="1"/>
  <c r="AD204" i="3"/>
  <c r="W205" i="3"/>
  <c r="X205" i="3" s="1"/>
  <c r="AD205" i="3"/>
  <c r="W207" i="3"/>
  <c r="X207" i="3" s="1"/>
  <c r="AD207" i="3"/>
  <c r="W208" i="3"/>
  <c r="X208" i="3" s="1"/>
  <c r="AD208" i="3"/>
  <c r="W209" i="3"/>
  <c r="X209" i="3" s="1"/>
  <c r="AD209" i="3"/>
  <c r="W210" i="3"/>
  <c r="X210" i="3" s="1"/>
  <c r="AD210" i="3"/>
  <c r="W217" i="3"/>
  <c r="X217" i="3" s="1"/>
  <c r="Y217" i="3" s="1"/>
  <c r="Z217" i="3" s="1"/>
  <c r="AD217" i="3"/>
  <c r="W216" i="3"/>
  <c r="X216" i="3" s="1"/>
  <c r="Y216" i="3" s="1"/>
  <c r="AD216" i="3"/>
  <c r="W214" i="3"/>
  <c r="X214" i="3" s="1"/>
  <c r="Y214" i="3" s="1"/>
  <c r="AD214" i="3"/>
  <c r="W220" i="3"/>
  <c r="X220" i="3" s="1"/>
  <c r="Z356" i="3" s="1"/>
  <c r="AD220" i="3"/>
  <c r="W199" i="3"/>
  <c r="X199" i="3" s="1"/>
  <c r="Y199" i="3" s="1"/>
  <c r="Z199" i="3" s="1"/>
  <c r="AD199" i="3"/>
  <c r="W200" i="3"/>
  <c r="X200" i="3" s="1"/>
  <c r="Y200" i="3" s="1"/>
  <c r="AD200" i="3"/>
  <c r="W36" i="3"/>
  <c r="X36" i="3" s="1"/>
  <c r="AD36" i="3"/>
  <c r="W67" i="3"/>
  <c r="X67" i="3" s="1"/>
  <c r="AD67" i="3"/>
  <c r="W66" i="3"/>
  <c r="X66" i="3" s="1"/>
  <c r="Y66" i="3" s="1"/>
  <c r="Z66" i="3" s="1"/>
  <c r="AD66" i="3"/>
  <c r="W65" i="3"/>
  <c r="X65" i="3" s="1"/>
  <c r="Y65" i="3" s="1"/>
  <c r="AD65" i="3"/>
  <c r="W63" i="3"/>
  <c r="X63" i="3" s="1"/>
  <c r="Y63" i="3" s="1"/>
  <c r="AD63" i="3"/>
  <c r="W64" i="3"/>
  <c r="X64" i="3" s="1"/>
  <c r="Y64" i="3" s="1"/>
  <c r="AD64" i="3"/>
  <c r="W59" i="3"/>
  <c r="X59" i="3" s="1"/>
  <c r="AD59" i="3"/>
  <c r="W60" i="3"/>
  <c r="X60" i="3" s="1"/>
  <c r="Y60" i="3" s="1"/>
  <c r="Z60" i="3" s="1"/>
  <c r="AD60" i="3"/>
  <c r="W61" i="3"/>
  <c r="X61" i="3" s="1"/>
  <c r="AD61" i="3"/>
  <c r="W62" i="3"/>
  <c r="X62" i="3" s="1"/>
  <c r="AD62" i="3"/>
  <c r="W11" i="3"/>
  <c r="X11" i="3" s="1"/>
  <c r="AD11" i="3"/>
  <c r="AI11" i="3" s="1"/>
  <c r="W201" i="3"/>
  <c r="X201" i="3" s="1"/>
  <c r="AD201" i="3"/>
  <c r="W191" i="3"/>
  <c r="X191" i="3" s="1"/>
  <c r="Z367" i="3" s="1"/>
  <c r="AD191" i="3"/>
  <c r="W192" i="3"/>
  <c r="X192" i="3" s="1"/>
  <c r="AD192" i="3"/>
  <c r="W135" i="3"/>
  <c r="X135" i="3" s="1"/>
  <c r="Y135" i="3" s="1"/>
  <c r="AD135" i="3"/>
  <c r="W168" i="3"/>
  <c r="X168" i="3" s="1"/>
  <c r="AD168" i="3"/>
  <c r="W162" i="3"/>
  <c r="X162" i="3" s="1"/>
  <c r="AD162" i="3"/>
  <c r="W143" i="3"/>
  <c r="X143" i="3" s="1"/>
  <c r="Y143" i="3" s="1"/>
  <c r="Z143" i="3" s="1"/>
  <c r="AD143" i="3"/>
  <c r="W144" i="3"/>
  <c r="X144" i="3" s="1"/>
  <c r="AD144" i="3"/>
  <c r="W142" i="3"/>
  <c r="X142" i="3" s="1"/>
  <c r="AD142" i="3"/>
  <c r="W131" i="3"/>
  <c r="X131" i="3" s="1"/>
  <c r="Y131" i="3" s="1"/>
  <c r="Z131" i="3" s="1"/>
  <c r="AD131" i="3"/>
  <c r="W126" i="3"/>
  <c r="X126" i="3" s="1"/>
  <c r="AD126" i="3"/>
  <c r="W127" i="3"/>
  <c r="X127" i="3" s="1"/>
  <c r="AD127" i="3"/>
  <c r="W130" i="3"/>
  <c r="X130" i="3" s="1"/>
  <c r="AD130" i="3"/>
  <c r="W125" i="3"/>
  <c r="X125" i="3" s="1"/>
  <c r="AD125" i="3"/>
  <c r="W124" i="3"/>
  <c r="X124" i="3" s="1"/>
  <c r="AD124" i="3"/>
  <c r="W118" i="3"/>
  <c r="X118" i="3" s="1"/>
  <c r="AD118" i="3"/>
  <c r="W117" i="3"/>
  <c r="X117" i="3" s="1"/>
  <c r="AD117" i="3"/>
  <c r="W129" i="3"/>
  <c r="X129" i="3" s="1"/>
  <c r="AD129" i="3"/>
  <c r="W123" i="3"/>
  <c r="X123" i="3" s="1"/>
  <c r="AD123" i="3"/>
  <c r="W122" i="3"/>
  <c r="X122" i="3" s="1"/>
  <c r="AD122" i="3"/>
  <c r="W121" i="3"/>
  <c r="X121" i="3" s="1"/>
  <c r="AD121" i="3"/>
  <c r="W120" i="3"/>
  <c r="X120" i="3" s="1"/>
  <c r="AD120" i="3"/>
  <c r="W128" i="3"/>
  <c r="X128" i="3" s="1"/>
  <c r="AD128" i="3"/>
  <c r="W119" i="3"/>
  <c r="X119" i="3" s="1"/>
  <c r="AD119" i="3"/>
  <c r="W113" i="3"/>
  <c r="X113" i="3" s="1"/>
  <c r="AD113" i="3"/>
  <c r="W115" i="3"/>
  <c r="X115" i="3" s="1"/>
  <c r="AD115" i="3"/>
  <c r="W111" i="3"/>
  <c r="X111" i="3" s="1"/>
  <c r="AD111" i="3"/>
  <c r="W114" i="3"/>
  <c r="X114" i="3" s="1"/>
  <c r="Y114" i="3" s="1"/>
  <c r="AD114" i="3"/>
  <c r="W116" i="3"/>
  <c r="X116" i="3" s="1"/>
  <c r="AD116" i="3"/>
  <c r="W112" i="3"/>
  <c r="X112" i="3" s="1"/>
  <c r="AD112" i="3"/>
  <c r="W110" i="3"/>
  <c r="X110" i="3" s="1"/>
  <c r="AD110" i="3"/>
  <c r="W109" i="3"/>
  <c r="X109" i="3" s="1"/>
  <c r="Y109" i="3" s="1"/>
  <c r="Z109" i="3" s="1"/>
  <c r="AD109" i="3"/>
  <c r="W108" i="3"/>
  <c r="X108" i="3" s="1"/>
  <c r="AD108" i="3"/>
  <c r="W107" i="3"/>
  <c r="X107" i="3" s="1"/>
  <c r="AD107" i="3"/>
  <c r="W104" i="3"/>
  <c r="X104" i="3" s="1"/>
  <c r="AD104" i="3"/>
  <c r="W103" i="3"/>
  <c r="X103" i="3" s="1"/>
  <c r="AD103" i="3"/>
  <c r="W102" i="3"/>
  <c r="X102" i="3" s="1"/>
  <c r="Z315" i="3" s="1"/>
  <c r="AD102" i="3"/>
  <c r="W101" i="3"/>
  <c r="X101" i="3" s="1"/>
  <c r="Z282" i="3" s="1"/>
  <c r="AD101" i="3"/>
  <c r="W105" i="3"/>
  <c r="X105" i="3" s="1"/>
  <c r="AD105" i="3"/>
  <c r="W106" i="3"/>
  <c r="X106" i="3" s="1"/>
  <c r="Y106" i="3" s="1"/>
  <c r="AD106" i="3"/>
  <c r="W100" i="3"/>
  <c r="X100" i="3" s="1"/>
  <c r="Y100" i="3" s="1"/>
  <c r="AD100" i="3"/>
  <c r="W99" i="3"/>
  <c r="X99" i="3" s="1"/>
  <c r="AD99" i="3"/>
  <c r="W98" i="3"/>
  <c r="X98" i="3" s="1"/>
  <c r="Y98" i="3" s="1"/>
  <c r="Z98" i="3" s="1"/>
  <c r="AD98" i="3"/>
  <c r="W97" i="3"/>
  <c r="X97" i="3" s="1"/>
  <c r="Y97" i="3" s="1"/>
  <c r="Z97" i="3" s="1"/>
  <c r="AD97" i="3"/>
  <c r="W94" i="3"/>
  <c r="X94" i="3" s="1"/>
  <c r="Y94" i="3" s="1"/>
  <c r="Z94" i="3" s="1"/>
  <c r="AD94" i="3"/>
  <c r="W95" i="3"/>
  <c r="X95" i="3" s="1"/>
  <c r="Y95" i="3" s="1"/>
  <c r="Z95" i="3" s="1"/>
  <c r="AD95" i="3"/>
  <c r="W91" i="3"/>
  <c r="X91" i="3" s="1"/>
  <c r="AD91" i="3"/>
  <c r="W92" i="3"/>
  <c r="X92" i="3" s="1"/>
  <c r="AD92" i="3"/>
  <c r="W90" i="3"/>
  <c r="X90" i="3" s="1"/>
  <c r="AD90" i="3"/>
  <c r="W83" i="3"/>
  <c r="X83" i="3" s="1"/>
  <c r="AD83" i="3"/>
  <c r="W84" i="3"/>
  <c r="X84" i="3" s="1"/>
  <c r="AD84" i="3"/>
  <c r="W82" i="3"/>
  <c r="X82" i="3" s="1"/>
  <c r="AD82" i="3"/>
  <c r="W81" i="3"/>
  <c r="X81" i="3" s="1"/>
  <c r="AD81" i="3"/>
  <c r="W80" i="3"/>
  <c r="X80" i="3" s="1"/>
  <c r="AD80" i="3"/>
  <c r="W79" i="3"/>
  <c r="X79" i="3" s="1"/>
  <c r="AD79" i="3"/>
  <c r="W78" i="3"/>
  <c r="X78" i="3" s="1"/>
  <c r="AD78" i="3"/>
  <c r="W73" i="3"/>
  <c r="X73" i="3" s="1"/>
  <c r="AD73" i="3"/>
  <c r="W72" i="3"/>
  <c r="X72" i="3" s="1"/>
  <c r="AD72" i="3"/>
  <c r="W74" i="3"/>
  <c r="X74" i="3" s="1"/>
  <c r="AD74" i="3"/>
  <c r="W69" i="3"/>
  <c r="X69" i="3" s="1"/>
  <c r="AD69" i="3"/>
  <c r="W71" i="3"/>
  <c r="X71" i="3" s="1"/>
  <c r="AD71" i="3"/>
  <c r="W68" i="3"/>
  <c r="X68" i="3" s="1"/>
  <c r="AD68" i="3"/>
  <c r="W75" i="3"/>
  <c r="X75" i="3" s="1"/>
  <c r="Y75" i="3" s="1"/>
  <c r="AD75" i="3"/>
  <c r="W77" i="3"/>
  <c r="X77" i="3" s="1"/>
  <c r="Y77" i="3" s="1"/>
  <c r="AD77" i="3"/>
  <c r="W76" i="3"/>
  <c r="X76" i="3" s="1"/>
  <c r="Y76" i="3" s="1"/>
  <c r="Z76" i="3" s="1"/>
  <c r="AD76" i="3"/>
  <c r="W52" i="3"/>
  <c r="X52" i="3" s="1"/>
  <c r="AD52" i="3"/>
  <c r="W51" i="3"/>
  <c r="X51" i="3" s="1"/>
  <c r="Z347" i="3" s="1"/>
  <c r="AD51" i="3"/>
  <c r="W50" i="3"/>
  <c r="X50" i="3" s="1"/>
  <c r="Y50" i="3" s="1"/>
  <c r="AD50" i="3"/>
  <c r="W53" i="3"/>
  <c r="X53" i="3" s="1"/>
  <c r="Y53" i="3" s="1"/>
  <c r="AD53" i="3"/>
  <c r="W48" i="3"/>
  <c r="X48" i="3" s="1"/>
  <c r="Y48" i="3" s="1"/>
  <c r="AD48" i="3"/>
  <c r="W44" i="3"/>
  <c r="X44" i="3" s="1"/>
  <c r="AD44" i="3"/>
  <c r="W55" i="3"/>
  <c r="X55" i="3" s="1"/>
  <c r="AD55" i="3"/>
  <c r="W45" i="3"/>
  <c r="X45" i="3" s="1"/>
  <c r="AD45" i="3"/>
  <c r="W40" i="3"/>
  <c r="X40" i="3" s="1"/>
  <c r="AD40" i="3"/>
  <c r="W42" i="3"/>
  <c r="X42" i="3" s="1"/>
  <c r="AD42" i="3"/>
  <c r="W41" i="3"/>
  <c r="X41" i="3" s="1"/>
  <c r="AD41" i="3"/>
  <c r="W43" i="3"/>
  <c r="X43" i="3" s="1"/>
  <c r="AD43" i="3"/>
  <c r="W34" i="3"/>
  <c r="X34" i="3" s="1"/>
  <c r="AD34" i="3"/>
  <c r="W33" i="3"/>
  <c r="X33" i="3" s="1"/>
  <c r="AD33" i="3"/>
  <c r="W27" i="3"/>
  <c r="X27" i="3" s="1"/>
  <c r="AD27" i="3"/>
  <c r="W24" i="3"/>
  <c r="X24" i="3" s="1"/>
  <c r="Y24" i="3" s="1"/>
  <c r="Z24" i="3" s="1"/>
  <c r="AD24" i="3"/>
  <c r="W28" i="3"/>
  <c r="X28" i="3" s="1"/>
  <c r="AD28" i="3"/>
  <c r="W31" i="3"/>
  <c r="X31" i="3" s="1"/>
  <c r="Z337" i="3" s="1"/>
  <c r="AD31" i="3"/>
  <c r="W57" i="3"/>
  <c r="X57" i="3" s="1"/>
  <c r="AD57" i="3"/>
  <c r="W56" i="3"/>
  <c r="X56" i="3" s="1"/>
  <c r="AD56" i="3"/>
  <c r="W38" i="3"/>
  <c r="X38" i="3" s="1"/>
  <c r="AD38" i="3"/>
  <c r="W37" i="3"/>
  <c r="X37" i="3" s="1"/>
  <c r="AD37" i="3"/>
  <c r="W30" i="3"/>
  <c r="X30" i="3" s="1"/>
  <c r="Y30" i="3" s="1"/>
  <c r="AD30" i="3"/>
  <c r="W32" i="3"/>
  <c r="X32" i="3" s="1"/>
  <c r="AD32" i="3"/>
  <c r="W29" i="3"/>
  <c r="X29" i="3" s="1"/>
  <c r="Y29" i="3" s="1"/>
  <c r="AD29" i="3"/>
  <c r="W26" i="3"/>
  <c r="X26" i="3" s="1"/>
  <c r="AD26" i="3"/>
  <c r="W25" i="3"/>
  <c r="X25" i="3" s="1"/>
  <c r="AD25" i="3"/>
  <c r="W6" i="3"/>
  <c r="X6" i="3" s="1"/>
  <c r="AD6" i="3"/>
  <c r="W3" i="3"/>
  <c r="AD3" i="3"/>
  <c r="W4" i="3"/>
  <c r="AD4" i="3"/>
  <c r="W5" i="3"/>
  <c r="AD5" i="3"/>
  <c r="W9" i="3"/>
  <c r="X9" i="3" s="1"/>
  <c r="AD9" i="3"/>
  <c r="W7" i="3"/>
  <c r="X7" i="3" s="1"/>
  <c r="AD7" i="3"/>
  <c r="AE7" i="3" s="1"/>
  <c r="W8" i="3"/>
  <c r="X8" i="3" s="1"/>
  <c r="AD8" i="3"/>
  <c r="W10" i="3"/>
  <c r="X10" i="3" s="1"/>
  <c r="AD10" i="3"/>
  <c r="W85" i="3"/>
  <c r="X85" i="3" s="1"/>
  <c r="Y85" i="3" s="1"/>
  <c r="Z85" i="3" s="1"/>
  <c r="AD85" i="3"/>
  <c r="W86" i="3"/>
  <c r="X86" i="3" s="1"/>
  <c r="Y86" i="3" s="1"/>
  <c r="Z86" i="3" s="1"/>
  <c r="AD86" i="3"/>
  <c r="W70" i="3"/>
  <c r="X70" i="3" s="1"/>
  <c r="Y70" i="3" s="1"/>
  <c r="Z70" i="3" s="1"/>
  <c r="AD70" i="3"/>
  <c r="W49" i="3"/>
  <c r="X49" i="3" s="1"/>
  <c r="Y49" i="3" s="1"/>
  <c r="Z49" i="3" s="1"/>
  <c r="AD49" i="3"/>
  <c r="W54" i="3"/>
  <c r="X54" i="3" s="1"/>
  <c r="AD54" i="3"/>
  <c r="W39" i="3"/>
  <c r="X39" i="3" s="1"/>
  <c r="Y39" i="3" s="1"/>
  <c r="Z39" i="3" s="1"/>
  <c r="AD39" i="3"/>
  <c r="W93" i="3"/>
  <c r="X93" i="3" s="1"/>
  <c r="Y93" i="3" s="1"/>
  <c r="Z93" i="3" s="1"/>
  <c r="AD93" i="3"/>
  <c r="W96" i="3"/>
  <c r="X96" i="3" s="1"/>
  <c r="Y96" i="3" s="1"/>
  <c r="Z96" i="3" s="1"/>
  <c r="AD96" i="3"/>
  <c r="W89" i="3"/>
  <c r="X89" i="3" s="1"/>
  <c r="AD89" i="3"/>
  <c r="W88" i="3"/>
  <c r="X88" i="3" s="1"/>
  <c r="AD88" i="3"/>
  <c r="W58" i="3"/>
  <c r="X58" i="3" s="1"/>
  <c r="AD58" i="3"/>
  <c r="W47" i="3"/>
  <c r="X47" i="3" s="1"/>
  <c r="AD47" i="3"/>
  <c r="W46" i="3"/>
  <c r="X46" i="3" s="1"/>
  <c r="AD46" i="3"/>
  <c r="W35" i="3"/>
  <c r="X35" i="3" s="1"/>
  <c r="AD35" i="3"/>
  <c r="W23" i="3"/>
  <c r="X23" i="3" s="1"/>
  <c r="AD23" i="3"/>
  <c r="W221" i="3"/>
  <c r="X221" i="3" s="1"/>
  <c r="Y221" i="3" s="1"/>
  <c r="Z221" i="3" s="1"/>
  <c r="AD221" i="3"/>
  <c r="W206" i="3"/>
  <c r="X206" i="3" s="1"/>
  <c r="AD206" i="3"/>
  <c r="W2" i="3"/>
  <c r="AD2" i="3"/>
  <c r="W22" i="3"/>
  <c r="X22" i="3" s="1"/>
  <c r="W19" i="3"/>
  <c r="X19" i="3" s="1"/>
  <c r="W21" i="3"/>
  <c r="X21" i="3" s="1"/>
  <c r="W18" i="3"/>
  <c r="X18" i="3" s="1"/>
  <c r="W17" i="3"/>
  <c r="X17" i="3" s="1"/>
  <c r="W12" i="3"/>
  <c r="X12" i="3" s="1"/>
  <c r="W13" i="3"/>
  <c r="X13" i="3" s="1"/>
  <c r="W16" i="3"/>
  <c r="X16" i="3" s="1"/>
  <c r="W15" i="3"/>
  <c r="X15" i="3" s="1"/>
  <c r="W20" i="3"/>
  <c r="X20" i="3" s="1"/>
  <c r="AI280" i="3"/>
  <c r="AE280" i="3"/>
  <c r="AI279" i="3"/>
  <c r="AE279" i="3"/>
  <c r="AI264" i="3"/>
  <c r="AE264" i="3"/>
  <c r="AI267" i="3"/>
  <c r="AE267" i="3"/>
  <c r="AI260" i="3"/>
  <c r="AE260" i="3"/>
  <c r="AI265" i="3"/>
  <c r="AE265" i="3"/>
  <c r="AI271" i="3"/>
  <c r="AE271" i="3"/>
  <c r="AI269" i="3"/>
  <c r="AE269" i="3"/>
  <c r="AI276" i="3"/>
  <c r="AE276" i="3"/>
  <c r="AI274" i="3"/>
  <c r="AE274" i="3"/>
  <c r="AI272" i="3"/>
  <c r="AE272" i="3"/>
  <c r="AI273" i="3"/>
  <c r="AE273" i="3"/>
  <c r="AI275" i="3"/>
  <c r="AE275" i="3"/>
  <c r="AI270" i="3"/>
  <c r="AE270" i="3"/>
  <c r="AI266" i="3"/>
  <c r="AE266" i="3"/>
  <c r="AI263" i="3"/>
  <c r="AE263" i="3"/>
  <c r="AI268" i="3"/>
  <c r="AE268" i="3"/>
  <c r="AI261" i="3"/>
  <c r="AE261" i="3"/>
  <c r="AI259" i="3"/>
  <c r="AE259" i="3"/>
  <c r="AI256" i="3"/>
  <c r="AE256" i="3"/>
  <c r="AI255" i="3"/>
  <c r="AE255" i="3"/>
  <c r="AI258" i="3"/>
  <c r="AE258" i="3"/>
  <c r="AI257" i="3"/>
  <c r="AE257" i="3"/>
  <c r="AI254" i="3"/>
  <c r="AE254" i="3"/>
  <c r="AI226" i="3"/>
  <c r="AE226" i="3"/>
  <c r="AI243" i="3"/>
  <c r="AE243" i="3"/>
  <c r="AI242" i="3"/>
  <c r="AE242" i="3"/>
  <c r="AI244" i="3"/>
  <c r="AE244" i="3"/>
  <c r="AI245" i="3"/>
  <c r="AE245" i="3"/>
  <c r="AI246" i="3"/>
  <c r="AE246" i="3"/>
  <c r="AI248" i="3"/>
  <c r="AE248" i="3"/>
  <c r="AI249" i="3"/>
  <c r="AE249" i="3"/>
  <c r="AI250" i="3"/>
  <c r="AE250" i="3"/>
  <c r="AI253" i="3"/>
  <c r="AE253" i="3"/>
  <c r="AI251" i="3"/>
  <c r="AE251" i="3"/>
  <c r="AI252" i="3"/>
  <c r="AE252" i="3"/>
  <c r="AI238" i="3"/>
  <c r="AE238" i="3"/>
  <c r="AI239" i="3"/>
  <c r="AE239" i="3"/>
  <c r="AI237" i="3"/>
  <c r="AE237" i="3"/>
  <c r="AI240" i="3"/>
  <c r="AE240" i="3"/>
  <c r="AI241" i="3"/>
  <c r="AE241" i="3"/>
  <c r="AI218" i="3"/>
  <c r="AE218" i="3"/>
  <c r="AI219" i="3"/>
  <c r="AE219" i="3"/>
  <c r="AI234" i="3"/>
  <c r="AE234" i="3"/>
  <c r="AI235" i="3"/>
  <c r="AE235" i="3"/>
  <c r="AI236" i="3"/>
  <c r="AE236" i="3"/>
  <c r="AI233" i="3"/>
  <c r="AE233" i="3"/>
  <c r="AI202" i="3"/>
  <c r="AE202" i="3"/>
  <c r="AI14" i="3"/>
  <c r="AE14" i="3"/>
  <c r="AI215" i="3"/>
  <c r="AE215" i="3"/>
  <c r="AI231" i="3"/>
  <c r="AE231" i="3"/>
  <c r="AI230" i="3"/>
  <c r="AE230" i="3"/>
  <c r="AI232" i="3"/>
  <c r="AE232" i="3"/>
  <c r="AI228" i="3"/>
  <c r="AE228" i="3"/>
  <c r="AI227" i="3"/>
  <c r="AE227" i="3"/>
  <c r="AI225" i="3"/>
  <c r="AE225" i="3"/>
  <c r="AI229" i="3"/>
  <c r="AE229" i="3"/>
  <c r="AI224" i="3"/>
  <c r="AE224" i="3"/>
  <c r="AI223" i="3"/>
  <c r="AE223" i="3"/>
  <c r="AI222" i="3"/>
  <c r="AE222" i="3"/>
  <c r="Z294" i="3"/>
  <c r="Z228" i="3"/>
  <c r="Z247" i="3"/>
  <c r="Z279" i="3"/>
  <c r="AC11" i="3"/>
  <c r="X87" i="3"/>
  <c r="Z242" i="3"/>
  <c r="G11" i="7"/>
  <c r="AC190" i="3"/>
  <c r="AH190" i="3" s="1"/>
  <c r="AC171" i="3"/>
  <c r="AH171" i="3" s="1"/>
  <c r="AC197" i="3"/>
  <c r="AH197" i="3" s="1"/>
  <c r="AC196" i="3"/>
  <c r="AH196" i="3" s="1"/>
  <c r="AC213" i="3"/>
  <c r="AH213" i="3" s="1"/>
  <c r="AC203" i="3"/>
  <c r="AH203" i="3" s="1"/>
  <c r="AC217" i="3"/>
  <c r="AH217" i="3" s="1"/>
  <c r="AC216" i="3"/>
  <c r="AH216" i="3" s="1"/>
  <c r="AC214" i="3"/>
  <c r="AH214" i="3" s="1"/>
  <c r="AC199" i="3"/>
  <c r="AH199" i="3" s="1"/>
  <c r="AC65" i="3"/>
  <c r="AH65" i="3" s="1"/>
  <c r="AC61" i="3"/>
  <c r="AH61" i="3" s="1"/>
  <c r="AC62" i="3"/>
  <c r="AH62" i="3" s="1"/>
  <c r="AC12" i="3"/>
  <c r="AH12" i="3" s="1"/>
  <c r="AC117" i="3"/>
  <c r="AH117" i="3" s="1"/>
  <c r="AC121" i="3"/>
  <c r="AH121" i="3" s="1"/>
  <c r="AC100" i="3"/>
  <c r="AH100" i="3" s="1"/>
  <c r="AC84" i="3"/>
  <c r="AH84" i="3" s="1"/>
  <c r="AC71" i="3"/>
  <c r="AH71" i="3" s="1"/>
  <c r="AC68" i="3"/>
  <c r="AH68" i="3" s="1"/>
  <c r="AC75" i="3"/>
  <c r="AH75" i="3" s="1"/>
  <c r="AC77" i="3"/>
  <c r="AH77" i="3" s="1"/>
  <c r="AC51" i="3"/>
  <c r="AH51" i="3" s="1"/>
  <c r="AC50" i="3"/>
  <c r="AH50" i="3" s="1"/>
  <c r="AC53" i="3"/>
  <c r="AH53" i="3" s="1"/>
  <c r="AC28" i="3"/>
  <c r="AH28" i="3" s="1"/>
  <c r="AC16" i="3"/>
  <c r="AH16" i="3" s="1"/>
  <c r="AC31" i="3"/>
  <c r="AH31" i="3" s="1"/>
  <c r="AC26" i="3"/>
  <c r="AH26" i="3" s="1"/>
  <c r="AC88" i="3"/>
  <c r="AH88" i="3" s="1"/>
  <c r="AC87" i="3"/>
  <c r="AH87" i="3" s="1"/>
  <c r="AC58" i="3"/>
  <c r="AH58" i="3" s="1"/>
  <c r="AC23" i="3"/>
  <c r="AH23" i="3" s="1"/>
  <c r="AC206" i="3"/>
  <c r="AH206" i="3" s="1"/>
  <c r="Z262" i="3"/>
  <c r="Y265" i="3"/>
  <c r="Z265" i="3" s="1"/>
  <c r="Y271" i="3"/>
  <c r="Z271" i="3" s="1"/>
  <c r="Y274" i="3"/>
  <c r="Z274" i="3" s="1"/>
  <c r="Y272" i="3"/>
  <c r="Z272" i="3" s="1"/>
  <c r="Y270" i="3"/>
  <c r="Z270" i="3" s="1"/>
  <c r="Y276" i="3"/>
  <c r="Z276" i="3" s="1"/>
  <c r="Y275" i="3"/>
  <c r="Z275" i="3" s="1"/>
  <c r="Z263" i="3"/>
  <c r="Z266" i="3"/>
  <c r="Y259" i="3"/>
  <c r="Z259" i="3" s="1"/>
  <c r="Y261" i="3"/>
  <c r="Z261" i="3" s="1"/>
  <c r="Z255" i="3"/>
  <c r="Y256" i="3"/>
  <c r="Z256" i="3" s="1"/>
  <c r="Z254" i="3"/>
  <c r="Y251" i="3"/>
  <c r="Z251" i="3" s="1"/>
  <c r="Y249" i="3"/>
  <c r="Z249" i="3" s="1"/>
  <c r="Y250" i="3"/>
  <c r="Z250" i="3" s="1"/>
  <c r="Y253" i="3"/>
  <c r="Z253" i="3" s="1"/>
  <c r="Y252" i="3"/>
  <c r="Z252" i="3" s="1"/>
  <c r="Z239" i="3"/>
  <c r="Y243" i="3"/>
  <c r="Z243" i="3" s="1"/>
  <c r="Z238" i="3"/>
  <c r="Z237" i="3"/>
  <c r="Z240" i="3"/>
  <c r="Z241" i="3"/>
  <c r="Y235" i="3"/>
  <c r="Z235" i="3" s="1"/>
  <c r="Y236" i="3"/>
  <c r="Z236" i="3" s="1"/>
  <c r="Y233" i="3"/>
  <c r="Z233" i="3" s="1"/>
  <c r="Y234" i="3"/>
  <c r="Z234" i="3" s="1"/>
  <c r="Y231" i="3"/>
  <c r="Z231" i="3" s="1"/>
  <c r="Y230" i="3"/>
  <c r="Z230" i="3" s="1"/>
  <c r="Y232" i="3"/>
  <c r="Z232" i="3" s="1"/>
  <c r="Z226" i="3"/>
  <c r="Y227" i="3"/>
  <c r="Z227" i="3" s="1"/>
  <c r="Y222" i="3"/>
  <c r="Z222" i="3" s="1"/>
  <c r="Y223" i="3"/>
  <c r="Z223" i="3" s="1"/>
  <c r="Y225" i="3"/>
  <c r="Z225" i="3" s="1"/>
  <c r="Y229" i="3"/>
  <c r="Z229" i="3" s="1"/>
  <c r="Y224" i="3"/>
  <c r="Z224" i="3" s="1"/>
  <c r="AC221" i="3"/>
  <c r="AH221" i="3" s="1"/>
  <c r="AC193" i="3"/>
  <c r="AH193" i="3" s="1"/>
  <c r="AC184" i="3"/>
  <c r="AH184" i="3" s="1"/>
  <c r="AC145" i="3"/>
  <c r="AH145" i="3" s="1"/>
  <c r="AC18" i="3"/>
  <c r="AH18" i="3" s="1"/>
  <c r="AC17" i="3"/>
  <c r="AH17" i="3" s="1"/>
  <c r="AC164" i="3"/>
  <c r="AH164" i="3" s="1"/>
  <c r="AC165" i="3"/>
  <c r="AH165" i="3" s="1"/>
  <c r="AC204" i="3"/>
  <c r="AH204" i="3" s="1"/>
  <c r="AC212" i="3"/>
  <c r="AH212" i="3" s="1"/>
  <c r="AC66" i="3"/>
  <c r="AH66" i="3" s="1"/>
  <c r="AC63" i="3"/>
  <c r="AH63" i="3" s="1"/>
  <c r="AC167" i="3"/>
  <c r="AH167" i="3" s="1"/>
  <c r="AC64" i="3"/>
  <c r="AH64" i="3" s="1"/>
  <c r="AC163" i="3"/>
  <c r="AH163" i="3" s="1"/>
  <c r="AC170" i="3"/>
  <c r="AH170" i="3" s="1"/>
  <c r="AC67" i="3"/>
  <c r="AH67" i="3" s="1"/>
  <c r="AC141" i="3"/>
  <c r="AH141" i="3" s="1"/>
  <c r="AC139" i="3"/>
  <c r="AH139" i="3" s="1"/>
  <c r="AC134" i="3"/>
  <c r="AH134" i="3" s="1"/>
  <c r="AC189" i="3"/>
  <c r="AH189" i="3" s="1"/>
  <c r="AC177" i="3"/>
  <c r="AH177" i="3" s="1"/>
  <c r="AC194" i="3"/>
  <c r="AH194" i="3" s="1"/>
  <c r="AC175" i="3"/>
  <c r="AH175" i="3" s="1"/>
  <c r="AC166" i="3"/>
  <c r="AH166" i="3" s="1"/>
  <c r="AC59" i="3"/>
  <c r="AH59" i="3" s="1"/>
  <c r="AC205" i="3"/>
  <c r="AH205" i="3" s="1"/>
  <c r="AC185" i="3"/>
  <c r="AH185" i="3" s="1"/>
  <c r="AC133" i="3"/>
  <c r="AH133" i="3" s="1"/>
  <c r="AC209" i="3"/>
  <c r="AH209" i="3" s="1"/>
  <c r="AC156" i="3"/>
  <c r="AH156" i="3" s="1"/>
  <c r="AC210" i="3"/>
  <c r="AH210" i="3" s="1"/>
  <c r="AC183" i="3"/>
  <c r="AH183" i="3" s="1"/>
  <c r="AC172" i="3"/>
  <c r="AH172" i="3" s="1"/>
  <c r="AC211" i="3"/>
  <c r="AH211" i="3" s="1"/>
  <c r="AC155" i="3"/>
  <c r="AH155" i="3" s="1"/>
  <c r="AC182" i="3"/>
  <c r="AH182" i="3" s="1"/>
  <c r="AC153" i="3"/>
  <c r="AH153" i="3" s="1"/>
  <c r="AC152" i="3"/>
  <c r="AH152" i="3" s="1"/>
  <c r="AC198" i="3"/>
  <c r="AH198" i="3" s="1"/>
  <c r="AC151" i="3"/>
  <c r="AH151" i="3" s="1"/>
  <c r="AC150" i="3"/>
  <c r="AH150" i="3" s="1"/>
  <c r="AC148" i="3"/>
  <c r="AH148" i="3" s="1"/>
  <c r="AC219" i="3"/>
  <c r="AH219" i="3" s="1"/>
  <c r="AC147" i="3"/>
  <c r="AH147" i="3" s="1"/>
  <c r="AC176" i="3"/>
  <c r="AH176" i="3" s="1"/>
  <c r="AC174" i="3"/>
  <c r="AH174" i="3" s="1"/>
  <c r="AC146" i="3"/>
  <c r="AH146" i="3" s="1"/>
  <c r="AC186" i="3"/>
  <c r="AH186" i="3" s="1"/>
  <c r="AC208" i="3"/>
  <c r="AH208" i="3" s="1"/>
  <c r="AC188" i="3"/>
  <c r="AH188" i="3" s="1"/>
  <c r="AC187" i="3"/>
  <c r="AH187" i="3" s="1"/>
  <c r="AC154" i="3"/>
  <c r="AH154" i="3" s="1"/>
  <c r="AC60" i="3"/>
  <c r="AH60" i="3" s="1"/>
  <c r="AC181" i="3"/>
  <c r="AH181" i="3" s="1"/>
  <c r="AC138" i="3"/>
  <c r="AH138" i="3" s="1"/>
  <c r="AC14" i="3"/>
  <c r="AH14" i="3" s="1"/>
  <c r="AC137" i="3"/>
  <c r="AH137" i="3" s="1"/>
  <c r="AC180" i="3"/>
  <c r="AH180" i="3" s="1"/>
  <c r="AC149" i="3"/>
  <c r="AH149" i="3" s="1"/>
  <c r="AC200" i="3"/>
  <c r="AH200" i="3" s="1"/>
  <c r="AC195" i="3"/>
  <c r="AH195" i="3" s="1"/>
  <c r="AC169" i="3"/>
  <c r="AH169" i="3" s="1"/>
  <c r="AC178" i="3"/>
  <c r="AH178" i="3" s="1"/>
  <c r="AC173" i="3"/>
  <c r="AH173" i="3" s="1"/>
  <c r="AC179" i="3"/>
  <c r="AH179" i="3" s="1"/>
  <c r="AC158" i="3"/>
  <c r="AH158" i="3" s="1"/>
  <c r="AC90" i="3"/>
  <c r="AH90" i="3" s="1"/>
  <c r="AC37" i="3"/>
  <c r="AH37" i="3" s="1"/>
  <c r="AC91" i="3"/>
  <c r="AH91" i="3" s="1"/>
  <c r="AC92" i="3"/>
  <c r="AH92" i="3" s="1"/>
  <c r="AC56" i="3"/>
  <c r="AH56" i="3" s="1"/>
  <c r="AC38" i="3"/>
  <c r="AH38" i="3" s="1"/>
  <c r="AC30" i="3"/>
  <c r="AH30" i="3" s="1"/>
  <c r="AC32" i="3"/>
  <c r="AH32" i="3" s="1"/>
  <c r="AC29" i="3"/>
  <c r="AH29" i="3" s="1"/>
  <c r="AC93" i="3"/>
  <c r="AH93" i="3" s="1"/>
  <c r="AC96" i="3"/>
  <c r="AH96" i="3" s="1"/>
  <c r="AC95" i="3"/>
  <c r="AH95" i="3" s="1"/>
  <c r="AC119" i="3"/>
  <c r="AH119" i="3" s="1"/>
  <c r="AC115" i="3"/>
  <c r="AH115" i="3" s="1"/>
  <c r="AC111" i="3"/>
  <c r="AH111" i="3" s="1"/>
  <c r="AC128" i="3"/>
  <c r="AH128" i="3" s="1"/>
  <c r="AC113" i="3"/>
  <c r="AH113" i="3" s="1"/>
  <c r="AC114" i="3"/>
  <c r="AH114" i="3" s="1"/>
  <c r="AC94" i="3"/>
  <c r="AH94" i="3" s="1"/>
  <c r="AC104" i="3"/>
  <c r="AH104" i="3" s="1"/>
  <c r="AC192" i="3"/>
  <c r="AH192" i="3" s="1"/>
  <c r="AC76" i="3"/>
  <c r="AH76" i="3" s="1"/>
  <c r="AC162" i="3"/>
  <c r="AH162" i="3" s="1"/>
  <c r="AC52" i="3"/>
  <c r="AH52" i="3" s="1"/>
  <c r="AC191" i="3"/>
  <c r="AH191" i="3" s="1"/>
  <c r="AC135" i="3"/>
  <c r="AH135" i="3" s="1"/>
  <c r="AC168" i="3"/>
  <c r="AH168" i="3" s="1"/>
  <c r="AC120" i="3"/>
  <c r="AH120" i="3" s="1"/>
  <c r="AC57" i="3"/>
  <c r="AH57" i="3" s="1"/>
  <c r="AC44" i="3"/>
  <c r="AH44" i="3" s="1"/>
  <c r="AC144" i="3"/>
  <c r="AH144" i="3" s="1"/>
  <c r="AC112" i="3"/>
  <c r="AH112" i="3" s="1"/>
  <c r="AC55" i="3"/>
  <c r="AH55" i="3" s="1"/>
  <c r="AC110" i="3"/>
  <c r="AH110" i="3" s="1"/>
  <c r="AC45" i="3"/>
  <c r="AH45" i="3" s="1"/>
  <c r="AC131" i="3"/>
  <c r="AH131" i="3" s="1"/>
  <c r="AC126" i="3"/>
  <c r="AH126" i="3" s="1"/>
  <c r="AC81" i="3"/>
  <c r="AH81" i="3" s="1"/>
  <c r="AC130" i="3"/>
  <c r="AH130" i="3" s="1"/>
  <c r="AC79" i="3"/>
  <c r="AH79" i="3" s="1"/>
  <c r="AC103" i="3"/>
  <c r="AH103" i="3" s="1"/>
  <c r="AC83" i="3"/>
  <c r="AH83" i="3" s="1"/>
  <c r="AC25" i="3"/>
  <c r="AH25" i="3" s="1"/>
  <c r="AC124" i="3"/>
  <c r="AH124" i="3" s="1"/>
  <c r="AC102" i="3"/>
  <c r="AH102" i="3" s="1"/>
  <c r="AC73" i="3"/>
  <c r="AH73" i="3" s="1"/>
  <c r="AC34" i="3"/>
  <c r="AH34" i="3" s="1"/>
  <c r="AC82" i="3"/>
  <c r="AH82" i="3" s="1"/>
  <c r="AC105" i="3"/>
  <c r="AH105" i="3" s="1"/>
  <c r="AC27" i="3"/>
  <c r="AH27" i="3" s="1"/>
  <c r="AC72" i="3"/>
  <c r="AH72" i="3" s="1"/>
  <c r="AC143" i="3"/>
  <c r="AH143" i="3" s="1"/>
  <c r="AC142" i="3"/>
  <c r="AH142" i="3" s="1"/>
  <c r="AC109" i="3"/>
  <c r="AH109" i="3" s="1"/>
  <c r="AC40" i="3"/>
  <c r="AH40" i="3" s="1"/>
  <c r="AC108" i="3"/>
  <c r="AH108" i="3" s="1"/>
  <c r="AC42" i="3"/>
  <c r="AH42" i="3" s="1"/>
  <c r="AC127" i="3"/>
  <c r="AH127" i="3" s="1"/>
  <c r="AC107" i="3"/>
  <c r="AH107" i="3" s="1"/>
  <c r="AC80" i="3"/>
  <c r="AH80" i="3" s="1"/>
  <c r="AC41" i="3"/>
  <c r="AH41" i="3" s="1"/>
  <c r="AC125" i="3"/>
  <c r="AH125" i="3" s="1"/>
  <c r="AC78" i="3"/>
  <c r="AH78" i="3" s="1"/>
  <c r="AC13" i="3"/>
  <c r="AH13" i="3" s="1"/>
  <c r="AC101" i="3"/>
  <c r="AH101" i="3" s="1"/>
  <c r="AC33" i="3"/>
  <c r="AH33" i="3" s="1"/>
  <c r="AC118" i="3"/>
  <c r="AH118" i="3" s="1"/>
  <c r="AC74" i="3"/>
  <c r="AH74" i="3" s="1"/>
  <c r="AC89" i="3"/>
  <c r="AH89" i="3" s="1"/>
  <c r="AC116" i="3"/>
  <c r="AH116" i="3" s="1"/>
  <c r="AC43" i="3"/>
  <c r="AH43" i="3" s="1"/>
  <c r="AC129" i="3"/>
  <c r="AH129" i="3" s="1"/>
  <c r="AC69" i="3"/>
  <c r="AH69" i="3" s="1"/>
  <c r="AC123" i="3"/>
  <c r="AH123" i="3" s="1"/>
  <c r="AC98" i="3"/>
  <c r="AH98" i="3" s="1"/>
  <c r="AC106" i="3"/>
  <c r="AH106" i="3" s="1"/>
  <c r="AC24" i="3"/>
  <c r="AH24" i="3" s="1"/>
  <c r="AC122" i="3"/>
  <c r="AH122" i="3" s="1"/>
  <c r="AC99" i="3"/>
  <c r="AH99" i="3" s="1"/>
  <c r="AC97" i="3"/>
  <c r="AH97" i="3" s="1"/>
  <c r="Y14" i="3"/>
  <c r="Z14" i="3" s="1"/>
  <c r="Y202" i="3"/>
  <c r="Y215" i="3"/>
  <c r="AC161" i="3"/>
  <c r="AH161" i="3" s="1"/>
  <c r="AC160" i="3"/>
  <c r="AH160" i="3" s="1"/>
  <c r="AC159" i="3"/>
  <c r="AH159" i="3" s="1"/>
  <c r="AC136" i="3"/>
  <c r="AH136" i="3" s="1"/>
  <c r="AC132" i="3"/>
  <c r="AH132" i="3" s="1"/>
  <c r="AH11" i="3" l="1"/>
  <c r="M11" i="10"/>
  <c r="Y21" i="3"/>
  <c r="Z21" i="3" s="1"/>
  <c r="Y19" i="3"/>
  <c r="Z19" i="3" s="1"/>
  <c r="Y15" i="3"/>
  <c r="Z15" i="3" s="1"/>
  <c r="X5" i="3"/>
  <c r="Y5" i="3" s="1"/>
  <c r="Z5" i="3" s="1"/>
  <c r="X4" i="3"/>
  <c r="Y4" i="3" s="1"/>
  <c r="Z4" i="3" s="1"/>
  <c r="X3" i="3"/>
  <c r="Y3" i="3" s="1"/>
  <c r="Z350" i="3"/>
  <c r="Y192" i="3"/>
  <c r="Z192" i="3" s="1"/>
  <c r="Z340" i="3"/>
  <c r="Y38" i="3"/>
  <c r="Z38" i="3" s="1"/>
  <c r="Z348" i="3"/>
  <c r="Y52" i="3"/>
  <c r="Z52" i="3" s="1"/>
  <c r="Z349" i="3"/>
  <c r="Y189" i="3"/>
  <c r="Z189" i="3" s="1"/>
  <c r="Y198" i="3"/>
  <c r="Z198" i="3" s="1"/>
  <c r="Y101" i="3"/>
  <c r="Z101" i="3" s="1"/>
  <c r="AI206" i="3"/>
  <c r="AE206" i="3"/>
  <c r="AI221" i="3"/>
  <c r="AE221" i="3"/>
  <c r="AI23" i="3"/>
  <c r="AE23" i="3"/>
  <c r="AI35" i="3"/>
  <c r="AE35" i="3"/>
  <c r="AI46" i="3"/>
  <c r="AE46" i="3"/>
  <c r="AI47" i="3"/>
  <c r="AE47" i="3"/>
  <c r="AI20" i="3"/>
  <c r="AE20" i="3"/>
  <c r="AI58" i="3"/>
  <c r="AE58" i="3"/>
  <c r="AI88" i="3"/>
  <c r="AE88" i="3"/>
  <c r="AI89" i="3"/>
  <c r="AE89" i="3"/>
  <c r="AI96" i="3"/>
  <c r="AE96" i="3"/>
  <c r="AI93" i="3"/>
  <c r="AE93" i="3"/>
  <c r="AI39" i="3"/>
  <c r="AE39" i="3"/>
  <c r="AI54" i="3"/>
  <c r="AE54" i="3"/>
  <c r="AI49" i="3"/>
  <c r="AE49" i="3"/>
  <c r="AI70" i="3"/>
  <c r="AE70" i="3"/>
  <c r="AI15" i="3"/>
  <c r="AE15" i="3"/>
  <c r="AI2" i="3"/>
  <c r="AE2" i="3"/>
  <c r="AI86" i="3"/>
  <c r="AE86" i="3"/>
  <c r="AI85" i="3"/>
  <c r="AE85" i="3"/>
  <c r="AI10" i="3"/>
  <c r="AE10" i="3"/>
  <c r="AI8" i="3"/>
  <c r="AE8" i="3"/>
  <c r="AI7" i="3"/>
  <c r="AI9" i="3"/>
  <c r="AE9" i="3"/>
  <c r="AI5" i="3"/>
  <c r="AE5" i="3"/>
  <c r="AI4" i="3"/>
  <c r="AE4" i="3"/>
  <c r="AI3" i="3"/>
  <c r="AE3" i="3"/>
  <c r="AI6" i="3"/>
  <c r="AE6" i="3"/>
  <c r="AI25" i="3"/>
  <c r="AE25" i="3"/>
  <c r="AI26" i="3"/>
  <c r="AE26" i="3"/>
  <c r="AI29" i="3"/>
  <c r="AE29" i="3"/>
  <c r="AI32" i="3"/>
  <c r="AE32" i="3"/>
  <c r="AI30" i="3"/>
  <c r="AE30" i="3"/>
  <c r="AI37" i="3"/>
  <c r="AE37" i="3"/>
  <c r="AI38" i="3"/>
  <c r="AE38" i="3"/>
  <c r="AI56" i="3"/>
  <c r="AE56" i="3"/>
  <c r="AI57" i="3"/>
  <c r="AE57" i="3"/>
  <c r="AI31" i="3"/>
  <c r="AE31" i="3"/>
  <c r="AI16" i="3"/>
  <c r="AE16" i="3"/>
  <c r="AI28" i="3"/>
  <c r="AE28" i="3"/>
  <c r="AI24" i="3"/>
  <c r="AE24" i="3"/>
  <c r="AI27" i="3"/>
  <c r="AE27" i="3"/>
  <c r="AI33" i="3"/>
  <c r="AE33" i="3"/>
  <c r="AI34" i="3"/>
  <c r="AE34" i="3"/>
  <c r="AI13" i="3"/>
  <c r="AE13" i="3"/>
  <c r="AI43" i="3"/>
  <c r="AE43" i="3"/>
  <c r="AI41" i="3"/>
  <c r="AE41" i="3"/>
  <c r="AI42" i="3"/>
  <c r="AE42" i="3"/>
  <c r="AI40" i="3"/>
  <c r="AE40" i="3"/>
  <c r="AI45" i="3"/>
  <c r="AE45" i="3"/>
  <c r="AI55" i="3"/>
  <c r="AE55" i="3"/>
  <c r="AI44" i="3"/>
  <c r="AE44" i="3"/>
  <c r="AI48" i="3"/>
  <c r="AE48" i="3"/>
  <c r="AI53" i="3"/>
  <c r="AE53" i="3"/>
  <c r="AI50" i="3"/>
  <c r="AE50" i="3"/>
  <c r="AI51" i="3"/>
  <c r="AE51" i="3"/>
  <c r="AI52" i="3"/>
  <c r="AE52" i="3"/>
  <c r="AI76" i="3"/>
  <c r="AE76" i="3"/>
  <c r="AI77" i="3"/>
  <c r="AE77" i="3"/>
  <c r="AI75" i="3"/>
  <c r="AE75" i="3"/>
  <c r="AI68" i="3"/>
  <c r="AE68" i="3"/>
  <c r="AI71" i="3"/>
  <c r="AE71" i="3"/>
  <c r="AI69" i="3"/>
  <c r="AE69" i="3"/>
  <c r="AI74" i="3"/>
  <c r="AE74" i="3"/>
  <c r="AI72" i="3"/>
  <c r="AE72" i="3"/>
  <c r="AI73" i="3"/>
  <c r="AE73" i="3"/>
  <c r="AI78" i="3"/>
  <c r="AE78" i="3"/>
  <c r="AI79" i="3"/>
  <c r="AE79" i="3"/>
  <c r="AI80" i="3"/>
  <c r="AE80" i="3"/>
  <c r="AI81" i="3"/>
  <c r="AE81" i="3"/>
  <c r="AI82" i="3"/>
  <c r="AE82" i="3"/>
  <c r="AI84" i="3"/>
  <c r="AE84" i="3"/>
  <c r="AI83" i="3"/>
  <c r="AE83" i="3"/>
  <c r="AI90" i="3"/>
  <c r="AE90" i="3"/>
  <c r="AI92" i="3"/>
  <c r="AE92" i="3"/>
  <c r="AI91" i="3"/>
  <c r="AE91" i="3"/>
  <c r="AI95" i="3"/>
  <c r="AE95" i="3"/>
  <c r="AI94" i="3"/>
  <c r="AE94" i="3"/>
  <c r="AI97" i="3"/>
  <c r="AE97" i="3"/>
  <c r="AI98" i="3"/>
  <c r="AE98" i="3"/>
  <c r="AI99" i="3"/>
  <c r="AE99" i="3"/>
  <c r="AI100" i="3"/>
  <c r="AE100" i="3"/>
  <c r="AI106" i="3"/>
  <c r="AE106" i="3"/>
  <c r="AI105" i="3"/>
  <c r="AE105" i="3"/>
  <c r="AI101" i="3"/>
  <c r="AE101" i="3"/>
  <c r="AI102" i="3"/>
  <c r="AE102" i="3"/>
  <c r="AI103" i="3"/>
  <c r="AE103" i="3"/>
  <c r="AI104" i="3"/>
  <c r="AE104" i="3"/>
  <c r="AI107" i="3"/>
  <c r="AE107" i="3"/>
  <c r="AI108" i="3"/>
  <c r="AE108" i="3"/>
  <c r="AI109" i="3"/>
  <c r="AE109" i="3"/>
  <c r="AI110" i="3"/>
  <c r="AE110" i="3"/>
  <c r="AI112" i="3"/>
  <c r="AE112" i="3"/>
  <c r="AI116" i="3"/>
  <c r="AE116" i="3"/>
  <c r="AI114" i="3"/>
  <c r="AE114" i="3"/>
  <c r="AI111" i="3"/>
  <c r="AE111" i="3"/>
  <c r="AI115" i="3"/>
  <c r="AE115" i="3"/>
  <c r="AI113" i="3"/>
  <c r="AE113" i="3"/>
  <c r="AI119" i="3"/>
  <c r="AE119" i="3"/>
  <c r="AI128" i="3"/>
  <c r="AE128" i="3"/>
  <c r="AI120" i="3"/>
  <c r="AE120" i="3"/>
  <c r="AI121" i="3"/>
  <c r="AE121" i="3"/>
  <c r="AI122" i="3"/>
  <c r="AE122" i="3"/>
  <c r="AI123" i="3"/>
  <c r="AE123" i="3"/>
  <c r="AI129" i="3"/>
  <c r="AE129" i="3"/>
  <c r="AI117" i="3"/>
  <c r="AE117" i="3"/>
  <c r="AI118" i="3"/>
  <c r="AE118" i="3"/>
  <c r="AI124" i="3"/>
  <c r="AE124" i="3"/>
  <c r="AI125" i="3"/>
  <c r="AE125" i="3"/>
  <c r="AI130" i="3"/>
  <c r="AE130" i="3"/>
  <c r="AI127" i="3"/>
  <c r="AE127" i="3"/>
  <c r="AI126" i="3"/>
  <c r="AE126" i="3"/>
  <c r="AI131" i="3"/>
  <c r="AE131" i="3"/>
  <c r="AI142" i="3"/>
  <c r="AE142" i="3"/>
  <c r="AI144" i="3"/>
  <c r="AE144" i="3"/>
  <c r="AI143" i="3"/>
  <c r="AE143" i="3"/>
  <c r="AI162" i="3"/>
  <c r="AE162" i="3"/>
  <c r="AI168" i="3"/>
  <c r="AE168" i="3"/>
  <c r="AI135" i="3"/>
  <c r="AE135" i="3"/>
  <c r="AI192" i="3"/>
  <c r="AE192" i="3"/>
  <c r="AI191" i="3"/>
  <c r="AE191" i="3"/>
  <c r="AI201" i="3"/>
  <c r="AE201" i="3"/>
  <c r="AE11" i="3"/>
  <c r="AI12" i="3"/>
  <c r="AE12" i="3"/>
  <c r="AI62" i="3"/>
  <c r="AE62" i="3"/>
  <c r="AI61" i="3"/>
  <c r="AE61" i="3"/>
  <c r="AI60" i="3"/>
  <c r="AE60" i="3"/>
  <c r="AI59" i="3"/>
  <c r="AE59" i="3"/>
  <c r="AI64" i="3"/>
  <c r="AE64" i="3"/>
  <c r="AI63" i="3"/>
  <c r="AE63" i="3"/>
  <c r="AI65" i="3"/>
  <c r="AE65" i="3"/>
  <c r="AI66" i="3"/>
  <c r="AE66" i="3"/>
  <c r="AI67" i="3"/>
  <c r="AE67" i="3"/>
  <c r="AI17" i="3"/>
  <c r="AE17" i="3"/>
  <c r="AI18" i="3"/>
  <c r="AE18" i="3"/>
  <c r="AI21" i="3"/>
  <c r="AE21" i="3"/>
  <c r="AI19" i="3"/>
  <c r="AE19" i="3"/>
  <c r="AI22" i="3"/>
  <c r="AE22" i="3"/>
  <c r="AI36" i="3"/>
  <c r="AE36" i="3"/>
  <c r="AI200" i="3"/>
  <c r="AE200" i="3"/>
  <c r="AI199" i="3"/>
  <c r="AE199" i="3"/>
  <c r="AI220" i="3"/>
  <c r="AE220" i="3"/>
  <c r="AI214" i="3"/>
  <c r="AE214" i="3"/>
  <c r="AI216" i="3"/>
  <c r="AE216" i="3"/>
  <c r="AI217" i="3"/>
  <c r="AE217" i="3"/>
  <c r="AI210" i="3"/>
  <c r="AE210" i="3"/>
  <c r="AI209" i="3"/>
  <c r="AE209" i="3"/>
  <c r="AI208" i="3"/>
  <c r="AE208" i="3"/>
  <c r="AI207" i="3"/>
  <c r="AE207" i="3"/>
  <c r="AI205" i="3"/>
  <c r="AE205" i="3"/>
  <c r="AI204" i="3"/>
  <c r="AE204" i="3"/>
  <c r="AI203" i="3"/>
  <c r="AE203" i="3"/>
  <c r="AI213" i="3"/>
  <c r="AE213" i="3"/>
  <c r="AI211" i="3"/>
  <c r="AE211" i="3"/>
  <c r="AI212" i="3"/>
  <c r="AE212" i="3"/>
  <c r="AI189" i="3"/>
  <c r="AE189" i="3"/>
  <c r="AI198" i="3"/>
  <c r="AE198" i="3"/>
  <c r="AI196" i="3"/>
  <c r="AE196" i="3"/>
  <c r="AI159" i="3"/>
  <c r="AE159" i="3"/>
  <c r="AI197" i="3"/>
  <c r="AE197" i="3"/>
  <c r="AI195" i="3"/>
  <c r="AE195" i="3"/>
  <c r="AI177" i="3"/>
  <c r="AE177" i="3"/>
  <c r="AI179" i="3"/>
  <c r="AE179" i="3"/>
  <c r="AI176" i="3"/>
  <c r="AE176" i="3"/>
  <c r="AI178" i="3"/>
  <c r="AE178" i="3"/>
  <c r="AI171" i="3"/>
  <c r="AE171" i="3"/>
  <c r="AI194" i="3"/>
  <c r="AE194" i="3"/>
  <c r="AI193" i="3"/>
  <c r="AE193" i="3"/>
  <c r="AI175" i="3"/>
  <c r="AE175" i="3"/>
  <c r="AI190" i="3"/>
  <c r="AE190" i="3"/>
  <c r="AI187" i="3"/>
  <c r="AE187" i="3"/>
  <c r="AI188" i="3"/>
  <c r="AE188" i="3"/>
  <c r="AI185" i="3"/>
  <c r="AE185" i="3"/>
  <c r="AI186" i="3"/>
  <c r="AE186" i="3"/>
  <c r="AI181" i="3"/>
  <c r="AE181" i="3"/>
  <c r="AI182" i="3"/>
  <c r="AE182" i="3"/>
  <c r="AI184" i="3"/>
  <c r="AE184" i="3"/>
  <c r="AI183" i="3"/>
  <c r="AE183" i="3"/>
  <c r="AI137" i="3"/>
  <c r="AE137" i="3"/>
  <c r="AI138" i="3"/>
  <c r="AE138" i="3"/>
  <c r="AI180" i="3"/>
  <c r="AE180" i="3"/>
  <c r="AI170" i="3"/>
  <c r="AE170" i="3"/>
  <c r="AI169" i="3"/>
  <c r="AE169" i="3"/>
  <c r="AI161" i="3"/>
  <c r="AE161" i="3"/>
  <c r="AI160" i="3"/>
  <c r="AE160" i="3"/>
  <c r="AI157" i="3"/>
  <c r="AE157" i="3"/>
  <c r="AI132" i="3"/>
  <c r="AE132" i="3"/>
  <c r="AI136" i="3"/>
  <c r="AE136" i="3"/>
  <c r="AI140" i="3"/>
  <c r="AE140" i="3"/>
  <c r="AI145" i="3"/>
  <c r="AE145" i="3"/>
  <c r="AI146" i="3"/>
  <c r="AE146" i="3"/>
  <c r="AI147" i="3"/>
  <c r="AE147" i="3"/>
  <c r="AI148" i="3"/>
  <c r="AE148" i="3"/>
  <c r="AI149" i="3"/>
  <c r="AE149" i="3"/>
  <c r="AI150" i="3"/>
  <c r="AE150" i="3"/>
  <c r="AI151" i="3"/>
  <c r="AE151" i="3"/>
  <c r="AI152" i="3"/>
  <c r="AE152" i="3"/>
  <c r="AI153" i="3"/>
  <c r="AE153" i="3"/>
  <c r="AI154" i="3"/>
  <c r="AE154" i="3"/>
  <c r="AI155" i="3"/>
  <c r="AE155" i="3"/>
  <c r="AI172" i="3"/>
  <c r="AE172" i="3"/>
  <c r="AI156" i="3"/>
  <c r="AE156" i="3"/>
  <c r="AI133" i="3"/>
  <c r="AE133" i="3"/>
  <c r="AI134" i="3"/>
  <c r="AE134" i="3"/>
  <c r="AI139" i="3"/>
  <c r="AE139" i="3"/>
  <c r="AI141" i="3"/>
  <c r="AE141" i="3"/>
  <c r="AI163" i="3"/>
  <c r="AE163" i="3"/>
  <c r="AI167" i="3"/>
  <c r="AE167" i="3"/>
  <c r="AI166" i="3"/>
  <c r="AE166" i="3"/>
  <c r="AI165" i="3"/>
  <c r="AE165" i="3"/>
  <c r="AI164" i="3"/>
  <c r="AE164" i="3"/>
  <c r="AI158" i="3"/>
  <c r="AE158" i="3"/>
  <c r="AI174" i="3"/>
  <c r="AE174" i="3"/>
  <c r="AI173" i="3"/>
  <c r="AE173" i="3"/>
  <c r="L5" i="10"/>
  <c r="Y87" i="3"/>
  <c r="Z87" i="3" s="1"/>
  <c r="Z186" i="3"/>
  <c r="Z151" i="3"/>
  <c r="Z158" i="3"/>
  <c r="Z134" i="3"/>
  <c r="Z183" i="3"/>
  <c r="W145" i="1"/>
  <c r="W152" i="1"/>
  <c r="W133" i="1"/>
  <c r="W144" i="1"/>
  <c r="W140" i="1"/>
  <c r="V159" i="1"/>
  <c r="W159" i="1"/>
  <c r="W153" i="1"/>
  <c r="V188" i="1"/>
  <c r="W154" i="1"/>
  <c r="W124" i="1"/>
  <c r="W151" i="1"/>
  <c r="V155" i="1"/>
  <c r="V156" i="1"/>
  <c r="V158" i="1"/>
  <c r="V125" i="1"/>
  <c r="W160" i="1"/>
  <c r="V140" i="1"/>
  <c r="W180" i="1"/>
  <c r="V151" i="1"/>
  <c r="W179" i="1"/>
  <c r="W149" i="1"/>
  <c r="W157" i="1"/>
  <c r="W177" i="1"/>
  <c r="W143" i="1"/>
  <c r="W147" i="1"/>
  <c r="V179" i="1"/>
  <c r="W141" i="1"/>
  <c r="W188" i="1"/>
  <c r="W182" i="1"/>
  <c r="W187" i="1"/>
  <c r="W181" i="1"/>
  <c r="W142" i="1"/>
  <c r="V166" i="1"/>
  <c r="W150" i="1"/>
  <c r="W125" i="1"/>
  <c r="W158" i="1"/>
  <c r="W146" i="1"/>
  <c r="W166" i="1"/>
  <c r="V124" i="1"/>
  <c r="Y206" i="3"/>
  <c r="Z206" i="3" s="1"/>
  <c r="Y142" i="3"/>
  <c r="Z142" i="3" s="1"/>
  <c r="Z114" i="3"/>
  <c r="Y111" i="3"/>
  <c r="Z111" i="3" s="1"/>
  <c r="Y119" i="3"/>
  <c r="Z119" i="3" s="1"/>
  <c r="Y113" i="3"/>
  <c r="Z113" i="3" s="1"/>
  <c r="Y115" i="3"/>
  <c r="Z115" i="3" s="1"/>
  <c r="Z53" i="3"/>
  <c r="Y51" i="3"/>
  <c r="Z51" i="3" s="1"/>
  <c r="Z48" i="3"/>
  <c r="Z50" i="3"/>
  <c r="Y71" i="3"/>
  <c r="Z71" i="3" s="1"/>
  <c r="Y120" i="3"/>
  <c r="Z120" i="3" s="1"/>
  <c r="Z77" i="3"/>
  <c r="Y128" i="3"/>
  <c r="Z128" i="3" s="1"/>
  <c r="Z75" i="3"/>
  <c r="Z29" i="3"/>
  <c r="Y168" i="3"/>
  <c r="Z168" i="3" s="1"/>
  <c r="Y37" i="3"/>
  <c r="Z37" i="3" s="1"/>
  <c r="Y56" i="3"/>
  <c r="Z56" i="3" s="1"/>
  <c r="Z30" i="3"/>
  <c r="Y162" i="3"/>
  <c r="Z162" i="3" s="1"/>
  <c r="Y32" i="3"/>
  <c r="Z32" i="3" s="1"/>
  <c r="Y92" i="3"/>
  <c r="Z92" i="3" s="1"/>
  <c r="Z135" i="3"/>
  <c r="Y90" i="3"/>
  <c r="Z90" i="3" s="1"/>
  <c r="Z106" i="3"/>
  <c r="Y68" i="3"/>
  <c r="Z68" i="3" s="1"/>
  <c r="Z100" i="3"/>
  <c r="Y91" i="3"/>
  <c r="Z91" i="3" s="1"/>
  <c r="Y54" i="3"/>
  <c r="Z54" i="3" s="1"/>
  <c r="Y59" i="3"/>
  <c r="Z59" i="3" s="1"/>
  <c r="Z64" i="3"/>
  <c r="Y80" i="3"/>
  <c r="Z80" i="3" s="1"/>
  <c r="Y102" i="3"/>
  <c r="Z102" i="3" s="1"/>
  <c r="Y35" i="3"/>
  <c r="Z35" i="3" s="1"/>
  <c r="Y129" i="3"/>
  <c r="Z129" i="3" s="1"/>
  <c r="Y88" i="3"/>
  <c r="Z88" i="3" s="1"/>
  <c r="Y55" i="3"/>
  <c r="Z55" i="3" s="1"/>
  <c r="Y20" i="3"/>
  <c r="Z20" i="3" s="1"/>
  <c r="Y69" i="3"/>
  <c r="Z69" i="3" s="1"/>
  <c r="Y124" i="3"/>
  <c r="Z124" i="3" s="1"/>
  <c r="Y191" i="3"/>
  <c r="Z191" i="3" s="1"/>
  <c r="Y9" i="3"/>
  <c r="Z9" i="3" s="1"/>
  <c r="Y126" i="3"/>
  <c r="Z126" i="3" s="1"/>
  <c r="Y47" i="3"/>
  <c r="Z47" i="3" s="1"/>
  <c r="Y127" i="3"/>
  <c r="Z127" i="3" s="1"/>
  <c r="Y99" i="3"/>
  <c r="Z99" i="3" s="1"/>
  <c r="Y13" i="3"/>
  <c r="Z13" i="3" s="1"/>
  <c r="Y25" i="3"/>
  <c r="Z25" i="3" s="1"/>
  <c r="Y112" i="3"/>
  <c r="Z112" i="3" s="1"/>
  <c r="Y122" i="3"/>
  <c r="Z122" i="3" s="1"/>
  <c r="Y58" i="3"/>
  <c r="Z58" i="3" s="1"/>
  <c r="Y130" i="3"/>
  <c r="Z130" i="3" s="1"/>
  <c r="Y84" i="3"/>
  <c r="Z84" i="3" s="1"/>
  <c r="Y83" i="3"/>
  <c r="Z83" i="3" s="1"/>
  <c r="Y33" i="3"/>
  <c r="Z33" i="3" s="1"/>
  <c r="Y16" i="3"/>
  <c r="Z16" i="3" s="1"/>
  <c r="Y125" i="3"/>
  <c r="Z125" i="3" s="1"/>
  <c r="Y42" i="3"/>
  <c r="Z42" i="3" s="1"/>
  <c r="Y74" i="3"/>
  <c r="Z74" i="3" s="1"/>
  <c r="Y89" i="3"/>
  <c r="Z89" i="3" s="1"/>
  <c r="Y28" i="3"/>
  <c r="Z28" i="3" s="1"/>
  <c r="Y108" i="3"/>
  <c r="Z108" i="3" s="1"/>
  <c r="Y105" i="3"/>
  <c r="Z105" i="3" s="1"/>
  <c r="Y73" i="3"/>
  <c r="Z73" i="3" s="1"/>
  <c r="Y201" i="3"/>
  <c r="Z201" i="3" s="1"/>
  <c r="Y45" i="3"/>
  <c r="Z45" i="3" s="1"/>
  <c r="Y81" i="3"/>
  <c r="Z81" i="3" s="1"/>
  <c r="Y46" i="3"/>
  <c r="Z46" i="3" s="1"/>
  <c r="Y103" i="3"/>
  <c r="Z103" i="3" s="1"/>
  <c r="Y107" i="3"/>
  <c r="Z107" i="3" s="1"/>
  <c r="Y40" i="3"/>
  <c r="Z40" i="3" s="1"/>
  <c r="Y121" i="3"/>
  <c r="Z121" i="3" s="1"/>
  <c r="Y10" i="3"/>
  <c r="Z10" i="3" s="1"/>
  <c r="Y43" i="3"/>
  <c r="Z43" i="3" s="1"/>
  <c r="Y118" i="3"/>
  <c r="Z118" i="3" s="1"/>
  <c r="Y57" i="3"/>
  <c r="Z57" i="3" s="1"/>
  <c r="Y144" i="3"/>
  <c r="Z144" i="3" s="1"/>
  <c r="Y117" i="3"/>
  <c r="Z117" i="3" s="1"/>
  <c r="Y104" i="3"/>
  <c r="Z104" i="3" s="1"/>
  <c r="Y8" i="3"/>
  <c r="Z8" i="3" s="1"/>
  <c r="Y79" i="3"/>
  <c r="Z79" i="3" s="1"/>
  <c r="Y82" i="3"/>
  <c r="Z82" i="3" s="1"/>
  <c r="Y116" i="3"/>
  <c r="Z116" i="3" s="1"/>
  <c r="Y31" i="3"/>
  <c r="Z31" i="3" s="1"/>
  <c r="Y110" i="3"/>
  <c r="Z110" i="3" s="1"/>
  <c r="Y7" i="3"/>
  <c r="Z7" i="3" s="1"/>
  <c r="Y27" i="3"/>
  <c r="Z27" i="3" s="1"/>
  <c r="Y44" i="3"/>
  <c r="Z44" i="3" s="1"/>
  <c r="Y6" i="3"/>
  <c r="Z6" i="3" s="1"/>
  <c r="Y78" i="3"/>
  <c r="Z78" i="3" s="1"/>
  <c r="Y34" i="3"/>
  <c r="Z34" i="3" s="1"/>
  <c r="Y62" i="3"/>
  <c r="Z62" i="3" s="1"/>
  <c r="Y123" i="3"/>
  <c r="Z123" i="3" s="1"/>
  <c r="Y72" i="3"/>
  <c r="Z72" i="3" s="1"/>
  <c r="Y41" i="3"/>
  <c r="Z41" i="3" s="1"/>
  <c r="Y26" i="3"/>
  <c r="Z26" i="3" s="1"/>
  <c r="Z63" i="3"/>
  <c r="Y18" i="3"/>
  <c r="Z18" i="3" s="1"/>
  <c r="Z65" i="3"/>
  <c r="Y67" i="3"/>
  <c r="Z67" i="3" s="1"/>
  <c r="Y17" i="3"/>
  <c r="Z17" i="3" s="1"/>
  <c r="Y61" i="3"/>
  <c r="Z61" i="3" s="1"/>
  <c r="Y36" i="3"/>
  <c r="Z36" i="3" s="1"/>
  <c r="Y11" i="3"/>
  <c r="Z11" i="3" s="1"/>
  <c r="Y12" i="3"/>
  <c r="Z12" i="3" s="1"/>
  <c r="Y23" i="3"/>
  <c r="Z23" i="3" s="1"/>
  <c r="Y22" i="3"/>
  <c r="Z22" i="3" s="1"/>
  <c r="Z202" i="3"/>
  <c r="Z200" i="3"/>
  <c r="Y219" i="3"/>
  <c r="Z219" i="3" s="1"/>
  <c r="Y220" i="3"/>
  <c r="Z220" i="3" s="1"/>
  <c r="Y218" i="3"/>
  <c r="Z218" i="3" s="1"/>
  <c r="Z216" i="3"/>
  <c r="Z215" i="3"/>
  <c r="Z214" i="3"/>
  <c r="V154" i="1"/>
  <c r="Y210" i="3"/>
  <c r="Z210" i="3" s="1"/>
  <c r="Y209" i="3"/>
  <c r="Z209" i="3" s="1"/>
  <c r="Y204" i="3"/>
  <c r="Z204" i="3" s="1"/>
  <c r="Y207" i="3"/>
  <c r="Z207" i="3" s="1"/>
  <c r="Y205" i="3"/>
  <c r="Z205" i="3" s="1"/>
  <c r="Y203" i="3"/>
  <c r="Z203" i="3" s="1"/>
  <c r="V165" i="1"/>
  <c r="Y208" i="3"/>
  <c r="Z208" i="3" s="1"/>
  <c r="Z213" i="3"/>
  <c r="Z212" i="3"/>
  <c r="V181" i="1"/>
  <c r="V153" i="1"/>
  <c r="V162" i="1"/>
  <c r="Y180" i="3"/>
  <c r="Z180" i="3" s="1"/>
  <c r="Y165" i="3"/>
  <c r="Z165" i="3" s="1"/>
  <c r="Y160" i="3"/>
  <c r="Z160" i="3" s="1"/>
  <c r="Y178" i="3"/>
  <c r="Z178" i="3" s="1"/>
  <c r="Y148" i="3"/>
  <c r="Z148" i="3" s="1"/>
  <c r="Y196" i="3"/>
  <c r="Z196" i="3" s="1"/>
  <c r="Y166" i="3"/>
  <c r="Z166" i="3" s="1"/>
  <c r="Y182" i="3"/>
  <c r="Z182" i="3" s="1"/>
  <c r="Y146" i="3"/>
  <c r="Z146" i="3" s="1"/>
  <c r="Y193" i="3"/>
  <c r="Z193" i="3" s="1"/>
  <c r="Y136" i="3"/>
  <c r="Z136" i="3" s="1"/>
  <c r="Y145" i="3"/>
  <c r="Z145" i="3" s="1"/>
  <c r="Y171" i="3"/>
  <c r="Z171" i="3" s="1"/>
  <c r="Y173" i="3"/>
  <c r="Z173" i="3" s="1"/>
  <c r="Y140" i="3"/>
  <c r="Z140" i="3" s="1"/>
  <c r="Y195" i="3"/>
  <c r="Z195" i="3" s="1"/>
  <c r="Y141" i="3"/>
  <c r="Z141" i="3" s="1"/>
  <c r="Y147" i="3"/>
  <c r="Z147" i="3" s="1"/>
  <c r="Y149" i="3"/>
  <c r="Z149" i="3" s="1"/>
  <c r="Y155" i="3"/>
  <c r="Z155" i="3" s="1"/>
  <c r="Y161" i="3"/>
  <c r="Z161" i="3" s="1"/>
  <c r="Y172" i="3"/>
  <c r="Z172" i="3" s="1"/>
  <c r="Y163" i="3"/>
  <c r="Z163" i="3" s="1"/>
  <c r="Y156" i="3"/>
  <c r="Z156" i="3" s="1"/>
  <c r="Y188" i="3"/>
  <c r="Z188" i="3" s="1"/>
  <c r="Y175" i="3"/>
  <c r="Z175" i="3" s="1"/>
  <c r="Y197" i="3"/>
  <c r="Z197" i="3" s="1"/>
  <c r="Y169" i="3"/>
  <c r="Z169" i="3" s="1"/>
  <c r="Y167" i="3"/>
  <c r="Z167" i="3" s="1"/>
  <c r="Y170" i="3"/>
  <c r="Z170" i="3" s="1"/>
  <c r="Y164" i="3"/>
  <c r="Z164" i="3" s="1"/>
  <c r="Y132" i="3"/>
  <c r="Z132" i="3" s="1"/>
  <c r="Y139" i="3"/>
  <c r="Z139" i="3" s="1"/>
  <c r="Y138" i="3"/>
  <c r="Z138" i="3" s="1"/>
  <c r="Y174" i="3"/>
  <c r="Z174" i="3" s="1"/>
  <c r="Y181" i="3"/>
  <c r="Z181" i="3" s="1"/>
  <c r="Y176" i="3"/>
  <c r="Z176" i="3" s="1"/>
  <c r="Y137" i="3"/>
  <c r="Z137" i="3"/>
  <c r="Y157" i="3"/>
  <c r="Z157" i="3" s="1"/>
  <c r="Y190" i="3"/>
  <c r="Z190" i="3" s="1"/>
  <c r="Y159" i="3"/>
  <c r="Z159" i="3" s="1"/>
  <c r="V180" i="1"/>
  <c r="V152" i="1"/>
  <c r="V182" i="1"/>
  <c r="V157" i="1"/>
  <c r="V187" i="1"/>
  <c r="V142" i="1"/>
  <c r="V144" i="1"/>
  <c r="V143" i="1"/>
  <c r="V177" i="1"/>
  <c r="V145" i="1"/>
  <c r="V133" i="1"/>
  <c r="V160" i="1"/>
  <c r="V139" i="1"/>
  <c r="V146" i="1"/>
  <c r="V141" i="1"/>
  <c r="V147" i="1"/>
  <c r="V149" i="1"/>
  <c r="V150" i="1"/>
  <c r="W139" i="1"/>
  <c r="W155" i="1"/>
  <c r="W165" i="1"/>
  <c r="W156" i="1"/>
  <c r="W162" i="1"/>
  <c r="D195" i="3"/>
  <c r="Z3" i="3" l="1"/>
  <c r="X2" i="3"/>
  <c r="Y2" i="3" s="1"/>
  <c r="Z2" i="3" l="1"/>
  <c r="AA481" i="3"/>
  <c r="AA314" i="3"/>
  <c r="AA299" i="3"/>
  <c r="AA388" i="3"/>
  <c r="AA339" i="3"/>
  <c r="AA551" i="3"/>
  <c r="AA489" i="3"/>
  <c r="AA478" i="3"/>
  <c r="AA455" i="3"/>
  <c r="AA445" i="3"/>
  <c r="AA469" i="3"/>
  <c r="AA446" i="3"/>
  <c r="AA438" i="3"/>
  <c r="AA439" i="3"/>
  <c r="AA440" i="3"/>
  <c r="AA180" i="3"/>
  <c r="AA340" i="3"/>
  <c r="AA594" i="3"/>
  <c r="AA337" i="3"/>
  <c r="AA529" i="3"/>
  <c r="AA578" i="3"/>
  <c r="AA208" i="3"/>
  <c r="AA209" i="3"/>
  <c r="AA210" i="3"/>
  <c r="AA211" i="3"/>
  <c r="AA270" i="3"/>
  <c r="AA470" i="3"/>
  <c r="AA341" i="3"/>
  <c r="AA462" i="3"/>
  <c r="AA447" i="3"/>
  <c r="AA300" i="3"/>
  <c r="AA193" i="3"/>
  <c r="AA384" i="3"/>
  <c r="AA56" i="3"/>
  <c r="AA57" i="3"/>
  <c r="AA190" i="3"/>
  <c r="AA502" i="3"/>
  <c r="AA233" i="3"/>
  <c r="AA607" i="3"/>
  <c r="AA613" i="3"/>
  <c r="AA608" i="3"/>
  <c r="AA609" i="3"/>
  <c r="AA23" i="3"/>
  <c r="AA55" i="3"/>
  <c r="AA301" i="3"/>
  <c r="AA196" i="3"/>
  <c r="AA198" i="3"/>
  <c r="AA331" i="3"/>
  <c r="AA597" i="3"/>
  <c r="AA598" i="3"/>
  <c r="AA599" i="3"/>
  <c r="AA247" i="3"/>
  <c r="AA291" i="3"/>
  <c r="AA292" i="3"/>
  <c r="AA201" i="3"/>
  <c r="AA222" i="3"/>
  <c r="AA223" i="3"/>
  <c r="AA224" i="3"/>
  <c r="AA456" i="3"/>
  <c r="AA615" i="3"/>
  <c r="AA281" i="3"/>
  <c r="AA308" i="3"/>
  <c r="AA482" i="3"/>
  <c r="AA14" i="3"/>
  <c r="AA94" i="3"/>
  <c r="AA95" i="3"/>
  <c r="AA175" i="3"/>
  <c r="AA332" i="3"/>
  <c r="AA582" i="3"/>
  <c r="AA48" i="3"/>
  <c r="AA87" i="3"/>
  <c r="AA90" i="3"/>
  <c r="AA91" i="3"/>
  <c r="AA92" i="3"/>
  <c r="AA96" i="3"/>
  <c r="AA471" i="3"/>
  <c r="AA12" i="3"/>
  <c r="AA93" i="3"/>
  <c r="AA120" i="3"/>
  <c r="AA121" i="3"/>
  <c r="AA122" i="3"/>
  <c r="AA168" i="3"/>
  <c r="AA189" i="3"/>
  <c r="AA191" i="3"/>
  <c r="AA192" i="3"/>
  <c r="AA268" i="3"/>
  <c r="AA277" i="3"/>
  <c r="AA293" i="3"/>
  <c r="AA472" i="3"/>
  <c r="AA530" i="3"/>
  <c r="AA577" i="3"/>
  <c r="AA25" i="3"/>
  <c r="AA26" i="3"/>
  <c r="AA44" i="3"/>
  <c r="AA45" i="3"/>
  <c r="AA159" i="3"/>
  <c r="AA160" i="3"/>
  <c r="AA161" i="3"/>
  <c r="AA162" i="3"/>
  <c r="AA276" i="3"/>
  <c r="AA403" i="3"/>
  <c r="AA404" i="3"/>
  <c r="AA426" i="3"/>
  <c r="AA40" i="3"/>
  <c r="AA41" i="3"/>
  <c r="AA42" i="3"/>
  <c r="AA43" i="3"/>
  <c r="AA75" i="3"/>
  <c r="AA76" i="3"/>
  <c r="AA77" i="3"/>
  <c r="AA88" i="3"/>
  <c r="AA89" i="3"/>
  <c r="AA107" i="3"/>
  <c r="AA108" i="3"/>
  <c r="AA109" i="3"/>
  <c r="AA130" i="3"/>
  <c r="AA157" i="3"/>
  <c r="AA164" i="3"/>
  <c r="AA165" i="3"/>
  <c r="AA166" i="3"/>
  <c r="AA167" i="3"/>
  <c r="AA185" i="3"/>
  <c r="AA186" i="3"/>
  <c r="AA225" i="3"/>
  <c r="AA226" i="3"/>
  <c r="AA227" i="3"/>
  <c r="AA271" i="3"/>
  <c r="AA272" i="3"/>
  <c r="AA273" i="3"/>
  <c r="AA274" i="3"/>
  <c r="AA275" i="3"/>
  <c r="AA309" i="3"/>
  <c r="AA351" i="3"/>
  <c r="AA352" i="3"/>
  <c r="AA353" i="3"/>
  <c r="AA397" i="3"/>
  <c r="AA576" i="3"/>
  <c r="AA587" i="3"/>
  <c r="AA588" i="3"/>
  <c r="AA617" i="3"/>
  <c r="AA616" i="3"/>
  <c r="AA11" i="3"/>
  <c r="AA37" i="3"/>
  <c r="AA38" i="3"/>
  <c r="AA71" i="3"/>
  <c r="AA78" i="3"/>
  <c r="AA79" i="3"/>
  <c r="AA80" i="3"/>
  <c r="AA81" i="3"/>
  <c r="AA82" i="3"/>
  <c r="AA83" i="3"/>
  <c r="AA84" i="3"/>
  <c r="AA106" i="3"/>
  <c r="AA112" i="3"/>
  <c r="AA113" i="3"/>
  <c r="AA114" i="3"/>
  <c r="AA115" i="3"/>
  <c r="AA116" i="3"/>
  <c r="AA126" i="3"/>
  <c r="AA127" i="3"/>
  <c r="AA163" i="3"/>
  <c r="AA269" i="3"/>
  <c r="AA390" i="3"/>
  <c r="AA391" i="3"/>
  <c r="AA392" i="3"/>
  <c r="AA393" i="3"/>
  <c r="AA394" i="3"/>
  <c r="AA395" i="3"/>
  <c r="AA457" i="3"/>
  <c r="AA572" i="3"/>
  <c r="AA573" i="3"/>
  <c r="AA600" i="3"/>
  <c r="AA33" i="3"/>
  <c r="AA34" i="3"/>
  <c r="AA67" i="3"/>
  <c r="AA72" i="3"/>
  <c r="AA73" i="3"/>
  <c r="AA74" i="3"/>
  <c r="AA105" i="3"/>
  <c r="AA111" i="3"/>
  <c r="AA123" i="3"/>
  <c r="AA202" i="3"/>
  <c r="AA250" i="3"/>
  <c r="AA263" i="3"/>
  <c r="AA264" i="3"/>
  <c r="AA265" i="3"/>
  <c r="AA266" i="3"/>
  <c r="AA405" i="3"/>
  <c r="AA406" i="3"/>
  <c r="AA441" i="3"/>
  <c r="AA466" i="3"/>
  <c r="AA467" i="3"/>
  <c r="AA568" i="3"/>
  <c r="AA569" i="3"/>
  <c r="AA570" i="3"/>
  <c r="AA606" i="3"/>
  <c r="AA604" i="3"/>
  <c r="AA614" i="3"/>
  <c r="AA27" i="3"/>
  <c r="AA28" i="3"/>
  <c r="AA29" i="3"/>
  <c r="AA30" i="3"/>
  <c r="AA31" i="3"/>
  <c r="AA32" i="3"/>
  <c r="AA50" i="3"/>
  <c r="AA51" i="3"/>
  <c r="AA52" i="3"/>
  <c r="AA53" i="3"/>
  <c r="AA66" i="3"/>
  <c r="AA68" i="3"/>
  <c r="AA110" i="3"/>
  <c r="AA158" i="3"/>
  <c r="AA245" i="3"/>
  <c r="AA246" i="3"/>
  <c r="AA259" i="3"/>
  <c r="AA260" i="3"/>
  <c r="AA261" i="3"/>
  <c r="AA262" i="3"/>
  <c r="AA294" i="3"/>
  <c r="AA315" i="3"/>
  <c r="AA342" i="3"/>
  <c r="AA344" i="3"/>
  <c r="AA345" i="3"/>
  <c r="AA398" i="3"/>
  <c r="AA442" i="3"/>
  <c r="AA505" i="3"/>
  <c r="AA506" i="3"/>
  <c r="AA507" i="3"/>
  <c r="AA509" i="3"/>
  <c r="AA536" i="3"/>
  <c r="AA564" i="3"/>
  <c r="AA565" i="3"/>
  <c r="AA566" i="3"/>
  <c r="AA610" i="3"/>
  <c r="AA62" i="3"/>
  <c r="AA63" i="3"/>
  <c r="AA64" i="3"/>
  <c r="AA65" i="3"/>
  <c r="AA69" i="3"/>
  <c r="AA70" i="3"/>
  <c r="AA97" i="3"/>
  <c r="AA98" i="3"/>
  <c r="AA100" i="3"/>
  <c r="AA101" i="3"/>
  <c r="AA102" i="3"/>
  <c r="AA103" i="3"/>
  <c r="AA104" i="3"/>
  <c r="AA118" i="3"/>
  <c r="AA141" i="3"/>
  <c r="AA176" i="3"/>
  <c r="AA177" i="3"/>
  <c r="AA178" i="3"/>
  <c r="AA179" i="3"/>
  <c r="AA254" i="3"/>
  <c r="AA255" i="3"/>
  <c r="AA256" i="3"/>
  <c r="AA257" i="3"/>
  <c r="AA437" i="3"/>
  <c r="AA443" i="3"/>
  <c r="AA490" i="3"/>
  <c r="AA531" i="3"/>
  <c r="AA532" i="3"/>
  <c r="AA533" i="3"/>
  <c r="AA602" i="3"/>
  <c r="AA603" i="3"/>
  <c r="AA601" i="3"/>
  <c r="AA59" i="3"/>
  <c r="AA60" i="3"/>
  <c r="AA61" i="3"/>
  <c r="AA117" i="3"/>
  <c r="AA124" i="3"/>
  <c r="AA125" i="3"/>
  <c r="AA128" i="3"/>
  <c r="AA129" i="3"/>
  <c r="AA137" i="3"/>
  <c r="AA138" i="3"/>
  <c r="AA139" i="3"/>
  <c r="AA171" i="3"/>
  <c r="AA238" i="3"/>
  <c r="AA278" i="3"/>
  <c r="AA338" i="3"/>
  <c r="AA430" i="3"/>
  <c r="AA431" i="3"/>
  <c r="AA432" i="3"/>
  <c r="AA433" i="3"/>
  <c r="AA434" i="3"/>
  <c r="AA435" i="3"/>
  <c r="AA483" i="3"/>
  <c r="AA523" i="3"/>
  <c r="AA524" i="3"/>
  <c r="AA525" i="3"/>
  <c r="AA526" i="3"/>
  <c r="AA589" i="3"/>
  <c r="AA24" i="3"/>
  <c r="AA132" i="3"/>
  <c r="AA133" i="3"/>
  <c r="AA134" i="3"/>
  <c r="AA135" i="3"/>
  <c r="AA143" i="3"/>
  <c r="AA172" i="3"/>
  <c r="AA173" i="3"/>
  <c r="AA212" i="3"/>
  <c r="AA213" i="3"/>
  <c r="AA214" i="3"/>
  <c r="AA215" i="3"/>
  <c r="AA216" i="3"/>
  <c r="AA217" i="3"/>
  <c r="AA251" i="3"/>
  <c r="AA252" i="3"/>
  <c r="AA333" i="3"/>
  <c r="AA334" i="3"/>
  <c r="AA335" i="3"/>
  <c r="AA336" i="3"/>
  <c r="AA386" i="3"/>
  <c r="AA436" i="3"/>
  <c r="AA491" i="3"/>
  <c r="AA514" i="3"/>
  <c r="AA515" i="3"/>
  <c r="AA516" i="3"/>
  <c r="AA517" i="3"/>
  <c r="AA518" i="3"/>
  <c r="AA519" i="3"/>
  <c r="AA520" i="3"/>
  <c r="AA521" i="3"/>
  <c r="AA522" i="3"/>
  <c r="AA591" i="3"/>
  <c r="AA58" i="3"/>
  <c r="AA99" i="3"/>
  <c r="AA142" i="3"/>
  <c r="AA169" i="3"/>
  <c r="AA170" i="3"/>
  <c r="AA424" i="3"/>
  <c r="AA427" i="3"/>
  <c r="AA428" i="3"/>
  <c r="AA429" i="3"/>
  <c r="AA498" i="3"/>
  <c r="AA510" i="3"/>
  <c r="AA511" i="3"/>
  <c r="AA512" i="3"/>
  <c r="AA539" i="3"/>
  <c r="AA540" i="3"/>
  <c r="AA541" i="3"/>
  <c r="AA546" i="3"/>
  <c r="AA579" i="3"/>
  <c r="AA590" i="3"/>
  <c r="AA16" i="3"/>
  <c r="AA144" i="3"/>
  <c r="AA230" i="3"/>
  <c r="AA231" i="3"/>
  <c r="AA239" i="3"/>
  <c r="AA248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85" i="3"/>
  <c r="AA425" i="3"/>
  <c r="AA473" i="3"/>
  <c r="AA552" i="3"/>
  <c r="AA583" i="3"/>
  <c r="AA584" i="3"/>
  <c r="AA119" i="3"/>
  <c r="AA131" i="3"/>
  <c r="AA237" i="3"/>
  <c r="AA242" i="3"/>
  <c r="AA243" i="3"/>
  <c r="AA282" i="3"/>
  <c r="AA407" i="3"/>
  <c r="AA408" i="3"/>
  <c r="AA409" i="3"/>
  <c r="AA410" i="3"/>
  <c r="AA468" i="3"/>
  <c r="AA534" i="3"/>
  <c r="AA580" i="3"/>
  <c r="AA581" i="3"/>
  <c r="AA85" i="3"/>
  <c r="AA86" i="3"/>
  <c r="AA228" i="3"/>
  <c r="AA240" i="3"/>
  <c r="AA330" i="3"/>
  <c r="AA399" i="3"/>
  <c r="AA400" i="3"/>
  <c r="AA401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63" i="3"/>
  <c r="AA464" i="3"/>
  <c r="AA465" i="3"/>
  <c r="AA504" i="3"/>
  <c r="AA592" i="3"/>
  <c r="AA593" i="3"/>
  <c r="AA595" i="3"/>
  <c r="AA596" i="3"/>
  <c r="AA10" i="3"/>
  <c r="AA298" i="3"/>
  <c r="AA310" i="3"/>
  <c r="AA311" i="3"/>
  <c r="AA312" i="3"/>
  <c r="AA313" i="3"/>
  <c r="AA377" i="3"/>
  <c r="AA378" i="3"/>
  <c r="AA379" i="3"/>
  <c r="AA380" i="3"/>
  <c r="AA381" i="3"/>
  <c r="AA382" i="3"/>
  <c r="AA383" i="3"/>
  <c r="AA402" i="3"/>
  <c r="AA492" i="3"/>
  <c r="AA503" i="3"/>
  <c r="AA527" i="3"/>
  <c r="AA528" i="3"/>
  <c r="AA553" i="3"/>
  <c r="AA575" i="3"/>
  <c r="AA7" i="3"/>
  <c r="AA8" i="3"/>
  <c r="AA9" i="3"/>
  <c r="AA234" i="3"/>
  <c r="AA235" i="3"/>
  <c r="AA236" i="3"/>
  <c r="AA295" i="3"/>
  <c r="AA357" i="3"/>
  <c r="AA358" i="3"/>
  <c r="AA359" i="3"/>
  <c r="AA360" i="3"/>
  <c r="AA361" i="3"/>
  <c r="AA362" i="3"/>
  <c r="AA363" i="3"/>
  <c r="AA396" i="3"/>
  <c r="AA448" i="3"/>
  <c r="AA449" i="3"/>
  <c r="AA450" i="3"/>
  <c r="AA571" i="3"/>
  <c r="AA574" i="3"/>
  <c r="AA3" i="3"/>
  <c r="AA4" i="3"/>
  <c r="AA5" i="3"/>
  <c r="AA13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354" i="3"/>
  <c r="AA355" i="3"/>
  <c r="AA356" i="3"/>
  <c r="AA387" i="3"/>
  <c r="AA389" i="3"/>
  <c r="AA508" i="3"/>
  <c r="AA563" i="3"/>
  <c r="AA567" i="3"/>
  <c r="AA187" i="3"/>
  <c r="AA188" i="3"/>
  <c r="AA283" i="3"/>
  <c r="AA284" i="3"/>
  <c r="AA285" i="3"/>
  <c r="AA286" i="3"/>
  <c r="AA287" i="3"/>
  <c r="AA288" i="3"/>
  <c r="AA289" i="3"/>
  <c r="AA479" i="3"/>
  <c r="AA140" i="3"/>
  <c r="AA229" i="3"/>
  <c r="AA253" i="3"/>
  <c r="AA346" i="3"/>
  <c r="AA474" i="3"/>
  <c r="AA136" i="3"/>
  <c r="AA343" i="3"/>
  <c r="AA557" i="3"/>
  <c r="AA558" i="3"/>
  <c r="AA279" i="3"/>
  <c r="AA280" i="3"/>
  <c r="AA561" i="3"/>
  <c r="AA562" i="3"/>
  <c r="AA54" i="3"/>
  <c r="AA221" i="3"/>
  <c r="AA244" i="3"/>
  <c r="AA249" i="3"/>
  <c r="AA458" i="3"/>
  <c r="AA537" i="3"/>
  <c r="AA6" i="3"/>
  <c r="AA47" i="3"/>
  <c r="AA174" i="3"/>
  <c r="AA364" i="3"/>
  <c r="AA365" i="3"/>
  <c r="AA366" i="3"/>
  <c r="AA367" i="3"/>
  <c r="AA368" i="3"/>
  <c r="AA369" i="3"/>
  <c r="AA370" i="3"/>
  <c r="AA371" i="3"/>
  <c r="AA372" i="3"/>
  <c r="AA373" i="3"/>
  <c r="AA374" i="3"/>
  <c r="AA480" i="3"/>
  <c r="AA496" i="3"/>
  <c r="AA535" i="3"/>
  <c r="AA46" i="3"/>
  <c r="AA218" i="3"/>
  <c r="AA219" i="3"/>
  <c r="AA220" i="3"/>
  <c r="AA241" i="3"/>
  <c r="AA542" i="3"/>
  <c r="AA543" i="3"/>
  <c r="AA544" i="3"/>
  <c r="AA545" i="3"/>
  <c r="AA586" i="3"/>
  <c r="AA49" i="3"/>
  <c r="AA347" i="3"/>
  <c r="AA348" i="3"/>
  <c r="AA349" i="3"/>
  <c r="AA350" i="3"/>
  <c r="AA475" i="3"/>
  <c r="AA497" i="3"/>
  <c r="AA538" i="3"/>
  <c r="AA585" i="3"/>
  <c r="AA203" i="3"/>
  <c r="AA204" i="3"/>
  <c r="AA205" i="3"/>
  <c r="AA206" i="3"/>
  <c r="AA207" i="3"/>
  <c r="AA493" i="3"/>
  <c r="AA494" i="3"/>
  <c r="AA495" i="3"/>
  <c r="AA513" i="3"/>
  <c r="AA560" i="3"/>
  <c r="AA35" i="3"/>
  <c r="AA36" i="3"/>
  <c r="AA197" i="3"/>
  <c r="AA559" i="3"/>
  <c r="AA302" i="3"/>
  <c r="AA303" i="3"/>
  <c r="AA304" i="3"/>
  <c r="AA305" i="3"/>
  <c r="AA306" i="3"/>
  <c r="AA547" i="3"/>
  <c r="AA548" i="3"/>
  <c r="AA549" i="3"/>
  <c r="AA554" i="3"/>
  <c r="AA555" i="3"/>
  <c r="AA556" i="3"/>
  <c r="AA39" i="3"/>
  <c r="AA195" i="3"/>
  <c r="AA199" i="3"/>
  <c r="AA200" i="3"/>
  <c r="AA611" i="3"/>
  <c r="AA194" i="3"/>
  <c r="AA484" i="3"/>
  <c r="AA485" i="3"/>
  <c r="AA486" i="3"/>
  <c r="AA487" i="3"/>
  <c r="AA488" i="3"/>
  <c r="AA499" i="3"/>
  <c r="AA500" i="3"/>
  <c r="AA501" i="3"/>
  <c r="AA22" i="3"/>
  <c r="AA476" i="3"/>
  <c r="AA477" i="3"/>
  <c r="AA17" i="3"/>
  <c r="AA18" i="3"/>
  <c r="AA19" i="3"/>
  <c r="AA20" i="3"/>
  <c r="AA21" i="3"/>
  <c r="AA451" i="3"/>
  <c r="AA452" i="3"/>
  <c r="AA181" i="3"/>
  <c r="AA182" i="3"/>
  <c r="AA183" i="3"/>
  <c r="AA184" i="3"/>
  <c r="AA296" i="3"/>
  <c r="AA297" i="3"/>
  <c r="AA375" i="3"/>
  <c r="AA376" i="3"/>
  <c r="AA453" i="3"/>
  <c r="AA454" i="3"/>
  <c r="AA444" i="3"/>
  <c r="AA15" i="3"/>
  <c r="AA232" i="3"/>
  <c r="AA307" i="3"/>
  <c r="AA290" i="3"/>
  <c r="AA267" i="3"/>
  <c r="AA2" i="3"/>
  <c r="AA258" i="3"/>
  <c r="AA605" i="3"/>
  <c r="AA612" i="3"/>
  <c r="AA618" i="3"/>
  <c r="AA619" i="3"/>
  <c r="AA620" i="3"/>
  <c r="AA621" i="3"/>
  <c r="AA622" i="3"/>
  <c r="AA623" i="3"/>
  <c r="AA629" i="3"/>
  <c r="AA624" i="3"/>
  <c r="AA630" i="3"/>
  <c r="AA626" i="3"/>
  <c r="AA627" i="3"/>
  <c r="AA625" i="3"/>
  <c r="AA628" i="3"/>
  <c r="AA636" i="3"/>
  <c r="AA635" i="3"/>
  <c r="AA633" i="3"/>
  <c r="AA631" i="3"/>
  <c r="AA632" i="3"/>
  <c r="AA634" i="3"/>
  <c r="AA637" i="3"/>
  <c r="AA55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Uriel Ramiro Favela Avalos</author>
  </authors>
  <commentList>
    <comment ref="B1" authorId="0" shapeId="0" xr:uid="{7615251C-20B2-4140-95D8-D90487456ED3}">
      <text>
        <r>
          <rPr>
            <sz val="11"/>
            <color theme="1"/>
            <rFont val="Calibri"/>
            <family val="2"/>
            <scheme val="minor"/>
          </rPr>
          <t>Field Order Number</t>
        </r>
      </text>
    </comment>
    <comment ref="C1" authorId="0" shapeId="0" xr:uid="{950ED98E-9610-43D1-B370-2131D442E664}">
      <text>
        <r>
          <rPr>
            <sz val="11"/>
            <color theme="1"/>
            <rFont val="Calibri"/>
            <family val="2"/>
            <scheme val="minor"/>
          </rPr>
          <t>Line number</t>
        </r>
      </text>
    </comment>
    <comment ref="D1" authorId="0" shapeId="0" xr:uid="{FED8BE3E-D256-419D-96A3-AD9797DF2F5D}">
      <text>
        <r>
          <rPr>
            <sz val="11"/>
            <color theme="1"/>
            <rFont val="Calibri"/>
            <family val="2"/>
            <scheme val="minor"/>
          </rPr>
          <t>Sales Number</t>
        </r>
      </text>
    </comment>
    <comment ref="E1" authorId="0" shapeId="0" xr:uid="{1DFE0DD1-8B94-4893-80EA-23125E3C80F7}">
      <text>
        <r>
          <rPr>
            <sz val="11"/>
            <color theme="1"/>
            <rFont val="Calibri"/>
            <family val="2"/>
            <scheme val="minor"/>
          </rPr>
          <t>Job number</t>
        </r>
      </text>
    </comment>
    <comment ref="F1" authorId="0" shapeId="0" xr:uid="{22FD9ED9-0855-440F-B6F3-6D6BD06F67A5}">
      <text>
        <r>
          <rPr>
            <sz val="11"/>
            <color theme="1"/>
            <rFont val="Calibri"/>
            <family val="2"/>
            <scheme val="minor"/>
          </rPr>
          <t>Deadline for releasing to manufacturing (BOM and DRAWINGS) by Eng</t>
        </r>
      </text>
    </comment>
    <comment ref="H1" authorId="0" shapeId="0" xr:uid="{F5869903-FCE8-4D20-BAF7-8AF7D39D3463}">
      <text>
        <r>
          <rPr>
            <sz val="11"/>
            <color theme="1"/>
            <rFont val="Calibri"/>
            <family val="2"/>
            <scheme val="minor"/>
          </rPr>
          <t>Application Engineer</t>
        </r>
      </text>
    </comment>
    <comment ref="I1" authorId="0" shapeId="0" xr:uid="{B2A674DC-464F-4803-8D10-4ECAE345DEF0}">
      <text>
        <r>
          <rPr>
            <sz val="11"/>
            <color theme="1"/>
            <rFont val="Calibri"/>
            <family val="2"/>
            <scheme val="minor"/>
          </rPr>
          <t>Mechanical designer</t>
        </r>
      </text>
    </comment>
    <comment ref="J1" authorId="0" shapeId="0" xr:uid="{0474BA54-FD29-43D0-B3BD-8FEDE520AB7A}">
      <text>
        <r>
          <rPr>
            <sz val="11"/>
            <color theme="1"/>
            <rFont val="Calibri"/>
            <family val="2"/>
            <scheme val="minor"/>
          </rPr>
          <t>Workflow ID on Oneshuttle</t>
        </r>
      </text>
    </comment>
    <comment ref="K1" authorId="0" shapeId="0" xr:uid="{A8E56269-EC5B-4813-A0B9-DA7BCB147F63}">
      <text>
        <r>
          <rPr>
            <sz val="11"/>
            <color theme="1"/>
            <rFont val="Calibri"/>
            <family val="2"/>
            <scheme val="minor"/>
          </rPr>
          <t>Team owner of the Workflow (Electrical or Mechanical)</t>
        </r>
      </text>
    </comment>
    <comment ref="L1" authorId="0" shapeId="0" xr:uid="{DEE8F0A0-68F6-4F7A-9E9B-32836DF10514}">
      <text>
        <r>
          <rPr>
            <sz val="11"/>
            <color theme="1"/>
            <rFont val="Calibri"/>
            <family val="2"/>
            <scheme val="minor"/>
          </rPr>
          <t>Template (URGENT MAKE/ URGENT BUY)</t>
        </r>
      </text>
    </comment>
    <comment ref="M1" authorId="0" shapeId="0" xr:uid="{ECDD744C-25EC-4A44-8CDC-C93F3E491B67}">
      <text>
        <r>
          <rPr>
            <sz val="11"/>
            <color theme="1"/>
            <rFont val="Calibri"/>
            <family val="2"/>
            <scheme val="minor"/>
          </rPr>
          <t>Paint selected for the lineup</t>
        </r>
      </text>
    </comment>
    <comment ref="O1" authorId="0" shapeId="0" xr:uid="{B06F4004-E742-4F72-8BB7-AFDE3653A6C3}">
      <text>
        <r>
          <rPr>
            <sz val="11"/>
            <color theme="1"/>
            <rFont val="Calibri"/>
            <family val="2"/>
            <scheme val="minor"/>
          </rPr>
          <t>Working days in advance between RM and when the workflow was created (Start date - RM)</t>
        </r>
      </text>
    </comment>
    <comment ref="P1" authorId="0" shapeId="0" xr:uid="{31297DB6-0902-42F4-B2EE-F548B3D52BBC}">
      <text>
        <r>
          <rPr>
            <sz val="11"/>
            <color theme="1"/>
            <rFont val="Calibri"/>
            <family val="2"/>
            <scheme val="minor"/>
          </rPr>
          <t>Date when the workflow was created.</t>
        </r>
      </text>
    </comment>
    <comment ref="Q1" authorId="0" shapeId="0" xr:uid="{E79BAE8B-3475-4712-BF94-BBE95FB52F96}">
      <text>
        <r>
          <rPr>
            <sz val="11"/>
            <color theme="1"/>
            <rFont val="Calibri"/>
            <family val="2"/>
            <scheme val="minor"/>
          </rPr>
          <t>End date that Oneshuttle gives as a target (depends on the template).</t>
        </r>
      </text>
    </comment>
    <comment ref="R1" authorId="0" shapeId="0" xr:uid="{623479FE-66F9-4885-A5E3-589BEB825F02}">
      <text>
        <r>
          <rPr>
            <sz val="11"/>
            <color theme="1"/>
            <rFont val="Calibri"/>
            <family val="2"/>
            <scheme val="minor"/>
          </rPr>
          <t>Real end date that Oneshuttle registered.</t>
        </r>
      </text>
    </comment>
    <comment ref="V1" authorId="0" shapeId="0" xr:uid="{97BD4A19-0A0C-4163-8963-8D2E4D734EC4}">
      <text>
        <r>
          <rPr>
            <sz val="11"/>
            <color theme="1"/>
            <rFont val="Calibri"/>
            <family val="2"/>
            <scheme val="minor"/>
          </rPr>
          <t>Working days between Start date y Due date; ideally should match the template (Start date - Due date).</t>
        </r>
      </text>
    </comment>
    <comment ref="W1" authorId="0" shapeId="0" xr:uid="{8C915BAD-A438-4445-A6D9-05DB8C3F326B}">
      <text>
        <r>
          <rPr>
            <sz val="11"/>
            <color theme="1"/>
            <rFont val="Calibri"/>
            <family val="2"/>
            <scheme val="minor"/>
          </rPr>
          <t>The real-life cycle of the workflow in working days.</t>
        </r>
      </text>
    </comment>
    <comment ref="X1" authorId="0" shapeId="0" xr:uid="{67F16C24-2CD3-4E1F-B6A4-D9AFDC4B61D7}">
      <text>
        <r>
          <rPr>
            <sz val="11"/>
            <color theme="1"/>
            <rFont val="Calibri"/>
            <family val="2"/>
            <scheme val="minor"/>
          </rPr>
          <t>Delay in working days according to the template (Start date - Due date)</t>
        </r>
      </text>
    </comment>
    <comment ref="Z1" authorId="0" shapeId="0" xr:uid="{35CC4634-52E1-44DF-9FE8-BCC2F5A26AC7}">
      <text>
        <r>
          <rPr>
            <sz val="11"/>
            <color theme="1"/>
            <rFont val="Calibri"/>
            <family val="2"/>
            <scheme val="minor"/>
          </rPr>
          <t>Classification ["SUPER LATE" (+15 days), "LATE", "ON TIME"] based on the template WF life cycle (if Active Time surpasses Template Completion Days then it is "LATE").</t>
        </r>
      </text>
    </comment>
    <comment ref="AA1" authorId="0" shapeId="0" xr:uid="{8E7C337E-30CB-42A2-A439-25536264A6EA}">
      <text>
        <r>
          <rPr>
            <sz val="11"/>
            <color theme="1"/>
            <rFont val="Calibri"/>
            <family val="2"/>
            <scheme val="minor"/>
          </rPr>
          <t>Classification if the Eng submitted the WF on time based on the Lead Time template (It changed from an AVG of 5 days to an AVG of 10 days)</t>
        </r>
      </text>
    </comment>
    <comment ref="AB1" authorId="0" shapeId="0" xr:uid="{5BEE64AC-9E4F-4422-908C-40F97BA12D6D}">
      <text>
        <r>
          <rPr>
            <sz val="11"/>
            <color theme="1"/>
            <rFont val="Calibri"/>
            <family val="2"/>
            <scheme val="minor"/>
          </rPr>
          <t>Some reasons could be:
-Substitution request
-Change Orders
-Engineering mistakes</t>
        </r>
      </text>
    </comment>
    <comment ref="AC1" authorId="0" shapeId="0" xr:uid="{E5BB9688-210A-439A-8348-E324A0FA2A19}">
      <text>
        <r>
          <rPr>
            <sz val="11"/>
            <color theme="1"/>
            <rFont val="Calibri"/>
            <family val="2"/>
            <scheme val="minor"/>
          </rPr>
          <t>Current status of the workflow 
-I = Initiated
-C = Completed
-X = Cancelled</t>
        </r>
      </text>
    </comment>
    <comment ref="AD1" authorId="0" shapeId="0" xr:uid="{CF221C8A-29A7-4DF6-B770-71D15588A54D}">
      <text>
        <r>
          <rPr>
            <sz val="11"/>
            <color theme="1"/>
            <rFont val="Calibri"/>
            <family val="2"/>
            <scheme val="minor"/>
          </rPr>
          <t>Delay in working days that the life cycle of the WF has impacted the project based on RM date (Completion Date - RM)</t>
        </r>
      </text>
    </comment>
    <comment ref="AF1" authorId="0" shapeId="0" xr:uid="{93359A35-EAE7-4D5F-A873-59F0D988359E}">
      <text>
        <r>
          <rPr>
            <sz val="11"/>
            <color theme="1"/>
            <rFont val="Calibri"/>
            <family val="2"/>
            <scheme val="minor"/>
          </rPr>
          <t>Working days that a PN has been worked through different WF in case of cancellations.</t>
        </r>
      </text>
    </comment>
    <comment ref="AG1" authorId="0" shapeId="0" xr:uid="{79CDD851-C63E-4E4E-B637-C5B44C7A9FCB}">
      <text>
        <r>
          <rPr>
            <sz val="11"/>
            <color theme="1"/>
            <rFont val="Calibri"/>
            <family val="2"/>
            <scheme val="minor"/>
          </rPr>
          <t>Cause that made the Engineer to cancel the Workflow</t>
        </r>
      </text>
    </comment>
    <comment ref="AH1" authorId="0" shapeId="0" xr:uid="{F05E9A01-3E33-4B4F-BAAA-02E0502ABDD1}">
      <text>
        <r>
          <rPr>
            <sz val="11"/>
            <color theme="1"/>
            <rFont val="Calibri"/>
            <family val="2"/>
            <scheme val="minor"/>
          </rPr>
          <t>Criteria to escalate WF on "Urgent WF Closure teams group" 
 &lt; 5 working days before RM</t>
        </r>
      </text>
    </comment>
    <comment ref="AI1" authorId="0" shapeId="0" xr:uid="{17D80271-64CD-40DA-A4F1-92B6A8F748D3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AL1" authorId="0" shapeId="0" xr:uid="{EDCE4C86-13F4-4C7D-B575-D208B5287127}">
      <text>
        <r>
          <rPr>
            <sz val="11"/>
            <color theme="1"/>
            <rFont val="Calibri"/>
            <family val="2"/>
            <scheme val="minor"/>
          </rPr>
          <t>Still in development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<sst xmlns="http://schemas.openxmlformats.org/spreadsheetml/2006/main" count="13736" uniqueCount="1752">
  <si>
    <t>ORDER</t>
  </si>
  <si>
    <t>ITEM</t>
  </si>
  <si>
    <t xml:space="preserve">JOB NAME </t>
  </si>
  <si>
    <t xml:space="preserve">EE </t>
  </si>
  <si>
    <t>MD</t>
  </si>
  <si>
    <t xml:space="preserve">SPECIAL PAINT </t>
  </si>
  <si>
    <t>RE</t>
  </si>
  <si>
    <t>CPD</t>
  </si>
  <si>
    <t>WF TYPE</t>
  </si>
  <si>
    <t>MECH WORKFLOW</t>
  </si>
  <si>
    <t>WF START DATE</t>
  </si>
  <si>
    <t>WF COMPLETION DATE</t>
  </si>
  <si>
    <t>MD WF STATUS</t>
  </si>
  <si>
    <t>WORKDAYS ACTIVE</t>
  </si>
  <si>
    <r>
      <rPr>
        <b/>
        <sz val="7"/>
        <color rgb="FFFFFFFF"/>
        <rFont val="Aptos"/>
        <family val="2"/>
      </rPr>
      <t>WORKDAYS</t>
    </r>
    <r>
      <rPr>
        <b/>
        <sz val="8"/>
        <color rgb="FFFFFFFF"/>
        <rFont val="Aptos"/>
        <family val="2"/>
      </rPr>
      <t xml:space="preserve"> </t>
    </r>
    <r>
      <rPr>
        <b/>
        <sz val="6"/>
        <color rgb="FFFFFFFF"/>
        <rFont val="Aptos"/>
        <family val="2"/>
      </rPr>
      <t>ELAPSED</t>
    </r>
    <r>
      <rPr>
        <b/>
        <sz val="8"/>
        <color rgb="FFFFFFFF"/>
        <rFont val="Aptos"/>
        <family val="2"/>
      </rPr>
      <t xml:space="preserve"> </t>
    </r>
    <r>
      <rPr>
        <b/>
        <sz val="7"/>
        <color rgb="FFFFFFFF"/>
        <rFont val="Aptos"/>
        <family val="2"/>
      </rPr>
      <t>(RE)</t>
    </r>
  </si>
  <si>
    <t>MECH NOTES/ PENDINGS</t>
  </si>
  <si>
    <t>EE WF TYPE</t>
  </si>
  <si>
    <t>ELECTRICAL WORKFLOW</t>
  </si>
  <si>
    <t>EE WF STATUS</t>
  </si>
  <si>
    <t>ACTIVE DAYS</t>
  </si>
  <si>
    <t>ELECTRICAL NOTES/ PENDINGS</t>
  </si>
  <si>
    <t>0051035283</t>
  </si>
  <si>
    <t>SWITCHGEAR UPGRADE</t>
  </si>
  <si>
    <t>LGS</t>
  </si>
  <si>
    <t>OAL</t>
  </si>
  <si>
    <t>STD</t>
  </si>
  <si>
    <t>Finalizado</t>
  </si>
  <si>
    <t>MAKE</t>
  </si>
  <si>
    <t>WF1648774</t>
  </si>
  <si>
    <t>C</t>
  </si>
  <si>
    <t>WF1645448</t>
  </si>
  <si>
    <t>WF1647369</t>
  </si>
  <si>
    <t>WF1652523</t>
  </si>
  <si>
    <t>0050206201</t>
  </si>
  <si>
    <t>000180</t>
  </si>
  <si>
    <t>AT&amp;T GREENWOOD - GEAR ORDER</t>
  </si>
  <si>
    <t>MGL</t>
  </si>
  <si>
    <t>KGF</t>
  </si>
  <si>
    <t>WF1669049</t>
  </si>
  <si>
    <t>WF1650858</t>
  </si>
  <si>
    <t>BUY</t>
  </si>
  <si>
    <t>WF1668571</t>
  </si>
  <si>
    <t>WF1650861</t>
  </si>
  <si>
    <t>(Mech) Proceso de orden:</t>
  </si>
  <si>
    <t>WF1668543</t>
  </si>
  <si>
    <t>WF1650856</t>
  </si>
  <si>
    <t>x</t>
  </si>
  <si>
    <t>WF1668522</t>
  </si>
  <si>
    <t>WF1650863</t>
  </si>
  <si>
    <t>Tarea cerrada en Symmetry, orden finalizada</t>
  </si>
  <si>
    <t>WF1669148</t>
  </si>
  <si>
    <t>WF1651638</t>
  </si>
  <si>
    <t>Actualizado</t>
  </si>
  <si>
    <t>BOM actualizado, pendiente cerrar tarea</t>
  </si>
  <si>
    <t>WF1669064</t>
  </si>
  <si>
    <t>WF1655340</t>
  </si>
  <si>
    <t>Completado</t>
  </si>
  <si>
    <t>Pendiente BOM y cerrar tarea, WFs completados</t>
  </si>
  <si>
    <t>WF1669179</t>
  </si>
  <si>
    <t>WF1655339</t>
  </si>
  <si>
    <t>Cancelado</t>
  </si>
  <si>
    <t>Orden cancelada</t>
  </si>
  <si>
    <t>WF1669735</t>
  </si>
  <si>
    <t xml:space="preserve">WF1657391 </t>
  </si>
  <si>
    <t>WF1670537</t>
  </si>
  <si>
    <t>WF1658163</t>
  </si>
  <si>
    <t>Proceso de workflows:</t>
  </si>
  <si>
    <t xml:space="preserve">WF1651072 </t>
  </si>
  <si>
    <t>000170</t>
  </si>
  <si>
    <t>DR</t>
  </si>
  <si>
    <t>WF1667259</t>
  </si>
  <si>
    <t>WF1662321</t>
  </si>
  <si>
    <t>Workflow completado</t>
  </si>
  <si>
    <t>WF1674297</t>
  </si>
  <si>
    <t>WF1650836</t>
  </si>
  <si>
    <t>Workflow cancelado</t>
  </si>
  <si>
    <t>WF1650838</t>
  </si>
  <si>
    <t>xx/xx/xxxx</t>
  </si>
  <si>
    <t>Fecha de último workflow completado</t>
  </si>
  <si>
    <t>000160</t>
  </si>
  <si>
    <t>JAM</t>
  </si>
  <si>
    <t>ADL</t>
  </si>
  <si>
    <t>WF1674295</t>
  </si>
  <si>
    <t>WF1656091</t>
  </si>
  <si>
    <t>xx</t>
  </si>
  <si>
    <t>Mayor # días activos</t>
  </si>
  <si>
    <t>WF1674300</t>
  </si>
  <si>
    <t>WF1660918</t>
  </si>
  <si>
    <t>Día más tardío desde RM</t>
  </si>
  <si>
    <t>WF1658800</t>
  </si>
  <si>
    <t xml:space="preserve">I </t>
  </si>
  <si>
    <t>En proceso</t>
  </si>
  <si>
    <t>WF1671148</t>
  </si>
  <si>
    <t>WF1676370</t>
  </si>
  <si>
    <t>WF1675631</t>
  </si>
  <si>
    <t>WF1648985</t>
  </si>
  <si>
    <t>0050535728</t>
  </si>
  <si>
    <t>000130</t>
  </si>
  <si>
    <t>AO SMITH MCBEE SC</t>
  </si>
  <si>
    <t>AOB</t>
  </si>
  <si>
    <t>WF1593968</t>
  </si>
  <si>
    <t>0050465708</t>
  </si>
  <si>
    <t>000270</t>
  </si>
  <si>
    <t>COLLIER COUNTY NCWRF</t>
  </si>
  <si>
    <t>DEV</t>
  </si>
  <si>
    <t>WF1672649</t>
  </si>
  <si>
    <t>WF1672650</t>
  </si>
  <si>
    <t>0050546671</t>
  </si>
  <si>
    <t>460</t>
  </si>
  <si>
    <t>JOHN JAY COLLEGE OF CRIMINAL JUSTI</t>
  </si>
  <si>
    <t>OAC</t>
  </si>
  <si>
    <t>VL</t>
  </si>
  <si>
    <t>17/02/2025</t>
  </si>
  <si>
    <t>DMA</t>
  </si>
  <si>
    <t>0050754152</t>
  </si>
  <si>
    <t>90</t>
  </si>
  <si>
    <t>TOWER SEMICONDUCTOR - SAN ANTONIO - ALTE</t>
  </si>
  <si>
    <t>JTV</t>
  </si>
  <si>
    <t>ON HOLD</t>
  </si>
  <si>
    <t>WF1635286</t>
  </si>
  <si>
    <t>WF1634581</t>
  </si>
  <si>
    <t>WF1634544</t>
  </si>
  <si>
    <t>WF1634504</t>
  </si>
  <si>
    <t>WF1634071</t>
  </si>
  <si>
    <t>WF1634066</t>
  </si>
  <si>
    <t>WF1634065</t>
  </si>
  <si>
    <t>0050529183</t>
  </si>
  <si>
    <t>000450</t>
  </si>
  <si>
    <t>USSF ANTENNA FACILITY PROJECT</t>
  </si>
  <si>
    <t>JMZ</t>
  </si>
  <si>
    <t>MISAWA</t>
  </si>
  <si>
    <t>000460</t>
  </si>
  <si>
    <t>DPM</t>
  </si>
  <si>
    <t>WF1634013</t>
  </si>
  <si>
    <t>0050959328</t>
  </si>
  <si>
    <t>000010</t>
  </si>
  <si>
    <t>NSBSL SUBSTATION REPLACEMENT</t>
  </si>
  <si>
    <t>RAS</t>
  </si>
  <si>
    <t>WF1654489</t>
  </si>
  <si>
    <t>WF1654647</t>
  </si>
  <si>
    <t>0050780333</t>
  </si>
  <si>
    <t>000110</t>
  </si>
  <si>
    <t>UCSF PRAB 60CD MAR 2024 LONG LEAD SWITCH</t>
  </si>
  <si>
    <t>LMB</t>
  </si>
  <si>
    <t>ANSI61</t>
  </si>
  <si>
    <t>WF1654754</t>
  </si>
  <si>
    <t>WF1654753</t>
  </si>
  <si>
    <t>WF1654757</t>
  </si>
  <si>
    <t>WF1656229</t>
  </si>
  <si>
    <t>WF1656216</t>
  </si>
  <si>
    <t>WF1665200</t>
  </si>
  <si>
    <t>WF1665204</t>
  </si>
  <si>
    <t>WF1654786</t>
  </si>
  <si>
    <t>0050255139</t>
  </si>
  <si>
    <t>000780</t>
  </si>
  <si>
    <t>CHARLOTTE WATER-MT. HOLLY PS &amp; STOWE  -</t>
  </si>
  <si>
    <t>KYC</t>
  </si>
  <si>
    <t>WF1650970</t>
  </si>
  <si>
    <t>WF1647350</t>
  </si>
  <si>
    <t>WF1654659</t>
  </si>
  <si>
    <t>WF1652400</t>
  </si>
  <si>
    <t>WF1654591</t>
  </si>
  <si>
    <t>WF1655177</t>
  </si>
  <si>
    <t>WF1655377</t>
  </si>
  <si>
    <t>0050746660</t>
  </si>
  <si>
    <t>000030</t>
  </si>
  <si>
    <t>PINELLAS COUNTY DUNN WWTP _ PALM HARBOR</t>
  </si>
  <si>
    <t>WF1656782</t>
  </si>
  <si>
    <t>WF1659119</t>
  </si>
  <si>
    <t>WF1656778</t>
  </si>
  <si>
    <t>WF1656725</t>
  </si>
  <si>
    <t>WF1656722</t>
  </si>
  <si>
    <t>WF1657370</t>
  </si>
  <si>
    <t>WF1663892</t>
  </si>
  <si>
    <t>WF1657486</t>
  </si>
  <si>
    <t>0051150882</t>
  </si>
  <si>
    <t>IRON MOUNTAIN RM#6</t>
  </si>
  <si>
    <t>CFC</t>
  </si>
  <si>
    <t>WF1660919</t>
  </si>
  <si>
    <t>WF1660921</t>
  </si>
  <si>
    <t>WF1660933</t>
  </si>
  <si>
    <t>WF1661019</t>
  </si>
  <si>
    <t>0051199249</t>
  </si>
  <si>
    <t>000050</t>
  </si>
  <si>
    <t>INTEL SOW707 FEDERAL FOUNDRY OSM</t>
  </si>
  <si>
    <t>ADT</t>
  </si>
  <si>
    <t>LDT</t>
  </si>
  <si>
    <t>WF1672871</t>
  </si>
  <si>
    <t>WF1672864</t>
  </si>
  <si>
    <t>WF1672746</t>
  </si>
  <si>
    <t>WF1670586</t>
  </si>
  <si>
    <t>WF1672131</t>
  </si>
  <si>
    <t>000040</t>
  </si>
  <si>
    <t>WF1670547</t>
  </si>
  <si>
    <t>WF1672053</t>
  </si>
  <si>
    <t>WF1672069</t>
  </si>
  <si>
    <t>WF1672080</t>
  </si>
  <si>
    <t>WF1672589</t>
  </si>
  <si>
    <t>WF1672697</t>
  </si>
  <si>
    <t>WF1672726</t>
  </si>
  <si>
    <t>WF1672783</t>
  </si>
  <si>
    <t>WF1672790</t>
  </si>
  <si>
    <t>WF1672805</t>
  </si>
  <si>
    <t>WF1672826</t>
  </si>
  <si>
    <t>WF1675519</t>
  </si>
  <si>
    <t>WF1675650</t>
  </si>
  <si>
    <t>WF1675659</t>
  </si>
  <si>
    <t>WF1676327</t>
  </si>
  <si>
    <t>WF1676332</t>
  </si>
  <si>
    <t>0051002556</t>
  </si>
  <si>
    <t>ROYAL CARRIBEAN ES-43478</t>
  </si>
  <si>
    <t>WF1676353</t>
  </si>
  <si>
    <t>WF1676356</t>
  </si>
  <si>
    <t>0051117529</t>
  </si>
  <si>
    <t>000020</t>
  </si>
  <si>
    <t>STOWERS INSTITUTE - SUBSTATION REPLACEME</t>
  </si>
  <si>
    <t>ISQ</t>
  </si>
  <si>
    <t>WF1680995</t>
  </si>
  <si>
    <t>0051229942</t>
  </si>
  <si>
    <t>000120</t>
  </si>
  <si>
    <t>MICRON ID1 - PROJECT OPAL -WSP - BLDG B</t>
  </si>
  <si>
    <t>WF1686775</t>
  </si>
  <si>
    <t>WF1689509</t>
  </si>
  <si>
    <t>WF1688951</t>
  </si>
  <si>
    <t>WF1686777</t>
  </si>
  <si>
    <t>WF1686783</t>
  </si>
  <si>
    <t>WF1686785</t>
  </si>
  <si>
    <t>WF1686787</t>
  </si>
  <si>
    <t>0051004478</t>
  </si>
  <si>
    <t>BEACON HEALTH ES-43461 (KOHLER)</t>
  </si>
  <si>
    <t>WF1690270</t>
  </si>
  <si>
    <t>WF1690272</t>
  </si>
  <si>
    <t>WF1690273</t>
  </si>
  <si>
    <t>WF1712648</t>
  </si>
  <si>
    <t>0050545482</t>
  </si>
  <si>
    <t>001640</t>
  </si>
  <si>
    <t>Y12 MERCURY TREATMENT FACILITY</t>
  </si>
  <si>
    <t>ASP</t>
  </si>
  <si>
    <t>FRC</t>
  </si>
  <si>
    <t>WF1691558</t>
  </si>
  <si>
    <t>001630</t>
  </si>
  <si>
    <t>HUP</t>
  </si>
  <si>
    <t>WF1693128</t>
  </si>
  <si>
    <t>WF1693161</t>
  </si>
  <si>
    <t>WF1693165</t>
  </si>
  <si>
    <t>0051083956</t>
  </si>
  <si>
    <t>MAYO CLINIC ROCHESTER - HILTON BUILDING</t>
  </si>
  <si>
    <t>WF1692399</t>
  </si>
  <si>
    <t>WF1693140</t>
  </si>
  <si>
    <t>WF1693146</t>
  </si>
  <si>
    <t>0051034440</t>
  </si>
  <si>
    <t>LINCOLN TRANSPORTATION AND UTILITIES LIN</t>
  </si>
  <si>
    <t>JRC</t>
  </si>
  <si>
    <t>WF1694419</t>
  </si>
  <si>
    <t>0051034443</t>
  </si>
  <si>
    <t>WF1697178</t>
  </si>
  <si>
    <t>0050762569</t>
  </si>
  <si>
    <t>000090</t>
  </si>
  <si>
    <t>MCLEOD HEALTH - CAROLINA FOREST CAMPUS H</t>
  </si>
  <si>
    <t>HMA</t>
  </si>
  <si>
    <t>ODE</t>
  </si>
  <si>
    <t>WF1695200</t>
  </si>
  <si>
    <t>WF1695202</t>
  </si>
  <si>
    <t>WF1695208</t>
  </si>
  <si>
    <t>CML</t>
  </si>
  <si>
    <t>WF1695848</t>
  </si>
  <si>
    <t>WF1697184</t>
  </si>
  <si>
    <t>0051329560</t>
  </si>
  <si>
    <t>STANDALONE CONNECT TO VETERANS ES-43368</t>
  </si>
  <si>
    <t>WF1693768</t>
  </si>
  <si>
    <t>WF1694324</t>
  </si>
  <si>
    <t>0050988425</t>
  </si>
  <si>
    <t>DC TILLMAN</t>
  </si>
  <si>
    <t>RRD</t>
  </si>
  <si>
    <t>WF1695930</t>
  </si>
  <si>
    <t>WF1695932</t>
  </si>
  <si>
    <t>0051198254</t>
  </si>
  <si>
    <t>EOEM - STATES MANUFACTURING - AA - LEWIS</t>
  </si>
  <si>
    <t>WF1697587</t>
  </si>
  <si>
    <t>WF1697176</t>
  </si>
  <si>
    <t>WF1697130</t>
  </si>
  <si>
    <t>0051138616</t>
  </si>
  <si>
    <t>000070</t>
  </si>
  <si>
    <t>BWXT Q9</t>
  </si>
  <si>
    <t>WF1700864</t>
  </si>
  <si>
    <t>0051229472</t>
  </si>
  <si>
    <t>000100</t>
  </si>
  <si>
    <t>FRESHPET PHASE 2A - ENNIS, TX</t>
  </si>
  <si>
    <t>WF1704344</t>
  </si>
  <si>
    <t>0051138733</t>
  </si>
  <si>
    <t>BWXT Q10 SUB</t>
  </si>
  <si>
    <t>WF1705119</t>
  </si>
  <si>
    <t>0051096008</t>
  </si>
  <si>
    <t>000080</t>
  </si>
  <si>
    <t>BF GOODRICH - FORT WAYNE PLANT - SUBSTAT</t>
  </si>
  <si>
    <t>DRV</t>
  </si>
  <si>
    <t>WF1704554</t>
  </si>
  <si>
    <t>WF1706367</t>
  </si>
  <si>
    <t xml:space="preserve">WF1701677 </t>
  </si>
  <si>
    <t>WF1706432</t>
  </si>
  <si>
    <t>WF1706423</t>
  </si>
  <si>
    <t>WF1709160</t>
  </si>
  <si>
    <t>0051020870</t>
  </si>
  <si>
    <t>000840</t>
  </si>
  <si>
    <t>BUNKER HILL WTP AND RWPS DESIGN - BUNKER</t>
  </si>
  <si>
    <t>JAV</t>
  </si>
  <si>
    <t>WF1709320</t>
  </si>
  <si>
    <t>WF1703229</t>
  </si>
  <si>
    <t>WF1709322</t>
  </si>
  <si>
    <t>WF1703674</t>
  </si>
  <si>
    <t>WF1704960</t>
  </si>
  <si>
    <t>WF1704965</t>
  </si>
  <si>
    <t>0050665738</t>
  </si>
  <si>
    <t>000700</t>
  </si>
  <si>
    <t>REX UNC HEALTHCARE SUBSTATION REPLACEMEN</t>
  </si>
  <si>
    <t>WF1706503</t>
  </si>
  <si>
    <t>WF1707018</t>
  </si>
  <si>
    <t>WF1707006</t>
  </si>
  <si>
    <t>000710</t>
  </si>
  <si>
    <t>0051022459</t>
  </si>
  <si>
    <t>004500</t>
  </si>
  <si>
    <t>THE ROUX INSTITUTE</t>
  </si>
  <si>
    <t>WF1708345</t>
  </si>
  <si>
    <t>0050665739</t>
  </si>
  <si>
    <t>000701</t>
  </si>
  <si>
    <t xml:space="preserve"> REX UNC HEALTHCARE S</t>
  </si>
  <si>
    <t>WF1703053 </t>
  </si>
  <si>
    <t>0050665740</t>
  </si>
  <si>
    <t>000702</t>
  </si>
  <si>
    <t>0050665741</t>
  </si>
  <si>
    <t>000703</t>
  </si>
  <si>
    <t>WF1703048 </t>
  </si>
  <si>
    <t>F</t>
  </si>
  <si>
    <t>0051283748</t>
  </si>
  <si>
    <t>TOYOTA PEMC EQUIPMENT REPLACEMENT</t>
  </si>
  <si>
    <t>WF1710702</t>
  </si>
  <si>
    <t>WF1705861</t>
  </si>
  <si>
    <t>WF1709399</t>
  </si>
  <si>
    <t>WF1716071</t>
  </si>
  <si>
    <t>0051383209</t>
  </si>
  <si>
    <t>CORNING ARM FURNACE FIT-UP</t>
  </si>
  <si>
    <t>WF1710562</t>
  </si>
  <si>
    <t>WF1706527</t>
  </si>
  <si>
    <t>WF1709985</t>
  </si>
  <si>
    <t>WF1710577</t>
  </si>
  <si>
    <t>WF1710583</t>
  </si>
  <si>
    <t>WF1718673</t>
  </si>
  <si>
    <t>WF1711802</t>
  </si>
  <si>
    <t>WF1710566</t>
  </si>
  <si>
    <t>000280</t>
  </si>
  <si>
    <t>CYRUSONE - CYRUSONE, INC</t>
  </si>
  <si>
    <t>WF1716259</t>
  </si>
  <si>
    <t>000290</t>
  </si>
  <si>
    <t>0051296915</t>
  </si>
  <si>
    <t>EAST CAROLINA UNIVERSITY (ECU) BRODY SCH</t>
  </si>
  <si>
    <t>BUNKER HILL WTP</t>
  </si>
  <si>
    <t>Línea ya registrada en filas 137-154</t>
  </si>
  <si>
    <t>0050866188</t>
  </si>
  <si>
    <t>004690</t>
  </si>
  <si>
    <t>JHBSPH - 528 NORTH WASHINGTON ST</t>
  </si>
  <si>
    <t>WF1714810</t>
  </si>
  <si>
    <t>WF1715221</t>
  </si>
  <si>
    <t>WF1719682</t>
  </si>
  <si>
    <t xml:space="preserve"> MAKE</t>
  </si>
  <si>
    <t>WF1715227</t>
  </si>
  <si>
    <t>0050728484</t>
  </si>
  <si>
    <t>018570</t>
  </si>
  <si>
    <t>MDACC CSB CLINICAL S</t>
  </si>
  <si>
    <t>WF1730149</t>
  </si>
  <si>
    <t>018590</t>
  </si>
  <si>
    <t>WF1720473</t>
  </si>
  <si>
    <t>WF1720475</t>
  </si>
  <si>
    <t>WF1719740</t>
  </si>
  <si>
    <t>WF1719712</t>
  </si>
  <si>
    <t>018600</t>
  </si>
  <si>
    <t>WF1719692</t>
  </si>
  <si>
    <t>WF1719693</t>
  </si>
  <si>
    <t>WF1719696</t>
  </si>
  <si>
    <t>WF1719687</t>
  </si>
  <si>
    <t>0051427096</t>
  </si>
  <si>
    <t>MICRON ID1 - HPM/PROBE F12A</t>
  </si>
  <si>
    <t>WF1721549</t>
  </si>
  <si>
    <t>WF179976</t>
  </si>
  <si>
    <t>WF1721556</t>
  </si>
  <si>
    <t>0051306085</t>
  </si>
  <si>
    <t>000310</t>
  </si>
  <si>
    <t>WF1729134</t>
  </si>
  <si>
    <t>WF1729833</t>
  </si>
  <si>
    <t>/</t>
  </si>
  <si>
    <t>000300</t>
  </si>
  <si>
    <t>WF1729076</t>
  </si>
  <si>
    <t>WF1729021</t>
  </si>
  <si>
    <t>WF1730939</t>
  </si>
  <si>
    <t>0051199020</t>
  </si>
  <si>
    <t>EC1 (PZ4) EC2/ EC3 (CUXTAL)</t>
  </si>
  <si>
    <t>RAL7035</t>
  </si>
  <si>
    <t>WF1727836</t>
  </si>
  <si>
    <t>WF1727653</t>
  </si>
  <si>
    <t>0051199025</t>
  </si>
  <si>
    <t>WF1727106</t>
  </si>
  <si>
    <t>WF1727108</t>
  </si>
  <si>
    <t>0051199001</t>
  </si>
  <si>
    <t>WF1727097</t>
  </si>
  <si>
    <t>0050442535</t>
  </si>
  <si>
    <t>RRMC GENERATOR REPLA</t>
  </si>
  <si>
    <t>WF1729188</t>
  </si>
  <si>
    <t>0011048606</t>
  </si>
  <si>
    <t>000190</t>
  </si>
  <si>
    <t>0050753978</t>
  </si>
  <si>
    <t>003800</t>
  </si>
  <si>
    <t>KAISER SAN JOSE MEDICAL CENTER HOSPITAL</t>
  </si>
  <si>
    <t>WF1734261</t>
  </si>
  <si>
    <t>003790</t>
  </si>
  <si>
    <t>WF1735821</t>
  </si>
  <si>
    <t>WF1734562</t>
  </si>
  <si>
    <t>WF1734560</t>
  </si>
  <si>
    <t>003780</t>
  </si>
  <si>
    <t>WF1735982</t>
  </si>
  <si>
    <t>0051139077</t>
  </si>
  <si>
    <t>NORTHROP B307 3000 KVA SUBSTATIONS - PAL</t>
  </si>
  <si>
    <t>WF1735305</t>
  </si>
  <si>
    <t>WF1735314</t>
  </si>
  <si>
    <t>WF1740256</t>
  </si>
  <si>
    <t>0051027340</t>
  </si>
  <si>
    <t>PSTV CC NORMAL GEAR</t>
  </si>
  <si>
    <t>WF1735363</t>
  </si>
  <si>
    <t>WF1735409</t>
  </si>
  <si>
    <t>0051359498</t>
  </si>
  <si>
    <t>KSFB PROPERY IMPROVEMENTS PHASE 1 STATE</t>
  </si>
  <si>
    <t>RCI</t>
  </si>
  <si>
    <t>WF1735924</t>
  </si>
  <si>
    <t>0051072452</t>
  </si>
  <si>
    <t>UNITED HEALTHCARE FOR PARSONS ELECTRIC -</t>
  </si>
  <si>
    <t>WF1737190</t>
  </si>
  <si>
    <t>WF1737167</t>
  </si>
  <si>
    <t>WF1737145</t>
  </si>
  <si>
    <t>0051436816</t>
  </si>
  <si>
    <t>SPACEX STARBASE GIGABAY UNIT SUBSTATIONS</t>
  </si>
  <si>
    <t>RAL9003</t>
  </si>
  <si>
    <t>WF1743745</t>
  </si>
  <si>
    <t>WF1741580</t>
  </si>
  <si>
    <t>WF1743757</t>
  </si>
  <si>
    <t>WF1743774</t>
  </si>
  <si>
    <t>WF1743800</t>
  </si>
  <si>
    <t>WF1744149</t>
  </si>
  <si>
    <t>AUS HYDRANT SYSTEM</t>
  </si>
  <si>
    <t>WF1744180</t>
  </si>
  <si>
    <t>0051536680</t>
  </si>
  <si>
    <t>000150</t>
  </si>
  <si>
    <t>UNITED HEALTH GROUP CUL PROJECT, CHASKA</t>
  </si>
  <si>
    <t>WF1737304</t>
  </si>
  <si>
    <t>WF1737308</t>
  </si>
  <si>
    <t>0051536681</t>
  </si>
  <si>
    <t>WF1737633</t>
  </si>
  <si>
    <t>0051536682</t>
  </si>
  <si>
    <t>WF1738296</t>
  </si>
  <si>
    <t>0051536683</t>
  </si>
  <si>
    <t>WF1736745</t>
  </si>
  <si>
    <t>0051536684</t>
  </si>
  <si>
    <t>WF1738352</t>
  </si>
  <si>
    <t>0051536685</t>
  </si>
  <si>
    <t>WF1738333</t>
  </si>
  <si>
    <t>0051536686</t>
  </si>
  <si>
    <t>WF1741660</t>
  </si>
  <si>
    <t>0051536687</t>
  </si>
  <si>
    <t>WF1745812</t>
  </si>
  <si>
    <t>0051536688</t>
  </si>
  <si>
    <t>WF1743659</t>
  </si>
  <si>
    <t>0051536689</t>
  </si>
  <si>
    <t>WF1738292</t>
  </si>
  <si>
    <t>0051536690</t>
  </si>
  <si>
    <t>WF1738214</t>
  </si>
  <si>
    <t>WF1738376</t>
  </si>
  <si>
    <t>0051472151</t>
  </si>
  <si>
    <t>SEA NEMA DOC1033717255 EQUIPOS ELECTRICO</t>
  </si>
  <si>
    <t>WF1739566</t>
  </si>
  <si>
    <t>WF1739573</t>
  </si>
  <si>
    <t>WF1741470</t>
  </si>
  <si>
    <t>WF1741474</t>
  </si>
  <si>
    <t>Ya dado de alta</t>
  </si>
  <si>
    <t>WF1740823</t>
  </si>
  <si>
    <t>WF1741579</t>
  </si>
  <si>
    <t>WF1743044</t>
  </si>
  <si>
    <t>0051424832</t>
  </si>
  <si>
    <t>SAPPI T103B SUBSTATION REPLACEMENT</t>
  </si>
  <si>
    <t>WF1739717</t>
  </si>
  <si>
    <t>0051217009</t>
  </si>
  <si>
    <t>000550</t>
  </si>
  <si>
    <t>HORIZONTAL HEALTH - EMERGENCY POWER UPGRADE</t>
  </si>
  <si>
    <t>WF1743744</t>
  </si>
  <si>
    <t>0051442285</t>
  </si>
  <si>
    <t>GIGABAY 15KV SUBSTATIONS REV3 STARBASE T</t>
  </si>
  <si>
    <t>WF1747718</t>
  </si>
  <si>
    <t>WF1751974</t>
  </si>
  <si>
    <t>WF1751976</t>
  </si>
  <si>
    <t>WF1751991</t>
  </si>
  <si>
    <t>WF1751996</t>
  </si>
  <si>
    <t>WF1751204</t>
  </si>
  <si>
    <t>WF1751133</t>
  </si>
  <si>
    <t>WF1750555</t>
  </si>
  <si>
    <t>RAL9004</t>
  </si>
  <si>
    <t>WF1750669</t>
  </si>
  <si>
    <t>RAL9005</t>
  </si>
  <si>
    <t>WF1750727</t>
  </si>
  <si>
    <t>RAL9006</t>
  </si>
  <si>
    <t>WF1751199</t>
  </si>
  <si>
    <t>RAL9007</t>
  </si>
  <si>
    <t>WF1750681</t>
  </si>
  <si>
    <t>RAL9008</t>
  </si>
  <si>
    <t>WF1750728</t>
  </si>
  <si>
    <t>RAL9009</t>
  </si>
  <si>
    <t>WF1750719</t>
  </si>
  <si>
    <t>RAL9010</t>
  </si>
  <si>
    <t>WF1751222</t>
  </si>
  <si>
    <t>RAL9011</t>
  </si>
  <si>
    <t>WF1751236</t>
  </si>
  <si>
    <t>RAL9012</t>
  </si>
  <si>
    <t>WF1751231</t>
  </si>
  <si>
    <t>RAL9013</t>
  </si>
  <si>
    <t>WF1751205</t>
  </si>
  <si>
    <t>RAL9014</t>
  </si>
  <si>
    <t>WF1751155</t>
  </si>
  <si>
    <t>RAL9015</t>
  </si>
  <si>
    <t>WF1751144</t>
  </si>
  <si>
    <t>RAL9016</t>
  </si>
  <si>
    <t xml:space="preserve">WF1752089 </t>
  </si>
  <si>
    <t>RAL9017</t>
  </si>
  <si>
    <t>WF1750597</t>
  </si>
  <si>
    <t>RAL9018</t>
  </si>
  <si>
    <t>WF1755425</t>
  </si>
  <si>
    <t>0051378342</t>
  </si>
  <si>
    <t xml:space="preserve">000010 </t>
  </si>
  <si>
    <t>EOEM-CUMMINS - TEXAS DOT</t>
  </si>
  <si>
    <t>WF1756385</t>
  </si>
  <si>
    <t>WF1756603</t>
  </si>
  <si>
    <t>0051449809</t>
  </si>
  <si>
    <t>HYRDO BUS 480V SWGR</t>
  </si>
  <si>
    <t>WF1754205</t>
  </si>
  <si>
    <t>0050839092</t>
  </si>
  <si>
    <t>002030</t>
  </si>
  <si>
    <t>MD ANDERSON CANCER CENTER CONSOLIDATED S</t>
  </si>
  <si>
    <t>WF1757819</t>
  </si>
  <si>
    <t>WF1757818</t>
  </si>
  <si>
    <t>WF1757184</t>
  </si>
  <si>
    <t>WF1756798</t>
  </si>
  <si>
    <t>WF1756800</t>
  </si>
  <si>
    <t>WF1756814</t>
  </si>
  <si>
    <t>WF1756795</t>
  </si>
  <si>
    <t>WF1765269</t>
  </si>
  <si>
    <t>WF1756796</t>
  </si>
  <si>
    <t>0051576246</t>
  </si>
  <si>
    <t>AT&amp;T 1420 BROADWAY STREET LUBBOCK TX</t>
  </si>
  <si>
    <t>WF1757153</t>
  </si>
  <si>
    <t>WF1757140</t>
  </si>
  <si>
    <t>WF1757167</t>
  </si>
  <si>
    <t>000060</t>
  </si>
  <si>
    <t>WF1757806</t>
  </si>
  <si>
    <t>WF1757815</t>
  </si>
  <si>
    <t>WF1757835</t>
  </si>
  <si>
    <t>WF1759194</t>
  </si>
  <si>
    <t>Todas las líneas</t>
  </si>
  <si>
    <t>ODE&amp;ISQ&amp;CML</t>
  </si>
  <si>
    <t>WF1751263</t>
  </si>
  <si>
    <t>WF1757883</t>
  </si>
  <si>
    <t>WF1751255</t>
  </si>
  <si>
    <t>WF1751253</t>
  </si>
  <si>
    <t>WF1751246</t>
  </si>
  <si>
    <t>WF1757179</t>
  </si>
  <si>
    <t>WF1757866</t>
  </si>
  <si>
    <t>WF1759943</t>
  </si>
  <si>
    <t>0051378345</t>
  </si>
  <si>
    <t xml:space="preserve">EOEM-CUMMINS- USCG RBH </t>
  </si>
  <si>
    <t>WF1761226</t>
  </si>
  <si>
    <t>EOEM-CUMMINS USCG RBH</t>
  </si>
  <si>
    <t>WF1760617</t>
  </si>
  <si>
    <t>WF1760611</t>
  </si>
  <si>
    <t>WF1760609</t>
  </si>
  <si>
    <t>WF1760605</t>
  </si>
  <si>
    <t>000300&amp;310</t>
  </si>
  <si>
    <t>CYRUSONE, INC</t>
  </si>
  <si>
    <t>ISQ&amp;FRC</t>
  </si>
  <si>
    <t>WF1762078</t>
  </si>
  <si>
    <t>WF1762133</t>
  </si>
  <si>
    <t>WF1762157</t>
  </si>
  <si>
    <t>WF1762796</t>
  </si>
  <si>
    <t>WF1764090</t>
  </si>
  <si>
    <t>WF1764092</t>
  </si>
  <si>
    <t>WF1764099</t>
  </si>
  <si>
    <t>0051608932</t>
  </si>
  <si>
    <t>VO#XX ACTUALIZACION PZ4 TAG: 1313-SB-010</t>
  </si>
  <si>
    <t>WF1761987</t>
  </si>
  <si>
    <t>0051422641</t>
  </si>
  <si>
    <t>EOEM-CUMMINS - REID</t>
  </si>
  <si>
    <t>VHL</t>
  </si>
  <si>
    <t>WF1764230</t>
  </si>
  <si>
    <t>WF1764231</t>
  </si>
  <si>
    <t>WF1764238</t>
  </si>
  <si>
    <t>WF1762945</t>
  </si>
  <si>
    <t>WF1767157</t>
  </si>
  <si>
    <t>WF1767492</t>
  </si>
  <si>
    <t>WF1764572</t>
  </si>
  <si>
    <t>0051378207</t>
  </si>
  <si>
    <t>SUNY UPSTATE MEDICAL WEISKOTTEN HALL ADD</t>
  </si>
  <si>
    <t>WF1766476</t>
  </si>
  <si>
    <t>WF1775890</t>
  </si>
  <si>
    <t>WF1776319</t>
  </si>
  <si>
    <t>WF1775913</t>
  </si>
  <si>
    <t>WF1782344</t>
  </si>
  <si>
    <t>WF1777521</t>
  </si>
  <si>
    <t>000260</t>
  </si>
  <si>
    <t>WF1765340</t>
  </si>
  <si>
    <t>WF1763020</t>
  </si>
  <si>
    <t>018580</t>
  </si>
  <si>
    <t>MDACC CSB CLINICAL SERVICES BUILDING</t>
  </si>
  <si>
    <t>WF1766612</t>
  </si>
  <si>
    <t>0051354978</t>
  </si>
  <si>
    <t xml:space="preserve">000080 </t>
  </si>
  <si>
    <t>ADVENT HEALTH CARROLLWOOD GARDEN TOWER E</t>
  </si>
  <si>
    <t>WF1763609</t>
  </si>
  <si>
    <t>WF1765333</t>
  </si>
  <si>
    <t>000030 a 80</t>
  </si>
  <si>
    <t>UNITEDHEALTH GROUP CUL PROJECT, CHASKA,</t>
  </si>
  <si>
    <t>WF1771689</t>
  </si>
  <si>
    <t>WF1771711</t>
  </si>
  <si>
    <t>WF1771712</t>
  </si>
  <si>
    <t>0051648563</t>
  </si>
  <si>
    <t>ENCORE WIRE NEW PLANT5 MCKINNEY</t>
  </si>
  <si>
    <t>WF1776983</t>
  </si>
  <si>
    <t>0051659722</t>
  </si>
  <si>
    <t>AHO EOB CHILLER NO. 7</t>
  </si>
  <si>
    <t>WF1775784</t>
  </si>
  <si>
    <t>WF1777092</t>
  </si>
  <si>
    <t>WF1776893</t>
  </si>
  <si>
    <t>0051659711/22</t>
  </si>
  <si>
    <t>ADVENTHEALTH ORLANDO EOB CHILLER NO. 6</t>
  </si>
  <si>
    <t>WF1775101</t>
  </si>
  <si>
    <t>0051659711</t>
  </si>
  <si>
    <t>WF1775087</t>
  </si>
  <si>
    <t>0050728484/ 
0051306085</t>
  </si>
  <si>
    <t>018590/ 018600/ 000300/ 000310</t>
  </si>
  <si>
    <t>MDACC CSB CLINICAL SERVICES BUILDING/ CYRUSONE INC</t>
  </si>
  <si>
    <t>OAC/ HMA</t>
  </si>
  <si>
    <t>OAL/ KGF/ ISQ/ FRC</t>
  </si>
  <si>
    <t>—</t>
  </si>
  <si>
    <t>CHNGBOM</t>
  </si>
  <si>
    <t>WF1777652</t>
  </si>
  <si>
    <t>0051041146</t>
  </si>
  <si>
    <t>000090/100</t>
  </si>
  <si>
    <t>BETTIS LAB CTC</t>
  </si>
  <si>
    <t>WF1777247</t>
  </si>
  <si>
    <t>0051095105</t>
  </si>
  <si>
    <t>000400/410</t>
  </si>
  <si>
    <t>GSK MARIETTA B55</t>
  </si>
  <si>
    <t>LDT/ OAL</t>
  </si>
  <si>
    <t>WF1778438</t>
  </si>
  <si>
    <t>WF1779134</t>
  </si>
  <si>
    <t>000400</t>
  </si>
  <si>
    <t>WF1779672</t>
  </si>
  <si>
    <t>0051647770</t>
  </si>
  <si>
    <t>SCHNEIDER ELECTRIC USA INC WAUPACA</t>
  </si>
  <si>
    <t>WF1780471</t>
  </si>
  <si>
    <t>WF1779843</t>
  </si>
  <si>
    <t>WF1779840</t>
  </si>
  <si>
    <t>WF1779839</t>
  </si>
  <si>
    <t>0051569319</t>
  </si>
  <si>
    <t>AMES LAB - METALS DEVELOPMENT ROOM 150 S</t>
  </si>
  <si>
    <t>WF1779796</t>
  </si>
  <si>
    <t>0051024393</t>
  </si>
  <si>
    <t>HF CURREN AWTP MASTER PLAN IMPROVEMENTS</t>
  </si>
  <si>
    <t>WF1781142</t>
  </si>
  <si>
    <t>WF1789752</t>
  </si>
  <si>
    <t>WF1786894</t>
  </si>
  <si>
    <t>WF1782615</t>
  </si>
  <si>
    <t>0051611250</t>
  </si>
  <si>
    <t>003280</t>
  </si>
  <si>
    <t>TEMPLE UNIVERSITY LEW KLEIN COLLEGE OF M</t>
  </si>
  <si>
    <t>ATA</t>
  </si>
  <si>
    <t>WF1782397</t>
  </si>
  <si>
    <t>WF1782400</t>
  </si>
  <si>
    <t>WF1782413</t>
  </si>
  <si>
    <t>WF1783445</t>
  </si>
  <si>
    <t>WF1783447</t>
  </si>
  <si>
    <t>WF1782472</t>
  </si>
  <si>
    <t>WF1790575</t>
  </si>
  <si>
    <t>WF1789259</t>
  </si>
  <si>
    <t>WF1781856</t>
  </si>
  <si>
    <t>WF1790755</t>
  </si>
  <si>
    <t>WF1789256</t>
  </si>
  <si>
    <t>WF1793560</t>
  </si>
  <si>
    <t>WF1790621</t>
  </si>
  <si>
    <t>WF1790513</t>
  </si>
  <si>
    <t>WF1789252</t>
  </si>
  <si>
    <t>WF1782480</t>
  </si>
  <si>
    <t>WF1785760</t>
  </si>
  <si>
    <t>WF1783949</t>
  </si>
  <si>
    <t>WF1784326</t>
  </si>
  <si>
    <t>WF1786489</t>
  </si>
  <si>
    <t>WF1787624</t>
  </si>
  <si>
    <t>0051549615</t>
  </si>
  <si>
    <t>000430/440/450/460/470/480/490</t>
  </si>
  <si>
    <t>GENENTECH - APOLLO 11 - EQUIPMENT</t>
  </si>
  <si>
    <t>WF1787873</t>
  </si>
  <si>
    <t>WF1787874</t>
  </si>
  <si>
    <t>WF1787889</t>
  </si>
  <si>
    <t>WF1788202</t>
  </si>
  <si>
    <t>WF1788225</t>
  </si>
  <si>
    <t>0051129914</t>
  </si>
  <si>
    <t>000760/750</t>
  </si>
  <si>
    <t>LOUISA COUNTY TECH CAMPUS</t>
  </si>
  <si>
    <t>UFA</t>
  </si>
  <si>
    <t>WF1788499</t>
  </si>
  <si>
    <t>WF1788501</t>
  </si>
  <si>
    <t>WF1790024</t>
  </si>
  <si>
    <t>WF1790023</t>
  </si>
  <si>
    <t>0050927776</t>
  </si>
  <si>
    <t>000950/960/970</t>
  </si>
  <si>
    <t>REPLACE NETWORK SUBSTATIONS 9A,9B,9C,9D</t>
  </si>
  <si>
    <t>WF1789875</t>
  </si>
  <si>
    <t>WF1789889</t>
  </si>
  <si>
    <t>WF1790595</t>
  </si>
  <si>
    <t>WF1791343</t>
  </si>
  <si>
    <t>WF1791372</t>
  </si>
  <si>
    <t>0050927777</t>
  </si>
  <si>
    <t>000950/960/90</t>
  </si>
  <si>
    <t>WF1792636</t>
  </si>
  <si>
    <t>0050927778</t>
  </si>
  <si>
    <t>WF1792667</t>
  </si>
  <si>
    <t>WF1797033</t>
  </si>
  <si>
    <t>WF1797106</t>
  </si>
  <si>
    <t>WF1792125</t>
  </si>
  <si>
    <t>0051620541</t>
  </si>
  <si>
    <t>RAYTHEON - MARLBOROUGH</t>
  </si>
  <si>
    <t>GHT</t>
  </si>
  <si>
    <t>WF1792804</t>
  </si>
  <si>
    <t>0051461793</t>
  </si>
  <si>
    <t>BURLINGTON NEW DOUBLE-END SUBSTATION</t>
  </si>
  <si>
    <t>WF1794690</t>
  </si>
  <si>
    <t>0051106129</t>
  </si>
  <si>
    <t>000320/ 580</t>
  </si>
  <si>
    <t>AT&amp;T SWITCHGEAR UPGRADE</t>
  </si>
  <si>
    <t>WF1793584</t>
  </si>
  <si>
    <t>WF1793591</t>
  </si>
  <si>
    <t>0051615853</t>
  </si>
  <si>
    <t>000100/ 110</t>
  </si>
  <si>
    <t>SPACEX CAPE GIGABAY M1/M2 UNIT SUBSTATIO</t>
  </si>
  <si>
    <t>RAL9001</t>
  </si>
  <si>
    <t>WF1790543</t>
  </si>
  <si>
    <t>WF1791930</t>
  </si>
  <si>
    <t>WF1791221</t>
  </si>
  <si>
    <t>000310/ 490</t>
  </si>
  <si>
    <t>WF1795986</t>
  </si>
  <si>
    <t>WF1795898</t>
  </si>
  <si>
    <t>000510</t>
  </si>
  <si>
    <t>WF1795911</t>
  </si>
  <si>
    <t>0050829646</t>
  </si>
  <si>
    <t>001060/ 80</t>
  </si>
  <si>
    <t>AT&amp;T : 51 PEACHTREE CENTER AVE SE ATL</t>
  </si>
  <si>
    <t>HUP/ CML</t>
  </si>
  <si>
    <t>WF1797108</t>
  </si>
  <si>
    <t>WF1796617</t>
  </si>
  <si>
    <t>001080</t>
  </si>
  <si>
    <t>WF1796616</t>
  </si>
  <si>
    <t>WF1796605</t>
  </si>
  <si>
    <t>WF1797190</t>
  </si>
  <si>
    <t>WF1796648</t>
  </si>
  <si>
    <t>001060</t>
  </si>
  <si>
    <t>WF1803903</t>
  </si>
  <si>
    <t>WF1803920</t>
  </si>
  <si>
    <t>WF1796649</t>
  </si>
  <si>
    <t>0051732952</t>
  </si>
  <si>
    <t>NOVO NORDISK - BLDG QC CHEM-RM LAB - CLA</t>
  </si>
  <si>
    <t>WF1796023</t>
  </si>
  <si>
    <t>WF1799816</t>
  </si>
  <si>
    <t>0051218461</t>
  </si>
  <si>
    <t>001970</t>
  </si>
  <si>
    <t>HARD LABOR CREEK WTP - WALTON COUNTY, GA</t>
  </si>
  <si>
    <t>WF1802551</t>
  </si>
  <si>
    <t>WF1802550</t>
  </si>
  <si>
    <t>0051193435</t>
  </si>
  <si>
    <t>NORTHROP B410 CHILLER UPGRADE</t>
  </si>
  <si>
    <t>WF1802521</t>
  </si>
  <si>
    <t>WF1802512</t>
  </si>
  <si>
    <t>0051008484</t>
  </si>
  <si>
    <t>000500</t>
  </si>
  <si>
    <t>NORTH FORK PEACHTREE CREEK STORAGE TANK</t>
  </si>
  <si>
    <t>WF1805186</t>
  </si>
  <si>
    <t>WF1805185</t>
  </si>
  <si>
    <t>WF1805305</t>
  </si>
  <si>
    <t>WF1806568</t>
  </si>
  <si>
    <t>000980</t>
  </si>
  <si>
    <t>WF1805700</t>
  </si>
  <si>
    <t>0051656319</t>
  </si>
  <si>
    <t>NESTLÉ SILAO</t>
  </si>
  <si>
    <t>WF1803401</t>
  </si>
  <si>
    <t>WF1803393</t>
  </si>
  <si>
    <t>WF1803392</t>
  </si>
  <si>
    <t>WF1803400</t>
  </si>
  <si>
    <t>WF1803394</t>
  </si>
  <si>
    <t>0051618201</t>
  </si>
  <si>
    <t>EOEM - REHLKO - PANAMA CITY - MILLVILLE</t>
  </si>
  <si>
    <t>WF1804434</t>
  </si>
  <si>
    <t>WF1807077</t>
  </si>
  <si>
    <t>WF1804277</t>
  </si>
  <si>
    <t>0051787649</t>
  </si>
  <si>
    <t>000010/ 000050</t>
  </si>
  <si>
    <t>MICRON ID1 PHASE 2 - F12A UNIT SUBSTATIO</t>
  </si>
  <si>
    <t>SMA</t>
  </si>
  <si>
    <t>CML/ VHL</t>
  </si>
  <si>
    <t>WF1805687</t>
  </si>
  <si>
    <t>WF1805037</t>
  </si>
  <si>
    <t>0051343281</t>
  </si>
  <si>
    <t>EAST BANK REGIONAL PUMP STATION - NASHVI</t>
  </si>
  <si>
    <t>EGM</t>
  </si>
  <si>
    <t>WF1806642</t>
  </si>
  <si>
    <t>c</t>
  </si>
  <si>
    <t>WF1809205</t>
  </si>
  <si>
    <t>000750/ 760</t>
  </si>
  <si>
    <t>WF1810046</t>
  </si>
  <si>
    <t>WF1810047</t>
  </si>
  <si>
    <t>0051523070</t>
  </si>
  <si>
    <t>NSWC RAM LAB</t>
  </si>
  <si>
    <t>WF1810695</t>
  </si>
  <si>
    <t>0050941348</t>
  </si>
  <si>
    <t>FC23-011</t>
  </si>
  <si>
    <t>WF1812731</t>
  </si>
  <si>
    <t>WF1812732</t>
  </si>
  <si>
    <t>0050384250</t>
  </si>
  <si>
    <t>001270</t>
  </si>
  <si>
    <t>NEW PARNASSUS</t>
  </si>
  <si>
    <t>WF1814275</t>
  </si>
  <si>
    <t>0051827227</t>
  </si>
  <si>
    <t>NEW CASTLE</t>
  </si>
  <si>
    <t>WF1814058</t>
  </si>
  <si>
    <t>WF1814064</t>
  </si>
  <si>
    <t>001260</t>
  </si>
  <si>
    <t>WF1815038</t>
  </si>
  <si>
    <t>WF1815037</t>
  </si>
  <si>
    <t>0051791572</t>
  </si>
  <si>
    <t>ADVENT HEALTH CELEBRATION PATIENT TOWER</t>
  </si>
  <si>
    <t>WF1815036</t>
  </si>
  <si>
    <t>WF1815825</t>
  </si>
  <si>
    <t>001240</t>
  </si>
  <si>
    <t>WF1815649</t>
  </si>
  <si>
    <t>0051212323</t>
  </si>
  <si>
    <t>010200</t>
  </si>
  <si>
    <t>GEISINGER MEDICAL</t>
  </si>
  <si>
    <t>OHO</t>
  </si>
  <si>
    <t>WF1815539</t>
  </si>
  <si>
    <t>WF1816621</t>
  </si>
  <si>
    <t>010170</t>
  </si>
  <si>
    <t>WF1815776</t>
  </si>
  <si>
    <t>001250</t>
  </si>
  <si>
    <t>WF1817261</t>
  </si>
  <si>
    <t>WF1817258</t>
  </si>
  <si>
    <t>WF1817252</t>
  </si>
  <si>
    <t>WF1817227</t>
  </si>
  <si>
    <t>0051842216</t>
  </si>
  <si>
    <t>FREIGHTLINER</t>
  </si>
  <si>
    <t>WF1817340</t>
  </si>
  <si>
    <t>010180</t>
  </si>
  <si>
    <t>WF1819309</t>
  </si>
  <si>
    <t>WF1819270</t>
  </si>
  <si>
    <t>0051272041</t>
  </si>
  <si>
    <t>002870</t>
  </si>
  <si>
    <t>UC BERKELEY HEATHCOCK HALL</t>
  </si>
  <si>
    <t>WF1820647</t>
  </si>
  <si>
    <t>0051733188</t>
  </si>
  <si>
    <t>000410</t>
  </si>
  <si>
    <t>PROJECT ICY HOT CORE</t>
  </si>
  <si>
    <t>WF1821083</t>
  </si>
  <si>
    <t>010190</t>
  </si>
  <si>
    <t>WF1820616</t>
  </si>
  <si>
    <t>WF1820617</t>
  </si>
  <si>
    <t>WF1820618</t>
  </si>
  <si>
    <t>000490</t>
  </si>
  <si>
    <t>WF1821822</t>
  </si>
  <si>
    <t>WF1821773</t>
  </si>
  <si>
    <t>WF1821739</t>
  </si>
  <si>
    <t>WF1821729</t>
  </si>
  <si>
    <t>WF1821726</t>
  </si>
  <si>
    <t>000430</t>
  </si>
  <si>
    <t>WF1822560</t>
  </si>
  <si>
    <t>001230</t>
  </si>
  <si>
    <t>WF1824197</t>
  </si>
  <si>
    <t>0051735870</t>
  </si>
  <si>
    <t>PROJECT OPAL LLE3</t>
  </si>
  <si>
    <t>WF1824746</t>
  </si>
  <si>
    <t>0051829783</t>
  </si>
  <si>
    <t>OP-250808-15689594</t>
  </si>
  <si>
    <t>IJF</t>
  </si>
  <si>
    <t>WF1821248</t>
  </si>
  <si>
    <t>WF1821837</t>
  </si>
  <si>
    <t>WF1821845</t>
  </si>
  <si>
    <t>WF1821779</t>
  </si>
  <si>
    <t>WF1821894</t>
  </si>
  <si>
    <t>WF1821913</t>
  </si>
  <si>
    <t>WF1822717</t>
  </si>
  <si>
    <t>WF1822807</t>
  </si>
  <si>
    <t>WF1822810</t>
  </si>
  <si>
    <t>WF1824061</t>
  </si>
  <si>
    <t>WF1824795</t>
  </si>
  <si>
    <t>WF1825447</t>
  </si>
  <si>
    <t>0051674363</t>
  </si>
  <si>
    <t>W912EF25QA023-ARMY US</t>
  </si>
  <si>
    <t>WF1824946</t>
  </si>
  <si>
    <t>0051631924</t>
  </si>
  <si>
    <t>1319-V/056. M3-SPCC</t>
  </si>
  <si>
    <t>WF1826405</t>
  </si>
  <si>
    <t>UNITEDHEALTH GROUP</t>
  </si>
  <si>
    <t>WF1824999</t>
  </si>
  <si>
    <t>WF1825519</t>
  </si>
  <si>
    <t>WF1826241</t>
  </si>
  <si>
    <t>0051271091</t>
  </si>
  <si>
    <t>000890</t>
  </si>
  <si>
    <t xml:space="preserve">POLK REGIONAL WC  </t>
  </si>
  <si>
    <t>WF1827053</t>
  </si>
  <si>
    <t>WF1827055</t>
  </si>
  <si>
    <t>WF1827056</t>
  </si>
  <si>
    <t>0051519925</t>
  </si>
  <si>
    <t>DUNEDIN</t>
  </si>
  <si>
    <t>WF1826982</t>
  </si>
  <si>
    <t>WF1827051</t>
  </si>
  <si>
    <t>WF1827086</t>
  </si>
  <si>
    <t>WF1827854</t>
  </si>
  <si>
    <t>000590</t>
  </si>
  <si>
    <t>WF1825521</t>
  </si>
  <si>
    <t>WF1825523</t>
  </si>
  <si>
    <t>WF1827869</t>
  </si>
  <si>
    <t>000390</t>
  </si>
  <si>
    <t>WF1828484</t>
  </si>
  <si>
    <t>000530</t>
  </si>
  <si>
    <t>WF1829111</t>
  </si>
  <si>
    <t>0051436677</t>
  </si>
  <si>
    <t>HAINES WWTP EXPANSION</t>
  </si>
  <si>
    <t>WF1830735</t>
  </si>
  <si>
    <t>0051872300</t>
  </si>
  <si>
    <t>WHOLESTONE FOODS FREEZER</t>
  </si>
  <si>
    <t>WF1828567</t>
  </si>
  <si>
    <t>0051434217</t>
  </si>
  <si>
    <t>000320</t>
  </si>
  <si>
    <t>SMUD FAOB</t>
  </si>
  <si>
    <t>WF1830776</t>
  </si>
  <si>
    <t>WF1830775</t>
  </si>
  <si>
    <t>WF1831181</t>
  </si>
  <si>
    <t>0051035589</t>
  </si>
  <si>
    <t>000210</t>
  </si>
  <si>
    <t>CPS EMC UPGRADE</t>
  </si>
  <si>
    <t>ALT</t>
  </si>
  <si>
    <t>WF1832012</t>
  </si>
  <si>
    <t>0051700206</t>
  </si>
  <si>
    <t>EOEM-CUMMINS-HCA S</t>
  </si>
  <si>
    <t>WF1832094</t>
  </si>
  <si>
    <t>WF1832636</t>
  </si>
  <si>
    <t>JOB NAME</t>
  </si>
  <si>
    <t>TYPE</t>
  </si>
  <si>
    <t>WF</t>
  </si>
  <si>
    <t>START DATE</t>
  </si>
  <si>
    <t>DAYS ELAPSED</t>
  </si>
  <si>
    <t>NOTES</t>
  </si>
  <si>
    <t>RM</t>
  </si>
  <si>
    <t>Holidays 2025</t>
  </si>
  <si>
    <t>Holidays 2026</t>
  </si>
  <si>
    <t>WF INFORMATION</t>
  </si>
  <si>
    <t>CHNG BOM</t>
  </si>
  <si>
    <t>Tasks</t>
  </si>
  <si>
    <t>Phase</t>
  </si>
  <si>
    <t>Total</t>
  </si>
  <si>
    <t>TASK RESPONSIBLES</t>
  </si>
  <si>
    <t>Name</t>
  </si>
  <si>
    <t>Department</t>
  </si>
  <si>
    <t>JUAN CARLOS MIRANDA</t>
  </si>
  <si>
    <t>CARLOS CAVASOS</t>
  </si>
  <si>
    <t>DANIELA PAOLA GONZALEZ</t>
  </si>
  <si>
    <t>GRECIA JUAREZ</t>
  </si>
  <si>
    <t>ALEJANDRO OSUNA BALDERAS</t>
  </si>
  <si>
    <t>JUAN ANTONIO CABELLO</t>
  </si>
  <si>
    <t>ALBERTO MARTINEZ</t>
  </si>
  <si>
    <t>VICTOR HUGO RODRIGEZ TORRALBA</t>
  </si>
  <si>
    <t>ALONDRA AGUILERA</t>
  </si>
  <si>
    <t>REGINA LOPEZ</t>
  </si>
  <si>
    <t>JOSE PABLO AGUILAR</t>
  </si>
  <si>
    <t>ABIGAIL ESTRELLO ORTIZ</t>
  </si>
  <si>
    <t>REBECA CISNEROS</t>
  </si>
  <si>
    <t>FERNANDO CASAS</t>
  </si>
  <si>
    <t>NA</t>
  </si>
  <si>
    <t>AILIA TERESA CHUCUAN</t>
  </si>
  <si>
    <r>
      <rPr>
        <b/>
        <sz val="11"/>
        <color rgb="FFFFFFFF"/>
        <rFont val="Calibri"/>
        <family val="2"/>
        <scheme val="minor"/>
      </rPr>
      <t xml:space="preserve">AVG WORKDAYS </t>
    </r>
    <r>
      <rPr>
        <b/>
        <sz val="9"/>
        <color rgb="FFFFFFFF"/>
        <rFont val="Calibri"/>
        <family val="2"/>
        <scheme val="minor"/>
      </rPr>
      <t>PER WF MAKE</t>
    </r>
  </si>
  <si>
    <r>
      <rPr>
        <b/>
        <sz val="11"/>
        <color rgb="FFFFFFFF"/>
        <rFont val="Calibri"/>
        <family val="2"/>
        <scheme val="minor"/>
      </rPr>
      <t xml:space="preserve">AVG WORKDAYS </t>
    </r>
    <r>
      <rPr>
        <b/>
        <sz val="9"/>
        <color rgb="FFFFFFFF"/>
        <rFont val="Calibri"/>
        <family val="2"/>
        <scheme val="minor"/>
      </rPr>
      <t>PER WF BUY</t>
    </r>
  </si>
  <si>
    <r>
      <rPr>
        <b/>
        <sz val="11"/>
        <color rgb="FFFFFFFF"/>
        <rFont val="Calibri"/>
        <family val="2"/>
        <scheme val="minor"/>
      </rPr>
      <t xml:space="preserve">AVG WORKDAYS </t>
    </r>
    <r>
      <rPr>
        <b/>
        <sz val="8"/>
        <color rgb="FFFFFFFF"/>
        <rFont val="Calibri"/>
        <family val="2"/>
        <scheme val="minor"/>
      </rPr>
      <t xml:space="preserve">PER </t>
    </r>
    <r>
      <rPr>
        <b/>
        <sz val="10"/>
        <color rgb="FFFFFFFF"/>
        <rFont val="Calibri"/>
        <family val="2"/>
        <scheme val="minor"/>
      </rPr>
      <t>WF</t>
    </r>
  </si>
  <si>
    <t>ACTIVE WFS</t>
  </si>
  <si>
    <r>
      <rPr>
        <b/>
        <sz val="11"/>
        <color rgb="FFFFFFFF"/>
        <rFont val="Calibri"/>
        <family val="2"/>
        <scheme val="minor"/>
      </rPr>
      <t xml:space="preserve">ACTIVE WFs &gt; 10 </t>
    </r>
    <r>
      <rPr>
        <b/>
        <sz val="9"/>
        <color rgb="FFFFFFFF"/>
        <rFont val="Calibri"/>
        <family val="2"/>
        <scheme val="minor"/>
      </rPr>
      <t>WORKDAYS ELAPSED</t>
    </r>
  </si>
  <si>
    <t>LATE ACTIVE WFs (regarding RE)</t>
  </si>
  <si>
    <t>TO-BE-LATE WFs (&lt;5 workdays pre RE)</t>
  </si>
  <si>
    <t>Job name</t>
  </si>
  <si>
    <t>(All)</t>
  </si>
  <si>
    <t>Type</t>
  </si>
  <si>
    <t>Status</t>
  </si>
  <si>
    <t>Class</t>
  </si>
  <si>
    <t>Product</t>
  </si>
  <si>
    <t>Start Date [Month and Year]</t>
  </si>
  <si>
    <t>(Multiple Items)</t>
  </si>
  <si>
    <t>Average of Overdue Time [Expected-Completion]</t>
  </si>
  <si>
    <t>Average of Active Time</t>
  </si>
  <si>
    <t>Average of Pre RM Opening Time</t>
  </si>
  <si>
    <t>Count of WF</t>
  </si>
  <si>
    <t>Job Name</t>
  </si>
  <si>
    <t>Classification [Completion-Due Date]</t>
  </si>
  <si>
    <t>Mar-2026</t>
  </si>
  <si>
    <t>Count of Classification [Completion-Due Date]</t>
  </si>
  <si>
    <t>LATE</t>
  </si>
  <si>
    <t>ON TIME</t>
  </si>
  <si>
    <t>X</t>
  </si>
  <si>
    <t>SUPER LATE</t>
  </si>
  <si>
    <t>Grand Total</t>
  </si>
  <si>
    <t>Average of Impact Time Post RM</t>
  </si>
  <si>
    <t xml:space="preserve">Average of % Of completion </t>
  </si>
  <si>
    <t>I</t>
  </si>
  <si>
    <t>Mech</t>
  </si>
  <si>
    <t xml:space="preserve">SQD EXPANSION DE SISITEMAS DE ENERGIA </t>
  </si>
  <si>
    <t>EOEM-CUMMINS- HCA ST DAVID'S S AUSTIN</t>
  </si>
  <si>
    <t>EC1&amp;EC2&amp;EC3</t>
  </si>
  <si>
    <t>UNITEDHEALTHCARE FOR PARSONS ELECTRIC</t>
  </si>
  <si>
    <t>EOEM-CUMMINS - REIDSVILLE WTP</t>
  </si>
  <si>
    <t>Elec</t>
  </si>
  <si>
    <t>AT&amp;T 105 AUD – 9TH FLOOR SOUTH AON CLOUD</t>
  </si>
  <si>
    <t>RAYTHEON - MARLBOROUGH - BUILDING 2 - PH</t>
  </si>
  <si>
    <t>ABB BLACKLIST</t>
  </si>
  <si>
    <t>NEW PARNASSUS HEIGHTS HOSPITAL - UCSF -</t>
  </si>
  <si>
    <t>PROJECT ICY HOT CORE AND SHELL</t>
  </si>
  <si>
    <t>CPS EMC UPGRADE - SAN ANTONIO - ALTERMAN</t>
  </si>
  <si>
    <t>BEACON HEALTH ES-43461</t>
  </si>
  <si>
    <t>DUNEDIN WWTP ELECTRICAL SYSTEM UPGRADES</t>
  </si>
  <si>
    <t>POLK REGIONAL WC SE WELLFIELD AND WATER</t>
  </si>
  <si>
    <t>UT RED MCCOMBS UNDERGRADUATE SCHOOL OF B</t>
  </si>
  <si>
    <t>CUMMINS POWER GENERATION DOCK DOORS</t>
  </si>
  <si>
    <t>EOEM-CUMMINS - USCG RIO BAYAMON</t>
  </si>
  <si>
    <t>HORIZON HEALTH - EMERGENCY POWER UPGRADE</t>
  </si>
  <si>
    <t>Average of Completion Days Template</t>
  </si>
  <si>
    <t>MICRON ID1 - PROJECT OPAL - WSP - BLDG B</t>
  </si>
  <si>
    <t>REX UNC HEALTHCARE S</t>
  </si>
  <si>
    <t>RRMC GENERATOR REPLACEMENT PROJECT</t>
  </si>
  <si>
    <t>TALLAHASSEE POLICE DEPARTMENT HEADQUARTE</t>
  </si>
  <si>
    <t>TOYOTA PEMC</t>
  </si>
  <si>
    <t>WF SUBMITTAL [RM&lt;5/10 DAYS]</t>
  </si>
  <si>
    <t>LATE BY ENG</t>
  </si>
  <si>
    <t>ON TIME BY ENG</t>
  </si>
  <si>
    <t>NEMA 3R LIGHNING ASSY UPDATE</t>
  </si>
  <si>
    <t>TME27242</t>
  </si>
  <si>
    <t>SCHNEIDER ELECTRIC USA INC</t>
  </si>
  <si>
    <t>meta f2.0</t>
  </si>
  <si>
    <t>TAYLOR DAIRY ROAD WTP</t>
  </si>
  <si>
    <t>meta rsb #80</t>
  </si>
  <si>
    <t>switchboard f2.0</t>
  </si>
  <si>
    <t>meta rsb Proyecto META SWB</t>
  </si>
  <si>
    <t>META 2.0</t>
  </si>
  <si>
    <t>META - DC FV2.0 - LEB - NW BUILDING (LV)</t>
  </si>
  <si>
    <t>BUNDLE FOR KOMAX PZ4</t>
  </si>
  <si>
    <t>RADY CHILDRENS HOSPITAL - ICU AND CONNEC</t>
  </si>
  <si>
    <t>LOUISA COUNTY TECH CAMHUPS</t>
  </si>
  <si>
    <t>BUNDLE FOR KOMAX</t>
  </si>
  <si>
    <t>FC23-011 3000 KVA SUBSTATION U</t>
  </si>
  <si>
    <t>GUNDERSEN HEALTH SYSTEM HERITAGE EMERGEN</t>
  </si>
  <si>
    <t>GEISINGER MEDICAL CENTER SOUTH TOWER</t>
  </si>
  <si>
    <t>FREIGHTLINER - CLEVELAND, NC.</t>
  </si>
  <si>
    <t>AMEREN CASTLE BLUFF ENERGY CENTER</t>
  </si>
  <si>
    <t>BF GOODRICH -  FORT WAYNE, IN - OUTDOOR</t>
  </si>
  <si>
    <t>Impacted Post RM</t>
  </si>
  <si>
    <t>IMPACTED</t>
  </si>
  <si>
    <t>Apr-2025</t>
  </si>
  <si>
    <t>Aug-2025</t>
  </si>
  <si>
    <t>Dec-2025</t>
  </si>
  <si>
    <t>Feb-2026</t>
  </si>
  <si>
    <t>Jan-2026</t>
  </si>
  <si>
    <t>Jul-2025</t>
  </si>
  <si>
    <t>Jun-2025</t>
  </si>
  <si>
    <t>May-2025</t>
  </si>
  <si>
    <t>Nov-2025</t>
  </si>
  <si>
    <t>Oct-2025</t>
  </si>
  <si>
    <t>Sep-2025</t>
  </si>
  <si>
    <t>GLOBAL STATS CALCULATIONS [PZ4/QED2/QED6]</t>
  </si>
  <si>
    <t>AVG Active Time</t>
  </si>
  <si>
    <t>AVG Overdue Time post template</t>
  </si>
  <si>
    <t>AVG Opening Time Pre RM</t>
  </si>
  <si>
    <t>%OnTime WF</t>
  </si>
  <si>
    <t>%Late WF</t>
  </si>
  <si>
    <t>%+15DAYS  LATE</t>
  </si>
  <si>
    <t>%WF Closure by Eng Errors</t>
  </si>
  <si>
    <t># Overdue Projects impacted by correct WF submittal</t>
  </si>
  <si>
    <t>#Projects Impacted by incorrect WF</t>
  </si>
  <si>
    <t>#Projects impacted by cancelation on time</t>
  </si>
  <si>
    <t xml:space="preserve">Top Cancellation offender </t>
  </si>
  <si>
    <t>Active WF</t>
  </si>
  <si>
    <t>ACTIVE US23</t>
  </si>
  <si>
    <t>RM Date impacted by late WFs (NOT ENG)</t>
  </si>
  <si>
    <t>Order Number</t>
  </si>
  <si>
    <t>Item</t>
  </si>
  <si>
    <t>Sales Number</t>
  </si>
  <si>
    <t>AE</t>
  </si>
  <si>
    <t>Special Paint</t>
  </si>
  <si>
    <t>Pre RM Opening Time</t>
  </si>
  <si>
    <t>Start date</t>
  </si>
  <si>
    <t>Due date</t>
  </si>
  <si>
    <t>Completion Date</t>
  </si>
  <si>
    <t>Competion Date Content</t>
  </si>
  <si>
    <t>Old vs New Order Lead Time WF dead line</t>
  </si>
  <si>
    <t>Completion Days Template</t>
  </si>
  <si>
    <t>Active Time</t>
  </si>
  <si>
    <t>Overdue Time [Expected-Completion]</t>
  </si>
  <si>
    <t>Classification not considering 15+ days</t>
  </si>
  <si>
    <t>Reason For Late WF Submital by Eng</t>
  </si>
  <si>
    <t>Impact Time Post RM</t>
  </si>
  <si>
    <t>Re-Worked WF Active Time</t>
  </si>
  <si>
    <t>Cancelation Cause</t>
  </si>
  <si>
    <t>Urgent Closure</t>
  </si>
  <si>
    <t>Classification [Completion-RM]</t>
  </si>
  <si>
    <t>Task responsible</t>
  </si>
  <si>
    <t>Task Number</t>
  </si>
  <si>
    <t>Completion Forecast</t>
  </si>
  <si>
    <t xml:space="preserve">% Of completion </t>
  </si>
  <si>
    <t>Comments</t>
  </si>
  <si>
    <t>ANSI 49</t>
  </si>
  <si>
    <t>0000010&amp;0000050</t>
  </si>
  <si>
    <t>WF1651072</t>
  </si>
  <si>
    <t>ANSI 61</t>
  </si>
  <si>
    <t>WF1657391</t>
  </si>
  <si>
    <t>COLLIER COUNTY NCWRF ELECTRICAL SERVICE</t>
  </si>
  <si>
    <t>COLLIER COUNTY NCWRF  ELECTRICAL SERVICE</t>
  </si>
  <si>
    <t>MCLEOD HEALTH - CAROLINA FOREST CAMHUPS H</t>
  </si>
  <si>
    <t>WF1701677</t>
  </si>
  <si>
    <t>000700&amp;710</t>
  </si>
  <si>
    <t>WF1703048</t>
  </si>
  <si>
    <t>WF1703053</t>
  </si>
  <si>
    <t>AL</t>
  </si>
  <si>
    <t>WF1691406</t>
  </si>
  <si>
    <t>WF1703793</t>
  </si>
  <si>
    <t>WF1703644</t>
  </si>
  <si>
    <t>Found PN</t>
  </si>
  <si>
    <t>WF1704391</t>
  </si>
  <si>
    <t>WF1704972</t>
  </si>
  <si>
    <t>WF1704978</t>
  </si>
  <si>
    <t>WF1704998</t>
  </si>
  <si>
    <t>WF1705004</t>
  </si>
  <si>
    <t>WF1705013</t>
  </si>
  <si>
    <t>WF1705022</t>
  </si>
  <si>
    <t>WF1705028</t>
  </si>
  <si>
    <t>WF1705056</t>
  </si>
  <si>
    <t>WF1705115</t>
  </si>
  <si>
    <t>WF1705120</t>
  </si>
  <si>
    <t>WF1705814</t>
  </si>
  <si>
    <t>Wrong PN</t>
  </si>
  <si>
    <t>WF1707204</t>
  </si>
  <si>
    <t>WF1707205</t>
  </si>
  <si>
    <t>WF1709903</t>
  </si>
  <si>
    <t>000280&amp;000290 </t>
  </si>
  <si>
    <t>IGS</t>
  </si>
  <si>
    <t>WF1709991</t>
  </si>
  <si>
    <t>WF1709976</t>
  </si>
  <si>
    <t>WF1713291</t>
  </si>
  <si>
    <t>WF1713330</t>
  </si>
  <si>
    <t>WF1713357</t>
  </si>
  <si>
    <t>WF1713351</t>
  </si>
  <si>
    <t>WF1714133</t>
  </si>
  <si>
    <t>WF1714125</t>
  </si>
  <si>
    <t>WF1714164</t>
  </si>
  <si>
    <t>WF1714161</t>
  </si>
  <si>
    <t>004960</t>
  </si>
  <si>
    <t>WF1716883</t>
  </si>
  <si>
    <t>WF1716891</t>
  </si>
  <si>
    <t xml:space="preserve">0051306085
</t>
  </si>
  <si>
    <t>WF1717670</t>
  </si>
  <si>
    <t>WF1718777</t>
  </si>
  <si>
    <t>WF1721674</t>
  </si>
  <si>
    <t>WF1721676</t>
  </si>
  <si>
    <t>WF1721678</t>
  </si>
  <si>
    <t>WF1721679</t>
  </si>
  <si>
    <t>WF1722268</t>
  </si>
  <si>
    <t>WF1722971</t>
  </si>
  <si>
    <t>WF1722976</t>
  </si>
  <si>
    <t>WF1722995</t>
  </si>
  <si>
    <t>WF1722997</t>
  </si>
  <si>
    <t>WF1723629</t>
  </si>
  <si>
    <t>RAL 7035</t>
  </si>
  <si>
    <t>WF1723039</t>
  </si>
  <si>
    <t>WF1723841</t>
  </si>
  <si>
    <t>WF1723790</t>
  </si>
  <si>
    <t>WF1723765</t>
  </si>
  <si>
    <t>WF1723759</t>
  </si>
  <si>
    <t>000020&amp;000470</t>
  </si>
  <si>
    <t>WF1724577</t>
  </si>
  <si>
    <t>WF1724591</t>
  </si>
  <si>
    <t>WF1724586</t>
  </si>
  <si>
    <t>Wrong Classification in SAP</t>
  </si>
  <si>
    <t>WF1725577</t>
  </si>
  <si>
    <t>WF1727675</t>
  </si>
  <si>
    <t>WF1727722</t>
  </si>
  <si>
    <t>WF1727648</t>
  </si>
  <si>
    <t>WF1729717</t>
  </si>
  <si>
    <t xml:space="preserve"> WF1729834</t>
  </si>
  <si>
    <t>WF1729812</t>
  </si>
  <si>
    <t>WF1730892</t>
  </si>
  <si>
    <t>WF1730884</t>
  </si>
  <si>
    <t>WF1730741</t>
  </si>
  <si>
    <t>WF1731450</t>
  </si>
  <si>
    <t>WF1731333</t>
  </si>
  <si>
    <t>000010 &amp; 000020</t>
  </si>
  <si>
    <t>WF1731525</t>
  </si>
  <si>
    <t>WF1731688</t>
  </si>
  <si>
    <t>WF1731689</t>
  </si>
  <si>
    <t>WF1732182</t>
  </si>
  <si>
    <t>WF1732336</t>
  </si>
  <si>
    <t>0051515918</t>
  </si>
  <si>
    <t>COLLEY MARKS</t>
  </si>
  <si>
    <t>WF1732364</t>
  </si>
  <si>
    <t>WF1732947</t>
  </si>
  <si>
    <t>WF1733695</t>
  </si>
  <si>
    <t>WF1733700</t>
  </si>
  <si>
    <t>WF1733486</t>
  </si>
  <si>
    <t xml:space="preserve">Oneshuttle barrier </t>
  </si>
  <si>
    <t>000030&amp;000110&amp;000290</t>
  </si>
  <si>
    <t>WF1734669</t>
  </si>
  <si>
    <t>WF1734673</t>
  </si>
  <si>
    <t>PN Active in plant</t>
  </si>
  <si>
    <t>WF1734559</t>
  </si>
  <si>
    <t>WF1735914</t>
  </si>
  <si>
    <t>WF1735912</t>
  </si>
  <si>
    <t>0050847146</t>
  </si>
  <si>
    <t>000200</t>
  </si>
  <si>
    <t>M003 REPLACE ELECTRICAL SUBSTATION 3C</t>
  </si>
  <si>
    <t>WF1736534</t>
  </si>
  <si>
    <t>WF1737060</t>
  </si>
  <si>
    <t>WF1737041</t>
  </si>
  <si>
    <t>000470</t>
  </si>
  <si>
    <t>0051072451</t>
  </si>
  <si>
    <t>0051461115</t>
  </si>
  <si>
    <t>DENSO 203_ UNIT SUB #6</t>
  </si>
  <si>
    <t> WF1739687</t>
  </si>
  <si>
    <t>Change Order</t>
  </si>
  <si>
    <t>0051340498</t>
  </si>
  <si>
    <t>WF1740199</t>
  </si>
  <si>
    <t>SWBD</t>
  </si>
  <si>
    <t>WF1740203</t>
  </si>
  <si>
    <t>WF1740323</t>
  </si>
  <si>
    <t>WF1740322</t>
  </si>
  <si>
    <t>WF1740321</t>
  </si>
  <si>
    <t>WF1740325</t>
  </si>
  <si>
    <t>WF1740324</t>
  </si>
  <si>
    <t>WF1740319</t>
  </si>
  <si>
    <t>PN Active in US23</t>
  </si>
  <si>
    <t>WF1741546</t>
  </si>
  <si>
    <t>META QED2</t>
  </si>
  <si>
    <t>WF1741521</t>
  </si>
  <si>
    <t>WF1741537</t>
  </si>
  <si>
    <t>WF1741558</t>
  </si>
  <si>
    <t>WF1742143</t>
  </si>
  <si>
    <t>WF1742958</t>
  </si>
  <si>
    <t>WF1742802</t>
  </si>
  <si>
    <t>WF1742903</t>
  </si>
  <si>
    <t>Active in plant</t>
  </si>
  <si>
    <t>0051086218</t>
  </si>
  <si>
    <t>003900</t>
  </si>
  <si>
    <t>WF1742912</t>
  </si>
  <si>
    <t>WF1742935</t>
  </si>
  <si>
    <t>WF1742957</t>
  </si>
  <si>
    <t>WF1742985</t>
  </si>
  <si>
    <t>WF1742965</t>
  </si>
  <si>
    <t>WF1744143</t>
  </si>
  <si>
    <t>WF1744192</t>
  </si>
  <si>
    <t>WF1744181</t>
  </si>
  <si>
    <t>WF1744169</t>
  </si>
  <si>
    <t>WF1744166</t>
  </si>
  <si>
    <t>WF1744145</t>
  </si>
  <si>
    <t>WF1744219</t>
  </si>
  <si>
    <t>WF1744209</t>
  </si>
  <si>
    <t>WF1744206</t>
  </si>
  <si>
    <t>WF1744203</t>
  </si>
  <si>
    <t>WF1744245</t>
  </si>
  <si>
    <t>WF1744236</t>
  </si>
  <si>
    <t>WF1744229</t>
  </si>
  <si>
    <t>WF1744137</t>
  </si>
  <si>
    <t>WF1744136</t>
  </si>
  <si>
    <t>WF1745721</t>
  </si>
  <si>
    <t>WF1745785</t>
  </si>
  <si>
    <t>WF1745767</t>
  </si>
  <si>
    <t>WF1745908</t>
  </si>
  <si>
    <t>WF1745782</t>
  </si>
  <si>
    <t>WF1746349</t>
  </si>
  <si>
    <t>meta 2.0</t>
  </si>
  <si>
    <t>WF1746541</t>
  </si>
  <si>
    <t>WF1747019</t>
  </si>
  <si>
    <t>WF1747868</t>
  </si>
  <si>
    <t>Supply asked for a spare</t>
  </si>
  <si>
    <t>WF1747814</t>
  </si>
  <si>
    <t>WF1747702</t>
  </si>
  <si>
    <t>WF1749894</t>
  </si>
  <si>
    <t>WF1749895</t>
  </si>
  <si>
    <t>WF1749839</t>
  </si>
  <si>
    <t>ON-HOLD</t>
  </si>
  <si>
    <t>051576246</t>
  </si>
  <si>
    <t>000020&amp;30&amp;40&amp;50&amp;60</t>
  </si>
  <si>
    <t>WF1749869</t>
  </si>
  <si>
    <t>WF1749888</t>
  </si>
  <si>
    <t>PN IN OTHER WF</t>
  </si>
  <si>
    <t>WF1750068</t>
  </si>
  <si>
    <t>Wrong template</t>
  </si>
  <si>
    <t>WF1750094</t>
  </si>
  <si>
    <t>WF1750559</t>
  </si>
  <si>
    <t>WF1750577</t>
  </si>
  <si>
    <t>WF1750707</t>
  </si>
  <si>
    <t>WF1751267</t>
  </si>
  <si>
    <t>WF1751250</t>
  </si>
  <si>
    <t>WF1751244</t>
  </si>
  <si>
    <t>WF1751258</t>
  </si>
  <si>
    <t>WF1751260</t>
  </si>
  <si>
    <t>WF1752607</t>
  </si>
  <si>
    <t>WF1751270</t>
  </si>
  <si>
    <t>000030&amp;90</t>
  </si>
  <si>
    <t>WF1751293</t>
  </si>
  <si>
    <t>WF1751310</t>
  </si>
  <si>
    <t>WF1752083</t>
  </si>
  <si>
    <t>WF1752117</t>
  </si>
  <si>
    <t>WF1752089</t>
  </si>
  <si>
    <t>WF1753559</t>
  </si>
  <si>
    <t>OCN</t>
  </si>
  <si>
    <t>WF1755461</t>
  </si>
  <si>
    <t>WF1756153</t>
  </si>
  <si>
    <t xml:space="preserve">Packout asked for covers caused by late arrival material </t>
  </si>
  <si>
    <t>WF1756782</t>
  </si>
  <si>
    <t>WF1757224</t>
  </si>
  <si>
    <t>WF1758721</t>
  </si>
  <si>
    <t>WF1757799</t>
  </si>
  <si>
    <t>WF ACTIVE IN OTHER WF</t>
  </si>
  <si>
    <t>WF1757847</t>
  </si>
  <si>
    <t>WF1757849</t>
  </si>
  <si>
    <t>WF1757850</t>
  </si>
  <si>
    <t>WF1757861</t>
  </si>
  <si>
    <t>WF1757859</t>
  </si>
  <si>
    <t>WF1757856</t>
  </si>
  <si>
    <t>WF1757853</t>
  </si>
  <si>
    <t>WF1757855</t>
  </si>
  <si>
    <t>WF1757876</t>
  </si>
  <si>
    <t>WF1757880</t>
  </si>
  <si>
    <t>WF1757878</t>
  </si>
  <si>
    <t>WF1757841</t>
  </si>
  <si>
    <t>WF1759378</t>
  </si>
  <si>
    <t>WF1760055</t>
  </si>
  <si>
    <t>WF1760037</t>
  </si>
  <si>
    <t>WF1760035</t>
  </si>
  <si>
    <t>WF1760855</t>
  </si>
  <si>
    <t>WF1760784</t>
  </si>
  <si>
    <t>WF1760520</t>
  </si>
  <si>
    <t>Supply asked for a spare CT</t>
  </si>
  <si>
    <t>JAT</t>
  </si>
  <si>
    <t>RM HUPshed ahead of schedule</t>
  </si>
  <si>
    <t>WF1762112</t>
  </si>
  <si>
    <t>WF1761923</t>
  </si>
  <si>
    <t>WF1762111</t>
  </si>
  <si>
    <t>WF1763017</t>
  </si>
  <si>
    <t>Correction in doors layout</t>
  </si>
  <si>
    <t>SWBD 2.0 BREAKERS</t>
  </si>
  <si>
    <t>WF1762777</t>
  </si>
  <si>
    <t>WF1762944</t>
  </si>
  <si>
    <t>WF1762941</t>
  </si>
  <si>
    <t>wrong template</t>
  </si>
  <si>
    <t>WF1762885</t>
  </si>
  <si>
    <t>WF1762887</t>
  </si>
  <si>
    <t>Active US23</t>
  </si>
  <si>
    <t>WF1762947</t>
  </si>
  <si>
    <t>WF1763630</t>
  </si>
  <si>
    <t>See3D</t>
  </si>
  <si>
    <t>Obsolete PN</t>
  </si>
  <si>
    <t>WF1763566</t>
  </si>
  <si>
    <t>Request by mech team</t>
  </si>
  <si>
    <t>WF1763481</t>
  </si>
  <si>
    <t>Missing part in related WF</t>
  </si>
  <si>
    <t>swbd</t>
  </si>
  <si>
    <t>WF1764182</t>
  </si>
  <si>
    <t>JIRA</t>
  </si>
  <si>
    <t>COUNTERMEASURE</t>
  </si>
  <si>
    <t>WF1764643</t>
  </si>
  <si>
    <t>WF1764639</t>
  </si>
  <si>
    <t>0051422641-000010</t>
  </si>
  <si>
    <t>WF1765360</t>
  </si>
  <si>
    <t>WF1765254</t>
  </si>
  <si>
    <t>WF1765136</t>
  </si>
  <si>
    <t>Customer Change Order</t>
  </si>
  <si>
    <t>Active in other WF</t>
  </si>
  <si>
    <t>WF1765234</t>
  </si>
  <si>
    <t>0050384250-001260</t>
  </si>
  <si>
    <t>WF1765915</t>
  </si>
  <si>
    <t>WF1765921</t>
  </si>
  <si>
    <t xml:space="preserve">HMA </t>
  </si>
  <si>
    <t>WF1766499</t>
  </si>
  <si>
    <t>KFG</t>
  </si>
  <si>
    <t>0051378207-000260</t>
  </si>
  <si>
    <t>WF1767147</t>
  </si>
  <si>
    <t>09/26/2025</t>
  </si>
  <si>
    <t>WF1767159</t>
  </si>
  <si>
    <t>Missed</t>
  </si>
  <si>
    <t>0011892449</t>
  </si>
  <si>
    <t>001230&amp;1260</t>
  </si>
  <si>
    <t>WF1766987</t>
  </si>
  <si>
    <t>0050384250-001230&amp;1260</t>
  </si>
  <si>
    <t>WF1767025</t>
  </si>
  <si>
    <t>001240&amp;1250&amp;001270</t>
  </si>
  <si>
    <t>WF1767217</t>
  </si>
  <si>
    <t>WF1767216</t>
  </si>
  <si>
    <t>WF1767100</t>
  </si>
  <si>
    <t>0051199001-000010</t>
  </si>
  <si>
    <t>WF1767579</t>
  </si>
  <si>
    <t>RAL</t>
  </si>
  <si>
    <t>Substitution request</t>
  </si>
  <si>
    <t>0011892449-000010</t>
  </si>
  <si>
    <t>JIRA-COUNTERMEASURE</t>
  </si>
  <si>
    <t>WF1767468</t>
  </si>
  <si>
    <t>ENCORE WIRE NEW PLANT 5 MCKINNEY</t>
  </si>
  <si>
    <t>WF1768370</t>
  </si>
  <si>
    <t>WF1769097</t>
  </si>
  <si>
    <t>WF1769099</t>
  </si>
  <si>
    <t>WF1769103</t>
  </si>
  <si>
    <t>0051095105-000410</t>
  </si>
  <si>
    <t>WF1769567</t>
  </si>
  <si>
    <t>WF1769697</t>
  </si>
  <si>
    <t>WF1770319</t>
  </si>
  <si>
    <t>WF1772295</t>
  </si>
  <si>
    <t>RELAY SPARE PN</t>
  </si>
  <si>
    <t>WF1772317</t>
  </si>
  <si>
    <t>0051659711-000060</t>
  </si>
  <si>
    <t>WF1773191</t>
  </si>
  <si>
    <t>META F2.0</t>
  </si>
  <si>
    <t>WF1774444</t>
  </si>
  <si>
    <t>CNG-BOM</t>
  </si>
  <si>
    <t>WF1774367</t>
  </si>
  <si>
    <t>WF1774370</t>
  </si>
  <si>
    <t>WF1774331</t>
  </si>
  <si>
    <t>SPECIAL</t>
  </si>
  <si>
    <t>ABB BLACKLISTING</t>
  </si>
  <si>
    <t>WF1775167</t>
  </si>
  <si>
    <t xml:space="preserve">	0051659711</t>
  </si>
  <si>
    <t>WF1775052</t>
  </si>
  <si>
    <t>WF1775291</t>
  </si>
  <si>
    <t>0051378207-000270</t>
  </si>
  <si>
    <t>WF1775909</t>
  </si>
  <si>
    <t>WF1775912</t>
  </si>
  <si>
    <t>PN active in existing WF</t>
  </si>
  <si>
    <t>WF1775950</t>
  </si>
  <si>
    <t>WF1775782</t>
  </si>
  <si>
    <t>One Shuttle error</t>
  </si>
  <si>
    <t>WF1775901</t>
  </si>
  <si>
    <t>WF1775947</t>
  </si>
  <si>
    <t>WF1776454</t>
  </si>
  <si>
    <t>WF1776233</t>
  </si>
  <si>
    <t>WF1776452</t>
  </si>
  <si>
    <t>0051679732</t>
  </si>
  <si>
    <t>WF1776468</t>
  </si>
  <si>
    <t>WF1776462</t>
  </si>
  <si>
    <t>WF1777034</t>
  </si>
  <si>
    <t>0051659722-000090</t>
  </si>
  <si>
    <t>0051041146-000100</t>
  </si>
  <si>
    <t>WF1776965</t>
  </si>
  <si>
    <t>0051024393-000310</t>
  </si>
  <si>
    <t>WF1777059</t>
  </si>
  <si>
    <t>WF1777613</t>
  </si>
  <si>
    <t>0051275480</t>
  </si>
  <si>
    <t>000950</t>
  </si>
  <si>
    <t>WF1777619</t>
  </si>
  <si>
    <t>WF1778331</t>
  </si>
  <si>
    <t>WF1778342</t>
  </si>
  <si>
    <t>000750&amp;760</t>
  </si>
  <si>
    <t>WF1778288</t>
  </si>
  <si>
    <t>WF1778302</t>
  </si>
  <si>
    <t>WF1778312</t>
  </si>
  <si>
    <t>WF1778278</t>
  </si>
  <si>
    <t>0011981626</t>
  </si>
  <si>
    <t>WF1779165</t>
  </si>
  <si>
    <t>WF1779166</t>
  </si>
  <si>
    <t>WF1779138</t>
  </si>
  <si>
    <t>0050202444</t>
  </si>
  <si>
    <t>NORTHROP B421 PHASE 3 COATING HANGAR</t>
  </si>
  <si>
    <t>WF1779746</t>
  </si>
  <si>
    <t>PSTV CC NORMAL GEAR REPLACEMENT - PSVMC</t>
  </si>
  <si>
    <t>WF1779671</t>
  </si>
  <si>
    <t>Buy</t>
  </si>
  <si>
    <t>META</t>
  </si>
  <si>
    <t>WF1779687</t>
  </si>
  <si>
    <t>WF1780475</t>
  </si>
  <si>
    <t>WF1780466</t>
  </si>
  <si>
    <t>WF1780880</t>
  </si>
  <si>
    <t>WF1780890</t>
  </si>
  <si>
    <t>WF1780874</t>
  </si>
  <si>
    <t>WF1781872</t>
  </si>
  <si>
    <t>WF1781485</t>
  </si>
  <si>
    <t>WF1781932</t>
  </si>
  <si>
    <t>PN ACTIVE IN US23</t>
  </si>
  <si>
    <t>ELec</t>
  </si>
  <si>
    <t>WF1783156</t>
  </si>
  <si>
    <t>KOMAX</t>
  </si>
  <si>
    <t>WF1785225</t>
  </si>
  <si>
    <t>WF1784934</t>
  </si>
  <si>
    <t>0051139077-000030&amp;000110&amp;000290</t>
  </si>
  <si>
    <t>WF1785827</t>
  </si>
  <si>
    <t>OBSOLETE PN, SUPPLY REQUESTED A SPARE</t>
  </si>
  <si>
    <t>WF1785844</t>
  </si>
  <si>
    <t>0051436816-000030</t>
  </si>
  <si>
    <t>WF1785862</t>
  </si>
  <si>
    <t xml:space="preserve">
0051095105</t>
  </si>
  <si>
    <t>WF1786267</t>
  </si>
  <si>
    <t xml:space="preserve">
0051436816</t>
  </si>
  <si>
    <t>WF1786367</t>
  </si>
  <si>
    <t>WF1786486</t>
  </si>
  <si>
    <t>WF1787112</t>
  </si>
  <si>
    <t>WF1787249</t>
  </si>
  <si>
    <t>WF1787231</t>
  </si>
  <si>
    <t>WF1787536</t>
  </si>
  <si>
    <t>WF1788498</t>
  </si>
  <si>
    <t>00310</t>
  </si>
  <si>
    <t>000760</t>
  </si>
  <si>
    <t>WF1789788</t>
  </si>
  <si>
    <t>WF1789969</t>
  </si>
  <si>
    <t>WF1790597</t>
  </si>
  <si>
    <t>001060&amp;001080</t>
  </si>
  <si>
    <t>WF1790561</t>
  </si>
  <si>
    <t xml:space="preserve">
0051615853</t>
  </si>
  <si>
    <t>WF1791235</t>
  </si>
  <si>
    <t>000100 </t>
  </si>
  <si>
    <t>WF1792197</t>
  </si>
  <si>
    <t>0050819993</t>
  </si>
  <si>
    <t>011010</t>
  </si>
  <si>
    <t>WF1792878</t>
  </si>
  <si>
    <t>011000</t>
  </si>
  <si>
    <t xml:space="preserve">MGL </t>
  </si>
  <si>
    <t>WF1793556</t>
  </si>
  <si>
    <t>WF1793610</t>
  </si>
  <si>
    <t>000580</t>
  </si>
  <si>
    <t>WF1794049</t>
  </si>
  <si>
    <t xml:space="preserve">
0051611250</t>
  </si>
  <si>
    <t>WF1793411</t>
  </si>
  <si>
    <t>WF1794223</t>
  </si>
  <si>
    <t>WF1794234</t>
  </si>
  <si>
    <t xml:space="preserve">
0051659722</t>
  </si>
  <si>
    <t>WF1794198</t>
  </si>
  <si>
    <t>WF1794239</t>
  </si>
  <si>
    <t>Cantidades incorrectas</t>
  </si>
  <si>
    <t>WF1794098</t>
  </si>
  <si>
    <t xml:space="preserve">
0051656319</t>
  </si>
  <si>
    <t>WF1794091</t>
  </si>
  <si>
    <t xml:space="preserve"> 1/23/2026</t>
  </si>
  <si>
    <t>WF1795795</t>
  </si>
  <si>
    <t>WF1795964</t>
  </si>
  <si>
    <t>WF1795965</t>
  </si>
  <si>
    <t>0050927776-000950</t>
  </si>
  <si>
    <t>WF1798395</t>
  </si>
  <si>
    <t>WF1799079</t>
  </si>
  <si>
    <t>WF1799173</t>
  </si>
  <si>
    <t>WF1799067</t>
  </si>
  <si>
    <t>0051656319-000010</t>
  </si>
  <si>
    <t xml:space="preserve">AL </t>
  </si>
  <si>
    <t>WF1799011</t>
  </si>
  <si>
    <t>WF1801057</t>
  </si>
  <si>
    <t>WF1801061</t>
  </si>
  <si>
    <t xml:space="preserve">	0051272041</t>
  </si>
  <si>
    <t>WF1800943</t>
  </si>
  <si>
    <t xml:space="preserve">
0051272041</t>
  </si>
  <si>
    <t>WF1800951</t>
  </si>
  <si>
    <t>WF1801632</t>
  </si>
  <si>
    <t>WF1802028</t>
  </si>
  <si>
    <t>WF1801750</t>
  </si>
  <si>
    <t>WITHIN OTHER WF</t>
  </si>
  <si>
    <t>WF1801636</t>
  </si>
  <si>
    <t>0051737181</t>
  </si>
  <si>
    <t>BOSCH - ELECTROLYZER INFRASTRUCTURE</t>
  </si>
  <si>
    <t>1/14/202</t>
  </si>
  <si>
    <t>WF1802767</t>
  </si>
  <si>
    <t>WF1802529</t>
  </si>
  <si>
    <t>001980</t>
  </si>
  <si>
    <t>MICROLOGIC 6.0 X MTZ FIJO</t>
  </si>
  <si>
    <t>WF1803218</t>
  </si>
  <si>
    <t>WF1803907</t>
  </si>
  <si>
    <t>WF1804422</t>
  </si>
  <si>
    <t>WF1805051</t>
  </si>
  <si>
    <t>WF1805069</t>
  </si>
  <si>
    <t>WF1805075</t>
  </si>
  <si>
    <t>WF1805115</t>
  </si>
  <si>
    <t>WF1805991</t>
  </si>
  <si>
    <t>051008484</t>
  </si>
  <si>
    <t>0051713006</t>
  </si>
  <si>
    <t>PROJECT OPAL LLE2-MICRON TECHNOLOGY INC.</t>
  </si>
  <si>
    <t>WF1806459</t>
  </si>
  <si>
    <t>WF1806481</t>
  </si>
  <si>
    <t>OBS</t>
  </si>
  <si>
    <t>0050544685</t>
  </si>
  <si>
    <t>BJC HEALTHCARE WEST PAV EM POWER DIST</t>
  </si>
  <si>
    <t>WF1807192</t>
  </si>
  <si>
    <t>WF1807719</t>
  </si>
  <si>
    <t>001240&amp;001250&amp;001270</t>
  </si>
  <si>
    <t>WF1808503</t>
  </si>
  <si>
    <t>WF1809914</t>
  </si>
  <si>
    <t>WF1812135</t>
  </si>
  <si>
    <t>WF1813531</t>
  </si>
  <si>
    <t>SPECIAL-SPECIAL</t>
  </si>
  <si>
    <t>CRIMP LUG LONG BARREL 2 AWG</t>
  </si>
  <si>
    <t>WF1814100</t>
  </si>
  <si>
    <t>0051818022</t>
  </si>
  <si>
    <t>ANV</t>
  </si>
  <si>
    <t>WF1814234</t>
  </si>
  <si>
    <t>NEW CASTLE COUNTY COURTHOUSE - CUSTOM HO</t>
  </si>
  <si>
    <t>PZ4</t>
  </si>
  <si>
    <t>WF1814660</t>
  </si>
  <si>
    <t>WF1815705</t>
  </si>
  <si>
    <t>WF1815896</t>
  </si>
  <si>
    <t>0051251730</t>
  </si>
  <si>
    <t>001110</t>
  </si>
  <si>
    <t>DVR</t>
  </si>
  <si>
    <t>WF1815786</t>
  </si>
  <si>
    <t>WF1816679</t>
  </si>
  <si>
    <t>WF1816745</t>
  </si>
  <si>
    <t>WF1818518</t>
  </si>
  <si>
    <t>WF1818758</t>
  </si>
  <si>
    <t>WF1818759</t>
  </si>
  <si>
    <t>NHO</t>
  </si>
  <si>
    <t>WF1824935</t>
  </si>
  <si>
    <t>WF1826493</t>
  </si>
  <si>
    <t>0051428029</t>
  </si>
  <si>
    <t>LMMFC SUB 7 REPLACEMENT PROJECT</t>
  </si>
  <si>
    <t>WF1818845</t>
  </si>
  <si>
    <t>NOH</t>
  </si>
  <si>
    <t>WF1819210</t>
  </si>
  <si>
    <t>WF1819217</t>
  </si>
  <si>
    <t>WF1819360</t>
  </si>
  <si>
    <t>WF1819957</t>
  </si>
  <si>
    <t xml:space="preserve">
0051848516</t>
  </si>
  <si>
    <t>AT&amp;T SLIDELL ENGINE REPLACEMENT</t>
  </si>
  <si>
    <t>WF1819819</t>
  </si>
  <si>
    <t>WF1826414</t>
  </si>
  <si>
    <t>1319-V/056. M3-SPCC_PN240180-COGENERACIÓ</t>
  </si>
  <si>
    <t>WF1824004</t>
  </si>
  <si>
    <t xml:space="preserve">
0051829783</t>
  </si>
  <si>
    <t>WF1818756</t>
  </si>
  <si>
    <t>WF1820447</t>
  </si>
  <si>
    <t>WF1820356</t>
  </si>
  <si>
    <t>Make</t>
  </si>
  <si>
    <t>WF1820504</t>
  </si>
  <si>
    <t>DEB</t>
  </si>
  <si>
    <t>WF1832921</t>
  </si>
  <si>
    <t>WF1826375</t>
  </si>
  <si>
    <t>WF1818757</t>
  </si>
  <si>
    <t>IFJ</t>
  </si>
  <si>
    <t>WF1819790</t>
  </si>
  <si>
    <t>WF1819796</t>
  </si>
  <si>
    <t>WF1819913</t>
  </si>
  <si>
    <t>0050365418</t>
  </si>
  <si>
    <t>DP</t>
  </si>
  <si>
    <t>WF1823455</t>
  </si>
  <si>
    <t>000010&amp;20</t>
  </si>
  <si>
    <t>WF1823506</t>
  </si>
  <si>
    <t>WF1823416</t>
  </si>
  <si>
    <t>000220</t>
  </si>
  <si>
    <t>WF1823513</t>
  </si>
  <si>
    <t>WF1824062</t>
  </si>
  <si>
    <t>0051434217-000320</t>
  </si>
  <si>
    <t>WF1824056</t>
  </si>
  <si>
    <t xml:space="preserve">
0051674363</t>
  </si>
  <si>
    <t>0051829783-000010</t>
  </si>
  <si>
    <t xml:space="preserve">
0050384250</t>
  </si>
  <si>
    <t>WF1826955</t>
  </si>
  <si>
    <t>WF1824039</t>
  </si>
  <si>
    <t>WF1828531</t>
  </si>
  <si>
    <t>WF1829894</t>
  </si>
  <si>
    <t xml:space="preserve">	0051733188</t>
  </si>
  <si>
    <t>DVA</t>
  </si>
  <si>
    <t>FLAGGED</t>
  </si>
  <si>
    <t>WF1826494</t>
  </si>
  <si>
    <t>0051425171</t>
  </si>
  <si>
    <t>000660</t>
  </si>
  <si>
    <t>BONNEVILLE LOCK AND DAM BRADFORD ISLAND</t>
  </si>
  <si>
    <t>WF1833724</t>
  </si>
  <si>
    <t>WF1827035</t>
  </si>
  <si>
    <t> 0051271091</t>
  </si>
  <si>
    <t> 0051271091-000890</t>
  </si>
  <si>
    <t xml:space="preserve">
0051271091</t>
  </si>
  <si>
    <t>WF1827367</t>
  </si>
  <si>
    <t>WF1829949</t>
  </si>
  <si>
    <t>WF1823503</t>
  </si>
  <si>
    <t>WF1823970</t>
  </si>
  <si>
    <t xml:space="preserve">
0051519925</t>
  </si>
  <si>
    <t>0051460807</t>
  </si>
  <si>
    <t>010720</t>
  </si>
  <si>
    <t>SPH</t>
  </si>
  <si>
    <t>WF1827137</t>
  </si>
  <si>
    <t>WF1827802</t>
  </si>
  <si>
    <t>WF1827155</t>
  </si>
  <si>
    <t>WF1828546</t>
  </si>
  <si>
    <t>WF1827690</t>
  </si>
  <si>
    <t>WHOLESTONE FOODS FREEZER/COOLER EXPANSIO</t>
  </si>
  <si>
    <t>CL</t>
  </si>
  <si>
    <t>WF1828953</t>
  </si>
  <si>
    <t>WF1828955</t>
  </si>
  <si>
    <t>WF1830767</t>
  </si>
  <si>
    <t>0051878856</t>
  </si>
  <si>
    <t>DCH EAST KITCHEN MACHINE ROOM SWITCHBOAR</t>
  </si>
  <si>
    <t>WF1833232</t>
  </si>
  <si>
    <t>WF1833299</t>
  </si>
  <si>
    <t>0050798656</t>
  </si>
  <si>
    <t>002730</t>
  </si>
  <si>
    <t>TI LFAB2 - LEHI - TI</t>
  </si>
  <si>
    <t>LEC</t>
  </si>
  <si>
    <t>WF1829991</t>
  </si>
  <si>
    <t>WF1830011</t>
  </si>
  <si>
    <t>WF1830426</t>
  </si>
  <si>
    <t xml:space="preserve">
WF1819916</t>
  </si>
  <si>
    <t>000330</t>
  </si>
  <si>
    <t>WF1829706</t>
  </si>
  <si>
    <t>WF1831159</t>
  </si>
  <si>
    <t>WF1824069</t>
  </si>
  <si>
    <t>WF1824080</t>
  </si>
  <si>
    <t>0051420926</t>
  </si>
  <si>
    <t>WF1832207</t>
  </si>
  <si>
    <t>WF1832497</t>
  </si>
  <si>
    <t>WF1832514</t>
  </si>
  <si>
    <t>WF1832093</t>
  </si>
  <si>
    <t>WF1832507</t>
  </si>
  <si>
    <t>WF1832582</t>
  </si>
  <si>
    <t>0051897029</t>
  </si>
  <si>
    <t>000010&amp;000020</t>
  </si>
  <si>
    <t>PCA RIVERVILLE, VA MILL PZ4</t>
  </si>
  <si>
    <t>KRS</t>
  </si>
  <si>
    <t>WF1832612</t>
  </si>
  <si>
    <t>WF1832617</t>
  </si>
  <si>
    <t>QED6</t>
  </si>
  <si>
    <t>WF1824081</t>
  </si>
  <si>
    <t>WF1824092</t>
  </si>
  <si>
    <t>WF1833904</t>
  </si>
  <si>
    <t>WF1834048</t>
  </si>
  <si>
    <t>WF ALL TIME REPORT PZ4/QED6/QED2</t>
  </si>
  <si>
    <t>WF MONTLY TIME REPORT PZ4/QED6/QED2 [FEB]</t>
  </si>
  <si>
    <t>ACTIVE WF STATS</t>
  </si>
  <si>
    <t>ACTIVE QUEUE</t>
  </si>
  <si>
    <t>ACTIVE WORKFLOWS</t>
  </si>
  <si>
    <t>ACTIVE ELECTRIC</t>
  </si>
  <si>
    <t>ACTIVE MECHANIC</t>
  </si>
  <si>
    <t>HISTORIC WF STATS</t>
  </si>
  <si>
    <t xml:space="preserve">MAKE </t>
  </si>
  <si>
    <t>TEMPLATE LIFE CYCLE</t>
  </si>
  <si>
    <t xml:space="preserve">REAL LIFE CYCLE </t>
  </si>
  <si>
    <t>IMPACT STATS</t>
  </si>
  <si>
    <t>TOTAL WF LATE BY ENG</t>
  </si>
  <si>
    <t>AVG LIFE CYCLE FOR A WF LATE BY ENG</t>
  </si>
  <si>
    <t>AVG IMPACT OF LATE WF FOR RM CAUSED BY ENG</t>
  </si>
  <si>
    <t>REJECTION BY INCORRECT WF BY ENG</t>
  </si>
  <si>
    <t>TOP CANCELATION OFFENDER</t>
  </si>
  <si>
    <t>ACTIVE IN US23</t>
  </si>
  <si>
    <t>CRITICAL WFs</t>
  </si>
  <si>
    <t>CRITICAL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</si>
</sst>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/yyyy;@"/>
    <numFmt numFmtId="165" formatCode="[$-409]d\-mmm\-yy;@"/>
    <numFmt numFmtId="166" formatCode="0.0"/>
    <numFmt numFmtId="167" formatCode="dd/mm/yyyy"/>
  </numFmts>
  <fonts count="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Display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8"/>
      <color rgb="FF000000"/>
      <name val="Aptos"/>
      <family val="2"/>
    </font>
    <font>
      <b/>
      <sz val="10"/>
      <color rgb="FF000000"/>
      <name val="Aptos"/>
      <family val="2"/>
    </font>
    <font>
      <b/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color theme="0"/>
      <name val="Aptos Narrow"/>
      <family val="2"/>
    </font>
    <font>
      <b/>
      <sz val="36"/>
      <color theme="0"/>
      <name val="Calibri"/>
      <family val="2"/>
      <scheme val="minor"/>
    </font>
    <font>
      <b/>
      <strike/>
      <sz val="11"/>
      <color rgb="FFFF0000"/>
      <name val="Aptos"/>
      <family val="2"/>
    </font>
    <font>
      <b/>
      <sz val="11"/>
      <color rgb="FF7030A0"/>
      <name val="Aptos"/>
      <family val="2"/>
    </font>
    <font>
      <b/>
      <sz val="8"/>
      <color rgb="FF333333"/>
      <name val="Arial"/>
      <family val="2"/>
    </font>
    <font>
      <sz val="11"/>
      <color rgb="FF7030A0"/>
      <name val="Aptos"/>
      <family val="2"/>
    </font>
    <font>
      <b/>
      <sz val="11"/>
      <color rgb="FF7030A0"/>
      <name val="Aptos Display"/>
      <family val="2"/>
    </font>
    <font>
      <sz val="10"/>
      <color rgb="FF000000"/>
      <name val="Calibri"/>
      <family val="2"/>
    </font>
    <font>
      <b/>
      <sz val="8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1"/>
      <color theme="0"/>
      <name val="Aptos"/>
      <family val="2"/>
    </font>
    <font>
      <b/>
      <sz val="8"/>
      <color theme="0"/>
      <name val="Aptos"/>
      <family val="2"/>
    </font>
    <font>
      <b/>
      <sz val="5"/>
      <color theme="0"/>
      <name val="Aptos"/>
      <family val="2"/>
    </font>
    <font>
      <b/>
      <sz val="8"/>
      <color rgb="FFFFFFFF"/>
      <name val="Aptos"/>
      <family val="2"/>
    </font>
    <font>
      <b/>
      <sz val="7"/>
      <color rgb="FFFFFFFF"/>
      <name val="Aptos"/>
      <family val="2"/>
    </font>
    <font>
      <b/>
      <sz val="6"/>
      <color rgb="FFFFFFFF"/>
      <name val="Aptos"/>
      <family val="2"/>
    </font>
    <font>
      <b/>
      <sz val="10"/>
      <color theme="0"/>
      <name val="Aptos"/>
      <family val="2"/>
    </font>
    <font>
      <b/>
      <sz val="6"/>
      <color theme="0"/>
      <name val="Aptos"/>
      <family val="2"/>
    </font>
    <font>
      <sz val="11"/>
      <name val="Aptos"/>
      <family val="2"/>
    </font>
    <font>
      <sz val="11"/>
      <color rgb="FFF7FBFF"/>
      <name val="Aptos"/>
      <family val="2"/>
    </font>
    <font>
      <sz val="8"/>
      <color rgb="FF000000"/>
      <name val="Aptos"/>
      <family val="2"/>
    </font>
    <font>
      <strike/>
      <sz val="11"/>
      <color rgb="FF000000"/>
      <name val="Aptos"/>
      <family val="2"/>
    </font>
    <font>
      <sz val="11"/>
      <color theme="9" tint="-0.499984740745262"/>
      <name val="Aptos"/>
      <family val="2"/>
    </font>
    <font>
      <sz val="11"/>
      <color rgb="FF9C5700"/>
      <name val="Aptos"/>
      <family val="2"/>
    </font>
    <font>
      <strike/>
      <sz val="11"/>
      <color rgb="FF9C0006"/>
      <name val="Aptos"/>
      <family val="2"/>
    </font>
    <font>
      <b/>
      <sz val="4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theme="1"/>
      <name val="Aptos"/>
      <family val="2"/>
    </font>
    <font>
      <strike/>
      <sz val="11"/>
      <color theme="1"/>
      <name val="Aptos"/>
      <family val="2"/>
    </font>
    <font>
      <sz val="10"/>
      <color rgb="FF333333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scheme val="minor"/>
    </font>
    <font>
      <b/>
      <sz val="16"/>
      <color theme="1"/>
      <name val="Calibri"/>
      <scheme val="minor"/>
    </font>
    <font>
      <sz val="16"/>
      <color rgb="FF000000"/>
      <name val="Calibri"/>
      <scheme val="minor"/>
    </font>
    <font>
      <sz val="10"/>
      <color rgb="FF000000"/>
      <name val="Calibri"/>
      <charset val="1"/>
    </font>
    <font>
      <sz val="11"/>
      <color rgb="FF000000"/>
      <name val="Aptos"/>
    </font>
    <font>
      <sz val="11"/>
      <color rgb="FF333333"/>
      <name val="Calibri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7FBFF"/>
        <bgColor rgb="FF000000"/>
      </patternFill>
    </fill>
    <fill>
      <patternFill patternType="solid">
        <fgColor rgb="FFF7FBFF"/>
        <bgColor indexed="64"/>
      </patternFill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rgb="FFDCBD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theme="6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4E3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ABBB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6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 style="thin">
        <color theme="9"/>
      </right>
      <top/>
      <bottom/>
      <diagonal/>
    </border>
    <border>
      <left/>
      <right style="thin">
        <color theme="9" tint="-0.249977111117893"/>
      </right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theme="8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</borders>
  <cellStyleXfs count="4">
    <xf numFmtId="0" fontId="0" fillId="0" borderId="0"/>
    <xf numFmtId="0" fontId="4" fillId="5" borderId="0" applyNumberFormat="0" applyBorder="0" applyAlignment="0" applyProtection="0"/>
    <xf numFmtId="0" fontId="7" fillId="0" borderId="0" applyNumberFormat="0" applyFill="0" applyBorder="0" applyAlignment="0" applyProtection="0"/>
    <xf numFmtId="0" fontId="22" fillId="27" borderId="0" applyNumberFormat="0" applyBorder="0" applyAlignment="0" applyProtection="0"/>
  </cellStyleXfs>
  <cellXfs count="1348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4" fontId="5" fillId="0" borderId="24" xfId="0" applyNumberFormat="1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/>
    </xf>
    <xf numFmtId="14" fontId="5" fillId="0" borderId="62" xfId="0" applyNumberFormat="1" applyFont="1" applyBorder="1" applyAlignment="1">
      <alignment horizontal="center" vertical="center" wrapText="1"/>
    </xf>
    <xf numFmtId="0" fontId="6" fillId="0" borderId="0" xfId="0" applyFont="1"/>
    <xf numFmtId="0" fontId="0" fillId="0" borderId="125" xfId="0" applyBorder="1"/>
    <xf numFmtId="14" fontId="0" fillId="0" borderId="125" xfId="0" applyNumberFormat="1" applyBorder="1"/>
    <xf numFmtId="0" fontId="10" fillId="0" borderId="125" xfId="0" applyFont="1" applyBorder="1"/>
    <xf numFmtId="0" fontId="11" fillId="0" borderId="125" xfId="0" applyFont="1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12" fillId="0" borderId="125" xfId="0" applyFont="1" applyBorder="1" applyAlignment="1">
      <alignment horizontal="center" vertical="center"/>
    </xf>
    <xf numFmtId="49" fontId="11" fillId="0" borderId="125" xfId="0" applyNumberFormat="1" applyFont="1" applyBorder="1"/>
    <xf numFmtId="49" fontId="11" fillId="0" borderId="125" xfId="0" applyNumberFormat="1" applyFont="1" applyBorder="1" applyAlignment="1">
      <alignment horizontal="center" vertical="center"/>
    </xf>
    <xf numFmtId="0" fontId="9" fillId="16" borderId="125" xfId="0" applyFont="1" applyFill="1" applyBorder="1" applyAlignment="1">
      <alignment horizontal="center" vertical="center"/>
    </xf>
    <xf numFmtId="0" fontId="9" fillId="16" borderId="125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pivotButton="1"/>
    <xf numFmtId="49" fontId="0" fillId="0" borderId="125" xfId="0" applyNumberFormat="1" applyBorder="1"/>
    <xf numFmtId="0" fontId="0" fillId="0" borderId="125" xfId="0" applyBorder="1" applyAlignment="1">
      <alignment horizontal="right"/>
    </xf>
    <xf numFmtId="0" fontId="0" fillId="0" borderId="125" xfId="0" applyBorder="1" applyAlignment="1">
      <alignment horizontal="right" vertical="center"/>
    </xf>
    <xf numFmtId="49" fontId="0" fillId="0" borderId="124" xfId="0" applyNumberFormat="1" applyBorder="1"/>
    <xf numFmtId="14" fontId="0" fillId="0" borderId="0" xfId="0" applyNumberForma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0" fillId="0" borderId="0" xfId="0" applyFont="1"/>
    <xf numFmtId="49" fontId="9" fillId="16" borderId="12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9" fontId="14" fillId="0" borderId="0" xfId="0" applyNumberFormat="1" applyFont="1"/>
    <xf numFmtId="0" fontId="0" fillId="0" borderId="0" xfId="0" applyAlignment="1">
      <alignment wrapText="1"/>
    </xf>
    <xf numFmtId="0" fontId="10" fillId="0" borderId="125" xfId="0" applyFont="1" applyBorder="1" applyAlignment="1">
      <alignment horizontal="center" vertical="center"/>
    </xf>
    <xf numFmtId="0" fontId="10" fillId="0" borderId="125" xfId="0" applyFont="1" applyBorder="1" applyAlignment="1">
      <alignment horizontal="right" vertical="center"/>
    </xf>
    <xf numFmtId="0" fontId="0" fillId="0" borderId="124" xfId="0" applyBorder="1"/>
    <xf numFmtId="0" fontId="0" fillId="0" borderId="125" xfId="0" applyBorder="1" applyAlignment="1">
      <alignment vertical="center" wrapText="1"/>
    </xf>
    <xf numFmtId="14" fontId="0" fillId="0" borderId="125" xfId="0" applyNumberFormat="1" applyBorder="1" applyAlignment="1">
      <alignment horizontal="right"/>
    </xf>
    <xf numFmtId="49" fontId="11" fillId="0" borderId="0" xfId="0" applyNumberFormat="1" applyFont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9" fillId="20" borderId="29" xfId="0" applyFont="1" applyFill="1" applyBorder="1" applyAlignment="1">
      <alignment horizontal="center" vertical="center" wrapText="1"/>
    </xf>
    <xf numFmtId="0" fontId="16" fillId="20" borderId="29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0" fillId="0" borderId="125" xfId="2" applyFont="1" applyBorder="1"/>
    <xf numFmtId="14" fontId="0" fillId="0" borderId="125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125" xfId="0" applyNumberFormat="1" applyBorder="1" applyAlignment="1">
      <alignment vertical="center"/>
    </xf>
    <xf numFmtId="14" fontId="17" fillId="0" borderId="109" xfId="0" applyNumberFormat="1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14" fontId="0" fillId="0" borderId="125" xfId="0" applyNumberFormat="1" applyBorder="1" applyAlignment="1">
      <alignment wrapText="1"/>
    </xf>
    <xf numFmtId="165" fontId="0" fillId="0" borderId="0" xfId="0" applyNumberFormat="1"/>
    <xf numFmtId="0" fontId="10" fillId="26" borderId="158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14" fontId="17" fillId="0" borderId="111" xfId="0" applyNumberFormat="1" applyFont="1" applyBorder="1" applyAlignment="1">
      <alignment horizontal="center" vertical="center" wrapText="1"/>
    </xf>
    <xf numFmtId="14" fontId="17" fillId="0" borderId="111" xfId="0" applyNumberFormat="1" applyFont="1" applyBorder="1" applyAlignment="1">
      <alignment horizontal="center" vertical="center"/>
    </xf>
    <xf numFmtId="14" fontId="0" fillId="0" borderId="159" xfId="0" applyNumberFormat="1" applyBorder="1" applyAlignment="1">
      <alignment horizontal="center" vertical="center"/>
    </xf>
    <xf numFmtId="14" fontId="0" fillId="0" borderId="155" xfId="0" applyNumberFormat="1" applyBorder="1" applyAlignment="1">
      <alignment horizontal="center" vertical="center"/>
    </xf>
    <xf numFmtId="14" fontId="0" fillId="0" borderId="156" xfId="0" applyNumberFormat="1" applyBorder="1" applyAlignment="1">
      <alignment horizontal="center" vertical="center"/>
    </xf>
    <xf numFmtId="0" fontId="16" fillId="20" borderId="57" xfId="0" applyFont="1" applyFill="1" applyBorder="1" applyAlignment="1">
      <alignment horizontal="center" vertical="center" wrapText="1"/>
    </xf>
    <xf numFmtId="14" fontId="23" fillId="27" borderId="125" xfId="3" applyNumberFormat="1" applyFont="1" applyBorder="1" applyAlignment="1">
      <alignment horizontal="center" vertical="center"/>
    </xf>
    <xf numFmtId="0" fontId="15" fillId="0" borderId="111" xfId="0" applyFont="1" applyBorder="1" applyAlignment="1">
      <alignment horizontal="center" vertical="center" wrapText="1"/>
    </xf>
    <xf numFmtId="0" fontId="18" fillId="20" borderId="22" xfId="0" applyFont="1" applyFill="1" applyBorder="1" applyAlignment="1">
      <alignment horizontal="center" vertical="center" wrapText="1"/>
    </xf>
    <xf numFmtId="0" fontId="16" fillId="20" borderId="22" xfId="0" applyFont="1" applyFill="1" applyBorder="1" applyAlignment="1">
      <alignment horizontal="center" vertical="center" wrapText="1"/>
    </xf>
    <xf numFmtId="0" fontId="20" fillId="20" borderId="22" xfId="0" applyFont="1" applyFill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14" fontId="17" fillId="0" borderId="163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4" borderId="80" xfId="0" applyFont="1" applyFill="1" applyBorder="1" applyAlignment="1">
      <alignment horizontal="center" vertical="center"/>
    </xf>
    <xf numFmtId="0" fontId="15" fillId="4" borderId="147" xfId="0" applyFont="1" applyFill="1" applyBorder="1" applyAlignment="1">
      <alignment horizontal="center" vertical="center"/>
    </xf>
    <xf numFmtId="14" fontId="17" fillId="0" borderId="24" xfId="0" applyNumberFormat="1" applyFont="1" applyBorder="1" applyAlignment="1">
      <alignment horizontal="center" vertical="center" wrapText="1"/>
    </xf>
    <xf numFmtId="14" fontId="18" fillId="20" borderId="93" xfId="0" applyNumberFormat="1" applyFont="1" applyFill="1" applyBorder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/>
    </xf>
    <xf numFmtId="10" fontId="0" fillId="0" borderId="0" xfId="0" applyNumberFormat="1"/>
    <xf numFmtId="0" fontId="24" fillId="0" borderId="0" xfId="0" applyFont="1" applyAlignment="1">
      <alignment vertical="center"/>
    </xf>
    <xf numFmtId="0" fontId="0" fillId="14" borderId="0" xfId="0" applyFill="1"/>
    <xf numFmtId="0" fontId="15" fillId="4" borderId="162" xfId="0" applyFont="1" applyFill="1" applyBorder="1" applyAlignment="1">
      <alignment horizontal="center" vertical="center"/>
    </xf>
    <xf numFmtId="0" fontId="27" fillId="0" borderId="110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4" fontId="27" fillId="0" borderId="24" xfId="0" applyNumberFormat="1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/>
    </xf>
    <xf numFmtId="14" fontId="27" fillId="0" borderId="111" xfId="0" applyNumberFormat="1" applyFont="1" applyBorder="1" applyAlignment="1">
      <alignment horizontal="center" vertical="center" wrapText="1"/>
    </xf>
    <xf numFmtId="0" fontId="9" fillId="28" borderId="125" xfId="0" applyFont="1" applyFill="1" applyBorder="1" applyAlignment="1">
      <alignment horizontal="center" vertical="center"/>
    </xf>
    <xf numFmtId="49" fontId="9" fillId="28" borderId="12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10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0" fontId="33" fillId="0" borderId="0" xfId="0" applyNumberFormat="1" applyFont="1" applyAlignment="1">
      <alignment horizontal="center"/>
    </xf>
    <xf numFmtId="10" fontId="13" fillId="0" borderId="0" xfId="2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15" fontId="29" fillId="0" borderId="0" xfId="0" applyNumberFormat="1" applyFont="1"/>
    <xf numFmtId="14" fontId="0" fillId="0" borderId="0" xfId="0" applyNumberFormat="1" applyAlignment="1">
      <alignment horizontal="right"/>
    </xf>
    <xf numFmtId="0" fontId="10" fillId="0" borderId="125" xfId="2" applyFont="1" applyFill="1" applyBorder="1"/>
    <xf numFmtId="49" fontId="0" fillId="0" borderId="173" xfId="0" applyNumberFormat="1" applyBorder="1"/>
    <xf numFmtId="0" fontId="0" fillId="0" borderId="125" xfId="0" applyBorder="1" applyAlignment="1">
      <alignment horizontal="left"/>
    </xf>
    <xf numFmtId="0" fontId="15" fillId="4" borderId="77" xfId="0" applyFont="1" applyFill="1" applyBorder="1" applyAlignment="1">
      <alignment horizontal="center" wrapText="1"/>
    </xf>
    <xf numFmtId="0" fontId="15" fillId="4" borderId="147" xfId="0" applyFont="1" applyFill="1" applyBorder="1" applyAlignment="1">
      <alignment horizontal="center" wrapText="1"/>
    </xf>
    <xf numFmtId="0" fontId="10" fillId="0" borderId="0" xfId="2" applyFont="1" applyBorder="1"/>
    <xf numFmtId="0" fontId="15" fillId="4" borderId="0" xfId="0" applyFont="1" applyFill="1" applyAlignment="1">
      <alignment horizontal="center" wrapText="1"/>
    </xf>
    <xf numFmtId="0" fontId="34" fillId="0" borderId="124" xfId="0" applyFont="1" applyBorder="1"/>
    <xf numFmtId="0" fontId="10" fillId="0" borderId="0" xfId="2" applyFont="1" applyBorder="1" applyAlignment="1">
      <alignment wrapText="1"/>
    </xf>
    <xf numFmtId="0" fontId="15" fillId="4" borderId="9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32" fillId="0" borderId="0" xfId="0" applyNumberFormat="1" applyFont="1" applyAlignment="1">
      <alignment wrapText="1"/>
    </xf>
    <xf numFmtId="0" fontId="21" fillId="0" borderId="125" xfId="2" applyFont="1" applyBorder="1"/>
    <xf numFmtId="49" fontId="0" fillId="0" borderId="125" xfId="0" applyNumberFormat="1" applyBorder="1" applyAlignment="1">
      <alignment horizontal="left"/>
    </xf>
    <xf numFmtId="0" fontId="15" fillId="4" borderId="2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9" fillId="28" borderId="125" xfId="0" applyFont="1" applyFill="1" applyBorder="1" applyAlignment="1">
      <alignment horizontal="center" vertical="center" wrapText="1"/>
    </xf>
    <xf numFmtId="49" fontId="36" fillId="2" borderId="5" xfId="0" applyNumberFormat="1" applyFont="1" applyFill="1" applyBorder="1" applyAlignment="1">
      <alignment horizontal="center" vertical="center"/>
    </xf>
    <xf numFmtId="49" fontId="36" fillId="2" borderId="6" xfId="0" applyNumberFormat="1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 wrapText="1"/>
    </xf>
    <xf numFmtId="14" fontId="36" fillId="2" borderId="6" xfId="0" applyNumberFormat="1" applyFont="1" applyFill="1" applyBorder="1" applyAlignment="1">
      <alignment horizontal="center" vertical="center" wrapText="1"/>
    </xf>
    <xf numFmtId="164" fontId="37" fillId="2" borderId="20" xfId="0" applyNumberFormat="1" applyFont="1" applyFill="1" applyBorder="1" applyAlignment="1">
      <alignment horizontal="center" vertical="center" wrapText="1"/>
    </xf>
    <xf numFmtId="0" fontId="36" fillId="2" borderId="22" xfId="0" applyFont="1" applyFill="1" applyBorder="1" applyAlignment="1">
      <alignment horizontal="center" vertical="center" wrapText="1"/>
    </xf>
    <xf numFmtId="0" fontId="36" fillId="2" borderId="21" xfId="0" applyFont="1" applyFill="1" applyBorder="1" applyAlignment="1">
      <alignment horizontal="center" vertical="center" wrapText="1"/>
    </xf>
    <xf numFmtId="14" fontId="37" fillId="6" borderId="21" xfId="0" applyNumberFormat="1" applyFont="1" applyFill="1" applyBorder="1" applyAlignment="1">
      <alignment horizontal="center" vertical="center" wrapText="1"/>
    </xf>
    <xf numFmtId="0" fontId="38" fillId="6" borderId="20" xfId="0" applyFont="1" applyFill="1" applyBorder="1" applyAlignment="1">
      <alignment horizontal="center" vertical="center" wrapText="1"/>
    </xf>
    <xf numFmtId="0" fontId="37" fillId="6" borderId="22" xfId="0" applyFont="1" applyFill="1" applyBorder="1" applyAlignment="1">
      <alignment horizontal="center" vertical="center" wrapText="1"/>
    </xf>
    <xf numFmtId="0" fontId="39" fillId="6" borderId="78" xfId="0" applyFont="1" applyFill="1" applyBorder="1" applyAlignment="1">
      <alignment horizontal="center" vertical="center" wrapText="1"/>
    </xf>
    <xf numFmtId="0" fontId="42" fillId="2" borderId="81" xfId="0" applyFont="1" applyFill="1" applyBorder="1" applyAlignment="1">
      <alignment horizontal="center" vertical="center" wrapText="1"/>
    </xf>
    <xf numFmtId="14" fontId="42" fillId="12" borderId="22" xfId="0" applyNumberFormat="1" applyFont="1" applyFill="1" applyBorder="1" applyAlignment="1">
      <alignment horizontal="center" vertical="center" wrapText="1"/>
    </xf>
    <xf numFmtId="0" fontId="36" fillId="12" borderId="21" xfId="0" applyFont="1" applyFill="1" applyBorder="1" applyAlignment="1">
      <alignment horizontal="center" vertical="center" wrapText="1"/>
    </xf>
    <xf numFmtId="0" fontId="37" fillId="12" borderId="21" xfId="0" applyFont="1" applyFill="1" applyBorder="1" applyAlignment="1">
      <alignment horizontal="center" vertical="center" wrapText="1"/>
    </xf>
    <xf numFmtId="0" fontId="43" fillId="12" borderId="6" xfId="0" applyFont="1" applyFill="1" applyBorder="1" applyAlignment="1">
      <alignment horizontal="center" vertical="center" wrapText="1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2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17" fillId="4" borderId="2" xfId="0" applyNumberFormat="1" applyFont="1" applyFill="1" applyBorder="1" applyAlignment="1">
      <alignment horizontal="center" vertical="center" wrapText="1"/>
    </xf>
    <xf numFmtId="14" fontId="17" fillId="0" borderId="2" xfId="0" applyNumberFormat="1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4" borderId="62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82" xfId="0" applyFont="1" applyFill="1" applyBorder="1" applyAlignment="1">
      <alignment horizontal="center" vertical="center" wrapText="1"/>
    </xf>
    <xf numFmtId="14" fontId="44" fillId="4" borderId="19" xfId="0" applyNumberFormat="1" applyFont="1" applyFill="1" applyBorder="1" applyAlignment="1">
      <alignment horizontal="center" vertical="center" wrapText="1"/>
    </xf>
    <xf numFmtId="0" fontId="45" fillId="4" borderId="2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14" fontId="17" fillId="4" borderId="25" xfId="0" applyNumberFormat="1" applyFont="1" applyFill="1" applyBorder="1" applyAlignment="1">
      <alignment horizontal="center" vertical="center" wrapText="1"/>
    </xf>
    <xf numFmtId="14" fontId="17" fillId="0" borderId="25" xfId="0" applyNumberFormat="1" applyFont="1" applyBorder="1" applyAlignment="1">
      <alignment horizontal="center" vertical="center" wrapText="1"/>
    </xf>
    <xf numFmtId="0" fontId="17" fillId="4" borderId="55" xfId="0" applyFont="1" applyFill="1" applyBorder="1" applyAlignment="1">
      <alignment horizontal="center" vertical="center" wrapText="1"/>
    </xf>
    <xf numFmtId="0" fontId="17" fillId="4" borderId="52" xfId="0" applyFont="1" applyFill="1" applyBorder="1" applyAlignment="1">
      <alignment horizontal="center" vertical="center" wrapText="1"/>
    </xf>
    <xf numFmtId="14" fontId="44" fillId="4" borderId="79" xfId="0" applyNumberFormat="1" applyFont="1" applyFill="1" applyBorder="1" applyAlignment="1">
      <alignment horizontal="center" vertical="center" wrapText="1"/>
    </xf>
    <xf numFmtId="0" fontId="45" fillId="4" borderId="25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54" xfId="0" applyFont="1" applyFill="1" applyBorder="1" applyAlignment="1">
      <alignment horizontal="center" vertical="center" wrapText="1"/>
    </xf>
    <xf numFmtId="49" fontId="17" fillId="4" borderId="8" xfId="0" applyNumberFormat="1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0" borderId="95" xfId="0" applyFont="1" applyBorder="1" applyAlignment="1">
      <alignment horizontal="center" vertical="center"/>
    </xf>
    <xf numFmtId="0" fontId="17" fillId="3" borderId="52" xfId="0" applyFont="1" applyFill="1" applyBorder="1" applyAlignment="1">
      <alignment horizontal="center" vertical="center" wrapText="1"/>
    </xf>
    <xf numFmtId="49" fontId="17" fillId="3" borderId="57" xfId="0" applyNumberFormat="1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0" fontId="17" fillId="3" borderId="48" xfId="0" applyFont="1" applyFill="1" applyBorder="1" applyAlignment="1">
      <alignment horizontal="center" vertical="center" wrapText="1"/>
    </xf>
    <xf numFmtId="14" fontId="17" fillId="3" borderId="4" xfId="0" applyNumberFormat="1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14" fontId="17" fillId="4" borderId="34" xfId="0" applyNumberFormat="1" applyFont="1" applyFill="1" applyBorder="1" applyAlignment="1">
      <alignment horizontal="center" vertical="center" wrapText="1"/>
    </xf>
    <xf numFmtId="14" fontId="17" fillId="0" borderId="34" xfId="0" applyNumberFormat="1" applyFont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14" fontId="44" fillId="4" borderId="89" xfId="0" applyNumberFormat="1" applyFont="1" applyFill="1" applyBorder="1" applyAlignment="1">
      <alignment horizontal="center" vertical="center"/>
    </xf>
    <xf numFmtId="0" fontId="45" fillId="4" borderId="34" xfId="0" applyFont="1" applyFill="1" applyBorder="1" applyAlignment="1">
      <alignment horizontal="center" vertical="center" wrapText="1"/>
    </xf>
    <xf numFmtId="49" fontId="17" fillId="3" borderId="31" xfId="0" applyNumberFormat="1" applyFont="1" applyFill="1" applyBorder="1" applyAlignment="1">
      <alignment horizontal="center" vertical="center"/>
    </xf>
    <xf numFmtId="49" fontId="17" fillId="4" borderId="39" xfId="0" applyNumberFormat="1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 wrapText="1"/>
    </xf>
    <xf numFmtId="0" fontId="17" fillId="3" borderId="49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14" fontId="17" fillId="4" borderId="3" xfId="0" applyNumberFormat="1" applyFont="1" applyFill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103" xfId="0" applyFont="1" applyFill="1" applyBorder="1" applyAlignment="1">
      <alignment horizontal="center" vertical="center" wrapText="1"/>
    </xf>
    <xf numFmtId="0" fontId="17" fillId="3" borderId="82" xfId="0" applyFont="1" applyFill="1" applyBorder="1" applyAlignment="1">
      <alignment horizontal="center" vertical="center" wrapText="1"/>
    </xf>
    <xf numFmtId="14" fontId="44" fillId="4" borderId="33" xfId="0" applyNumberFormat="1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 wrapText="1"/>
    </xf>
    <xf numFmtId="14" fontId="17" fillId="7" borderId="3" xfId="0" applyNumberFormat="1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14" fontId="44" fillId="4" borderId="70" xfId="0" applyNumberFormat="1" applyFont="1" applyFill="1" applyBorder="1" applyAlignment="1">
      <alignment horizontal="center" vertical="center"/>
    </xf>
    <xf numFmtId="14" fontId="17" fillId="4" borderId="24" xfId="0" applyNumberFormat="1" applyFont="1" applyFill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14" fontId="17" fillId="4" borderId="24" xfId="0" applyNumberFormat="1" applyFont="1" applyFill="1" applyBorder="1" applyAlignment="1">
      <alignment horizontal="center" vertical="center"/>
    </xf>
    <xf numFmtId="14" fontId="17" fillId="0" borderId="24" xfId="0" applyNumberFormat="1" applyFont="1" applyBorder="1" applyAlignment="1">
      <alignment horizontal="center" vertical="center"/>
    </xf>
    <xf numFmtId="14" fontId="17" fillId="7" borderId="24" xfId="0" applyNumberFormat="1" applyFont="1" applyFill="1" applyBorder="1" applyAlignment="1">
      <alignment horizontal="center" vertical="center"/>
    </xf>
    <xf numFmtId="0" fontId="17" fillId="3" borderId="88" xfId="0" applyFont="1" applyFill="1" applyBorder="1" applyAlignment="1">
      <alignment horizontal="center" vertical="center" wrapText="1"/>
    </xf>
    <xf numFmtId="14" fontId="44" fillId="4" borderId="19" xfId="0" applyNumberFormat="1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 wrapText="1"/>
    </xf>
    <xf numFmtId="0" fontId="17" fillId="4" borderId="37" xfId="0" applyFont="1" applyFill="1" applyBorder="1" applyAlignment="1">
      <alignment horizontal="center" vertical="center" wrapText="1"/>
    </xf>
    <xf numFmtId="49" fontId="17" fillId="4" borderId="29" xfId="0" applyNumberFormat="1" applyFont="1" applyFill="1" applyBorder="1" applyAlignment="1">
      <alignment horizontal="center" vertical="center"/>
    </xf>
    <xf numFmtId="0" fontId="17" fillId="3" borderId="58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14" fontId="17" fillId="4" borderId="4" xfId="0" applyNumberFormat="1" applyFont="1" applyFill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14" fontId="44" fillId="4" borderId="56" xfId="0" applyNumberFormat="1" applyFont="1" applyFill="1" applyBorder="1" applyAlignment="1">
      <alignment horizontal="center" vertical="center"/>
    </xf>
    <xf numFmtId="0" fontId="17" fillId="4" borderId="68" xfId="0" applyFont="1" applyFill="1" applyBorder="1" applyAlignment="1">
      <alignment horizontal="center" vertical="center" wrapText="1"/>
    </xf>
    <xf numFmtId="49" fontId="17" fillId="4" borderId="28" xfId="0" applyNumberFormat="1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 wrapText="1"/>
    </xf>
    <xf numFmtId="14" fontId="17" fillId="4" borderId="76" xfId="0" applyNumberFormat="1" applyFont="1" applyFill="1" applyBorder="1" applyAlignment="1">
      <alignment horizontal="center" vertical="center" wrapText="1"/>
    </xf>
    <xf numFmtId="14" fontId="17" fillId="7" borderId="76" xfId="0" applyNumberFormat="1" applyFont="1" applyFill="1" applyBorder="1" applyAlignment="1">
      <alignment horizontal="center" vertical="center" wrapText="1"/>
    </xf>
    <xf numFmtId="0" fontId="17" fillId="0" borderId="80" xfId="0" applyFont="1" applyBorder="1" applyAlignment="1">
      <alignment horizontal="center" vertical="center" wrapText="1"/>
    </xf>
    <xf numFmtId="0" fontId="17" fillId="10" borderId="103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horizontal="center" vertical="center"/>
    </xf>
    <xf numFmtId="14" fontId="44" fillId="4" borderId="79" xfId="0" applyNumberFormat="1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 wrapText="1"/>
    </xf>
    <xf numFmtId="0" fontId="17" fillId="4" borderId="36" xfId="0" applyFont="1" applyFill="1" applyBorder="1" applyAlignment="1">
      <alignment horizontal="center" vertical="center" wrapText="1"/>
    </xf>
    <xf numFmtId="164" fontId="17" fillId="3" borderId="25" xfId="0" applyNumberFormat="1" applyFont="1" applyFill="1" applyBorder="1" applyAlignment="1">
      <alignment horizontal="center" vertical="center"/>
    </xf>
    <xf numFmtId="0" fontId="17" fillId="0" borderId="85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14" fontId="17" fillId="7" borderId="24" xfId="0" applyNumberFormat="1" applyFont="1" applyFill="1" applyBorder="1" applyAlignment="1">
      <alignment horizontal="center" vertical="center" wrapText="1"/>
    </xf>
    <xf numFmtId="0" fontId="17" fillId="0" borderId="86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25" xfId="0" applyFont="1" applyBorder="1"/>
    <xf numFmtId="0" fontId="17" fillId="0" borderId="77" xfId="0" applyFont="1" applyBorder="1" applyAlignment="1">
      <alignment horizontal="center" vertical="center"/>
    </xf>
    <xf numFmtId="0" fontId="17" fillId="0" borderId="77" xfId="2" applyFont="1" applyBorder="1" applyAlignment="1">
      <alignment horizontal="center" vertical="center"/>
    </xf>
    <xf numFmtId="14" fontId="17" fillId="4" borderId="24" xfId="2" applyNumberFormat="1" applyFont="1" applyFill="1" applyBorder="1" applyAlignment="1">
      <alignment horizontal="center" vertical="center"/>
    </xf>
    <xf numFmtId="14" fontId="17" fillId="7" borderId="24" xfId="2" applyNumberFormat="1" applyFont="1" applyFill="1" applyBorder="1" applyAlignment="1">
      <alignment horizontal="center" vertical="center"/>
    </xf>
    <xf numFmtId="0" fontId="17" fillId="3" borderId="106" xfId="0" applyFont="1" applyFill="1" applyBorder="1" applyAlignment="1">
      <alignment horizontal="center" vertical="center" wrapText="1"/>
    </xf>
    <xf numFmtId="49" fontId="17" fillId="3" borderId="4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64" fontId="17" fillId="3" borderId="4" xfId="0" applyNumberFormat="1" applyFont="1" applyFill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164" fontId="17" fillId="3" borderId="34" xfId="0" applyNumberFormat="1" applyFont="1" applyFill="1" applyBorder="1" applyAlignment="1">
      <alignment horizontal="center" vertical="center"/>
    </xf>
    <xf numFmtId="0" fontId="17" fillId="4" borderId="87" xfId="0" applyFont="1" applyFill="1" applyBorder="1" applyAlignment="1">
      <alignment horizontal="center" vertical="center" wrapText="1"/>
    </xf>
    <xf numFmtId="0" fontId="17" fillId="3" borderId="90" xfId="0" applyFont="1" applyFill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49" fontId="17" fillId="4" borderId="18" xfId="0" applyNumberFormat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/>
    </xf>
    <xf numFmtId="14" fontId="17" fillId="3" borderId="18" xfId="0" applyNumberFormat="1" applyFont="1" applyFill="1" applyBorder="1" applyAlignment="1">
      <alignment horizontal="center" vertical="center"/>
    </xf>
    <xf numFmtId="164" fontId="17" fillId="3" borderId="46" xfId="0" applyNumberFormat="1" applyFont="1" applyFill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14" fontId="17" fillId="4" borderId="46" xfId="0" applyNumberFormat="1" applyFont="1" applyFill="1" applyBorder="1" applyAlignment="1">
      <alignment horizontal="center" vertical="center" wrapText="1"/>
    </xf>
    <xf numFmtId="14" fontId="17" fillId="0" borderId="46" xfId="0" applyNumberFormat="1" applyFont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3" borderId="53" xfId="0" applyFont="1" applyFill="1" applyBorder="1" applyAlignment="1">
      <alignment horizontal="center" vertical="center" wrapText="1"/>
    </xf>
    <xf numFmtId="14" fontId="44" fillId="4" borderId="92" xfId="0" applyNumberFormat="1" applyFont="1" applyFill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0" fontId="17" fillId="3" borderId="44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14" fontId="17" fillId="0" borderId="26" xfId="0" applyNumberFormat="1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14" fontId="45" fillId="4" borderId="70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14" fontId="17" fillId="0" borderId="42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45" fillId="4" borderId="3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14" fontId="45" fillId="4" borderId="33" xfId="0" applyNumberFormat="1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14" fontId="17" fillId="4" borderId="18" xfId="0" applyNumberFormat="1" applyFont="1" applyFill="1" applyBorder="1" applyAlignment="1">
      <alignment horizontal="center" vertical="center" wrapText="1"/>
    </xf>
    <xf numFmtId="14" fontId="17" fillId="0" borderId="37" xfId="0" applyNumberFormat="1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14" fontId="45" fillId="4" borderId="83" xfId="0" applyNumberFormat="1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 wrapText="1"/>
    </xf>
    <xf numFmtId="0" fontId="45" fillId="4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14" fontId="45" fillId="4" borderId="27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4" fontId="17" fillId="4" borderId="26" xfId="0" applyNumberFormat="1" applyFont="1" applyFill="1" applyBorder="1" applyAlignment="1">
      <alignment horizontal="center" vertical="center" wrapText="1"/>
    </xf>
    <xf numFmtId="14" fontId="45" fillId="4" borderId="79" xfId="0" applyNumberFormat="1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 vertical="center" wrapText="1"/>
    </xf>
    <xf numFmtId="49" fontId="17" fillId="4" borderId="6" xfId="0" applyNumberFormat="1" applyFont="1" applyFill="1" applyBorder="1" applyAlignment="1">
      <alignment horizontal="center" vertical="center"/>
    </xf>
    <xf numFmtId="0" fontId="46" fillId="13" borderId="18" xfId="0" applyFont="1" applyFill="1" applyBorder="1" applyAlignment="1">
      <alignment horizontal="center" vertical="center" wrapText="1"/>
    </xf>
    <xf numFmtId="14" fontId="17" fillId="4" borderId="4" xfId="0" applyNumberFormat="1" applyFont="1" applyFill="1" applyBorder="1" applyAlignment="1">
      <alignment horizontal="center" vertical="center"/>
    </xf>
    <xf numFmtId="164" fontId="17" fillId="4" borderId="4" xfId="0" applyNumberFormat="1" applyFont="1" applyFill="1" applyBorder="1" applyAlignment="1">
      <alignment horizontal="center" vertical="center"/>
    </xf>
    <xf numFmtId="14" fontId="17" fillId="4" borderId="87" xfId="0" applyNumberFormat="1" applyFont="1" applyFill="1" applyBorder="1" applyAlignment="1">
      <alignment horizontal="center" vertical="center" wrapText="1"/>
    </xf>
    <xf numFmtId="14" fontId="17" fillId="0" borderId="87" xfId="0" applyNumberFormat="1" applyFont="1" applyBorder="1" applyAlignment="1">
      <alignment horizontal="center" vertical="center" wrapText="1"/>
    </xf>
    <xf numFmtId="0" fontId="17" fillId="3" borderId="114" xfId="0" applyFont="1" applyFill="1" applyBorder="1" applyAlignment="1">
      <alignment horizontal="center" vertical="center" wrapText="1"/>
    </xf>
    <xf numFmtId="14" fontId="45" fillId="4" borderId="96" xfId="0" applyNumberFormat="1" applyFont="1" applyFill="1" applyBorder="1" applyAlignment="1">
      <alignment horizontal="center" vertical="center"/>
    </xf>
    <xf numFmtId="0" fontId="17" fillId="4" borderId="113" xfId="0" applyFont="1" applyFill="1" applyBorder="1" applyAlignment="1">
      <alignment horizontal="center" vertical="center" wrapText="1"/>
    </xf>
    <xf numFmtId="0" fontId="45" fillId="4" borderId="97" xfId="0" applyFont="1" applyFill="1" applyBorder="1" applyAlignment="1">
      <alignment horizontal="center" vertical="center" wrapText="1"/>
    </xf>
    <xf numFmtId="0" fontId="17" fillId="4" borderId="116" xfId="0" applyFont="1" applyFill="1" applyBorder="1" applyAlignment="1">
      <alignment horizontal="center" vertical="center" wrapText="1"/>
    </xf>
    <xf numFmtId="49" fontId="17" fillId="3" borderId="50" xfId="0" applyNumberFormat="1" applyFont="1" applyFill="1" applyBorder="1" applyAlignment="1">
      <alignment horizontal="center" vertical="center"/>
    </xf>
    <xf numFmtId="49" fontId="17" fillId="4" borderId="2" xfId="0" applyNumberFormat="1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/>
    </xf>
    <xf numFmtId="0" fontId="44" fillId="4" borderId="79" xfId="0" applyFont="1" applyFill="1" applyBorder="1" applyAlignment="1">
      <alignment horizontal="center" vertical="center"/>
    </xf>
    <xf numFmtId="0" fontId="17" fillId="4" borderId="115" xfId="0" applyFont="1" applyFill="1" applyBorder="1" applyAlignment="1">
      <alignment horizontal="center" vertical="center"/>
    </xf>
    <xf numFmtId="0" fontId="17" fillId="4" borderId="85" xfId="0" applyFont="1" applyFill="1" applyBorder="1" applyAlignment="1">
      <alignment horizontal="center" vertical="center"/>
    </xf>
    <xf numFmtId="0" fontId="17" fillId="4" borderId="45" xfId="0" applyFont="1" applyFill="1" applyBorder="1" applyAlignment="1">
      <alignment horizontal="center" vertical="center" wrapText="1"/>
    </xf>
    <xf numFmtId="14" fontId="17" fillId="4" borderId="56" xfId="0" applyNumberFormat="1" applyFont="1" applyFill="1" applyBorder="1" applyAlignment="1">
      <alignment horizontal="center" vertical="center" wrapText="1"/>
    </xf>
    <xf numFmtId="14" fontId="17" fillId="0" borderId="56" xfId="0" applyNumberFormat="1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44" fillId="4" borderId="4" xfId="0" applyFont="1" applyFill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 wrapText="1"/>
    </xf>
    <xf numFmtId="14" fontId="17" fillId="4" borderId="60" xfId="0" applyNumberFormat="1" applyFont="1" applyFill="1" applyBorder="1" applyAlignment="1">
      <alignment horizontal="center" vertical="center" wrapText="1"/>
    </xf>
    <xf numFmtId="14" fontId="17" fillId="0" borderId="60" xfId="0" applyNumberFormat="1" applyFont="1" applyBorder="1" applyAlignment="1">
      <alignment horizontal="center" vertical="center" wrapText="1"/>
    </xf>
    <xf numFmtId="0" fontId="17" fillId="3" borderId="71" xfId="0" applyFont="1" applyFill="1" applyBorder="1" applyAlignment="1">
      <alignment horizontal="center" vertical="center" wrapText="1"/>
    </xf>
    <xf numFmtId="14" fontId="44" fillId="4" borderId="61" xfId="0" applyNumberFormat="1" applyFont="1" applyFill="1" applyBorder="1" applyAlignment="1">
      <alignment horizontal="center" vertical="center"/>
    </xf>
    <xf numFmtId="0" fontId="17" fillId="4" borderId="59" xfId="0" applyFont="1" applyFill="1" applyBorder="1" applyAlignment="1">
      <alignment horizontal="center" vertical="center" wrapText="1"/>
    </xf>
    <xf numFmtId="0" fontId="17" fillId="4" borderId="60" xfId="0" applyFont="1" applyFill="1" applyBorder="1" applyAlignment="1">
      <alignment horizontal="center" vertical="center" wrapText="1"/>
    </xf>
    <xf numFmtId="0" fontId="44" fillId="4" borderId="60" xfId="0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14" fontId="17" fillId="4" borderId="19" xfId="0" applyNumberFormat="1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14" fontId="45" fillId="4" borderId="19" xfId="0" applyNumberFormat="1" applyFont="1" applyFill="1" applyBorder="1" applyAlignment="1">
      <alignment horizontal="center" vertical="center"/>
    </xf>
    <xf numFmtId="0" fontId="45" fillId="4" borderId="26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14" fontId="45" fillId="4" borderId="76" xfId="0" applyNumberFormat="1" applyFont="1" applyFill="1" applyBorder="1" applyAlignment="1">
      <alignment horizontal="center" vertical="center"/>
    </xf>
    <xf numFmtId="0" fontId="17" fillId="4" borderId="42" xfId="0" applyFont="1" applyFill="1" applyBorder="1" applyAlignment="1">
      <alignment horizontal="center" vertical="center" wrapText="1"/>
    </xf>
    <xf numFmtId="0" fontId="45" fillId="4" borderId="42" xfId="0" applyFont="1" applyFill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14" fontId="17" fillId="4" borderId="39" xfId="0" applyNumberFormat="1" applyFont="1" applyFill="1" applyBorder="1" applyAlignment="1">
      <alignment horizontal="center" vertical="center" wrapText="1"/>
    </xf>
    <xf numFmtId="14" fontId="17" fillId="0" borderId="39" xfId="0" applyNumberFormat="1" applyFont="1" applyBorder="1" applyAlignment="1">
      <alignment horizontal="center" vertical="center" wrapText="1"/>
    </xf>
    <xf numFmtId="14" fontId="45" fillId="4" borderId="72" xfId="0" applyNumberFormat="1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 wrapText="1"/>
    </xf>
    <xf numFmtId="0" fontId="17" fillId="4" borderId="38" xfId="0" applyFont="1" applyFill="1" applyBorder="1" applyAlignment="1">
      <alignment horizontal="center" vertical="center" wrapText="1"/>
    </xf>
    <xf numFmtId="0" fontId="45" fillId="4" borderId="38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/>
    </xf>
    <xf numFmtId="0" fontId="45" fillId="4" borderId="24" xfId="0" applyFont="1" applyFill="1" applyBorder="1" applyAlignment="1">
      <alignment horizontal="center" vertical="center" wrapText="1"/>
    </xf>
    <xf numFmtId="0" fontId="17" fillId="3" borderId="67" xfId="0" applyFont="1" applyFill="1" applyBorder="1" applyAlignment="1">
      <alignment horizontal="center" vertical="center" wrapText="1"/>
    </xf>
    <xf numFmtId="0" fontId="17" fillId="3" borderId="73" xfId="0" applyFont="1" applyFill="1" applyBorder="1" applyAlignment="1">
      <alignment horizontal="center" vertical="center" wrapText="1"/>
    </xf>
    <xf numFmtId="0" fontId="17" fillId="3" borderId="73" xfId="0" applyFont="1" applyFill="1" applyBorder="1" applyAlignment="1">
      <alignment horizontal="center" vertical="center"/>
    </xf>
    <xf numFmtId="0" fontId="17" fillId="0" borderId="58" xfId="0" applyFont="1" applyBorder="1" applyAlignment="1">
      <alignment horizontal="center" vertical="center" wrapText="1"/>
    </xf>
    <xf numFmtId="14" fontId="17" fillId="4" borderId="58" xfId="0" applyNumberFormat="1" applyFont="1" applyFill="1" applyBorder="1" applyAlignment="1">
      <alignment horizontal="center" vertical="center" wrapText="1"/>
    </xf>
    <xf numFmtId="14" fontId="17" fillId="0" borderId="58" xfId="0" applyNumberFormat="1" applyFont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14" fontId="45" fillId="4" borderId="94" xfId="0" applyNumberFormat="1" applyFont="1" applyFill="1" applyBorder="1" applyAlignment="1">
      <alignment horizontal="center" vertical="center"/>
    </xf>
    <xf numFmtId="0" fontId="17" fillId="4" borderId="69" xfId="0" applyFont="1" applyFill="1" applyBorder="1" applyAlignment="1">
      <alignment horizontal="center" vertical="center" wrapText="1"/>
    </xf>
    <xf numFmtId="0" fontId="45" fillId="4" borderId="69" xfId="0" applyFont="1" applyFill="1" applyBorder="1" applyAlignment="1">
      <alignment horizontal="center" vertical="center" wrapText="1"/>
    </xf>
    <xf numFmtId="49" fontId="17" fillId="4" borderId="31" xfId="0" applyNumberFormat="1" applyFont="1" applyFill="1" applyBorder="1" applyAlignment="1">
      <alignment horizontal="center" vertical="center"/>
    </xf>
    <xf numFmtId="0" fontId="17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/>
    </xf>
    <xf numFmtId="14" fontId="17" fillId="4" borderId="35" xfId="0" applyNumberFormat="1" applyFont="1" applyFill="1" applyBorder="1" applyAlignment="1">
      <alignment horizontal="center" vertical="center" wrapText="1"/>
    </xf>
    <xf numFmtId="14" fontId="17" fillId="7" borderId="35" xfId="0" applyNumberFormat="1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/>
    </xf>
    <xf numFmtId="14" fontId="17" fillId="4" borderId="72" xfId="0" applyNumberFormat="1" applyFont="1" applyFill="1" applyBorder="1" applyAlignment="1">
      <alignment horizontal="center" vertical="center" wrapText="1"/>
    </xf>
    <xf numFmtId="14" fontId="17" fillId="0" borderId="72" xfId="0" applyNumberFormat="1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4" borderId="104" xfId="0" applyFont="1" applyFill="1" applyBorder="1" applyAlignment="1">
      <alignment horizontal="center" vertical="center" wrapText="1"/>
    </xf>
    <xf numFmtId="0" fontId="17" fillId="3" borderId="67" xfId="0" applyFont="1" applyFill="1" applyBorder="1" applyAlignment="1">
      <alignment horizontal="center" vertical="center"/>
    </xf>
    <xf numFmtId="14" fontId="17" fillId="4" borderId="73" xfId="0" applyNumberFormat="1" applyFont="1" applyFill="1" applyBorder="1" applyAlignment="1">
      <alignment horizontal="center" vertical="center"/>
    </xf>
    <xf numFmtId="14" fontId="17" fillId="0" borderId="91" xfId="0" applyNumberFormat="1" applyFont="1" applyBorder="1" applyAlignment="1">
      <alignment horizontal="center" vertical="center"/>
    </xf>
    <xf numFmtId="0" fontId="45" fillId="4" borderId="68" xfId="0" applyFont="1" applyFill="1" applyBorder="1" applyAlignment="1">
      <alignment horizontal="center" vertical="center" wrapText="1"/>
    </xf>
    <xf numFmtId="0" fontId="17" fillId="0" borderId="1" xfId="1" applyNumberFormat="1" applyFont="1" applyFill="1" applyBorder="1" applyAlignment="1">
      <alignment horizontal="center" vertical="center"/>
    </xf>
    <xf numFmtId="0" fontId="17" fillId="0" borderId="86" xfId="1" applyFont="1" applyFill="1" applyBorder="1" applyAlignment="1">
      <alignment horizontal="center" vertical="center"/>
    </xf>
    <xf numFmtId="0" fontId="18" fillId="4" borderId="32" xfId="1" applyFont="1" applyFill="1" applyBorder="1" applyAlignment="1">
      <alignment horizontal="center" vertical="center" wrapText="1"/>
    </xf>
    <xf numFmtId="0" fontId="45" fillId="4" borderId="3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44" fillId="4" borderId="33" xfId="0" applyFont="1" applyFill="1" applyBorder="1" applyAlignment="1">
      <alignment horizontal="center" vertical="center"/>
    </xf>
    <xf numFmtId="0" fontId="47" fillId="4" borderId="32" xfId="0" applyFont="1" applyFill="1" applyBorder="1" applyAlignment="1">
      <alignment horizontal="center" vertical="center" wrapText="1"/>
    </xf>
    <xf numFmtId="0" fontId="17" fillId="0" borderId="86" xfId="0" applyFont="1" applyBorder="1" applyAlignment="1">
      <alignment horizontal="center" vertical="center" wrapText="1"/>
    </xf>
    <xf numFmtId="0" fontId="44" fillId="4" borderId="33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4" fillId="4" borderId="79" xfId="0" applyFont="1" applyFill="1" applyBorder="1" applyAlignment="1">
      <alignment horizontal="center" vertical="center" wrapText="1"/>
    </xf>
    <xf numFmtId="0" fontId="45" fillId="4" borderId="55" xfId="0" applyFont="1" applyFill="1" applyBorder="1" applyAlignment="1">
      <alignment horizontal="center" vertical="center" wrapText="1"/>
    </xf>
    <xf numFmtId="14" fontId="17" fillId="4" borderId="74" xfId="0" applyNumberFormat="1" applyFont="1" applyFill="1" applyBorder="1" applyAlignment="1">
      <alignment horizontal="center" vertical="center"/>
    </xf>
    <xf numFmtId="49" fontId="17" fillId="4" borderId="40" xfId="0" applyNumberFormat="1" applyFont="1" applyFill="1" applyBorder="1" applyAlignment="1">
      <alignment horizontal="center" vertical="center"/>
    </xf>
    <xf numFmtId="0" fontId="45" fillId="4" borderId="89" xfId="0" applyFont="1" applyFill="1" applyBorder="1" applyAlignment="1">
      <alignment horizontal="center" vertical="center" wrapText="1"/>
    </xf>
    <xf numFmtId="14" fontId="17" fillId="4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45" fillId="4" borderId="33" xfId="0" applyFont="1" applyFill="1" applyBorder="1" applyAlignment="1">
      <alignment horizontal="center" vertical="center" wrapText="1"/>
    </xf>
    <xf numFmtId="14" fontId="17" fillId="7" borderId="1" xfId="0" applyNumberFormat="1" applyFont="1" applyFill="1" applyBorder="1" applyAlignment="1">
      <alignment horizontal="center" vertical="center" wrapText="1"/>
    </xf>
    <xf numFmtId="14" fontId="17" fillId="7" borderId="25" xfId="0" applyNumberFormat="1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center" vertical="center" wrapText="1"/>
    </xf>
    <xf numFmtId="14" fontId="17" fillId="7" borderId="34" xfId="0" applyNumberFormat="1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45" fillId="4" borderId="92" xfId="0" applyFont="1" applyFill="1" applyBorder="1" applyAlignment="1">
      <alignment horizontal="center" vertical="center" wrapText="1"/>
    </xf>
    <xf numFmtId="0" fontId="17" fillId="4" borderId="46" xfId="0" applyFont="1" applyFill="1" applyBorder="1" applyAlignment="1">
      <alignment horizontal="center" vertical="center" wrapText="1"/>
    </xf>
    <xf numFmtId="0" fontId="45" fillId="4" borderId="46" xfId="0" applyFont="1" applyFill="1" applyBorder="1" applyAlignment="1">
      <alignment horizontal="center" vertical="center" wrapText="1"/>
    </xf>
    <xf numFmtId="0" fontId="45" fillId="4" borderId="70" xfId="0" applyFont="1" applyFill="1" applyBorder="1" applyAlignment="1">
      <alignment horizontal="center" vertical="center" wrapText="1"/>
    </xf>
    <xf numFmtId="0" fontId="17" fillId="4" borderId="105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45" fillId="4" borderId="56" xfId="0" applyFont="1" applyFill="1" applyBorder="1" applyAlignment="1">
      <alignment horizontal="center" vertical="center" wrapText="1"/>
    </xf>
    <xf numFmtId="0" fontId="45" fillId="4" borderId="4" xfId="0" applyFont="1" applyFill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11" borderId="29" xfId="0" applyFont="1" applyFill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4" borderId="64" xfId="0" applyFont="1" applyFill="1" applyBorder="1" applyAlignment="1">
      <alignment horizontal="center" vertical="center" wrapText="1"/>
    </xf>
    <xf numFmtId="0" fontId="17" fillId="11" borderId="35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/>
    </xf>
    <xf numFmtId="0" fontId="45" fillId="4" borderId="94" xfId="0" applyFont="1" applyFill="1" applyBorder="1" applyAlignment="1">
      <alignment horizontal="center" vertical="center" wrapText="1"/>
    </xf>
    <xf numFmtId="0" fontId="17" fillId="4" borderId="58" xfId="0" applyFont="1" applyFill="1" applyBorder="1" applyAlignment="1">
      <alignment horizontal="center" vertical="center" wrapText="1"/>
    </xf>
    <xf numFmtId="0" fontId="45" fillId="4" borderId="58" xfId="0" applyFont="1" applyFill="1" applyBorder="1" applyAlignment="1">
      <alignment horizontal="center" vertical="center" wrapText="1"/>
    </xf>
    <xf numFmtId="0" fontId="17" fillId="3" borderId="112" xfId="0" applyFont="1" applyFill="1" applyBorder="1" applyAlignment="1">
      <alignment horizontal="center" vertical="center" wrapText="1"/>
    </xf>
    <xf numFmtId="0" fontId="45" fillId="4" borderId="76" xfId="0" applyFont="1" applyFill="1" applyBorder="1" applyAlignment="1">
      <alignment horizontal="center" vertical="center" wrapText="1"/>
    </xf>
    <xf numFmtId="0" fontId="17" fillId="3" borderId="111" xfId="0" applyFont="1" applyFill="1" applyBorder="1" applyAlignment="1">
      <alignment horizontal="center" vertical="center" wrapText="1"/>
    </xf>
    <xf numFmtId="0" fontId="17" fillId="0" borderId="129" xfId="0" applyFont="1" applyBorder="1" applyAlignment="1">
      <alignment horizontal="center" vertical="center"/>
    </xf>
    <xf numFmtId="0" fontId="17" fillId="0" borderId="129" xfId="0" applyFont="1" applyBorder="1" applyAlignment="1">
      <alignment horizontal="center" vertical="center" wrapText="1"/>
    </xf>
    <xf numFmtId="14" fontId="17" fillId="4" borderId="129" xfId="0" applyNumberFormat="1" applyFont="1" applyFill="1" applyBorder="1" applyAlignment="1">
      <alignment horizontal="center" vertical="center" wrapText="1"/>
    </xf>
    <xf numFmtId="0" fontId="17" fillId="0" borderId="130" xfId="0" applyFont="1" applyBorder="1" applyAlignment="1">
      <alignment horizontal="center" vertical="center" wrapText="1"/>
    </xf>
    <xf numFmtId="0" fontId="17" fillId="3" borderId="131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14" fontId="17" fillId="7" borderId="30" xfId="0" applyNumberFormat="1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11" borderId="121" xfId="0" applyFont="1" applyFill="1" applyBorder="1" applyAlignment="1">
      <alignment horizontal="center" vertical="center" wrapText="1"/>
    </xf>
    <xf numFmtId="0" fontId="17" fillId="4" borderId="128" xfId="0" applyFont="1" applyFill="1" applyBorder="1" applyAlignment="1">
      <alignment horizontal="center" vertical="center" wrapText="1"/>
    </xf>
    <xf numFmtId="0" fontId="17" fillId="17" borderId="108" xfId="0" applyFont="1" applyFill="1" applyBorder="1" applyAlignment="1">
      <alignment horizontal="center" vertical="center" wrapText="1"/>
    </xf>
    <xf numFmtId="0" fontId="45" fillId="4" borderId="72" xfId="0" applyFont="1" applyFill="1" applyBorder="1" applyAlignment="1">
      <alignment horizontal="center" vertical="center" wrapText="1"/>
    </xf>
    <xf numFmtId="0" fontId="45" fillId="4" borderId="35" xfId="0" applyFont="1" applyFill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0" fontId="17" fillId="4" borderId="49" xfId="0" applyFont="1" applyFill="1" applyBorder="1" applyAlignment="1">
      <alignment horizontal="center" vertical="center" wrapText="1"/>
    </xf>
    <xf numFmtId="0" fontId="45" fillId="4" borderId="19" xfId="0" applyFont="1" applyFill="1" applyBorder="1" applyAlignment="1">
      <alignment horizontal="center" vertical="center" wrapText="1"/>
    </xf>
    <xf numFmtId="14" fontId="17" fillId="3" borderId="28" xfId="0" applyNumberFormat="1" applyFont="1" applyFill="1" applyBorder="1" applyAlignment="1">
      <alignment horizontal="center" vertical="center"/>
    </xf>
    <xf numFmtId="164" fontId="17" fillId="3" borderId="29" xfId="0" applyNumberFormat="1" applyFont="1" applyFill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3" borderId="93" xfId="0" applyFont="1" applyFill="1" applyBorder="1" applyAlignment="1">
      <alignment horizontal="center" vertical="center" wrapText="1"/>
    </xf>
    <xf numFmtId="164" fontId="17" fillId="3" borderId="28" xfId="0" applyNumberFormat="1" applyFont="1" applyFill="1" applyBorder="1" applyAlignment="1">
      <alignment horizontal="center" vertical="center"/>
    </xf>
    <xf numFmtId="0" fontId="17" fillId="0" borderId="24" xfId="2" applyFont="1" applyBorder="1" applyAlignment="1">
      <alignment horizontal="center" vertical="center"/>
    </xf>
    <xf numFmtId="14" fontId="17" fillId="3" borderId="30" xfId="0" applyNumberFormat="1" applyFont="1" applyFill="1" applyBorder="1" applyAlignment="1">
      <alignment horizontal="center" vertical="center"/>
    </xf>
    <xf numFmtId="164" fontId="17" fillId="3" borderId="30" xfId="0" applyNumberFormat="1" applyFont="1" applyFill="1" applyBorder="1" applyAlignment="1">
      <alignment horizontal="center" vertical="center"/>
    </xf>
    <xf numFmtId="0" fontId="17" fillId="0" borderId="35" xfId="2" applyFont="1" applyBorder="1" applyAlignment="1">
      <alignment horizontal="center" vertical="center"/>
    </xf>
    <xf numFmtId="0" fontId="17" fillId="11" borderId="28" xfId="0" applyFont="1" applyFill="1" applyBorder="1" applyAlignment="1">
      <alignment horizontal="center" vertical="center" wrapText="1"/>
    </xf>
    <xf numFmtId="0" fontId="17" fillId="10" borderId="49" xfId="0" applyFont="1" applyFill="1" applyBorder="1" applyAlignment="1">
      <alignment horizontal="center" vertical="center" wrapText="1"/>
    </xf>
    <xf numFmtId="0" fontId="17" fillId="10" borderId="104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10" borderId="105" xfId="0" applyFont="1" applyFill="1" applyBorder="1" applyAlignment="1">
      <alignment horizontal="center" vertical="center" wrapText="1"/>
    </xf>
    <xf numFmtId="0" fontId="44" fillId="4" borderId="56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wrapText="1"/>
    </xf>
    <xf numFmtId="0" fontId="44" fillId="4" borderId="89" xfId="0" applyFont="1" applyFill="1" applyBorder="1" applyAlignment="1">
      <alignment horizontal="center" vertical="center" wrapText="1"/>
    </xf>
    <xf numFmtId="0" fontId="17" fillId="4" borderId="102" xfId="0" applyFont="1" applyFill="1" applyBorder="1" applyAlignment="1">
      <alignment horizontal="center" vertical="center" wrapText="1"/>
    </xf>
    <xf numFmtId="0" fontId="17" fillId="11" borderId="42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1" borderId="38" xfId="0" applyFont="1" applyFill="1" applyBorder="1" applyAlignment="1">
      <alignment horizontal="center" vertical="center" wrapText="1"/>
    </xf>
    <xf numFmtId="0" fontId="17" fillId="10" borderId="25" xfId="0" applyFont="1" applyFill="1" applyBorder="1" applyAlignment="1">
      <alignment horizontal="center" vertical="center" wrapText="1"/>
    </xf>
    <xf numFmtId="49" fontId="17" fillId="4" borderId="73" xfId="0" applyNumberFormat="1" applyFont="1" applyFill="1" applyBorder="1" applyAlignment="1">
      <alignment horizontal="center" vertical="center"/>
    </xf>
    <xf numFmtId="14" fontId="17" fillId="3" borderId="73" xfId="0" applyNumberFormat="1" applyFont="1" applyFill="1" applyBorder="1" applyAlignment="1">
      <alignment horizontal="center" vertical="center"/>
    </xf>
    <xf numFmtId="164" fontId="17" fillId="3" borderId="73" xfId="0" applyNumberFormat="1" applyFont="1" applyFill="1" applyBorder="1" applyAlignment="1">
      <alignment horizontal="center" vertical="center"/>
    </xf>
    <xf numFmtId="0" fontId="17" fillId="0" borderId="94" xfId="0" applyFont="1" applyBorder="1" applyAlignment="1">
      <alignment horizontal="center" vertical="center"/>
    </xf>
    <xf numFmtId="0" fontId="17" fillId="0" borderId="96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14" fontId="17" fillId="4" borderId="29" xfId="0" applyNumberFormat="1" applyFont="1" applyFill="1" applyBorder="1" applyAlignment="1">
      <alignment horizontal="center" vertical="center" wrapText="1"/>
    </xf>
    <xf numFmtId="0" fontId="44" fillId="4" borderId="94" xfId="0" applyFont="1" applyFill="1" applyBorder="1" applyAlignment="1">
      <alignment horizontal="center" vertical="center" wrapText="1"/>
    </xf>
    <xf numFmtId="49" fontId="17" fillId="3" borderId="109" xfId="0" applyNumberFormat="1" applyFont="1" applyFill="1" applyBorder="1" applyAlignment="1">
      <alignment horizontal="center" vertical="center" wrapText="1"/>
    </xf>
    <xf numFmtId="14" fontId="17" fillId="0" borderId="76" xfId="0" applyNumberFormat="1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vertical="center" wrapText="1"/>
    </xf>
    <xf numFmtId="0" fontId="44" fillId="4" borderId="76" xfId="0" applyFont="1" applyFill="1" applyBorder="1" applyAlignment="1">
      <alignment horizontal="center" vertical="center" wrapText="1"/>
    </xf>
    <xf numFmtId="49" fontId="17" fillId="3" borderId="111" xfId="0" applyNumberFormat="1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4" borderId="76" xfId="0" applyFont="1" applyFill="1" applyBorder="1" applyAlignment="1">
      <alignment horizontal="center" vertical="center" wrapText="1"/>
    </xf>
    <xf numFmtId="0" fontId="17" fillId="3" borderId="121" xfId="0" applyFont="1" applyFill="1" applyBorder="1" applyAlignment="1">
      <alignment horizontal="center" vertical="center" wrapText="1"/>
    </xf>
    <xf numFmtId="14" fontId="17" fillId="4" borderId="28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4" borderId="61" xfId="0" applyFont="1" applyFill="1" applyBorder="1" applyAlignment="1">
      <alignment horizontal="center" vertical="center" wrapText="1"/>
    </xf>
    <xf numFmtId="49" fontId="17" fillId="3" borderId="71" xfId="0" applyNumberFormat="1" applyFont="1" applyFill="1" applyBorder="1" applyAlignment="1">
      <alignment horizontal="center" vertical="center" wrapText="1"/>
    </xf>
    <xf numFmtId="0" fontId="17" fillId="4" borderId="73" xfId="0" applyFont="1" applyFill="1" applyBorder="1" applyAlignment="1">
      <alignment horizontal="center" vertical="center" wrapText="1"/>
    </xf>
    <xf numFmtId="0" fontId="17" fillId="4" borderId="93" xfId="0" applyFont="1" applyFill="1" applyBorder="1" applyAlignment="1">
      <alignment horizontal="center" vertical="center" wrapText="1"/>
    </xf>
    <xf numFmtId="0" fontId="17" fillId="4" borderId="57" xfId="0" applyFont="1" applyFill="1" applyBorder="1" applyAlignment="1">
      <alignment horizontal="center" vertical="center" wrapText="1"/>
    </xf>
    <xf numFmtId="49" fontId="17" fillId="3" borderId="93" xfId="0" applyNumberFormat="1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14" fontId="17" fillId="7" borderId="28" xfId="0" applyNumberFormat="1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4" borderId="66" xfId="0" applyFont="1" applyFill="1" applyBorder="1" applyAlignment="1">
      <alignment horizontal="center" vertical="center" wrapText="1"/>
    </xf>
    <xf numFmtId="0" fontId="17" fillId="4" borderId="133" xfId="0" applyFont="1" applyFill="1" applyBorder="1" applyAlignment="1">
      <alignment horizontal="center" vertical="center" wrapText="1"/>
    </xf>
    <xf numFmtId="49" fontId="17" fillId="3" borderId="112" xfId="0" applyNumberFormat="1" applyFont="1" applyFill="1" applyBorder="1" applyAlignment="1">
      <alignment horizontal="center" vertical="center" wrapText="1"/>
    </xf>
    <xf numFmtId="0" fontId="17" fillId="4" borderId="117" xfId="0" applyFont="1" applyFill="1" applyBorder="1" applyAlignment="1">
      <alignment horizontal="center" vertical="center" wrapText="1"/>
    </xf>
    <xf numFmtId="14" fontId="17" fillId="4" borderId="62" xfId="0" applyNumberFormat="1" applyFont="1" applyFill="1" applyBorder="1" applyAlignment="1">
      <alignment horizontal="center" vertical="center" wrapText="1"/>
    </xf>
    <xf numFmtId="0" fontId="17" fillId="4" borderId="135" xfId="0" applyFont="1" applyFill="1" applyBorder="1" applyAlignment="1">
      <alignment horizontal="center" vertical="center" wrapText="1"/>
    </xf>
    <xf numFmtId="14" fontId="17" fillId="0" borderId="28" xfId="0" applyNumberFormat="1" applyFont="1" applyBorder="1" applyAlignment="1">
      <alignment horizontal="center" vertical="center" wrapText="1"/>
    </xf>
    <xf numFmtId="0" fontId="17" fillId="4" borderId="74" xfId="0" applyFont="1" applyFill="1" applyBorder="1" applyAlignment="1">
      <alignment horizontal="center" vertical="center" wrapText="1"/>
    </xf>
    <xf numFmtId="0" fontId="17" fillId="4" borderId="75" xfId="0" applyFont="1" applyFill="1" applyBorder="1" applyAlignment="1">
      <alignment horizontal="center" vertical="center" wrapText="1"/>
    </xf>
    <xf numFmtId="14" fontId="17" fillId="4" borderId="30" xfId="0" applyNumberFormat="1" applyFont="1" applyFill="1" applyBorder="1" applyAlignment="1">
      <alignment horizontal="center" vertical="center" wrapText="1"/>
    </xf>
    <xf numFmtId="14" fontId="17" fillId="0" borderId="35" xfId="0" applyNumberFormat="1" applyFont="1" applyBorder="1" applyAlignment="1">
      <alignment horizontal="center" vertical="center" wrapText="1"/>
    </xf>
    <xf numFmtId="0" fontId="17" fillId="4" borderId="72" xfId="0" applyFont="1" applyFill="1" applyBorder="1" applyAlignment="1">
      <alignment horizontal="center" vertical="center" wrapText="1"/>
    </xf>
    <xf numFmtId="49" fontId="17" fillId="4" borderId="120" xfId="0" applyNumberFormat="1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4" borderId="67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4" borderId="94" xfId="0" applyFont="1" applyFill="1" applyBorder="1" applyAlignment="1">
      <alignment horizontal="center" vertical="center" wrapText="1"/>
    </xf>
    <xf numFmtId="14" fontId="17" fillId="7" borderId="62" xfId="0" applyNumberFormat="1" applyFont="1" applyFill="1" applyBorder="1" applyAlignment="1">
      <alignment horizontal="center" vertical="center" wrapText="1"/>
    </xf>
    <xf numFmtId="0" fontId="17" fillId="4" borderId="122" xfId="0" applyFont="1" applyFill="1" applyBorder="1" applyAlignment="1">
      <alignment horizontal="center" vertical="center" wrapText="1"/>
    </xf>
    <xf numFmtId="49" fontId="17" fillId="4" borderId="31" xfId="0" applyNumberFormat="1" applyFont="1" applyFill="1" applyBorder="1" applyAlignment="1">
      <alignment horizontal="center" vertical="center" wrapText="1"/>
    </xf>
    <xf numFmtId="0" fontId="17" fillId="4" borderId="110" xfId="0" applyFont="1" applyFill="1" applyBorder="1" applyAlignment="1">
      <alignment horizontal="center" vertical="center" wrapText="1"/>
    </xf>
    <xf numFmtId="49" fontId="17" fillId="4" borderId="30" xfId="0" applyNumberFormat="1" applyFont="1" applyFill="1" applyBorder="1" applyAlignment="1">
      <alignment horizontal="center" vertical="center"/>
    </xf>
    <xf numFmtId="49" fontId="17" fillId="3" borderId="66" xfId="0" applyNumberFormat="1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 wrapText="1"/>
    </xf>
    <xf numFmtId="0" fontId="17" fillId="10" borderId="28" xfId="0" applyFont="1" applyFill="1" applyBorder="1" applyAlignment="1">
      <alignment horizontal="center" vertical="center" wrapText="1"/>
    </xf>
    <xf numFmtId="49" fontId="17" fillId="4" borderId="122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0" fontId="17" fillId="3" borderId="58" xfId="0" applyFont="1" applyFill="1" applyBorder="1" applyAlignment="1">
      <alignment horizontal="center" vertical="center"/>
    </xf>
    <xf numFmtId="14" fontId="17" fillId="3" borderId="58" xfId="0" applyNumberFormat="1" applyFont="1" applyFill="1" applyBorder="1" applyAlignment="1">
      <alignment horizontal="center" vertical="center"/>
    </xf>
    <xf numFmtId="164" fontId="17" fillId="3" borderId="58" xfId="0" applyNumberFormat="1" applyFont="1" applyFill="1" applyBorder="1" applyAlignment="1">
      <alignment horizontal="center" vertical="center"/>
    </xf>
    <xf numFmtId="0" fontId="17" fillId="3" borderId="69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 wrapText="1"/>
    </xf>
    <xf numFmtId="0" fontId="17" fillId="3" borderId="77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49" fontId="17" fillId="4" borderId="110" xfId="0" applyNumberFormat="1" applyFont="1" applyFill="1" applyBorder="1" applyAlignment="1">
      <alignment horizontal="center" vertical="center"/>
    </xf>
    <xf numFmtId="49" fontId="17" fillId="4" borderId="24" xfId="0" applyNumberFormat="1" applyFont="1" applyFill="1" applyBorder="1" applyAlignment="1">
      <alignment horizontal="center" vertical="center"/>
    </xf>
    <xf numFmtId="0" fontId="17" fillId="3" borderId="76" xfId="0" applyFont="1" applyFill="1" applyBorder="1" applyAlignment="1">
      <alignment horizontal="center" vertical="center"/>
    </xf>
    <xf numFmtId="14" fontId="17" fillId="3" borderId="24" xfId="0" applyNumberFormat="1" applyFont="1" applyFill="1" applyBorder="1" applyAlignment="1">
      <alignment horizontal="center" vertical="center"/>
    </xf>
    <xf numFmtId="164" fontId="17" fillId="3" borderId="24" xfId="0" applyNumberFormat="1" applyFont="1" applyFill="1" applyBorder="1" applyAlignment="1">
      <alignment horizontal="center" vertical="center"/>
    </xf>
    <xf numFmtId="49" fontId="17" fillId="4" borderId="119" xfId="0" applyNumberFormat="1" applyFont="1" applyFill="1" applyBorder="1" applyAlignment="1">
      <alignment horizontal="center" vertical="center"/>
    </xf>
    <xf numFmtId="49" fontId="17" fillId="4" borderId="35" xfId="0" applyNumberFormat="1" applyFont="1" applyFill="1" applyBorder="1" applyAlignment="1">
      <alignment horizontal="center" vertical="center"/>
    </xf>
    <xf numFmtId="0" fontId="17" fillId="3" borderId="72" xfId="0" applyFont="1" applyFill="1" applyBorder="1" applyAlignment="1">
      <alignment horizontal="center" vertical="center"/>
    </xf>
    <xf numFmtId="14" fontId="17" fillId="3" borderId="35" xfId="0" applyNumberFormat="1" applyFont="1" applyFill="1" applyBorder="1" applyAlignment="1">
      <alignment horizontal="center" vertical="center"/>
    </xf>
    <xf numFmtId="164" fontId="17" fillId="3" borderId="35" xfId="0" applyNumberFormat="1" applyFont="1" applyFill="1" applyBorder="1" applyAlignment="1">
      <alignment horizontal="center" vertical="center"/>
    </xf>
    <xf numFmtId="0" fontId="17" fillId="4" borderId="121" xfId="0" applyFont="1" applyFill="1" applyBorder="1" applyAlignment="1">
      <alignment horizontal="center" vertical="center" wrapText="1"/>
    </xf>
    <xf numFmtId="0" fontId="17" fillId="4" borderId="60" xfId="0" applyFont="1" applyFill="1" applyBorder="1" applyAlignment="1">
      <alignment horizontal="center" vertical="center"/>
    </xf>
    <xf numFmtId="0" fontId="17" fillId="4" borderId="126" xfId="0" applyFont="1" applyFill="1" applyBorder="1" applyAlignment="1">
      <alignment horizontal="center" vertical="center" wrapText="1"/>
    </xf>
    <xf numFmtId="14" fontId="17" fillId="4" borderId="59" xfId="0" applyNumberFormat="1" applyFont="1" applyFill="1" applyBorder="1" applyAlignment="1">
      <alignment horizontal="center" vertical="center" wrapText="1"/>
    </xf>
    <xf numFmtId="14" fontId="17" fillId="7" borderId="58" xfId="0" applyNumberFormat="1" applyFont="1" applyFill="1" applyBorder="1" applyAlignment="1">
      <alignment horizontal="center" vertical="center" wrapText="1"/>
    </xf>
    <xf numFmtId="0" fontId="17" fillId="11" borderId="62" xfId="0" applyFont="1" applyFill="1" applyBorder="1" applyAlignment="1">
      <alignment horizontal="center" vertical="center" wrapText="1"/>
    </xf>
    <xf numFmtId="0" fontId="17" fillId="10" borderId="62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/>
    </xf>
    <xf numFmtId="14" fontId="17" fillId="4" borderId="28" xfId="0" applyNumberFormat="1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 wrapText="1"/>
    </xf>
    <xf numFmtId="49" fontId="17" fillId="4" borderId="66" xfId="0" applyNumberFormat="1" applyFont="1" applyFill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/>
    </xf>
    <xf numFmtId="14" fontId="17" fillId="0" borderId="62" xfId="0" applyNumberFormat="1" applyFont="1" applyBorder="1" applyAlignment="1">
      <alignment horizontal="center" vertical="center" wrapText="1"/>
    </xf>
    <xf numFmtId="0" fontId="17" fillId="4" borderId="35" xfId="0" applyFont="1" applyFill="1" applyBorder="1" applyAlignment="1">
      <alignment horizontal="center" vertical="center"/>
    </xf>
    <xf numFmtId="0" fontId="17" fillId="4" borderId="123" xfId="0" applyFont="1" applyFill="1" applyBorder="1" applyAlignment="1">
      <alignment horizontal="center" vertical="center" wrapText="1"/>
    </xf>
    <xf numFmtId="0" fontId="17" fillId="4" borderId="118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/>
    </xf>
    <xf numFmtId="14" fontId="17" fillId="4" borderId="30" xfId="0" applyNumberFormat="1" applyFont="1" applyFill="1" applyBorder="1" applyAlignment="1">
      <alignment horizontal="center" vertical="center"/>
    </xf>
    <xf numFmtId="164" fontId="17" fillId="4" borderId="30" xfId="0" applyNumberFormat="1" applyFont="1" applyFill="1" applyBorder="1" applyAlignment="1">
      <alignment horizontal="center" vertical="center"/>
    </xf>
    <xf numFmtId="164" fontId="17" fillId="4" borderId="73" xfId="0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4" fontId="17" fillId="0" borderId="29" xfId="0" applyNumberFormat="1" applyFont="1" applyBorder="1" applyAlignment="1">
      <alignment horizontal="center" vertical="center" wrapText="1"/>
    </xf>
    <xf numFmtId="0" fontId="17" fillId="10" borderId="29" xfId="0" applyFont="1" applyFill="1" applyBorder="1" applyAlignment="1">
      <alignment horizontal="center" vertical="center" wrapText="1"/>
    </xf>
    <xf numFmtId="0" fontId="45" fillId="4" borderId="57" xfId="0" applyFont="1" applyFill="1" applyBorder="1" applyAlignment="1">
      <alignment horizontal="center" vertical="center" wrapText="1"/>
    </xf>
    <xf numFmtId="0" fontId="45" fillId="4" borderId="29" xfId="0" applyFont="1" applyFill="1" applyBorder="1" applyAlignment="1">
      <alignment horizontal="center" vertical="center" wrapText="1"/>
    </xf>
    <xf numFmtId="164" fontId="17" fillId="4" borderId="74" xfId="0" applyNumberFormat="1" applyFont="1" applyFill="1" applyBorder="1" applyAlignment="1">
      <alignment horizontal="center" vertical="center"/>
    </xf>
    <xf numFmtId="0" fontId="45" fillId="4" borderId="110" xfId="0" applyFont="1" applyFill="1" applyBorder="1" applyAlignment="1">
      <alignment horizontal="center" vertical="center" wrapText="1"/>
    </xf>
    <xf numFmtId="0" fontId="17" fillId="4" borderId="111" xfId="0" applyFont="1" applyFill="1" applyBorder="1" applyAlignment="1">
      <alignment horizontal="center" vertical="center" wrapText="1"/>
    </xf>
    <xf numFmtId="0" fontId="17" fillId="10" borderId="76" xfId="0" applyFont="1" applyFill="1" applyBorder="1" applyAlignment="1">
      <alignment horizontal="center" vertical="center" wrapText="1"/>
    </xf>
    <xf numFmtId="164" fontId="17" fillId="4" borderId="0" xfId="0" applyNumberFormat="1" applyFont="1" applyFill="1" applyAlignment="1">
      <alignment horizontal="center" vertical="center"/>
    </xf>
    <xf numFmtId="0" fontId="45" fillId="4" borderId="117" xfId="0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center" vertical="center" wrapText="1"/>
    </xf>
    <xf numFmtId="0" fontId="17" fillId="4" borderId="112" xfId="0" applyFont="1" applyFill="1" applyBorder="1" applyAlignment="1">
      <alignment horizontal="center" vertical="center" wrapText="1"/>
    </xf>
    <xf numFmtId="0" fontId="17" fillId="10" borderId="117" xfId="0" applyFont="1" applyFill="1" applyBorder="1" applyAlignment="1">
      <alignment horizontal="center" vertical="center" wrapText="1"/>
    </xf>
    <xf numFmtId="0" fontId="45" fillId="4" borderId="74" xfId="0" applyFont="1" applyFill="1" applyBorder="1" applyAlignment="1">
      <alignment horizontal="center" vertical="center" wrapText="1"/>
    </xf>
    <xf numFmtId="0" fontId="17" fillId="10" borderId="74" xfId="0" applyFont="1" applyFill="1" applyBorder="1" applyAlignment="1">
      <alignment horizontal="center" vertical="center" wrapText="1"/>
    </xf>
    <xf numFmtId="0" fontId="45" fillId="4" borderId="119" xfId="0" applyFont="1" applyFill="1" applyBorder="1" applyAlignment="1">
      <alignment horizontal="center" vertical="center" wrapText="1"/>
    </xf>
    <xf numFmtId="0" fontId="17" fillId="4" borderId="109" xfId="0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14" fontId="17" fillId="0" borderId="30" xfId="0" applyNumberFormat="1" applyFont="1" applyBorder="1" applyAlignment="1">
      <alignment horizontal="center" vertical="center" wrapText="1"/>
    </xf>
    <xf numFmtId="0" fontId="17" fillId="4" borderId="94" xfId="0" applyFont="1" applyFill="1" applyBorder="1" applyAlignment="1">
      <alignment horizontal="center" vertical="center"/>
    </xf>
    <xf numFmtId="14" fontId="17" fillId="4" borderId="58" xfId="0" applyNumberFormat="1" applyFont="1" applyFill="1" applyBorder="1" applyAlignment="1">
      <alignment horizontal="center" vertical="center"/>
    </xf>
    <xf numFmtId="164" fontId="17" fillId="4" borderId="58" xfId="0" applyNumberFormat="1" applyFont="1" applyFill="1" applyBorder="1" applyAlignment="1">
      <alignment horizontal="center" vertical="center"/>
    </xf>
    <xf numFmtId="0" fontId="15" fillId="4" borderId="122" xfId="0" applyFont="1" applyFill="1" applyBorder="1" applyAlignment="1">
      <alignment horizontal="center" vertical="center" wrapText="1"/>
    </xf>
    <xf numFmtId="0" fontId="17" fillId="4" borderId="72" xfId="0" applyFont="1" applyFill="1" applyBorder="1" applyAlignment="1">
      <alignment horizontal="center" vertical="center"/>
    </xf>
    <xf numFmtId="14" fontId="17" fillId="4" borderId="35" xfId="0" applyNumberFormat="1" applyFont="1" applyFill="1" applyBorder="1" applyAlignment="1">
      <alignment horizontal="center" vertical="center"/>
    </xf>
    <xf numFmtId="164" fontId="17" fillId="4" borderId="35" xfId="0" applyNumberFormat="1" applyFont="1" applyFill="1" applyBorder="1" applyAlignment="1">
      <alignment horizontal="center" vertical="center"/>
    </xf>
    <xf numFmtId="0" fontId="15" fillId="4" borderId="119" xfId="0" applyFont="1" applyFill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center" vertical="center" wrapText="1"/>
    </xf>
    <xf numFmtId="0" fontId="15" fillId="0" borderId="119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 wrapText="1"/>
    </xf>
    <xf numFmtId="0" fontId="17" fillId="4" borderId="73" xfId="0" applyFont="1" applyFill="1" applyBorder="1" applyAlignment="1">
      <alignment horizontal="center" vertical="center"/>
    </xf>
    <xf numFmtId="0" fontId="17" fillId="10" borderId="58" xfId="0" applyFont="1" applyFill="1" applyBorder="1" applyAlignment="1">
      <alignment horizontal="center" vertical="center" wrapText="1"/>
    </xf>
    <xf numFmtId="0" fontId="15" fillId="4" borderId="74" xfId="0" applyFont="1" applyFill="1" applyBorder="1" applyAlignment="1">
      <alignment horizontal="center" vertical="center" wrapText="1"/>
    </xf>
    <xf numFmtId="0" fontId="17" fillId="4" borderId="74" xfId="0" applyFont="1" applyFill="1" applyBorder="1" applyAlignment="1">
      <alignment horizontal="center" vertical="center"/>
    </xf>
    <xf numFmtId="0" fontId="15" fillId="4" borderId="110" xfId="0" applyFont="1" applyFill="1" applyBorder="1" applyAlignment="1">
      <alignment horizontal="center" vertical="center" wrapText="1"/>
    </xf>
    <xf numFmtId="164" fontId="17" fillId="4" borderId="94" xfId="0" applyNumberFormat="1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 wrapText="1"/>
    </xf>
    <xf numFmtId="49" fontId="17" fillId="4" borderId="109" xfId="0" applyNumberFormat="1" applyFont="1" applyFill="1" applyBorder="1" applyAlignment="1">
      <alignment horizontal="center" vertical="center" wrapText="1"/>
    </xf>
    <xf numFmtId="164" fontId="17" fillId="4" borderId="61" xfId="0" applyNumberFormat="1" applyFont="1" applyFill="1" applyBorder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 wrapText="1"/>
    </xf>
    <xf numFmtId="0" fontId="17" fillId="4" borderId="71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/>
    </xf>
    <xf numFmtId="49" fontId="17" fillId="4" borderId="118" xfId="0" applyNumberFormat="1" applyFont="1" applyFill="1" applyBorder="1" applyAlignment="1">
      <alignment horizontal="center" vertical="center" wrapText="1"/>
    </xf>
    <xf numFmtId="164" fontId="17" fillId="4" borderId="75" xfId="0" applyNumberFormat="1" applyFont="1" applyFill="1" applyBorder="1" applyAlignment="1">
      <alignment horizontal="center" vertical="center"/>
    </xf>
    <xf numFmtId="0" fontId="15" fillId="4" borderId="94" xfId="0" applyFont="1" applyFill="1" applyBorder="1" applyAlignment="1">
      <alignment horizontal="center" vertical="center" wrapText="1"/>
    </xf>
    <xf numFmtId="0" fontId="15" fillId="4" borderId="76" xfId="0" applyFont="1" applyFill="1" applyBorder="1" applyAlignment="1">
      <alignment horizontal="center" vertical="center" wrapText="1"/>
    </xf>
    <xf numFmtId="14" fontId="17" fillId="7" borderId="59" xfId="0" applyNumberFormat="1" applyFont="1" applyFill="1" applyBorder="1" applyAlignment="1">
      <alignment horizontal="center" vertical="center" wrapText="1"/>
    </xf>
    <xf numFmtId="0" fontId="17" fillId="11" borderId="59" xfId="0" applyFont="1" applyFill="1" applyBorder="1" applyAlignment="1">
      <alignment horizontal="center" vertical="center" wrapText="1"/>
    </xf>
    <xf numFmtId="0" fontId="15" fillId="4" borderId="72" xfId="0" applyFont="1" applyFill="1" applyBorder="1" applyAlignment="1">
      <alignment horizontal="center" vertical="center" wrapText="1"/>
    </xf>
    <xf numFmtId="164" fontId="17" fillId="4" borderId="117" xfId="0" applyNumberFormat="1" applyFont="1" applyFill="1" applyBorder="1" applyAlignment="1">
      <alignment vertical="center"/>
    </xf>
    <xf numFmtId="0" fontId="17" fillId="0" borderId="117" xfId="0" applyFont="1" applyBorder="1" applyAlignment="1">
      <alignment horizontal="center" vertical="center"/>
    </xf>
    <xf numFmtId="164" fontId="17" fillId="4" borderId="72" xfId="0" applyNumberFormat="1" applyFont="1" applyFill="1" applyBorder="1" applyAlignment="1">
      <alignment vertical="center"/>
    </xf>
    <xf numFmtId="0" fontId="17" fillId="0" borderId="61" xfId="0" applyFont="1" applyBorder="1" applyAlignment="1">
      <alignment horizontal="center" vertical="center"/>
    </xf>
    <xf numFmtId="0" fontId="15" fillId="4" borderId="136" xfId="0" applyFont="1" applyFill="1" applyBorder="1" applyAlignment="1">
      <alignment horizontal="center" vertical="center" wrapText="1"/>
    </xf>
    <xf numFmtId="0" fontId="15" fillId="4" borderId="58" xfId="0" applyFont="1" applyFill="1" applyBorder="1"/>
    <xf numFmtId="0" fontId="17" fillId="4" borderId="137" xfId="0" applyFont="1" applyFill="1" applyBorder="1" applyAlignment="1">
      <alignment horizontal="center" vertical="center" wrapText="1"/>
    </xf>
    <xf numFmtId="0" fontId="15" fillId="4" borderId="140" xfId="0" applyFont="1" applyFill="1" applyBorder="1" applyAlignment="1">
      <alignment horizontal="center" vertical="center" wrapText="1"/>
    </xf>
    <xf numFmtId="0" fontId="15" fillId="4" borderId="62" xfId="0" applyFont="1" applyFill="1" applyBorder="1"/>
    <xf numFmtId="0" fontId="17" fillId="4" borderId="84" xfId="0" applyFont="1" applyFill="1" applyBorder="1" applyAlignment="1">
      <alignment horizontal="center" vertical="center" wrapText="1"/>
    </xf>
    <xf numFmtId="0" fontId="17" fillId="4" borderId="74" xfId="0" applyFont="1" applyFill="1" applyBorder="1" applyAlignment="1">
      <alignment horizontal="center" vertical="top"/>
    </xf>
    <xf numFmtId="0" fontId="17" fillId="0" borderId="72" xfId="0" applyFont="1" applyBorder="1" applyAlignment="1">
      <alignment horizontal="center" vertical="center"/>
    </xf>
    <xf numFmtId="0" fontId="15" fillId="4" borderId="138" xfId="0" applyFont="1" applyFill="1" applyBorder="1" applyAlignment="1">
      <alignment horizontal="center" vertical="center" wrapText="1"/>
    </xf>
    <xf numFmtId="0" fontId="15" fillId="4" borderId="24" xfId="0" applyFont="1" applyFill="1" applyBorder="1"/>
    <xf numFmtId="0" fontId="17" fillId="0" borderId="76" xfId="0" applyFont="1" applyBorder="1" applyAlignment="1">
      <alignment horizontal="center" vertical="center" wrapText="1"/>
    </xf>
    <xf numFmtId="0" fontId="15" fillId="4" borderId="139" xfId="0" applyFont="1" applyFill="1" applyBorder="1" applyAlignment="1">
      <alignment horizontal="center" vertical="center" wrapText="1"/>
    </xf>
    <xf numFmtId="0" fontId="15" fillId="4" borderId="59" xfId="0" applyFont="1" applyFill="1" applyBorder="1"/>
    <xf numFmtId="0" fontId="17" fillId="4" borderId="51" xfId="0" applyFont="1" applyFill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/>
    </xf>
    <xf numFmtId="0" fontId="15" fillId="4" borderId="126" xfId="0" applyFont="1" applyFill="1" applyBorder="1" applyAlignment="1">
      <alignment horizontal="center" vertical="center" wrapText="1"/>
    </xf>
    <xf numFmtId="0" fontId="15" fillId="4" borderId="77" xfId="0" applyFont="1" applyFill="1" applyBorder="1" applyAlignment="1">
      <alignment horizontal="center" vertical="center" wrapText="1"/>
    </xf>
    <xf numFmtId="0" fontId="17" fillId="0" borderId="76" xfId="0" applyFont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  <xf numFmtId="49" fontId="17" fillId="4" borderId="141" xfId="0" applyNumberFormat="1" applyFont="1" applyFill="1" applyBorder="1" applyAlignment="1">
      <alignment horizontal="center" vertical="center"/>
    </xf>
    <xf numFmtId="0" fontId="17" fillId="10" borderId="59" xfId="0" applyFont="1" applyFill="1" applyBorder="1" applyAlignment="1">
      <alignment horizontal="center" vertical="center" wrapText="1"/>
    </xf>
    <xf numFmtId="49" fontId="17" fillId="4" borderId="142" xfId="0" applyNumberFormat="1" applyFont="1" applyFill="1" applyBorder="1" applyAlignment="1">
      <alignment horizontal="center" vertical="center"/>
    </xf>
    <xf numFmtId="49" fontId="17" fillId="4" borderId="22" xfId="0" applyNumberFormat="1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 wrapText="1"/>
    </xf>
    <xf numFmtId="164" fontId="17" fillId="4" borderId="22" xfId="0" applyNumberFormat="1" applyFont="1" applyFill="1" applyBorder="1" applyAlignment="1">
      <alignment horizontal="center" vertical="center"/>
    </xf>
    <xf numFmtId="49" fontId="17" fillId="4" borderId="126" xfId="0" applyNumberFormat="1" applyFont="1" applyFill="1" applyBorder="1" applyAlignment="1">
      <alignment horizontal="center" vertical="center"/>
    </xf>
    <xf numFmtId="49" fontId="17" fillId="4" borderId="59" xfId="0" applyNumberFormat="1" applyFont="1" applyFill="1" applyBorder="1" applyAlignment="1">
      <alignment horizontal="center" vertical="center"/>
    </xf>
    <xf numFmtId="0" fontId="17" fillId="4" borderId="59" xfId="0" applyFont="1" applyFill="1" applyBorder="1" applyAlignment="1">
      <alignment horizontal="center" vertical="center"/>
    </xf>
    <xf numFmtId="164" fontId="17" fillId="4" borderId="59" xfId="0" applyNumberFormat="1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48" fillId="8" borderId="121" xfId="0" applyFont="1" applyFill="1" applyBorder="1" applyAlignment="1">
      <alignment horizontal="center" vertical="center" wrapText="1"/>
    </xf>
    <xf numFmtId="0" fontId="17" fillId="4" borderId="146" xfId="0" applyFont="1" applyFill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4" borderId="147" xfId="0" applyFont="1" applyFill="1" applyBorder="1" applyAlignment="1">
      <alignment horizontal="center" vertical="center" wrapText="1"/>
    </xf>
    <xf numFmtId="0" fontId="17" fillId="0" borderId="117" xfId="0" applyFont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14" fontId="17" fillId="4" borderId="74" xfId="0" applyNumberFormat="1" applyFont="1" applyFill="1" applyBorder="1" applyAlignment="1">
      <alignment horizontal="center" vertical="center" wrapText="1"/>
    </xf>
    <xf numFmtId="14" fontId="17" fillId="0" borderId="75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46" xfId="0" applyFont="1" applyBorder="1" applyAlignment="1">
      <alignment horizontal="center" vertical="center"/>
    </xf>
    <xf numFmtId="0" fontId="17" fillId="0" borderId="146" xfId="0" applyFont="1" applyBorder="1" applyAlignment="1">
      <alignment horizontal="center" vertical="center" wrapText="1"/>
    </xf>
    <xf numFmtId="14" fontId="49" fillId="22" borderId="146" xfId="0" applyNumberFormat="1" applyFont="1" applyFill="1" applyBorder="1" applyAlignment="1">
      <alignment horizontal="center" vertical="center" wrapText="1"/>
    </xf>
    <xf numFmtId="14" fontId="17" fillId="0" borderId="18" xfId="0" applyNumberFormat="1" applyFont="1" applyBorder="1" applyAlignment="1">
      <alignment horizontal="center" vertical="center"/>
    </xf>
    <xf numFmtId="0" fontId="17" fillId="23" borderId="146" xfId="0" applyFont="1" applyFill="1" applyBorder="1" applyAlignment="1">
      <alignment horizontal="center" vertical="center" wrapText="1"/>
    </xf>
    <xf numFmtId="0" fontId="17" fillId="10" borderId="146" xfId="0" applyFont="1" applyFill="1" applyBorder="1" applyAlignment="1">
      <alignment horizontal="center" vertical="center" wrapText="1"/>
    </xf>
    <xf numFmtId="0" fontId="17" fillId="4" borderId="143" xfId="0" applyFont="1" applyFill="1" applyBorder="1" applyAlignment="1">
      <alignment horizontal="center" vertical="center" wrapText="1"/>
    </xf>
    <xf numFmtId="49" fontId="17" fillId="4" borderId="132" xfId="0" applyNumberFormat="1" applyFont="1" applyFill="1" applyBorder="1" applyAlignment="1">
      <alignment horizontal="center" vertical="center"/>
    </xf>
    <xf numFmtId="49" fontId="17" fillId="4" borderId="62" xfId="0" applyNumberFormat="1" applyFont="1" applyFill="1" applyBorder="1" applyAlignment="1">
      <alignment horizontal="center" vertical="center"/>
    </xf>
    <xf numFmtId="0" fontId="17" fillId="4" borderId="62" xfId="0" applyFont="1" applyFill="1" applyBorder="1" applyAlignment="1">
      <alignment horizontal="center" vertical="center"/>
    </xf>
    <xf numFmtId="14" fontId="17" fillId="4" borderId="62" xfId="0" applyNumberFormat="1" applyFont="1" applyFill="1" applyBorder="1" applyAlignment="1">
      <alignment horizontal="center" vertical="center"/>
    </xf>
    <xf numFmtId="164" fontId="17" fillId="4" borderId="62" xfId="0" applyNumberFormat="1" applyFont="1" applyFill="1" applyBorder="1" applyAlignment="1">
      <alignment horizontal="center" vertical="center"/>
    </xf>
    <xf numFmtId="164" fontId="17" fillId="4" borderId="64" xfId="0" applyNumberFormat="1" applyFont="1" applyFill="1" applyBorder="1" applyAlignment="1">
      <alignment horizontal="center" vertical="center"/>
    </xf>
    <xf numFmtId="164" fontId="17" fillId="4" borderId="39" xfId="0" applyNumberFormat="1" applyFont="1" applyFill="1" applyBorder="1" applyAlignment="1">
      <alignment horizontal="center" vertical="center"/>
    </xf>
    <xf numFmtId="0" fontId="17" fillId="11" borderId="30" xfId="0" applyFont="1" applyFill="1" applyBorder="1" applyAlignment="1">
      <alignment horizontal="center" vertical="center" wrapText="1"/>
    </xf>
    <xf numFmtId="0" fontId="17" fillId="4" borderId="58" xfId="0" applyFont="1" applyFill="1" applyBorder="1" applyAlignment="1">
      <alignment horizontal="center" vertical="center"/>
    </xf>
    <xf numFmtId="164" fontId="17" fillId="4" borderId="58" xfId="0" applyNumberFormat="1" applyFont="1" applyFill="1" applyBorder="1" applyAlignment="1">
      <alignment vertical="center"/>
    </xf>
    <xf numFmtId="164" fontId="17" fillId="4" borderId="30" xfId="0" applyNumberFormat="1" applyFont="1" applyFill="1" applyBorder="1" applyAlignment="1">
      <alignment vertical="center"/>
    </xf>
    <xf numFmtId="0" fontId="17" fillId="0" borderId="107" xfId="0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4" borderId="107" xfId="0" applyFont="1" applyFill="1" applyBorder="1" applyAlignment="1">
      <alignment horizontal="center" vertical="center" wrapText="1"/>
    </xf>
    <xf numFmtId="0" fontId="17" fillId="4" borderId="88" xfId="0" applyFont="1" applyFill="1" applyBorder="1" applyAlignment="1">
      <alignment horizontal="center" vertical="center" wrapText="1"/>
    </xf>
    <xf numFmtId="0" fontId="15" fillId="4" borderId="70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5" fillId="4" borderId="33" xfId="0" applyFont="1" applyFill="1" applyBorder="1" applyAlignment="1">
      <alignment horizontal="center" vertical="center" wrapText="1"/>
    </xf>
    <xf numFmtId="49" fontId="17" fillId="4" borderId="149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0" fontId="17" fillId="3" borderId="87" xfId="0" applyFont="1" applyFill="1" applyBorder="1" applyAlignment="1">
      <alignment horizontal="center" vertical="center"/>
    </xf>
    <xf numFmtId="0" fontId="17" fillId="3" borderId="87" xfId="0" applyFont="1" applyFill="1" applyBorder="1" applyAlignment="1">
      <alignment horizontal="center" vertical="center" wrapText="1"/>
    </xf>
    <xf numFmtId="14" fontId="17" fillId="3" borderId="87" xfId="0" applyNumberFormat="1" applyFont="1" applyFill="1" applyBorder="1" applyAlignment="1">
      <alignment horizontal="center" vertical="center"/>
    </xf>
    <xf numFmtId="0" fontId="17" fillId="10" borderId="89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17" fillId="4" borderId="144" xfId="0" applyNumberFormat="1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 wrapText="1"/>
    </xf>
    <xf numFmtId="14" fontId="17" fillId="3" borderId="16" xfId="0" applyNumberFormat="1" applyFont="1" applyFill="1" applyBorder="1" applyAlignment="1">
      <alignment horizontal="center" vertical="center"/>
    </xf>
    <xf numFmtId="164" fontId="17" fillId="3" borderId="33" xfId="0" applyNumberFormat="1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 wrapText="1"/>
    </xf>
    <xf numFmtId="49" fontId="17" fillId="4" borderId="151" xfId="0" applyNumberFormat="1" applyFont="1" applyFill="1" applyBorder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0" fontId="17" fillId="4" borderId="152" xfId="0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17" fillId="10" borderId="92" xfId="0" applyFont="1" applyFill="1" applyBorder="1" applyAlignment="1">
      <alignment horizontal="center" vertical="center" wrapText="1"/>
    </xf>
    <xf numFmtId="0" fontId="17" fillId="3" borderId="62" xfId="0" applyFont="1" applyFill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 wrapText="1"/>
    </xf>
    <xf numFmtId="14" fontId="17" fillId="3" borderId="62" xfId="0" applyNumberFormat="1" applyFont="1" applyFill="1" applyBorder="1" applyAlignment="1">
      <alignment horizontal="center" vertical="center"/>
    </xf>
    <xf numFmtId="164" fontId="17" fillId="3" borderId="62" xfId="0" applyNumberFormat="1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160" xfId="0" applyFont="1" applyFill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17" fillId="3" borderId="164" xfId="0" applyFont="1" applyFill="1" applyBorder="1" applyAlignment="1">
      <alignment horizontal="center" vertical="center" wrapText="1"/>
    </xf>
    <xf numFmtId="0" fontId="50" fillId="0" borderId="30" xfId="0" applyFont="1" applyBorder="1" applyAlignment="1">
      <alignment horizontal="center" vertical="center"/>
    </xf>
    <xf numFmtId="0" fontId="17" fillId="4" borderId="92" xfId="0" applyFont="1" applyFill="1" applyBorder="1" applyAlignment="1">
      <alignment horizontal="center" vertical="center" wrapText="1"/>
    </xf>
    <xf numFmtId="49" fontId="17" fillId="4" borderId="148" xfId="0" applyNumberFormat="1" applyFont="1" applyFill="1" applyBorder="1" applyAlignment="1">
      <alignment horizontal="center" vertical="center"/>
    </xf>
    <xf numFmtId="49" fontId="17" fillId="4" borderId="16" xfId="0" applyNumberFormat="1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 wrapText="1"/>
    </xf>
    <xf numFmtId="164" fontId="17" fillId="3" borderId="16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14" fontId="17" fillId="4" borderId="16" xfId="0" applyNumberFormat="1" applyFont="1" applyFill="1" applyBorder="1" applyAlignment="1">
      <alignment horizontal="center" vertical="center" wrapText="1"/>
    </xf>
    <xf numFmtId="14" fontId="17" fillId="0" borderId="16" xfId="0" applyNumberFormat="1" applyFont="1" applyBorder="1" applyAlignment="1">
      <alignment horizontal="center" vertical="center" wrapText="1"/>
    </xf>
    <xf numFmtId="0" fontId="17" fillId="3" borderId="135" xfId="0" applyFont="1" applyFill="1" applyBorder="1" applyAlignment="1">
      <alignment horizontal="center" vertical="center" wrapText="1"/>
    </xf>
    <xf numFmtId="0" fontId="17" fillId="4" borderId="150" xfId="0" applyFont="1" applyFill="1" applyBorder="1" applyAlignment="1">
      <alignment horizontal="center" vertical="center" wrapText="1"/>
    </xf>
    <xf numFmtId="0" fontId="15" fillId="0" borderId="77" xfId="0" applyFont="1" applyBorder="1" applyAlignment="1">
      <alignment horizontal="center" vertical="center"/>
    </xf>
    <xf numFmtId="0" fontId="17" fillId="10" borderId="16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3" borderId="37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/>
    </xf>
    <xf numFmtId="0" fontId="17" fillId="3" borderId="34" xfId="0" applyFont="1" applyFill="1" applyBorder="1" applyAlignment="1">
      <alignment horizontal="center" vertical="center" wrapText="1"/>
    </xf>
    <xf numFmtId="14" fontId="17" fillId="3" borderId="34" xfId="0" applyNumberFormat="1" applyFont="1" applyFill="1" applyBorder="1" applyAlignment="1">
      <alignment horizontal="center" vertical="center"/>
    </xf>
    <xf numFmtId="0" fontId="17" fillId="3" borderId="68" xfId="0" applyFont="1" applyFill="1" applyBorder="1" applyAlignment="1">
      <alignment horizontal="center" vertical="center" wrapText="1"/>
    </xf>
    <xf numFmtId="0" fontId="17" fillId="3" borderId="46" xfId="0" applyFont="1" applyFill="1" applyBorder="1" applyAlignment="1">
      <alignment horizontal="center" vertical="center"/>
    </xf>
    <xf numFmtId="0" fontId="17" fillId="3" borderId="46" xfId="0" applyFont="1" applyFill="1" applyBorder="1" applyAlignment="1">
      <alignment horizontal="center" vertical="center" wrapText="1"/>
    </xf>
    <xf numFmtId="14" fontId="17" fillId="3" borderId="46" xfId="0" applyNumberFormat="1" applyFont="1" applyFill="1" applyBorder="1" applyAlignment="1">
      <alignment horizontal="center" vertical="center"/>
    </xf>
    <xf numFmtId="49" fontId="17" fillId="4" borderId="150" xfId="0" applyNumberFormat="1" applyFont="1" applyFill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17" fillId="10" borderId="157" xfId="0" applyFont="1" applyFill="1" applyBorder="1" applyAlignment="1">
      <alignment horizontal="center" vertical="center" wrapText="1"/>
    </xf>
    <xf numFmtId="49" fontId="17" fillId="4" borderId="153" xfId="0" applyNumberFormat="1" applyFont="1" applyFill="1" applyBorder="1" applyAlignment="1">
      <alignment horizontal="center" vertical="center"/>
    </xf>
    <xf numFmtId="49" fontId="17" fillId="4" borderId="19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154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 wrapText="1"/>
    </xf>
    <xf numFmtId="0" fontId="17" fillId="3" borderId="145" xfId="0" applyFont="1" applyFill="1" applyBorder="1" applyAlignment="1">
      <alignment horizontal="center" vertical="center" wrapText="1"/>
    </xf>
    <xf numFmtId="0" fontId="17" fillId="3" borderId="36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49" fontId="17" fillId="4" borderId="161" xfId="0" applyNumberFormat="1" applyFont="1" applyFill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/>
    </xf>
    <xf numFmtId="49" fontId="17" fillId="4" borderId="165" xfId="0" applyNumberFormat="1" applyFont="1" applyFill="1" applyBorder="1" applyAlignment="1">
      <alignment horizontal="center" vertical="center"/>
    </xf>
    <xf numFmtId="0" fontId="17" fillId="4" borderId="160" xfId="0" applyFont="1" applyFill="1" applyBorder="1" applyAlignment="1">
      <alignment horizontal="center" vertical="center" wrapText="1"/>
    </xf>
    <xf numFmtId="0" fontId="17" fillId="0" borderId="145" xfId="0" applyFont="1" applyBorder="1" applyAlignment="1">
      <alignment horizontal="center" vertical="center" wrapText="1"/>
    </xf>
    <xf numFmtId="49" fontId="17" fillId="4" borderId="166" xfId="0" applyNumberFormat="1" applyFont="1" applyFill="1" applyBorder="1" applyAlignment="1">
      <alignment horizontal="center" vertical="center"/>
    </xf>
    <xf numFmtId="0" fontId="17" fillId="4" borderId="164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49" fontId="17" fillId="3" borderId="110" xfId="0" applyNumberFormat="1" applyFont="1" applyFill="1" applyBorder="1" applyAlignment="1">
      <alignment horizontal="center" vertical="center"/>
    </xf>
    <xf numFmtId="49" fontId="17" fillId="3" borderId="149" xfId="0" applyNumberFormat="1" applyFont="1" applyFill="1" applyBorder="1" applyAlignment="1">
      <alignment horizontal="center" vertical="center"/>
    </xf>
    <xf numFmtId="49" fontId="17" fillId="3" borderId="153" xfId="0" applyNumberFormat="1" applyFont="1" applyFill="1" applyBorder="1" applyAlignment="1">
      <alignment horizontal="center" vertical="center"/>
    </xf>
    <xf numFmtId="49" fontId="17" fillId="4" borderId="25" xfId="0" applyNumberFormat="1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/>
    </xf>
    <xf numFmtId="14" fontId="17" fillId="3" borderId="25" xfId="0" applyNumberFormat="1" applyFont="1" applyFill="1" applyBorder="1" applyAlignment="1">
      <alignment horizontal="center" vertical="center"/>
    </xf>
    <xf numFmtId="0" fontId="17" fillId="4" borderId="167" xfId="0" applyFont="1" applyFill="1" applyBorder="1" applyAlignment="1">
      <alignment horizontal="center" vertical="center" wrapText="1"/>
    </xf>
    <xf numFmtId="49" fontId="17" fillId="3" borderId="154" xfId="0" applyNumberFormat="1" applyFont="1" applyFill="1" applyBorder="1" applyAlignment="1">
      <alignment horizontal="center" vertical="center"/>
    </xf>
    <xf numFmtId="49" fontId="17" fillId="4" borderId="3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49" fontId="17" fillId="3" borderId="144" xfId="0" applyNumberFormat="1" applyFont="1" applyFill="1" applyBorder="1" applyAlignment="1">
      <alignment horizontal="center" vertical="center"/>
    </xf>
    <xf numFmtId="49" fontId="17" fillId="3" borderId="122" xfId="0" applyNumberFormat="1" applyFont="1" applyFill="1" applyBorder="1" applyAlignment="1">
      <alignment horizontal="center" vertical="center"/>
    </xf>
    <xf numFmtId="49" fontId="17" fillId="3" borderId="119" xfId="0" applyNumberFormat="1" applyFont="1" applyFill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0" fontId="17" fillId="3" borderId="118" xfId="0" applyFont="1" applyFill="1" applyBorder="1" applyAlignment="1">
      <alignment horizontal="center" vertical="center" wrapText="1"/>
    </xf>
    <xf numFmtId="0" fontId="17" fillId="3" borderId="167" xfId="0" applyFont="1" applyFill="1" applyBorder="1" applyAlignment="1">
      <alignment horizontal="center" vertical="center" wrapText="1"/>
    </xf>
    <xf numFmtId="49" fontId="17" fillId="3" borderId="151" xfId="0" applyNumberFormat="1" applyFont="1" applyFill="1" applyBorder="1" applyAlignment="1">
      <alignment horizontal="center" vertical="center"/>
    </xf>
    <xf numFmtId="14" fontId="17" fillId="3" borderId="3" xfId="0" applyNumberFormat="1" applyFont="1" applyFill="1" applyBorder="1" applyAlignment="1">
      <alignment horizontal="center" vertical="center"/>
    </xf>
    <xf numFmtId="164" fontId="17" fillId="3" borderId="3" xfId="0" applyNumberFormat="1" applyFont="1" applyFill="1" applyBorder="1" applyAlignment="1">
      <alignment horizontal="center" vertical="center"/>
    </xf>
    <xf numFmtId="0" fontId="17" fillId="3" borderId="170" xfId="0" applyFont="1" applyFill="1" applyBorder="1" applyAlignment="1">
      <alignment horizontal="center" vertical="center" wrapText="1"/>
    </xf>
    <xf numFmtId="49" fontId="17" fillId="4" borderId="160" xfId="0" applyNumberFormat="1" applyFont="1" applyFill="1" applyBorder="1" applyAlignment="1">
      <alignment horizontal="center" vertical="center"/>
    </xf>
    <xf numFmtId="49" fontId="17" fillId="4" borderId="167" xfId="0" applyNumberFormat="1" applyFont="1" applyFill="1" applyBorder="1" applyAlignment="1">
      <alignment horizontal="center" vertical="center"/>
    </xf>
    <xf numFmtId="14" fontId="17" fillId="9" borderId="25" xfId="0" applyNumberFormat="1" applyFont="1" applyFill="1" applyBorder="1" applyAlignment="1">
      <alignment horizontal="center" vertical="center" wrapText="1"/>
    </xf>
    <xf numFmtId="0" fontId="17" fillId="29" borderId="35" xfId="0" applyFont="1" applyFill="1" applyBorder="1" applyAlignment="1">
      <alignment horizontal="center" vertical="center" wrapText="1"/>
    </xf>
    <xf numFmtId="0" fontId="17" fillId="3" borderId="174" xfId="0" applyFont="1" applyFill="1" applyBorder="1" applyAlignment="1">
      <alignment horizontal="center" vertical="center" wrapText="1"/>
    </xf>
    <xf numFmtId="49" fontId="17" fillId="3" borderId="172" xfId="0" applyNumberFormat="1" applyFont="1" applyFill="1" applyBorder="1" applyAlignment="1">
      <alignment horizontal="center" vertical="center"/>
    </xf>
    <xf numFmtId="49" fontId="17" fillId="4" borderId="171" xfId="0" applyNumberFormat="1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center" vertical="center" wrapText="1"/>
    </xf>
    <xf numFmtId="0" fontId="17" fillId="3" borderId="175" xfId="0" applyFont="1" applyFill="1" applyBorder="1" applyAlignment="1">
      <alignment horizontal="center" vertical="center" wrapText="1"/>
    </xf>
    <xf numFmtId="49" fontId="17" fillId="3" borderId="176" xfId="0" applyNumberFormat="1" applyFont="1" applyFill="1" applyBorder="1" applyAlignment="1">
      <alignment horizontal="center" vertical="center"/>
    </xf>
    <xf numFmtId="0" fontId="17" fillId="3" borderId="177" xfId="0" applyFont="1" applyFill="1" applyBorder="1" applyAlignment="1">
      <alignment horizontal="center" vertical="center" wrapText="1"/>
    </xf>
    <xf numFmtId="49" fontId="17" fillId="3" borderId="5" xfId="0" applyNumberFormat="1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/>
    </xf>
    <xf numFmtId="14" fontId="17" fillId="3" borderId="6" xfId="0" applyNumberFormat="1" applyFont="1" applyFill="1" applyBorder="1" applyAlignment="1">
      <alignment horizontal="center" vertical="center"/>
    </xf>
    <xf numFmtId="164" fontId="17" fillId="3" borderId="6" xfId="0" applyNumberFormat="1" applyFont="1" applyFill="1" applyBorder="1" applyAlignment="1">
      <alignment horizontal="center" vertical="center"/>
    </xf>
    <xf numFmtId="14" fontId="17" fillId="4" borderId="6" xfId="0" applyNumberFormat="1" applyFont="1" applyFill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3" borderId="81" xfId="0" applyFont="1" applyFill="1" applyBorder="1" applyAlignment="1">
      <alignment horizontal="center" vertical="center" wrapText="1"/>
    </xf>
    <xf numFmtId="49" fontId="15" fillId="4" borderId="57" xfId="0" applyNumberFormat="1" applyFont="1" applyFill="1" applyBorder="1" applyAlignment="1">
      <alignment horizontal="center" vertical="center" wrapText="1"/>
    </xf>
    <xf numFmtId="49" fontId="17" fillId="4" borderId="56" xfId="0" applyNumberFormat="1" applyFont="1" applyFill="1" applyBorder="1" applyAlignment="1">
      <alignment horizontal="center" vertical="center" wrapText="1"/>
    </xf>
    <xf numFmtId="14" fontId="17" fillId="3" borderId="4" xfId="0" applyNumberFormat="1" applyFont="1" applyFill="1" applyBorder="1" applyAlignment="1">
      <alignment horizontal="center" vertical="center" wrapText="1"/>
    </xf>
    <xf numFmtId="49" fontId="15" fillId="4" borderId="100" xfId="0" applyNumberFormat="1" applyFont="1" applyFill="1" applyBorder="1" applyAlignment="1">
      <alignment horizontal="center" vertical="center"/>
    </xf>
    <xf numFmtId="14" fontId="17" fillId="4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17" fillId="4" borderId="145" xfId="0" applyFont="1" applyFill="1" applyBorder="1" applyAlignment="1">
      <alignment horizontal="center" vertical="center" wrapText="1"/>
    </xf>
    <xf numFmtId="0" fontId="15" fillId="4" borderId="3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14" fontId="17" fillId="4" borderId="25" xfId="0" applyNumberFormat="1" applyFont="1" applyFill="1" applyBorder="1" applyAlignment="1">
      <alignment horizontal="center" vertical="center"/>
    </xf>
    <xf numFmtId="164" fontId="17" fillId="4" borderId="25" xfId="0" applyNumberFormat="1" applyFont="1" applyFill="1" applyBorder="1" applyAlignment="1">
      <alignment horizontal="center" vertical="center"/>
    </xf>
    <xf numFmtId="14" fontId="17" fillId="4" borderId="34" xfId="0" applyNumberFormat="1" applyFont="1" applyFill="1" applyBorder="1" applyAlignment="1">
      <alignment horizontal="center" vertical="center"/>
    </xf>
    <xf numFmtId="164" fontId="17" fillId="4" borderId="34" xfId="0" applyNumberFormat="1" applyFont="1" applyFill="1" applyBorder="1" applyAlignment="1">
      <alignment horizontal="center" vertical="center"/>
    </xf>
    <xf numFmtId="0" fontId="17" fillId="4" borderId="90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0" fontId="17" fillId="4" borderId="127" xfId="0" applyFont="1" applyFill="1" applyBorder="1" applyAlignment="1">
      <alignment horizontal="center" vertical="center" wrapText="1"/>
    </xf>
    <xf numFmtId="0" fontId="17" fillId="4" borderId="68" xfId="0" applyFont="1" applyFill="1" applyBorder="1" applyAlignment="1">
      <alignment horizontal="center" vertical="center"/>
    </xf>
    <xf numFmtId="14" fontId="17" fillId="4" borderId="89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7" fillId="4" borderId="32" xfId="0" applyFont="1" applyFill="1" applyBorder="1" applyAlignment="1">
      <alignment horizontal="center" vertical="center"/>
    </xf>
    <xf numFmtId="14" fontId="17" fillId="4" borderId="33" xfId="0" applyNumberFormat="1" applyFont="1" applyFill="1" applyBorder="1" applyAlignment="1">
      <alignment horizontal="center" vertical="center"/>
    </xf>
    <xf numFmtId="0" fontId="15" fillId="4" borderId="46" xfId="0" applyFont="1" applyFill="1" applyBorder="1" applyAlignment="1">
      <alignment horizontal="center" vertical="center" wrapText="1"/>
    </xf>
    <xf numFmtId="0" fontId="17" fillId="4" borderId="46" xfId="0" applyFont="1" applyFill="1" applyBorder="1" applyAlignment="1">
      <alignment horizontal="center" vertical="center"/>
    </xf>
    <xf numFmtId="14" fontId="17" fillId="4" borderId="46" xfId="0" applyNumberFormat="1" applyFont="1" applyFill="1" applyBorder="1" applyAlignment="1">
      <alignment horizontal="center" vertical="center"/>
    </xf>
    <xf numFmtId="164" fontId="17" fillId="4" borderId="46" xfId="0" applyNumberFormat="1" applyFont="1" applyFill="1" applyBorder="1" applyAlignment="1">
      <alignment horizontal="center" vertical="center"/>
    </xf>
    <xf numFmtId="0" fontId="17" fillId="4" borderId="152" xfId="0" applyFont="1" applyFill="1" applyBorder="1" applyAlignment="1">
      <alignment horizontal="center" vertical="center"/>
    </xf>
    <xf numFmtId="14" fontId="17" fillId="4" borderId="107" xfId="0" applyNumberFormat="1" applyFont="1" applyFill="1" applyBorder="1" applyAlignment="1">
      <alignment horizontal="center" vertical="center"/>
    </xf>
    <xf numFmtId="0" fontId="17" fillId="4" borderId="53" xfId="0" applyFont="1" applyFill="1" applyBorder="1" applyAlignment="1">
      <alignment horizontal="center" vertical="center" wrapText="1"/>
    </xf>
    <xf numFmtId="164" fontId="17" fillId="4" borderId="3" xfId="0" applyNumberFormat="1" applyFont="1" applyFill="1" applyBorder="1" applyAlignment="1">
      <alignment horizontal="center" vertical="center"/>
    </xf>
    <xf numFmtId="14" fontId="17" fillId="4" borderId="3" xfId="0" applyNumberFormat="1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14" fontId="17" fillId="4" borderId="1" xfId="0" applyNumberFormat="1" applyFont="1" applyFill="1" applyBorder="1" applyAlignment="1">
      <alignment horizontal="center"/>
    </xf>
    <xf numFmtId="0" fontId="17" fillId="4" borderId="86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14" fontId="15" fillId="4" borderId="24" xfId="0" applyNumberFormat="1" applyFont="1" applyFill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5" fillId="4" borderId="58" xfId="0" applyFont="1" applyFill="1" applyBorder="1" applyAlignment="1">
      <alignment horizontal="center" vertical="center"/>
    </xf>
    <xf numFmtId="15" fontId="29" fillId="0" borderId="125" xfId="0" applyNumberFormat="1" applyFont="1" applyBorder="1"/>
    <xf numFmtId="49" fontId="17" fillId="4" borderId="33" xfId="0" applyNumberFormat="1" applyFont="1" applyFill="1" applyBorder="1" applyAlignment="1">
      <alignment horizontal="center" vertical="center"/>
    </xf>
    <xf numFmtId="14" fontId="15" fillId="4" borderId="58" xfId="0" applyNumberFormat="1" applyFont="1" applyFill="1" applyBorder="1" applyAlignment="1">
      <alignment horizontal="center" vertical="center"/>
    </xf>
    <xf numFmtId="14" fontId="35" fillId="0" borderId="125" xfId="0" applyNumberFormat="1" applyFont="1" applyBorder="1"/>
    <xf numFmtId="0" fontId="9" fillId="18" borderId="125" xfId="0" applyFont="1" applyFill="1" applyBorder="1" applyAlignment="1">
      <alignment horizontal="center" vertical="center"/>
    </xf>
    <xf numFmtId="49" fontId="9" fillId="18" borderId="125" xfId="0" applyNumberFormat="1" applyFont="1" applyFill="1" applyBorder="1" applyAlignment="1">
      <alignment horizontal="center" vertical="center"/>
    </xf>
    <xf numFmtId="0" fontId="9" fillId="18" borderId="125" xfId="0" applyFont="1" applyFill="1" applyBorder="1" applyAlignment="1">
      <alignment horizontal="center" vertical="center" wrapText="1"/>
    </xf>
    <xf numFmtId="0" fontId="52" fillId="18" borderId="0" xfId="0" applyFont="1" applyFill="1" applyAlignment="1">
      <alignment horizontal="center" vertical="center"/>
    </xf>
    <xf numFmtId="0" fontId="52" fillId="12" borderId="0" xfId="0" applyFont="1" applyFill="1" applyAlignment="1">
      <alignment horizontal="center" vertical="center"/>
    </xf>
    <xf numFmtId="0" fontId="52" fillId="28" borderId="0" xfId="0" applyFont="1" applyFill="1" applyAlignment="1">
      <alignment horizontal="center" vertical="center"/>
    </xf>
    <xf numFmtId="0" fontId="6" fillId="0" borderId="125" xfId="2" applyFont="1" applyBorder="1"/>
    <xf numFmtId="0" fontId="58" fillId="18" borderId="0" xfId="0" applyFont="1" applyFill="1" applyAlignment="1">
      <alignment horizontal="center" vertical="center"/>
    </xf>
    <xf numFmtId="0" fontId="25" fillId="18" borderId="117" xfId="0" applyFont="1" applyFill="1" applyBorder="1" applyAlignment="1">
      <alignment horizontal="center" vertical="center" wrapText="1"/>
    </xf>
    <xf numFmtId="0" fontId="25" fillId="18" borderId="62" xfId="0" applyFont="1" applyFill="1" applyBorder="1" applyAlignment="1">
      <alignment horizontal="center" vertical="center" wrapText="1"/>
    </xf>
    <xf numFmtId="0" fontId="9" fillId="18" borderId="62" xfId="0" applyFont="1" applyFill="1" applyBorder="1" applyAlignment="1">
      <alignment horizontal="center" vertical="center" wrapText="1"/>
    </xf>
    <xf numFmtId="0" fontId="9" fillId="18" borderId="64" xfId="0" applyFont="1" applyFill="1" applyBorder="1" applyAlignment="1">
      <alignment horizontal="center" vertical="center" wrapText="1"/>
    </xf>
    <xf numFmtId="0" fontId="59" fillId="30" borderId="35" xfId="0" applyFont="1" applyFill="1" applyBorder="1" applyAlignment="1">
      <alignment horizontal="center" vertical="center"/>
    </xf>
    <xf numFmtId="10" fontId="59" fillId="30" borderId="35" xfId="0" applyNumberFormat="1" applyFont="1" applyFill="1" applyBorder="1" applyAlignment="1">
      <alignment horizontal="center" vertical="center"/>
    </xf>
    <xf numFmtId="0" fontId="59" fillId="30" borderId="38" xfId="0" applyFont="1" applyFill="1" applyBorder="1" applyAlignment="1">
      <alignment horizontal="center" vertical="center"/>
    </xf>
    <xf numFmtId="0" fontId="59" fillId="30" borderId="0" xfId="0" applyFont="1" applyFill="1" applyAlignment="1">
      <alignment horizontal="center" vertical="center"/>
    </xf>
    <xf numFmtId="0" fontId="0" fillId="30" borderId="0" xfId="0" applyFill="1"/>
    <xf numFmtId="49" fontId="17" fillId="4" borderId="178" xfId="0" applyNumberFormat="1" applyFont="1" applyFill="1" applyBorder="1" applyAlignment="1">
      <alignment horizontal="center" vertical="center"/>
    </xf>
    <xf numFmtId="49" fontId="17" fillId="4" borderId="179" xfId="0" applyNumberFormat="1" applyFont="1" applyFill="1" applyBorder="1" applyAlignment="1">
      <alignment horizontal="center" vertical="center"/>
    </xf>
    <xf numFmtId="0" fontId="17" fillId="4" borderId="89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49" fontId="17" fillId="4" borderId="58" xfId="0" applyNumberFormat="1" applyFont="1" applyFill="1" applyBorder="1" applyAlignment="1">
      <alignment horizontal="center" vertical="center" wrapText="1"/>
    </xf>
    <xf numFmtId="49" fontId="17" fillId="4" borderId="24" xfId="0" applyNumberFormat="1" applyFont="1" applyFill="1" applyBorder="1" applyAlignment="1">
      <alignment horizontal="center" vertical="center" wrapText="1"/>
    </xf>
    <xf numFmtId="49" fontId="17" fillId="4" borderId="180" xfId="0" applyNumberFormat="1" applyFont="1" applyFill="1" applyBorder="1" applyAlignment="1">
      <alignment horizontal="center" vertical="center"/>
    </xf>
    <xf numFmtId="49" fontId="17" fillId="4" borderId="35" xfId="0" applyNumberFormat="1" applyFont="1" applyFill="1" applyBorder="1" applyAlignment="1">
      <alignment horizontal="center" vertical="center" wrapText="1"/>
    </xf>
    <xf numFmtId="0" fontId="17" fillId="4" borderId="79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/>
    </xf>
    <xf numFmtId="14" fontId="15" fillId="4" borderId="35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wrapText="1"/>
    </xf>
    <xf numFmtId="49" fontId="17" fillId="4" borderId="172" xfId="0" applyNumberFormat="1" applyFont="1" applyFill="1" applyBorder="1" applyAlignment="1">
      <alignment horizontal="center" vertical="center"/>
    </xf>
    <xf numFmtId="0" fontId="15" fillId="4" borderId="171" xfId="0" applyFont="1" applyFill="1" applyBorder="1" applyAlignment="1">
      <alignment horizontal="center" vertical="center" wrapText="1"/>
    </xf>
    <xf numFmtId="0" fontId="17" fillId="4" borderId="171" xfId="0" applyFont="1" applyFill="1" applyBorder="1" applyAlignment="1">
      <alignment horizontal="center" vertical="center"/>
    </xf>
    <xf numFmtId="0" fontId="17" fillId="4" borderId="171" xfId="0" applyFont="1" applyFill="1" applyBorder="1" applyAlignment="1">
      <alignment horizontal="center" vertical="center" wrapText="1"/>
    </xf>
    <xf numFmtId="14" fontId="17" fillId="4" borderId="171" xfId="0" applyNumberFormat="1" applyFont="1" applyFill="1" applyBorder="1" applyAlignment="1">
      <alignment horizontal="center" vertical="center"/>
    </xf>
    <xf numFmtId="164" fontId="17" fillId="4" borderId="171" xfId="0" applyNumberFormat="1" applyFont="1" applyFill="1" applyBorder="1" applyAlignment="1">
      <alignment horizontal="center" vertical="center"/>
    </xf>
    <xf numFmtId="0" fontId="17" fillId="4" borderId="181" xfId="0" applyFont="1" applyFill="1" applyBorder="1" applyAlignment="1">
      <alignment horizontal="center" vertical="center" wrapText="1"/>
    </xf>
    <xf numFmtId="0" fontId="0" fillId="0" borderId="125" xfId="0" applyBorder="1" applyAlignment="1">
      <alignment wrapText="1"/>
    </xf>
    <xf numFmtId="0" fontId="17" fillId="3" borderId="82" xfId="0" applyFont="1" applyFill="1" applyBorder="1" applyAlignment="1">
      <alignment vertical="center" wrapText="1"/>
    </xf>
    <xf numFmtId="0" fontId="17" fillId="3" borderId="88" xfId="0" applyFont="1" applyFill="1" applyBorder="1" applyAlignment="1">
      <alignment vertical="center" wrapText="1"/>
    </xf>
    <xf numFmtId="49" fontId="17" fillId="4" borderId="79" xfId="0" applyNumberFormat="1" applyFont="1" applyFill="1" applyBorder="1" applyAlignment="1">
      <alignment horizontal="center" vertical="center"/>
    </xf>
    <xf numFmtId="49" fontId="14" fillId="0" borderId="124" xfId="0" applyNumberFormat="1" applyFont="1" applyBorder="1"/>
    <xf numFmtId="49" fontId="14" fillId="0" borderId="125" xfId="0" applyNumberFormat="1" applyFont="1" applyBorder="1"/>
    <xf numFmtId="0" fontId="0" fillId="0" borderId="124" xfId="0" applyBorder="1" applyAlignment="1">
      <alignment vertical="center" wrapText="1"/>
    </xf>
    <xf numFmtId="49" fontId="0" fillId="0" borderId="125" xfId="0" applyNumberFormat="1" applyBorder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21" fillId="0" borderId="0" xfId="2" applyFont="1" applyBorder="1"/>
    <xf numFmtId="0" fontId="10" fillId="0" borderId="0" xfId="0" applyFont="1" applyAlignment="1">
      <alignment horizontal="right"/>
    </xf>
    <xf numFmtId="166" fontId="54" fillId="31" borderId="0" xfId="0" applyNumberFormat="1" applyFont="1" applyFill="1" applyAlignment="1">
      <alignment horizontal="center" vertical="center"/>
    </xf>
    <xf numFmtId="166" fontId="55" fillId="32" borderId="0" xfId="0" applyNumberFormat="1" applyFont="1" applyFill="1" applyAlignment="1">
      <alignment horizontal="center" vertical="center"/>
    </xf>
    <xf numFmtId="2" fontId="59" fillId="30" borderId="72" xfId="0" applyNumberFormat="1" applyFont="1" applyFill="1" applyBorder="1" applyAlignment="1">
      <alignment horizontal="center" vertical="center"/>
    </xf>
    <xf numFmtId="2" fontId="59" fillId="30" borderId="35" xfId="0" applyNumberFormat="1" applyFont="1" applyFill="1" applyBorder="1" applyAlignment="1">
      <alignment horizontal="center" vertical="center"/>
    </xf>
    <xf numFmtId="14" fontId="0" fillId="0" borderId="125" xfId="0" applyNumberFormat="1" applyBorder="1" applyAlignment="1">
      <alignment horizontal="left" vertical="center" wrapText="1"/>
    </xf>
    <xf numFmtId="0" fontId="58" fillId="0" borderId="0" xfId="0" applyFont="1"/>
    <xf numFmtId="1" fontId="60" fillId="35" borderId="0" xfId="0" applyNumberFormat="1" applyFont="1" applyFill="1" applyAlignment="1">
      <alignment horizontal="center" vertical="center"/>
    </xf>
    <xf numFmtId="10" fontId="60" fillId="35" borderId="0" xfId="0" applyNumberFormat="1" applyFont="1" applyFill="1" applyAlignment="1">
      <alignment horizontal="center" vertical="center"/>
    </xf>
    <xf numFmtId="49" fontId="32" fillId="0" borderId="0" xfId="0" applyNumberFormat="1" applyFont="1"/>
    <xf numFmtId="1" fontId="53" fillId="30" borderId="0" xfId="0" applyNumberFormat="1" applyFont="1" applyFill="1" applyAlignment="1">
      <alignment horizontal="center" vertical="center"/>
    </xf>
    <xf numFmtId="10" fontId="53" fillId="30" borderId="0" xfId="0" applyNumberFormat="1" applyFont="1" applyFill="1" applyAlignment="1">
      <alignment horizontal="center" vertical="center"/>
    </xf>
    <xf numFmtId="0" fontId="17" fillId="4" borderId="55" xfId="0" applyFont="1" applyFill="1" applyBorder="1" applyAlignment="1">
      <alignment horizontal="center" vertical="center"/>
    </xf>
    <xf numFmtId="14" fontId="17" fillId="4" borderId="79" xfId="0" applyNumberFormat="1" applyFont="1" applyFill="1" applyBorder="1" applyAlignment="1">
      <alignment horizontal="center" vertical="center"/>
    </xf>
    <xf numFmtId="0" fontId="0" fillId="0" borderId="24" xfId="0" applyBorder="1"/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/>
    <xf numFmtId="0" fontId="63" fillId="0" borderId="0" xfId="0" applyFont="1" applyAlignment="1">
      <alignment horizontal="center"/>
    </xf>
    <xf numFmtId="0" fontId="0" fillId="0" borderId="125" xfId="0" applyBorder="1" applyAlignment="1">
      <alignment horizontal="center" vertical="center" wrapText="1"/>
    </xf>
    <xf numFmtId="14" fontId="0" fillId="0" borderId="125" xfId="0" applyNumberFormat="1" applyBorder="1" applyAlignment="1">
      <alignment horizontal="right" vertical="center"/>
    </xf>
    <xf numFmtId="49" fontId="64" fillId="0" borderId="0" xfId="0" applyNumberFormat="1" applyFont="1"/>
    <xf numFmtId="49" fontId="17" fillId="4" borderId="87" xfId="0" applyNumberFormat="1" applyFont="1" applyFill="1" applyBorder="1" applyAlignment="1">
      <alignment horizontal="center" vertical="center"/>
    </xf>
    <xf numFmtId="0" fontId="65" fillId="38" borderId="0" xfId="0" applyFont="1" applyFill="1" applyAlignment="1">
      <alignment horizontal="center" vertical="center" wrapText="1"/>
    </xf>
    <xf numFmtId="0" fontId="9" fillId="39" borderId="0" xfId="0" applyFont="1" applyFill="1" applyAlignment="1">
      <alignment horizontal="center" vertical="center"/>
    </xf>
    <xf numFmtId="0" fontId="65" fillId="37" borderId="182" xfId="0" applyFont="1" applyFill="1" applyBorder="1" applyAlignment="1">
      <alignment horizontal="center" vertical="center" wrapText="1"/>
    </xf>
    <xf numFmtId="0" fontId="65" fillId="36" borderId="183" xfId="0" applyFont="1" applyFill="1" applyBorder="1" applyAlignment="1">
      <alignment horizontal="center" vertical="center" wrapText="1"/>
    </xf>
    <xf numFmtId="0" fontId="65" fillId="40" borderId="0" xfId="0" applyFont="1" applyFill="1" applyAlignment="1">
      <alignment horizontal="center" vertical="center" wrapText="1"/>
    </xf>
    <xf numFmtId="0" fontId="65" fillId="12" borderId="0" xfId="0" applyFont="1" applyFill="1" applyAlignment="1">
      <alignment horizontal="center" vertical="center" wrapText="1"/>
    </xf>
    <xf numFmtId="0" fontId="65" fillId="25" borderId="0" xfId="0" applyFont="1" applyFill="1" applyAlignment="1">
      <alignment horizontal="center" vertical="center" wrapText="1"/>
    </xf>
    <xf numFmtId="0" fontId="17" fillId="4" borderId="187" xfId="0" applyFont="1" applyFill="1" applyBorder="1" applyAlignment="1">
      <alignment horizontal="center" vertical="center" wrapText="1"/>
    </xf>
    <xf numFmtId="49" fontId="15" fillId="4" borderId="122" xfId="0" applyNumberFormat="1" applyFont="1" applyFill="1" applyBorder="1" applyAlignment="1">
      <alignment horizontal="center" vertical="center"/>
    </xf>
    <xf numFmtId="0" fontId="15" fillId="4" borderId="94" xfId="0" applyFont="1" applyFill="1" applyBorder="1" applyAlignment="1">
      <alignment horizontal="center"/>
    </xf>
    <xf numFmtId="0" fontId="15" fillId="4" borderId="69" xfId="0" applyFont="1" applyFill="1" applyBorder="1" applyAlignment="1">
      <alignment horizontal="center"/>
    </xf>
    <xf numFmtId="49" fontId="15" fillId="4" borderId="110" xfId="0" applyNumberFormat="1" applyFont="1" applyFill="1" applyBorder="1" applyAlignment="1">
      <alignment horizontal="center" vertical="center"/>
    </xf>
    <xf numFmtId="0" fontId="15" fillId="4" borderId="76" xfId="0" applyFont="1" applyFill="1" applyBorder="1" applyAlignment="1">
      <alignment horizontal="center"/>
    </xf>
    <xf numFmtId="0" fontId="15" fillId="4" borderId="42" xfId="0" applyFont="1" applyFill="1" applyBorder="1" applyAlignment="1">
      <alignment horizontal="center"/>
    </xf>
    <xf numFmtId="49" fontId="15" fillId="4" borderId="110" xfId="0" applyNumberFormat="1" applyFont="1" applyFill="1" applyBorder="1" applyAlignment="1">
      <alignment horizontal="center" vertical="center" wrapText="1"/>
    </xf>
    <xf numFmtId="0" fontId="15" fillId="4" borderId="76" xfId="0" applyFont="1" applyFill="1" applyBorder="1" applyAlignment="1">
      <alignment horizontal="center" wrapText="1"/>
    </xf>
    <xf numFmtId="0" fontId="15" fillId="4" borderId="42" xfId="0" applyFont="1" applyFill="1" applyBorder="1" applyAlignment="1">
      <alignment horizontal="center" wrapText="1"/>
    </xf>
    <xf numFmtId="49" fontId="15" fillId="4" borderId="119" xfId="0" applyNumberFormat="1" applyFont="1" applyFill="1" applyBorder="1" applyAlignment="1">
      <alignment horizontal="center" vertical="center" wrapText="1"/>
    </xf>
    <xf numFmtId="0" fontId="15" fillId="4" borderId="72" xfId="0" applyFont="1" applyFill="1" applyBorder="1" applyAlignment="1">
      <alignment horizontal="center" wrapText="1"/>
    </xf>
    <xf numFmtId="0" fontId="15" fillId="4" borderId="38" xfId="0" applyFont="1" applyFill="1" applyBorder="1" applyAlignment="1">
      <alignment horizontal="center" wrapText="1"/>
    </xf>
    <xf numFmtId="0" fontId="15" fillId="4" borderId="101" xfId="0" applyFont="1" applyFill="1" applyBorder="1" applyAlignment="1">
      <alignment horizontal="center" vertical="center" wrapText="1"/>
    </xf>
    <xf numFmtId="0" fontId="15" fillId="0" borderId="0" xfId="0" applyFont="1"/>
    <xf numFmtId="0" fontId="69" fillId="0" borderId="0" xfId="0" applyFont="1"/>
    <xf numFmtId="0" fontId="15" fillId="0" borderId="24" xfId="0" applyFont="1" applyBorder="1" applyAlignment="1">
      <alignment horizontal="center"/>
    </xf>
    <xf numFmtId="0" fontId="15" fillId="8" borderId="24" xfId="0" applyFont="1" applyFill="1" applyBorder="1" applyAlignment="1">
      <alignment horizontal="center"/>
    </xf>
    <xf numFmtId="0" fontId="15" fillId="24" borderId="24" xfId="0" applyFont="1" applyFill="1" applyBorder="1" applyAlignment="1">
      <alignment horizontal="center"/>
    </xf>
    <xf numFmtId="0" fontId="70" fillId="15" borderId="24" xfId="0" applyFont="1" applyFill="1" applyBorder="1" applyAlignment="1">
      <alignment horizontal="center"/>
    </xf>
    <xf numFmtId="0" fontId="70" fillId="9" borderId="24" xfId="0" applyFont="1" applyFill="1" applyBorder="1" applyAlignment="1">
      <alignment horizontal="center"/>
    </xf>
    <xf numFmtId="0" fontId="15" fillId="7" borderId="35" xfId="0" applyFont="1" applyFill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7" fillId="0" borderId="0" xfId="0" applyFont="1"/>
    <xf numFmtId="0" fontId="2" fillId="0" borderId="0" xfId="0" applyFont="1"/>
    <xf numFmtId="49" fontId="71" fillId="0" borderId="0" xfId="0" applyNumberFormat="1" applyFont="1"/>
    <xf numFmtId="0" fontId="44" fillId="4" borderId="33" xfId="1" applyFont="1" applyFill="1" applyBorder="1" applyAlignment="1">
      <alignment horizontal="center" vertical="center" wrapText="1"/>
    </xf>
    <xf numFmtId="0" fontId="17" fillId="4" borderId="32" xfId="1" applyFont="1" applyFill="1" applyBorder="1" applyAlignment="1">
      <alignment horizontal="center" vertical="center" wrapText="1"/>
    </xf>
    <xf numFmtId="0" fontId="25" fillId="41" borderId="117" xfId="0" applyFont="1" applyFill="1" applyBorder="1" applyAlignment="1">
      <alignment horizontal="center" vertical="center" wrapText="1"/>
    </xf>
    <xf numFmtId="0" fontId="25" fillId="41" borderId="62" xfId="0" applyFont="1" applyFill="1" applyBorder="1" applyAlignment="1">
      <alignment horizontal="center" vertical="center" wrapText="1"/>
    </xf>
    <xf numFmtId="0" fontId="9" fillId="41" borderId="62" xfId="0" applyFont="1" applyFill="1" applyBorder="1" applyAlignment="1">
      <alignment horizontal="center" vertical="center" wrapText="1"/>
    </xf>
    <xf numFmtId="0" fontId="9" fillId="41" borderId="64" xfId="0" applyFont="1" applyFill="1" applyBorder="1" applyAlignment="1">
      <alignment horizontal="center" vertical="center" wrapText="1"/>
    </xf>
    <xf numFmtId="2" fontId="72" fillId="20" borderId="72" xfId="0" applyNumberFormat="1" applyFont="1" applyFill="1" applyBorder="1" applyAlignment="1">
      <alignment horizontal="center" vertical="center"/>
    </xf>
    <xf numFmtId="2" fontId="72" fillId="20" borderId="35" xfId="0" applyNumberFormat="1" applyFont="1" applyFill="1" applyBorder="1" applyAlignment="1">
      <alignment horizontal="center" vertical="center"/>
    </xf>
    <xf numFmtId="10" fontId="72" fillId="20" borderId="35" xfId="0" applyNumberFormat="1" applyFont="1" applyFill="1" applyBorder="1" applyAlignment="1">
      <alignment horizontal="center" vertical="center"/>
    </xf>
    <xf numFmtId="0" fontId="72" fillId="20" borderId="35" xfId="0" applyFont="1" applyFill="1" applyBorder="1" applyAlignment="1">
      <alignment horizontal="center" vertical="center"/>
    </xf>
    <xf numFmtId="0" fontId="72" fillId="20" borderId="38" xfId="0" applyFont="1" applyFill="1" applyBorder="1" applyAlignment="1">
      <alignment horizontal="center" vertical="center"/>
    </xf>
    <xf numFmtId="0" fontId="72" fillId="20" borderId="0" xfId="0" applyFont="1" applyFill="1" applyAlignment="1">
      <alignment horizontal="center" vertical="center"/>
    </xf>
    <xf numFmtId="0" fontId="58" fillId="17" borderId="0" xfId="0" applyFont="1" applyFill="1" applyAlignment="1">
      <alignment horizontal="center" vertical="center"/>
    </xf>
    <xf numFmtId="0" fontId="58" fillId="0" borderId="0" xfId="0" pivotButton="1" applyFont="1"/>
    <xf numFmtId="0" fontId="58" fillId="42" borderId="0" xfId="0" applyFont="1" applyFill="1" applyAlignment="1">
      <alignment horizontal="center" vertical="center"/>
    </xf>
    <xf numFmtId="0" fontId="17" fillId="4" borderId="87" xfId="0" applyFont="1" applyFill="1" applyBorder="1" applyAlignment="1">
      <alignment horizontal="center" vertical="center"/>
    </xf>
    <xf numFmtId="14" fontId="17" fillId="4" borderId="87" xfId="0" applyNumberFormat="1" applyFont="1" applyFill="1" applyBorder="1" applyAlignment="1">
      <alignment horizontal="center" vertical="center"/>
    </xf>
    <xf numFmtId="164" fontId="17" fillId="4" borderId="87" xfId="0" applyNumberFormat="1" applyFont="1" applyFill="1" applyBorder="1" applyAlignment="1">
      <alignment horizontal="center" vertical="center"/>
    </xf>
    <xf numFmtId="0" fontId="17" fillId="4" borderId="114" xfId="0" applyFont="1" applyFill="1" applyBorder="1" applyAlignment="1">
      <alignment horizontal="center" vertical="center" wrapText="1"/>
    </xf>
    <xf numFmtId="14" fontId="58" fillId="0" borderId="0" xfId="0" applyNumberFormat="1" applyFont="1"/>
    <xf numFmtId="0" fontId="1" fillId="0" borderId="0" xfId="0" applyFont="1"/>
    <xf numFmtId="0" fontId="58" fillId="0" borderId="0" xfId="0" applyFont="1" applyAlignment="1">
      <alignment horizontal="left"/>
    </xf>
    <xf numFmtId="0" fontId="51" fillId="42" borderId="0" xfId="0" applyFont="1" applyFill="1" applyAlignment="1">
      <alignment vertical="center" wrapText="1"/>
    </xf>
    <xf numFmtId="0" fontId="5" fillId="0" borderId="161" xfId="0" applyFont="1" applyBorder="1" applyAlignment="1">
      <alignment horizontal="center" vertical="center" wrapText="1"/>
    </xf>
    <xf numFmtId="0" fontId="5" fillId="0" borderId="148" xfId="0" applyFont="1" applyBorder="1" applyAlignment="1">
      <alignment horizontal="center" vertical="center" wrapText="1"/>
    </xf>
    <xf numFmtId="0" fontId="5" fillId="0" borderId="140" xfId="0" applyFont="1" applyBorder="1" applyAlignment="1">
      <alignment horizontal="center" vertical="center" wrapText="1"/>
    </xf>
    <xf numFmtId="0" fontId="5" fillId="0" borderId="1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68" xfId="0" applyFont="1" applyBorder="1" applyAlignment="1">
      <alignment horizontal="center" vertical="center"/>
    </xf>
    <xf numFmtId="0" fontId="5" fillId="0" borderId="16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14" fillId="0" borderId="124" xfId="0" applyFont="1" applyBorder="1"/>
    <xf numFmtId="0" fontId="14" fillId="0" borderId="0" xfId="0" applyFont="1"/>
    <xf numFmtId="49" fontId="14" fillId="0" borderId="173" xfId="0" applyNumberFormat="1" applyFont="1" applyBorder="1"/>
    <xf numFmtId="49" fontId="17" fillId="4" borderId="188" xfId="0" applyNumberFormat="1" applyFont="1" applyFill="1" applyBorder="1" applyAlignment="1">
      <alignment horizontal="center" vertical="center"/>
    </xf>
    <xf numFmtId="49" fontId="17" fillId="4" borderId="9" xfId="0" applyNumberFormat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/>
    </xf>
    <xf numFmtId="14" fontId="17" fillId="4" borderId="9" xfId="0" applyNumberFormat="1" applyFont="1" applyFill="1" applyBorder="1" applyAlignment="1">
      <alignment horizontal="center" vertical="center"/>
    </xf>
    <xf numFmtId="164" fontId="17" fillId="4" borderId="9" xfId="0" applyNumberFormat="1" applyFont="1" applyFill="1" applyBorder="1" applyAlignment="1">
      <alignment horizontal="center" vertical="center"/>
    </xf>
    <xf numFmtId="0" fontId="17" fillId="4" borderId="189" xfId="0" applyFont="1" applyFill="1" applyBorder="1" applyAlignment="1">
      <alignment horizontal="center" vertical="center" wrapText="1"/>
    </xf>
    <xf numFmtId="0" fontId="17" fillId="4" borderId="190" xfId="0" applyFont="1" applyFill="1" applyBorder="1" applyAlignment="1">
      <alignment horizontal="center" vertical="center" wrapText="1"/>
    </xf>
    <xf numFmtId="0" fontId="17" fillId="4" borderId="191" xfId="0" applyFont="1" applyFill="1" applyBorder="1" applyAlignment="1">
      <alignment horizontal="center" vertical="center" wrapText="1"/>
    </xf>
    <xf numFmtId="49" fontId="17" fillId="4" borderId="192" xfId="0" applyNumberFormat="1" applyFont="1" applyFill="1" applyBorder="1" applyAlignment="1">
      <alignment horizontal="center" vertical="center"/>
    </xf>
    <xf numFmtId="49" fontId="17" fillId="4" borderId="11" xfId="0" applyNumberFormat="1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14" fontId="17" fillId="4" borderId="11" xfId="0" applyNumberFormat="1" applyFont="1" applyFill="1" applyBorder="1" applyAlignment="1">
      <alignment horizontal="center" vertical="center"/>
    </xf>
    <xf numFmtId="164" fontId="17" fillId="4" borderId="11" xfId="0" applyNumberFormat="1" applyFont="1" applyFill="1" applyBorder="1" applyAlignment="1">
      <alignment horizontal="center" vertical="center"/>
    </xf>
    <xf numFmtId="0" fontId="17" fillId="4" borderId="193" xfId="0" applyFont="1" applyFill="1" applyBorder="1" applyAlignment="1">
      <alignment horizontal="center" vertical="center" wrapText="1"/>
    </xf>
    <xf numFmtId="0" fontId="17" fillId="4" borderId="194" xfId="0" applyFont="1" applyFill="1" applyBorder="1" applyAlignment="1">
      <alignment horizontal="center" vertical="center" wrapText="1"/>
    </xf>
    <xf numFmtId="14" fontId="17" fillId="4" borderId="8" xfId="0" applyNumberFormat="1" applyFont="1" applyFill="1" applyBorder="1" applyAlignment="1">
      <alignment horizontal="center" vertical="center"/>
    </xf>
    <xf numFmtId="49" fontId="17" fillId="4" borderId="195" xfId="0" applyNumberFormat="1" applyFont="1" applyFill="1" applyBorder="1" applyAlignment="1">
      <alignment horizontal="center" vertical="center"/>
    </xf>
    <xf numFmtId="0" fontId="17" fillId="4" borderId="196" xfId="0" applyFont="1" applyFill="1" applyBorder="1" applyAlignment="1">
      <alignment horizontal="center" vertical="center" wrapText="1"/>
    </xf>
    <xf numFmtId="49" fontId="17" fillId="4" borderId="197" xfId="0" applyNumberFormat="1" applyFont="1" applyFill="1" applyBorder="1" applyAlignment="1">
      <alignment horizontal="center" vertical="center"/>
    </xf>
    <xf numFmtId="0" fontId="17" fillId="4" borderId="198" xfId="0" applyFont="1" applyFill="1" applyBorder="1" applyAlignment="1">
      <alignment horizontal="center" vertical="center" wrapText="1"/>
    </xf>
    <xf numFmtId="49" fontId="17" fillId="4" borderId="199" xfId="0" applyNumberFormat="1" applyFont="1" applyFill="1" applyBorder="1" applyAlignment="1">
      <alignment horizontal="center" vertical="center"/>
    </xf>
    <xf numFmtId="49" fontId="17" fillId="4" borderId="200" xfId="0" applyNumberFormat="1" applyFont="1" applyFill="1" applyBorder="1" applyAlignment="1">
      <alignment horizontal="center" vertical="center"/>
    </xf>
    <xf numFmtId="0" fontId="17" fillId="4" borderId="200" xfId="0" applyFont="1" applyFill="1" applyBorder="1" applyAlignment="1">
      <alignment horizontal="center" vertical="center" wrapText="1"/>
    </xf>
    <xf numFmtId="0" fontId="17" fillId="4" borderId="200" xfId="0" applyFont="1" applyFill="1" applyBorder="1" applyAlignment="1">
      <alignment horizontal="center" vertical="center"/>
    </xf>
    <xf numFmtId="0" fontId="17" fillId="4" borderId="201" xfId="0" applyFont="1" applyFill="1" applyBorder="1" applyAlignment="1">
      <alignment horizontal="center" vertical="center" wrapText="1"/>
    </xf>
    <xf numFmtId="14" fontId="17" fillId="4" borderId="200" xfId="0" applyNumberFormat="1" applyFont="1" applyFill="1" applyBorder="1" applyAlignment="1">
      <alignment horizontal="center" vertical="center"/>
    </xf>
    <xf numFmtId="164" fontId="17" fillId="4" borderId="202" xfId="0" applyNumberFormat="1" applyFont="1" applyFill="1" applyBorder="1" applyAlignment="1">
      <alignment horizontal="center" vertical="center"/>
    </xf>
    <xf numFmtId="0" fontId="17" fillId="4" borderId="203" xfId="0" applyFont="1" applyFill="1" applyBorder="1" applyAlignment="1">
      <alignment horizontal="center" vertical="center" wrapText="1"/>
    </xf>
    <xf numFmtId="0" fontId="17" fillId="4" borderId="204" xfId="0" applyFont="1" applyFill="1" applyBorder="1" applyAlignment="1">
      <alignment horizontal="center" vertical="center" wrapText="1"/>
    </xf>
    <xf numFmtId="49" fontId="17" fillId="4" borderId="10" xfId="0" applyNumberFormat="1" applyFont="1" applyFill="1" applyBorder="1" applyAlignment="1">
      <alignment horizontal="center" vertical="center"/>
    </xf>
    <xf numFmtId="0" fontId="17" fillId="4" borderId="205" xfId="0" applyFont="1" applyFill="1" applyBorder="1" applyAlignment="1">
      <alignment horizontal="center" vertical="center" wrapText="1"/>
    </xf>
    <xf numFmtId="49" fontId="17" fillId="4" borderId="206" xfId="0" applyNumberFormat="1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14" fontId="17" fillId="4" borderId="10" xfId="0" applyNumberFormat="1" applyFont="1" applyFill="1" applyBorder="1" applyAlignment="1">
      <alignment horizontal="center" vertical="center"/>
    </xf>
    <xf numFmtId="49" fontId="17" fillId="4" borderId="5" xfId="0" applyNumberFormat="1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14" fontId="17" fillId="4" borderId="6" xfId="0" applyNumberFormat="1" applyFont="1" applyFill="1" applyBorder="1" applyAlignment="1">
      <alignment horizontal="center" vertical="center"/>
    </xf>
    <xf numFmtId="164" fontId="17" fillId="4" borderId="6" xfId="0" applyNumberFormat="1" applyFont="1" applyFill="1" applyBorder="1" applyAlignment="1">
      <alignment horizontal="center" vertical="center"/>
    </xf>
    <xf numFmtId="0" fontId="17" fillId="4" borderId="81" xfId="0" applyFont="1" applyFill="1" applyBorder="1" applyAlignment="1">
      <alignment horizontal="center" vertical="center" wrapText="1"/>
    </xf>
    <xf numFmtId="0" fontId="58" fillId="30" borderId="0" xfId="0" applyFont="1" applyFill="1"/>
    <xf numFmtId="14" fontId="17" fillId="0" borderId="3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49" fontId="17" fillId="4" borderId="207" xfId="0" applyNumberFormat="1" applyFont="1" applyFill="1" applyBorder="1" applyAlignment="1">
      <alignment horizontal="center" vertical="center"/>
    </xf>
    <xf numFmtId="14" fontId="17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1" fillId="0" borderId="125" xfId="2" applyFont="1" applyBorder="1" applyAlignment="1">
      <alignment wrapText="1"/>
    </xf>
    <xf numFmtId="14" fontId="17" fillId="0" borderId="25" xfId="0" applyNumberFormat="1" applyFont="1" applyBorder="1" applyAlignment="1">
      <alignment horizontal="center" vertical="center"/>
    </xf>
    <xf numFmtId="0" fontId="75" fillId="18" borderId="0" xfId="0" applyFont="1" applyFill="1" applyAlignment="1">
      <alignment horizontal="center" vertical="center"/>
    </xf>
    <xf numFmtId="0" fontId="76" fillId="18" borderId="0" xfId="0" applyFont="1" applyFill="1" applyAlignment="1">
      <alignment horizontal="center" vertical="center"/>
    </xf>
    <xf numFmtId="0" fontId="75" fillId="0" borderId="0" xfId="0" applyFont="1"/>
    <xf numFmtId="0" fontId="75" fillId="17" borderId="0" xfId="0" applyFont="1" applyFill="1" applyAlignment="1">
      <alignment horizontal="center" vertical="center"/>
    </xf>
    <xf numFmtId="0" fontId="75" fillId="42" borderId="0" xfId="0" applyFont="1" applyFill="1" applyAlignment="1">
      <alignment horizontal="center" vertical="center"/>
    </xf>
    <xf numFmtId="0" fontId="78" fillId="0" borderId="0" xfId="0" applyFont="1" applyAlignment="1">
      <alignment wrapText="1"/>
    </xf>
    <xf numFmtId="0" fontId="79" fillId="4" borderId="1" xfId="0" applyFont="1" applyFill="1" applyBorder="1" applyAlignment="1">
      <alignment horizontal="center" vertical="center"/>
    </xf>
    <xf numFmtId="14" fontId="32" fillId="0" borderId="125" xfId="0" applyNumberFormat="1" applyFont="1" applyBorder="1" applyAlignment="1">
      <alignment wrapText="1"/>
    </xf>
    <xf numFmtId="2" fontId="0" fillId="0" borderId="0" xfId="0" applyNumberFormat="1"/>
    <xf numFmtId="0" fontId="0" fillId="0" borderId="125" xfId="2" applyFont="1" applyBorder="1"/>
    <xf numFmtId="49" fontId="80" fillId="0" borderId="0" xfId="0" applyNumberFormat="1" applyFont="1"/>
    <xf numFmtId="0" fontId="79" fillId="4" borderId="25" xfId="0" applyFont="1" applyFill="1" applyBorder="1" applyAlignment="1">
      <alignment horizontal="center" vertical="center"/>
    </xf>
    <xf numFmtId="0" fontId="79" fillId="4" borderId="9" xfId="0" applyFont="1" applyFill="1" applyBorder="1" applyAlignment="1">
      <alignment horizontal="center" vertical="center"/>
    </xf>
    <xf numFmtId="0" fontId="79" fillId="4" borderId="3" xfId="0" applyFont="1" applyFill="1" applyBorder="1" applyAlignment="1">
      <alignment horizontal="center" vertical="center" wrapText="1"/>
    </xf>
    <xf numFmtId="49" fontId="79" fillId="4" borderId="1" xfId="0" applyNumberFormat="1" applyFont="1" applyFill="1" applyBorder="1" applyAlignment="1">
      <alignment horizontal="center" vertical="center"/>
    </xf>
    <xf numFmtId="49" fontId="79" fillId="4" borderId="207" xfId="0" applyNumberFormat="1" applyFont="1" applyFill="1" applyBorder="1" applyAlignment="1">
      <alignment horizontal="center" vertical="center"/>
    </xf>
    <xf numFmtId="0" fontId="79" fillId="4" borderId="1" xfId="0" applyFont="1" applyFill="1" applyBorder="1" applyAlignment="1">
      <alignment horizontal="center" vertical="center" wrapText="1"/>
    </xf>
    <xf numFmtId="14" fontId="79" fillId="4" borderId="1" xfId="0" applyNumberFormat="1" applyFont="1" applyFill="1" applyBorder="1" applyAlignment="1">
      <alignment horizontal="center" vertical="center"/>
    </xf>
    <xf numFmtId="164" fontId="17" fillId="4" borderId="10" xfId="0" applyNumberFormat="1" applyFont="1" applyFill="1" applyBorder="1" applyAlignment="1">
      <alignment horizontal="center" vertical="center"/>
    </xf>
    <xf numFmtId="49" fontId="79" fillId="4" borderId="195" xfId="0" applyNumberFormat="1" applyFont="1" applyFill="1" applyBorder="1" applyAlignment="1">
      <alignment horizontal="center" vertical="center"/>
    </xf>
    <xf numFmtId="49" fontId="79" fillId="4" borderId="25" xfId="0" applyNumberFormat="1" applyFont="1" applyFill="1" applyBorder="1" applyAlignment="1">
      <alignment horizontal="center" vertical="center"/>
    </xf>
    <xf numFmtId="0" fontId="79" fillId="4" borderId="2" xfId="0" applyFont="1" applyFill="1" applyBorder="1" applyAlignment="1">
      <alignment horizontal="center" vertical="center" wrapText="1"/>
    </xf>
    <xf numFmtId="0" fontId="79" fillId="4" borderId="25" xfId="0" applyFont="1" applyFill="1" applyBorder="1" applyAlignment="1">
      <alignment horizontal="center" vertical="center" wrapText="1"/>
    </xf>
    <xf numFmtId="14" fontId="79" fillId="4" borderId="25" xfId="0" applyNumberFormat="1" applyFont="1" applyFill="1" applyBorder="1" applyAlignment="1">
      <alignment horizontal="center" vertical="center"/>
    </xf>
    <xf numFmtId="164" fontId="17" fillId="4" borderId="200" xfId="0" applyNumberFormat="1" applyFont="1" applyFill="1" applyBorder="1" applyAlignment="1">
      <alignment horizontal="center" vertical="center"/>
    </xf>
    <xf numFmtId="14" fontId="17" fillId="0" borderId="200" xfId="0" applyNumberFormat="1" applyFont="1" applyBorder="1" applyAlignment="1">
      <alignment horizontal="center" vertical="center"/>
    </xf>
    <xf numFmtId="0" fontId="17" fillId="0" borderId="200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17" fillId="4" borderId="13" xfId="0" applyNumberFormat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/>
    </xf>
    <xf numFmtId="164" fontId="17" fillId="4" borderId="8" xfId="0" applyNumberFormat="1" applyFont="1" applyFill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4" borderId="20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78" fillId="0" borderId="0" xfId="0" applyFont="1"/>
    <xf numFmtId="0" fontId="9" fillId="44" borderId="0" xfId="0" applyFont="1" applyFill="1" applyAlignment="1">
      <alignment horizontal="center" vertical="center" wrapText="1"/>
    </xf>
    <xf numFmtId="0" fontId="21" fillId="0" borderId="0" xfId="2" applyFont="1"/>
    <xf numFmtId="167" fontId="0" fillId="0" borderId="0" xfId="0" applyNumberFormat="1"/>
    <xf numFmtId="167" fontId="0" fillId="0" borderId="125" xfId="0" applyNumberFormat="1" applyBorder="1"/>
    <xf numFmtId="9" fontId="53" fillId="30" borderId="0" xfId="0" applyNumberFormat="1" applyFont="1" applyFill="1" applyAlignment="1">
      <alignment horizontal="center" vertical="center"/>
    </xf>
    <xf numFmtId="0" fontId="17" fillId="4" borderId="73" xfId="0" applyFont="1" applyFill="1" applyBorder="1" applyAlignment="1">
      <alignment horizontal="center" vertical="center" wrapText="1"/>
    </xf>
    <xf numFmtId="0" fontId="17" fillId="4" borderId="74" xfId="0" applyFont="1" applyFill="1" applyBorder="1" applyAlignment="1">
      <alignment horizontal="center" vertical="center" wrapText="1"/>
    </xf>
    <xf numFmtId="0" fontId="17" fillId="4" borderId="93" xfId="0" applyFont="1" applyFill="1" applyBorder="1" applyAlignment="1">
      <alignment horizontal="center" vertical="center" wrapText="1"/>
    </xf>
    <xf numFmtId="0" fontId="17" fillId="4" borderId="67" xfId="0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121" xfId="0" applyFont="1" applyBorder="1" applyAlignment="1">
      <alignment horizontal="center" vertical="center" wrapText="1"/>
    </xf>
    <xf numFmtId="14" fontId="17" fillId="4" borderId="29" xfId="0" applyNumberFormat="1" applyFont="1" applyFill="1" applyBorder="1" applyAlignment="1">
      <alignment horizontal="center" vertical="center" wrapText="1"/>
    </xf>
    <xf numFmtId="14" fontId="17" fillId="4" borderId="30" xfId="0" applyNumberFormat="1" applyFont="1" applyFill="1" applyBorder="1" applyAlignment="1">
      <alignment horizontal="center" vertical="center" wrapText="1"/>
    </xf>
    <xf numFmtId="14" fontId="17" fillId="0" borderId="29" xfId="0" applyNumberFormat="1" applyFont="1" applyBorder="1" applyAlignment="1">
      <alignment horizontal="center" vertical="center" wrapText="1"/>
    </xf>
    <xf numFmtId="14" fontId="17" fillId="0" borderId="30" xfId="0" applyNumberFormat="1" applyFont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14" fontId="17" fillId="4" borderId="29" xfId="0" applyNumberFormat="1" applyFont="1" applyFill="1" applyBorder="1" applyAlignment="1">
      <alignment horizontal="center" vertical="center"/>
    </xf>
    <xf numFmtId="14" fontId="17" fillId="4" borderId="28" xfId="0" applyNumberFormat="1" applyFont="1" applyFill="1" applyBorder="1" applyAlignment="1">
      <alignment horizontal="center" vertical="center"/>
    </xf>
    <xf numFmtId="14" fontId="17" fillId="4" borderId="30" xfId="0" applyNumberFormat="1" applyFont="1" applyFill="1" applyBorder="1" applyAlignment="1">
      <alignment horizontal="center" vertical="center"/>
    </xf>
    <xf numFmtId="49" fontId="17" fillId="4" borderId="57" xfId="0" applyNumberFormat="1" applyFont="1" applyFill="1" applyBorder="1" applyAlignment="1">
      <alignment horizontal="center" vertical="center"/>
    </xf>
    <xf numFmtId="49" fontId="17" fillId="4" borderId="31" xfId="0" applyNumberFormat="1" applyFont="1" applyFill="1" applyBorder="1" applyAlignment="1">
      <alignment horizontal="center" vertical="center"/>
    </xf>
    <xf numFmtId="49" fontId="17" fillId="4" borderId="120" xfId="0" applyNumberFormat="1" applyFont="1" applyFill="1" applyBorder="1" applyAlignment="1">
      <alignment horizontal="center" vertical="center"/>
    </xf>
    <xf numFmtId="49" fontId="17" fillId="4" borderId="29" xfId="0" applyNumberFormat="1" applyFont="1" applyFill="1" applyBorder="1" applyAlignment="1">
      <alignment horizontal="center" vertical="center"/>
    </xf>
    <xf numFmtId="49" fontId="17" fillId="4" borderId="28" xfId="0" applyNumberFormat="1" applyFont="1" applyFill="1" applyBorder="1" applyAlignment="1">
      <alignment horizontal="center" vertical="center"/>
    </xf>
    <xf numFmtId="49" fontId="17" fillId="4" borderId="30" xfId="0" applyNumberFormat="1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 wrapText="1"/>
    </xf>
    <xf numFmtId="0" fontId="17" fillId="0" borderId="75" xfId="0" applyFont="1" applyBorder="1" applyAlignment="1">
      <alignment horizontal="center" vertical="center" wrapText="1"/>
    </xf>
    <xf numFmtId="49" fontId="15" fillId="4" borderId="29" xfId="0" applyNumberFormat="1" applyFont="1" applyFill="1" applyBorder="1" applyAlignment="1">
      <alignment horizontal="center" vertical="center" wrapText="1"/>
    </xf>
    <xf numFmtId="49" fontId="15" fillId="4" borderId="30" xfId="0" applyNumberFormat="1" applyFont="1" applyFill="1" applyBorder="1" applyAlignment="1">
      <alignment horizontal="center" vertical="center" wrapText="1"/>
    </xf>
    <xf numFmtId="49" fontId="17" fillId="4" borderId="91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0" fontId="15" fillId="4" borderId="73" xfId="0" applyFont="1" applyFill="1" applyBorder="1" applyAlignment="1">
      <alignment horizontal="center" vertical="center" wrapText="1"/>
    </xf>
    <xf numFmtId="0" fontId="15" fillId="4" borderId="74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vertical="center"/>
    </xf>
    <xf numFmtId="0" fontId="17" fillId="4" borderId="30" xfId="0" applyFont="1" applyFill="1" applyBorder="1" applyAlignment="1">
      <alignment vertical="center"/>
    </xf>
    <xf numFmtId="0" fontId="46" fillId="13" borderId="29" xfId="0" applyFont="1" applyFill="1" applyBorder="1" applyAlignment="1">
      <alignment horizontal="center" vertical="center" wrapText="1"/>
    </xf>
    <xf numFmtId="0" fontId="46" fillId="13" borderId="28" xfId="0" applyFont="1" applyFill="1" applyBorder="1" applyAlignment="1">
      <alignment horizontal="center" vertical="center" wrapText="1"/>
    </xf>
    <xf numFmtId="49" fontId="17" fillId="4" borderId="119" xfId="0" applyNumberFormat="1" applyFont="1" applyFill="1" applyBorder="1" applyAlignment="1">
      <alignment horizontal="center" vertical="center"/>
    </xf>
    <xf numFmtId="49" fontId="17" fillId="4" borderId="35" xfId="0" applyNumberFormat="1" applyFont="1" applyFill="1" applyBorder="1" applyAlignment="1">
      <alignment horizontal="center" vertical="center"/>
    </xf>
    <xf numFmtId="0" fontId="17" fillId="4" borderId="66" xfId="0" applyFont="1" applyFill="1" applyBorder="1" applyAlignment="1">
      <alignment horizontal="center" vertical="center" wrapText="1"/>
    </xf>
    <xf numFmtId="49" fontId="17" fillId="4" borderId="100" xfId="0" applyNumberFormat="1" applyFont="1" applyFill="1" applyBorder="1" applyAlignment="1">
      <alignment horizontal="center" vertical="center"/>
    </xf>
    <xf numFmtId="49" fontId="17" fillId="4" borderId="63" xfId="0" applyNumberFormat="1" applyFont="1" applyFill="1" applyBorder="1" applyAlignment="1">
      <alignment horizontal="center" vertical="center"/>
    </xf>
    <xf numFmtId="0" fontId="17" fillId="4" borderId="73" xfId="0" applyFont="1" applyFill="1" applyBorder="1" applyAlignment="1">
      <alignment horizontal="center" vertical="center"/>
    </xf>
    <xf numFmtId="0" fontId="17" fillId="4" borderId="74" xfId="0" applyFont="1" applyFill="1" applyBorder="1" applyAlignment="1">
      <alignment horizontal="center" vertical="center"/>
    </xf>
    <xf numFmtId="49" fontId="17" fillId="4" borderId="29" xfId="0" applyNumberFormat="1" applyFont="1" applyFill="1" applyBorder="1" applyAlignment="1">
      <alignment horizontal="center" vertical="center" wrapText="1"/>
    </xf>
    <xf numFmtId="49" fontId="17" fillId="4" borderId="30" xfId="0" applyNumberFormat="1" applyFont="1" applyFill="1" applyBorder="1" applyAlignment="1">
      <alignment horizontal="center" vertical="center" wrapText="1"/>
    </xf>
    <xf numFmtId="164" fontId="17" fillId="4" borderId="74" xfId="0" applyNumberFormat="1" applyFont="1" applyFill="1" applyBorder="1" applyAlignment="1">
      <alignment horizontal="center" vertical="center"/>
    </xf>
    <xf numFmtId="164" fontId="17" fillId="4" borderId="75" xfId="0" applyNumberFormat="1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 wrapText="1"/>
    </xf>
    <xf numFmtId="0" fontId="17" fillId="10" borderId="30" xfId="0" applyFont="1" applyFill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 wrapText="1"/>
    </xf>
    <xf numFmtId="164" fontId="17" fillId="4" borderId="29" xfId="0" applyNumberFormat="1" applyFont="1" applyFill="1" applyBorder="1" applyAlignment="1">
      <alignment horizontal="center" vertical="center"/>
    </xf>
    <xf numFmtId="164" fontId="17" fillId="4" borderId="28" xfId="0" applyNumberFormat="1" applyFont="1" applyFill="1" applyBorder="1" applyAlignment="1">
      <alignment horizontal="center" vertical="center"/>
    </xf>
    <xf numFmtId="0" fontId="17" fillId="21" borderId="66" xfId="0" applyFont="1" applyFill="1" applyBorder="1" applyAlignment="1">
      <alignment horizontal="center" vertical="center" wrapText="1"/>
    </xf>
    <xf numFmtId="0" fontId="17" fillId="21" borderId="67" xfId="0" applyFont="1" applyFill="1" applyBorder="1" applyAlignment="1">
      <alignment horizontal="center" vertical="center" wrapText="1"/>
    </xf>
    <xf numFmtId="0" fontId="45" fillId="4" borderId="48" xfId="0" applyFont="1" applyFill="1" applyBorder="1" applyAlignment="1">
      <alignment horizontal="center" vertical="center" wrapText="1"/>
    </xf>
    <xf numFmtId="0" fontId="45" fillId="4" borderId="106" xfId="0" applyFont="1" applyFill="1" applyBorder="1" applyAlignment="1">
      <alignment horizontal="center" vertical="center" wrapText="1"/>
    </xf>
    <xf numFmtId="0" fontId="17" fillId="4" borderId="99" xfId="0" applyFont="1" applyFill="1" applyBorder="1" applyAlignment="1">
      <alignment horizontal="center" vertical="center" wrapText="1"/>
    </xf>
    <xf numFmtId="0" fontId="17" fillId="4" borderId="45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17" borderId="93" xfId="0" applyFont="1" applyFill="1" applyBorder="1" applyAlignment="1">
      <alignment horizontal="center" vertical="center" wrapText="1"/>
    </xf>
    <xf numFmtId="0" fontId="17" fillId="17" borderId="66" xfId="0" applyFont="1" applyFill="1" applyBorder="1" applyAlignment="1">
      <alignment horizontal="center" vertical="center" wrapText="1"/>
    </xf>
    <xf numFmtId="49" fontId="15" fillId="4" borderId="28" xfId="0" applyNumberFormat="1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164" fontId="17" fillId="4" borderId="73" xfId="0" applyNumberFormat="1" applyFont="1" applyFill="1" applyBorder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4" borderId="57" xfId="0" applyFont="1" applyFill="1" applyBorder="1" applyAlignment="1">
      <alignment horizontal="center" vertical="center" wrapText="1"/>
    </xf>
    <xf numFmtId="0" fontId="17" fillId="4" borderId="132" xfId="0" applyFont="1" applyFill="1" applyBorder="1" applyAlignment="1">
      <alignment horizontal="center" vertical="center" wrapText="1"/>
    </xf>
    <xf numFmtId="14" fontId="17" fillId="4" borderId="73" xfId="0" applyNumberFormat="1" applyFont="1" applyFill="1" applyBorder="1" applyAlignment="1">
      <alignment horizontal="center" vertical="center" wrapText="1"/>
    </xf>
    <xf numFmtId="14" fontId="17" fillId="4" borderId="75" xfId="0" applyNumberFormat="1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0" fontId="17" fillId="3" borderId="39" xfId="0" applyFont="1" applyFill="1" applyBorder="1" applyAlignment="1">
      <alignment horizontal="center" vertical="center" wrapText="1"/>
    </xf>
    <xf numFmtId="14" fontId="17" fillId="14" borderId="29" xfId="0" applyNumberFormat="1" applyFont="1" applyFill="1" applyBorder="1" applyAlignment="1">
      <alignment horizontal="center" vertical="center"/>
    </xf>
    <xf numFmtId="14" fontId="17" fillId="14" borderId="28" xfId="0" applyNumberFormat="1" applyFont="1" applyFill="1" applyBorder="1" applyAlignment="1">
      <alignment horizontal="center" vertical="center"/>
    </xf>
    <xf numFmtId="14" fontId="17" fillId="14" borderId="30" xfId="0" applyNumberFormat="1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5" fillId="4" borderId="100" xfId="0" applyFont="1" applyFill="1" applyBorder="1" applyAlignment="1">
      <alignment horizontal="center" vertical="center" wrapText="1"/>
    </xf>
    <xf numFmtId="0" fontId="15" fillId="4" borderId="63" xfId="0" applyFont="1" applyFill="1" applyBorder="1" applyAlignment="1">
      <alignment horizontal="center" vertical="center" wrapText="1"/>
    </xf>
    <xf numFmtId="49" fontId="17" fillId="4" borderId="57" xfId="0" applyNumberFormat="1" applyFont="1" applyFill="1" applyBorder="1" applyAlignment="1">
      <alignment horizontal="center" vertical="center" wrapText="1"/>
    </xf>
    <xf numFmtId="49" fontId="17" fillId="4" borderId="31" xfId="0" applyNumberFormat="1" applyFont="1" applyFill="1" applyBorder="1" applyAlignment="1">
      <alignment horizontal="center" vertical="center" wrapText="1"/>
    </xf>
    <xf numFmtId="49" fontId="17" fillId="4" borderId="120" xfId="0" applyNumberFormat="1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/>
    </xf>
    <xf numFmtId="14" fontId="17" fillId="3" borderId="18" xfId="0" applyNumberFormat="1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2" xfId="0" applyNumberFormat="1" applyFont="1" applyFill="1" applyBorder="1" applyAlignment="1">
      <alignment horizontal="center" vertical="center"/>
    </xf>
    <xf numFmtId="0" fontId="17" fillId="3" borderId="93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7" fillId="3" borderId="67" xfId="0" applyFont="1" applyFill="1" applyBorder="1" applyAlignment="1">
      <alignment horizontal="center" vertical="center" wrapText="1"/>
    </xf>
    <xf numFmtId="164" fontId="17" fillId="4" borderId="30" xfId="0" applyNumberFormat="1" applyFont="1" applyFill="1" applyBorder="1" applyAlignment="1">
      <alignment horizontal="center" vertical="center"/>
    </xf>
    <xf numFmtId="0" fontId="17" fillId="4" borderId="121" xfId="0" applyFont="1" applyFill="1" applyBorder="1" applyAlignment="1">
      <alignment horizontal="center" vertical="center" wrapText="1"/>
    </xf>
    <xf numFmtId="14" fontId="17" fillId="3" borderId="29" xfId="0" applyNumberFormat="1" applyFont="1" applyFill="1" applyBorder="1" applyAlignment="1">
      <alignment horizontal="center" vertical="center"/>
    </xf>
    <xf numFmtId="14" fontId="17" fillId="3" borderId="28" xfId="0" applyNumberFormat="1" applyFont="1" applyFill="1" applyBorder="1" applyAlignment="1">
      <alignment horizontal="center" vertical="center"/>
    </xf>
    <xf numFmtId="14" fontId="17" fillId="3" borderId="30" xfId="0" applyNumberFormat="1" applyFont="1" applyFill="1" applyBorder="1" applyAlignment="1">
      <alignment horizontal="center" vertical="center"/>
    </xf>
    <xf numFmtId="164" fontId="17" fillId="3" borderId="29" xfId="0" applyNumberFormat="1" applyFont="1" applyFill="1" applyBorder="1" applyAlignment="1">
      <alignment horizontal="center" vertical="center"/>
    </xf>
    <xf numFmtId="164" fontId="17" fillId="3" borderId="28" xfId="0" applyNumberFormat="1" applyFont="1" applyFill="1" applyBorder="1" applyAlignment="1">
      <alignment horizontal="center" vertical="center"/>
    </xf>
    <xf numFmtId="164" fontId="17" fillId="3" borderId="30" xfId="0" applyNumberFormat="1" applyFont="1" applyFill="1" applyBorder="1" applyAlignment="1">
      <alignment horizontal="center" vertical="center"/>
    </xf>
    <xf numFmtId="0" fontId="17" fillId="4" borderId="6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49" fontId="17" fillId="3" borderId="40" xfId="0" applyNumberFormat="1" applyFont="1" applyFill="1" applyBorder="1" applyAlignment="1">
      <alignment horizontal="center" vertical="center"/>
    </xf>
    <xf numFmtId="49" fontId="17" fillId="3" borderId="50" xfId="0" applyNumberFormat="1" applyFont="1" applyFill="1" applyBorder="1" applyAlignment="1">
      <alignment horizontal="center" vertical="center"/>
    </xf>
    <xf numFmtId="49" fontId="17" fillId="3" borderId="31" xfId="0" applyNumberFormat="1" applyFont="1" applyFill="1" applyBorder="1" applyAlignment="1">
      <alignment horizontal="center" vertical="center"/>
    </xf>
    <xf numFmtId="49" fontId="17" fillId="4" borderId="28" xfId="0" applyNumberFormat="1" applyFont="1" applyFill="1" applyBorder="1" applyAlignment="1">
      <alignment horizontal="center" vertical="center" wrapText="1"/>
    </xf>
    <xf numFmtId="49" fontId="17" fillId="3" borderId="93" xfId="0" applyNumberFormat="1" applyFont="1" applyFill="1" applyBorder="1" applyAlignment="1">
      <alignment horizontal="center" vertical="center" wrapText="1"/>
    </xf>
    <xf numFmtId="49" fontId="17" fillId="3" borderId="112" xfId="0" applyNumberFormat="1" applyFont="1" applyFill="1" applyBorder="1" applyAlignment="1">
      <alignment horizontal="center" vertical="center" wrapText="1"/>
    </xf>
    <xf numFmtId="14" fontId="17" fillId="3" borderId="4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82" xfId="0" applyFont="1" applyFill="1" applyBorder="1" applyAlignment="1">
      <alignment horizontal="center" vertical="center" wrapText="1"/>
    </xf>
    <xf numFmtId="0" fontId="17" fillId="3" borderId="88" xfId="0" applyFont="1" applyFill="1" applyBorder="1" applyAlignment="1">
      <alignment horizontal="center" vertical="center" wrapText="1"/>
    </xf>
    <xf numFmtId="0" fontId="17" fillId="4" borderId="134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133" xfId="0" applyFont="1" applyFill="1" applyBorder="1" applyAlignment="1">
      <alignment horizontal="center" vertical="center" wrapText="1"/>
    </xf>
    <xf numFmtId="164" fontId="17" fillId="3" borderId="4" xfId="0" applyNumberFormat="1" applyFont="1" applyFill="1" applyBorder="1" applyAlignment="1">
      <alignment horizontal="center" vertical="center"/>
    </xf>
    <xf numFmtId="164" fontId="17" fillId="3" borderId="18" xfId="0" applyNumberFormat="1" applyFont="1" applyFill="1" applyBorder="1" applyAlignment="1">
      <alignment horizontal="center" vertical="center"/>
    </xf>
    <xf numFmtId="14" fontId="17" fillId="3" borderId="73" xfId="0" applyNumberFormat="1" applyFont="1" applyFill="1" applyBorder="1" applyAlignment="1">
      <alignment horizontal="center" vertical="center"/>
    </xf>
    <xf numFmtId="14" fontId="17" fillId="3" borderId="74" xfId="0" applyNumberFormat="1" applyFont="1" applyFill="1" applyBorder="1" applyAlignment="1">
      <alignment horizontal="center" vertical="center"/>
    </xf>
    <xf numFmtId="14" fontId="17" fillId="3" borderId="75" xfId="0" applyNumberFormat="1" applyFont="1" applyFill="1" applyBorder="1" applyAlignment="1">
      <alignment horizontal="center" vertical="center"/>
    </xf>
    <xf numFmtId="0" fontId="17" fillId="3" borderId="98" xfId="0" applyFont="1" applyFill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vertical="center" wrapText="1"/>
    </xf>
    <xf numFmtId="0" fontId="17" fillId="3" borderId="108" xfId="0" applyFont="1" applyFill="1" applyBorder="1" applyAlignment="1">
      <alignment horizontal="center" vertical="center" wrapText="1"/>
    </xf>
    <xf numFmtId="0" fontId="17" fillId="3" borderId="73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64" fontId="17" fillId="3" borderId="2" xfId="0" applyNumberFormat="1" applyFont="1" applyFill="1" applyBorder="1" applyAlignment="1">
      <alignment horizontal="center" vertical="center"/>
    </xf>
    <xf numFmtId="49" fontId="17" fillId="3" borderId="41" xfId="0" applyNumberFormat="1" applyFont="1" applyFill="1" applyBorder="1" applyAlignment="1">
      <alignment horizontal="center" vertical="center"/>
    </xf>
    <xf numFmtId="49" fontId="17" fillId="4" borderId="18" xfId="0" applyNumberFormat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/>
    </xf>
    <xf numFmtId="0" fontId="17" fillId="3" borderId="73" xfId="0" applyFont="1" applyFill="1" applyBorder="1" applyAlignment="1">
      <alignment horizontal="center" vertical="center"/>
    </xf>
    <xf numFmtId="0" fontId="17" fillId="3" borderId="74" xfId="0" applyFont="1" applyFill="1" applyBorder="1" applyAlignment="1">
      <alignment horizontal="center" vertical="center"/>
    </xf>
    <xf numFmtId="49" fontId="17" fillId="4" borderId="40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14" fontId="17" fillId="3" borderId="99" xfId="0" applyNumberFormat="1" applyFont="1" applyFill="1" applyBorder="1" applyAlignment="1">
      <alignment horizontal="center" vertical="center"/>
    </xf>
    <xf numFmtId="14" fontId="17" fillId="3" borderId="45" xfId="0" applyNumberFormat="1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 wrapText="1"/>
    </xf>
    <xf numFmtId="0" fontId="17" fillId="3" borderId="49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49" fontId="17" fillId="4" borderId="14" xfId="0" applyNumberFormat="1" applyFont="1" applyFill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7" fillId="0" borderId="65" xfId="0" applyNumberFormat="1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49" fontId="17" fillId="3" borderId="13" xfId="0" applyNumberFormat="1" applyFont="1" applyFill="1" applyBorder="1" applyAlignment="1">
      <alignment horizontal="center" vertical="center"/>
    </xf>
    <xf numFmtId="49" fontId="17" fillId="3" borderId="14" xfId="0" applyNumberFormat="1" applyFont="1" applyFill="1" applyBorder="1" applyAlignment="1">
      <alignment horizontal="center" vertical="center"/>
    </xf>
    <xf numFmtId="14" fontId="17" fillId="4" borderId="4" xfId="0" applyNumberFormat="1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/>
    </xf>
    <xf numFmtId="49" fontId="17" fillId="4" borderId="8" xfId="0" applyNumberFormat="1" applyFont="1" applyFill="1" applyBorder="1" applyAlignment="1">
      <alignment horizontal="center" vertical="center"/>
    </xf>
    <xf numFmtId="164" fontId="17" fillId="3" borderId="26" xfId="0" applyNumberFormat="1" applyFont="1" applyFill="1" applyBorder="1" applyAlignment="1">
      <alignment horizontal="center" vertical="center"/>
    </xf>
    <xf numFmtId="49" fontId="17" fillId="3" borderId="57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17" fillId="3" borderId="51" xfId="0" applyFont="1" applyFill="1" applyBorder="1" applyAlignment="1">
      <alignment horizontal="center" vertical="center" wrapText="1"/>
    </xf>
    <xf numFmtId="14" fontId="17" fillId="3" borderId="49" xfId="0" applyNumberFormat="1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14" fontId="17" fillId="3" borderId="36" xfId="0" applyNumberFormat="1" applyFont="1" applyFill="1" applyBorder="1" applyAlignment="1">
      <alignment horizontal="center" vertical="center"/>
    </xf>
    <xf numFmtId="14" fontId="17" fillId="3" borderId="26" xfId="0" applyNumberFormat="1" applyFont="1" applyFill="1" applyBorder="1" applyAlignment="1">
      <alignment horizontal="center" vertical="center"/>
    </xf>
    <xf numFmtId="0" fontId="17" fillId="3" borderId="107" xfId="0" applyFont="1" applyFill="1" applyBorder="1" applyAlignment="1">
      <alignment horizontal="center" vertical="center" wrapText="1"/>
    </xf>
    <xf numFmtId="49" fontId="17" fillId="4" borderId="47" xfId="0" applyNumberFormat="1" applyFont="1" applyFill="1" applyBorder="1" applyAlignment="1">
      <alignment horizontal="center" vertical="center"/>
    </xf>
    <xf numFmtId="49" fontId="17" fillId="4" borderId="39" xfId="0" applyNumberFormat="1" applyFont="1" applyFill="1" applyBorder="1" applyAlignment="1">
      <alignment horizontal="center" vertical="center"/>
    </xf>
    <xf numFmtId="49" fontId="17" fillId="4" borderId="10" xfId="0" applyNumberFormat="1" applyFont="1" applyFill="1" applyBorder="1" applyAlignment="1">
      <alignment horizontal="center" vertical="center"/>
    </xf>
    <xf numFmtId="164" fontId="17" fillId="3" borderId="2" xfId="0" applyNumberFormat="1" applyFont="1" applyFill="1" applyBorder="1" applyAlignment="1">
      <alignment horizontal="center" vertical="center" wrapText="1"/>
    </xf>
    <xf numFmtId="164" fontId="17" fillId="3" borderId="4" xfId="0" applyNumberFormat="1" applyFont="1" applyFill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horizontal="center" vertical="center" wrapText="1"/>
    </xf>
    <xf numFmtId="164" fontId="17" fillId="3" borderId="8" xfId="0" applyNumberFormat="1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164" fontId="17" fillId="3" borderId="10" xfId="0" applyNumberFormat="1" applyFont="1" applyFill="1" applyBorder="1" applyAlignment="1">
      <alignment horizontal="center" vertical="center"/>
    </xf>
    <xf numFmtId="164" fontId="17" fillId="3" borderId="43" xfId="0" applyNumberFormat="1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14" fontId="17" fillId="3" borderId="19" xfId="0" applyNumberFormat="1" applyFont="1" applyFill="1" applyBorder="1" applyAlignment="1">
      <alignment horizontal="center" vertical="center"/>
    </xf>
    <xf numFmtId="14" fontId="17" fillId="3" borderId="0" xfId="0" applyNumberFormat="1" applyFont="1" applyFill="1" applyAlignment="1">
      <alignment horizontal="center" vertical="center"/>
    </xf>
    <xf numFmtId="14" fontId="17" fillId="3" borderId="51" xfId="0" applyNumberFormat="1" applyFont="1" applyFill="1" applyBorder="1" applyAlignment="1">
      <alignment horizontal="center" vertical="center"/>
    </xf>
    <xf numFmtId="164" fontId="17" fillId="3" borderId="74" xfId="0" applyNumberFormat="1" applyFont="1" applyFill="1" applyBorder="1" applyAlignment="1">
      <alignment horizontal="center" vertical="center"/>
    </xf>
    <xf numFmtId="164" fontId="17" fillId="3" borderId="75" xfId="0" applyNumberFormat="1" applyFont="1" applyFill="1" applyBorder="1" applyAlignment="1">
      <alignment horizontal="center" vertical="center"/>
    </xf>
    <xf numFmtId="164" fontId="17" fillId="3" borderId="91" xfId="0" applyNumberFormat="1" applyFont="1" applyFill="1" applyBorder="1" applyAlignment="1">
      <alignment horizontal="center" vertical="center"/>
    </xf>
    <xf numFmtId="164" fontId="17" fillId="3" borderId="51" xfId="0" applyNumberFormat="1" applyFont="1" applyFill="1" applyBorder="1" applyAlignment="1">
      <alignment horizontal="center" vertical="center"/>
    </xf>
    <xf numFmtId="0" fontId="17" fillId="3" borderId="66" xfId="0" applyFont="1" applyFill="1" applyBorder="1" applyAlignment="1">
      <alignment horizontal="center" vertical="center"/>
    </xf>
    <xf numFmtId="0" fontId="17" fillId="3" borderId="67" xfId="0" applyFont="1" applyFill="1" applyBorder="1" applyAlignment="1">
      <alignment horizontal="center" vertical="center"/>
    </xf>
    <xf numFmtId="0" fontId="17" fillId="3" borderId="131" xfId="0" applyFont="1" applyFill="1" applyBorder="1" applyAlignment="1">
      <alignment horizontal="center" vertical="center" wrapText="1"/>
    </xf>
    <xf numFmtId="164" fontId="17" fillId="3" borderId="36" xfId="0" applyNumberFormat="1" applyFont="1" applyFill="1" applyBorder="1" applyAlignment="1">
      <alignment horizontal="center" vertical="center"/>
    </xf>
    <xf numFmtId="164" fontId="17" fillId="3" borderId="37" xfId="0" applyNumberFormat="1" applyFont="1" applyFill="1" applyBorder="1" applyAlignment="1">
      <alignment horizontal="center" vertical="center"/>
    </xf>
    <xf numFmtId="0" fontId="17" fillId="3" borderId="112" xfId="0" applyFont="1" applyFill="1" applyBorder="1" applyAlignment="1">
      <alignment horizontal="center" vertical="center" wrapText="1"/>
    </xf>
    <xf numFmtId="0" fontId="17" fillId="3" borderId="111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1" fillId="0" borderId="24" xfId="0" applyFont="1" applyBorder="1" applyAlignment="1">
      <alignment horizontal="center"/>
    </xf>
    <xf numFmtId="0" fontId="6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 wrapText="1"/>
    </xf>
    <xf numFmtId="0" fontId="63" fillId="0" borderId="24" xfId="0" applyFont="1" applyBorder="1" applyAlignment="1">
      <alignment horizontal="center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0" fontId="0" fillId="19" borderId="184" xfId="0" applyFill="1" applyBorder="1" applyAlignment="1">
      <alignment horizontal="center" vertical="center"/>
    </xf>
    <xf numFmtId="0" fontId="0" fillId="19" borderId="185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186" xfId="0" applyFill="1" applyBorder="1" applyAlignment="1">
      <alignment horizontal="center" vertical="center"/>
    </xf>
    <xf numFmtId="0" fontId="0" fillId="20" borderId="186" xfId="0" applyFill="1" applyBorder="1" applyAlignment="1">
      <alignment horizontal="center" vertical="center" wrapText="1"/>
    </xf>
    <xf numFmtId="0" fontId="24" fillId="18" borderId="39" xfId="0" applyFont="1" applyFill="1" applyBorder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51" fillId="18" borderId="0" xfId="0" applyFont="1" applyFill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51" fillId="43" borderId="0" xfId="0" applyFont="1" applyFill="1" applyAlignment="1">
      <alignment horizontal="center" vertical="center" wrapText="1"/>
    </xf>
    <xf numFmtId="1" fontId="56" fillId="34" borderId="0" xfId="0" applyNumberFormat="1" applyFont="1" applyFill="1" applyAlignment="1">
      <alignment horizontal="center" vertical="center"/>
    </xf>
    <xf numFmtId="166" fontId="56" fillId="34" borderId="0" xfId="0" applyNumberFormat="1" applyFont="1" applyFill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0" fontId="53" fillId="30" borderId="0" xfId="0" applyFont="1" applyFill="1" applyAlignment="1">
      <alignment horizontal="center" vertical="center"/>
    </xf>
    <xf numFmtId="0" fontId="51" fillId="42" borderId="0" xfId="0" applyFont="1" applyFill="1" applyAlignment="1">
      <alignment horizontal="center" vertical="center" wrapText="1"/>
    </xf>
    <xf numFmtId="0" fontId="51" fillId="17" borderId="0" xfId="0" applyFont="1" applyFill="1" applyAlignment="1">
      <alignment horizontal="center" vertical="center" wrapText="1"/>
    </xf>
    <xf numFmtId="10" fontId="57" fillId="33" borderId="0" xfId="0" applyNumberFormat="1" applyFont="1" applyFill="1" applyAlignment="1">
      <alignment horizontal="center" vertical="center"/>
    </xf>
    <xf numFmtId="0" fontId="57" fillId="33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applyAlignment="1"/>
    <xf numFmtId="0" fontId="53" fillId="30" borderId="0" xfId="0" applyNumberFormat="1" applyFont="1" applyFill="1" applyAlignment="1">
      <alignment horizontal="center" vertical="center"/>
    </xf>
    <xf numFmtId="0" fontId="60" fillId="35" borderId="0" xfId="0" applyNumberFormat="1" applyFont="1" applyFill="1" applyAlignment="1">
      <alignment horizontal="center" vertical="center"/>
    </xf>
    <xf numFmtId="0" fontId="58" fillId="0" borderId="0" xfId="0" applyFont="1" applyFill="1"/>
    <xf numFmtId="167" fontId="53" fillId="0" borderId="0" xfId="0" applyNumberFormat="1" applyFont="1" applyFill="1" applyAlignment="1"/>
    <xf numFmtId="0" fontId="75" fillId="0" borderId="0" xfId="0" applyFont="1" applyFill="1" applyAlignment="1">
      <alignment horizontal="center" vertical="center"/>
    </xf>
    <xf numFmtId="1" fontId="73" fillId="0" borderId="0" xfId="0" applyNumberFormat="1" applyFont="1" applyFill="1" applyAlignment="1">
      <alignment horizontal="center" vertical="center"/>
    </xf>
    <xf numFmtId="10" fontId="73" fillId="0" borderId="0" xfId="0" applyNumberFormat="1" applyFont="1" applyFill="1" applyAlignment="1">
      <alignment horizontal="center" vertical="center"/>
    </xf>
    <xf numFmtId="0" fontId="73" fillId="0" borderId="0" xfId="0" applyNumberFormat="1" applyFont="1" applyFill="1" applyAlignment="1">
      <alignment horizontal="center" vertical="center"/>
    </xf>
    <xf numFmtId="9" fontId="73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74" fillId="0" borderId="0" xfId="0" applyFont="1" applyFill="1" applyAlignment="1">
      <alignment horizontal="center" vertical="center"/>
    </xf>
    <xf numFmtId="0" fontId="74" fillId="0" borderId="0" xfId="0" applyFont="1" applyFill="1" applyAlignment="1">
      <alignment horizontal="left" vertical="center"/>
    </xf>
    <xf numFmtId="0" fontId="58" fillId="0" borderId="0" xfId="0" applyFont="1" applyFill="1" applyAlignment="1">
      <alignment horizontal="left"/>
    </xf>
    <xf numFmtId="49" fontId="0" fillId="0" borderId="0" xfId="0" applyNumberFormat="1" applyBorder="1"/>
    <xf numFmtId="14" fontId="0" fillId="0" borderId="0" xfId="0" applyNumberFormat="1" applyBorder="1"/>
    <xf numFmtId="0" fontId="0" fillId="0" borderId="0" xfId="0" applyBorder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49" fontId="11" fillId="0" borderId="0" xfId="0" applyNumberFormat="1" applyFont="1" applyBorder="1" applyAlignment="1">
      <alignment horizontal="center" vertical="center"/>
    </xf>
  </cellXfs>
  <cellStyles count="4">
    <cellStyle name="Accent1" xfId="1" builtinId="29"/>
    <cellStyle name="Bad" xfId="3" builtinId="27"/>
    <cellStyle name="Hyperlink" xfId="2" builtinId="8"/>
    <cellStyle name="Normal" xfId="0" builtinId="0"/>
  </cellStyles>
  <dxfs count="1231">
    <dxf>
      <fill>
        <patternFill patternType="solid">
          <fgColor rgb="FFFF0000"/>
          <bgColor rgb="FFFFFFFF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  <bgColor rgb="FFFFFFFF"/>
        </patternFill>
      </fill>
    </dxf>
    <dxf>
      <font>
        <color rgb="FFFF0000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i/>
      </font>
      <numFmt numFmtId="30" formatCode="@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0" formatCode="General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0" formatCode="General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0" formatCode="General"/>
      <border diagonalUp="0" diagonalDown="0">
        <left/>
        <right/>
        <top style="thin">
          <color theme="6"/>
        </top>
        <bottom/>
      </border>
    </dxf>
    <dxf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19" formatCode="m/d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m/d/yyyy"/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6"/>
        </top>
        <bottom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 outline="0">
        <left/>
        <right/>
        <top style="thin">
          <color theme="6"/>
        </top>
        <bottom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167" formatCode="dd/mm/yyyy"/>
      <border diagonalUp="0" diagonalDown="0" outline="0">
        <left/>
        <right/>
        <top style="thin">
          <color theme="6"/>
        </top>
        <bottom/>
      </border>
    </dxf>
    <dxf>
      <numFmt numFmtId="30" formatCode="@"/>
      <border diagonalUp="0" diagonalDown="0" outline="0">
        <left/>
        <right/>
        <top style="thin">
          <color theme="6"/>
        </top>
        <bottom/>
      </border>
    </dxf>
    <dxf>
      <numFmt numFmtId="30" formatCode="@"/>
      <border diagonalUp="0" diagonalDown="0" outline="0">
        <left/>
        <right/>
        <top style="thin">
          <color theme="6"/>
        </top>
        <bottom/>
      </border>
    </dxf>
    <dxf>
      <border diagonalUp="0" diagonalDown="0" outline="0">
        <left/>
        <right/>
        <top style="thin">
          <color theme="6"/>
        </top>
        <bottom/>
      </border>
    </dxf>
    <dxf>
      <border diagonalUp="0" diagonalDown="0" outline="0">
        <left/>
        <right/>
        <top style="thin">
          <color theme="6"/>
        </top>
        <bottom/>
      </border>
    </dxf>
    <dxf>
      <font>
        <b val="0"/>
      </font>
      <numFmt numFmtId="30" formatCode="@"/>
      <border diagonalUp="0" diagonalDown="0">
        <left style="thin">
          <color theme="6"/>
        </left>
        <right/>
        <top style="thin">
          <color theme="6"/>
        </top>
        <bottom/>
      </border>
    </dxf>
    <dxf>
      <numFmt numFmtId="30" formatCode="@"/>
      <border diagonalUp="0" diagonalDown="0" outline="0">
        <left style="thin">
          <color theme="6"/>
        </left>
        <right/>
        <top style="thin">
          <color theme="6"/>
        </top>
        <bottom/>
      </border>
    </dxf>
    <dxf>
      <numFmt numFmtId="30" formatCode="@"/>
    </dxf>
    <dxf>
      <numFmt numFmtId="30" formatCode="@"/>
    </dxf>
    <dxf>
      <numFmt numFmtId="0" formatCode="General"/>
    </dxf>
    <dxf>
      <border outline="0">
        <right style="thin">
          <color theme="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  <color rgb="FFFF0000"/>
      </font>
    </dxf>
    <dxf>
      <font>
        <b/>
        <i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7FBFF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7FBFF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7FBFF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b/>
        <i val="0"/>
        <color theme="9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 patternType="solid">
          <bgColor rgb="FF0070C0"/>
        </patternFill>
      </fill>
    </dxf>
    <dxf>
      <font>
        <b/>
        <i val="0"/>
        <color theme="0"/>
      </font>
      <fill>
        <patternFill patternType="solid"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b/>
        <i val="0"/>
        <color rgb="FF00B050"/>
      </font>
    </dxf>
    <dxf>
      <font>
        <b/>
        <i val="0"/>
        <color rgb="FFFF3300"/>
      </font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theme="5"/>
      </font>
    </dxf>
    <dxf>
      <font>
        <b/>
        <i val="0"/>
        <color theme="8"/>
      </font>
    </dxf>
    <dxf>
      <fill>
        <patternFill>
          <bgColor theme="7" tint="0.39994506668294322"/>
        </patternFill>
      </fill>
    </dxf>
    <dxf>
      <font>
        <b/>
        <i val="0"/>
        <color rgb="FF00B0F0"/>
      </font>
    </dxf>
    <dxf>
      <font>
        <b/>
        <i val="0"/>
        <color theme="5"/>
      </font>
    </dxf>
    <dxf>
      <fill>
        <patternFill patternType="solid">
          <bgColor rgb="FFFAC252"/>
        </patternFill>
      </fill>
    </dxf>
    <dxf>
      <fill>
        <patternFill patternType="solid">
          <bgColor rgb="FFFAC252"/>
        </patternFill>
      </fill>
    </dxf>
    <dxf>
      <fill>
        <patternFill patternType="solid">
          <bgColor rgb="FFFAC25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/>
        <color theme="6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F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2" formatCode="0.00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2" formatCode="0.00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numFmt numFmtId="2" formatCode="0.00"/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B050"/>
        <name val="Calibri"/>
        <family val="2"/>
        <scheme val="minor"/>
      </font>
      <fill>
        <patternFill patternType="solid">
          <fgColor indexed="64"/>
          <bgColor rgb="FFB4E3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strike/>
        <color theme="9" tint="-0.499984740745262"/>
      </font>
      <fill>
        <patternFill patternType="solid">
          <bgColor rgb="FFB4E3C0"/>
        </patternFill>
      </fill>
    </dxf>
    <dxf>
      <fill>
        <patternFill patternType="solid">
          <bgColor theme="5" tint="0.59999389629810485"/>
        </patternFill>
      </fill>
    </dxf>
    <dxf>
      <font>
        <color rgb="FF9C0006"/>
      </font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/>
        <i/>
        <color rgb="FF006100"/>
      </font>
      <fill>
        <patternFill patternType="solid">
          <bgColor rgb="FFC6EFCE"/>
        </patternFill>
      </fill>
    </dxf>
    <dxf>
      <font>
        <b/>
        <i val="0"/>
        <color rgb="FF9C0006"/>
      </font>
    </dxf>
    <dxf>
      <font>
        <b/>
        <i val="0"/>
        <color theme="1"/>
      </font>
    </dxf>
    <dxf>
      <font>
        <b/>
        <i val="0"/>
        <color rgb="FFC00000"/>
      </font>
    </dxf>
    <dxf>
      <font>
        <color theme="7" tint="-0.499984740745262"/>
      </font>
    </dxf>
    <dxf>
      <fill>
        <patternFill patternType="solid">
          <bgColor theme="5" tint="0.79998168889431442"/>
        </patternFill>
      </fill>
    </dxf>
    <dxf>
      <font>
        <b/>
        <i val="0"/>
        <color rgb="FF188047"/>
      </font>
    </dxf>
    <dxf>
      <font>
        <b/>
        <i val="0"/>
        <color rgb="FF188047"/>
      </font>
    </dxf>
    <dxf>
      <font>
        <strike/>
        <color theme="9" tint="-0.499984740745262"/>
      </font>
      <fill>
        <patternFill patternType="solid">
          <bgColor rgb="FFB4E3C0"/>
        </patternFill>
      </fill>
    </dxf>
    <dxf>
      <font>
        <b val="0"/>
        <i/>
        <strike/>
        <color theme="1"/>
      </font>
      <fill>
        <patternFill patternType="solid">
          <bgColor theme="0" tint="-0.34998626667073579"/>
        </patternFill>
      </fill>
    </dxf>
    <dxf>
      <font>
        <color theme="9" tint="-0.499984740745262"/>
      </font>
      <fill>
        <patternFill>
          <bgColor rgb="FFC6EFCE"/>
        </patternFill>
      </fill>
    </dxf>
    <dxf>
      <font>
        <strike/>
        <color theme="1"/>
      </font>
      <fill>
        <patternFill patternType="solid">
          <bgColor theme="0" tint="-0.34998626667073579"/>
        </patternFill>
      </fill>
    </dxf>
    <dxf>
      <font>
        <color theme="9" tint="0.39997558519241921"/>
      </font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1"/>
      </font>
      <fill>
        <patternFill patternType="solid">
          <bgColor theme="0" tint="-0.249977111117893"/>
        </patternFill>
      </fill>
    </dxf>
    <dxf>
      <font>
        <strike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ill>
        <patternFill patternType="solid">
          <bgColor theme="9" tint="0.79998168889431442"/>
        </patternFill>
      </fill>
    </dxf>
    <dxf>
      <font>
        <color theme="9" tint="0.39997558519241921"/>
      </font>
      <fill>
        <patternFill patternType="solid">
          <bgColor theme="9" tint="0.79998168889431442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theme="7" tint="0.79998168889431442"/>
        </patternFill>
      </fill>
    </dxf>
    <dxf>
      <font>
        <strike/>
        <color theme="1"/>
      </font>
      <fill>
        <patternFill patternType="solid">
          <bgColor theme="0" tint="-0.34998626667073579"/>
        </patternFill>
      </fill>
    </dxf>
    <dxf>
      <font>
        <strike/>
        <color theme="1"/>
      </font>
      <fill>
        <patternFill patternType="solid">
          <bgColor theme="0" tint="-0.34998626667073579"/>
        </patternFill>
      </fill>
    </dxf>
    <dxf>
      <font>
        <strike/>
        <color theme="1"/>
      </font>
      <fill>
        <patternFill patternType="solid">
          <bgColor theme="0" tint="-0.34998626667073579"/>
        </patternFill>
      </fill>
    </dxf>
    <dxf>
      <fill>
        <patternFill patternType="solid">
          <bgColor rgb="FFFFCCFF"/>
        </patternFill>
      </fill>
    </dxf>
    <dxf>
      <font>
        <b/>
        <i val="0"/>
        <color theme="0"/>
      </font>
      <fill>
        <patternFill patternType="solid">
          <bgColor rgb="FF4472C4"/>
        </patternFill>
      </fill>
    </dxf>
    <dxf>
      <font>
        <b/>
        <i val="0"/>
        <color rgb="FFC00000"/>
      </font>
      <fill>
        <patternFill patternType="solid">
          <bgColor rgb="FFCCCCFF"/>
        </patternFill>
      </fill>
    </dxf>
    <dxf>
      <font>
        <b/>
        <i val="0"/>
        <color theme="0"/>
      </font>
      <fill>
        <patternFill patternType="solid">
          <bgColor rgb="FF4472C4"/>
        </patternFill>
      </fill>
    </dxf>
    <dxf>
      <font>
        <color theme="1"/>
      </font>
      <fill>
        <patternFill patternType="solid">
          <bgColor rgb="FFF7FB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bgColor theme="5" tint="0.39997558519241921"/>
        </patternFill>
      </fill>
    </dxf>
    <dxf>
      <font>
        <strike/>
        <color theme="1"/>
      </font>
      <fill>
        <patternFill patternType="solid">
          <bgColor theme="0" tint="-0.34998626667073579"/>
        </patternFill>
      </fill>
    </dxf>
    <dxf>
      <font>
        <strike/>
        <color theme="9" tint="-0.499984740745262"/>
      </font>
      <fill>
        <patternFill patternType="solid">
          <bgColor rgb="FFB4E3C0"/>
        </patternFill>
      </fill>
    </dxf>
    <dxf>
      <font>
        <b/>
        <i val="0"/>
        <strike/>
        <color theme="6"/>
      </font>
    </dxf>
    <dxf>
      <font>
        <b/>
        <i val="0"/>
        <strike/>
        <color theme="6"/>
      </font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fill>
        <patternFill patternType="solid">
          <bgColor theme="5" tint="0.79998168889431442"/>
        </patternFill>
      </fill>
    </dxf>
    <dxf>
      <font>
        <strike/>
        <color rgb="FF9C0006"/>
      </font>
    </dxf>
    <dxf>
      <font>
        <strike/>
        <color theme="1"/>
      </font>
      <fill>
        <patternFill patternType="solid">
          <bgColor theme="0" tint="-0.34998626667073579"/>
        </patternFill>
      </fill>
    </dxf>
    <dxf>
      <font>
        <strike/>
        <color rgb="FF9C0006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rgb="FFFAC252"/>
        </patternFill>
      </fill>
    </dxf>
    <dxf>
      <font>
        <strike/>
        <color theme="9" tint="-0.499984740745262"/>
      </font>
      <fill>
        <patternFill patternType="solid">
          <bgColor rgb="FFB4E3C0"/>
        </patternFill>
      </fill>
    </dxf>
    <dxf>
      <font>
        <b/>
        <i val="0"/>
        <strike/>
        <color theme="6"/>
      </font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font>
        <color rgb="FF0070C0"/>
      </font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 patternType="solid">
          <bgColor rgb="FFEBA2A8"/>
        </patternFill>
      </fill>
    </dxf>
    <dxf>
      <font>
        <color rgb="FFC00000"/>
      </font>
      <fill>
        <patternFill patternType="solid">
          <bgColor rgb="FFFCE6E8"/>
        </patternFill>
      </fill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lor rgb="FFFF0000"/>
      </font>
    </dxf>
    <dxf>
      <font>
        <b/>
        <i val="0"/>
        <strike/>
        <color theme="6"/>
      </font>
    </dxf>
    <dxf>
      <font>
        <color theme="1"/>
      </font>
      <fill>
        <patternFill patternType="solid">
          <bgColor rgb="FFFAF2F3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F7FBFF"/>
        </patternFill>
      </fill>
    </dxf>
    <dxf>
      <font>
        <b/>
        <i val="0"/>
        <color theme="0"/>
      </font>
      <fill>
        <patternFill patternType="solid">
          <bgColor rgb="FF4472C4"/>
        </patternFill>
      </fill>
    </dxf>
    <dxf>
      <font>
        <b/>
        <i val="0"/>
        <strike/>
        <color theme="6"/>
      </font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font>
        <b/>
        <i val="0"/>
        <strike/>
        <color theme="6"/>
      </font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font>
        <b/>
        <i val="0"/>
        <strike/>
        <color theme="6"/>
      </font>
    </dxf>
    <dxf>
      <font>
        <strike/>
        <color theme="6"/>
      </font>
    </dxf>
    <dxf>
      <font>
        <strike/>
        <color theme="1"/>
      </font>
      <fill>
        <patternFill patternType="solid">
          <bgColor theme="0" tint="-0.34998626667073579"/>
        </patternFill>
      </fill>
    </dxf>
    <dxf>
      <font>
        <b val="0"/>
        <i/>
      </font>
      <fill>
        <patternFill patternType="solid">
          <bgColor rgb="FFA6A6A6"/>
        </patternFill>
      </fill>
    </dxf>
    <dxf>
      <font>
        <strike/>
        <color theme="1"/>
      </font>
      <fill>
        <patternFill patternType="solid">
          <bgColor theme="0" tint="-0.34998626667073579"/>
        </patternFill>
      </fill>
    </dxf>
    <dxf>
      <fill>
        <patternFill patternType="solid">
          <bgColor rgb="FFF7FBFF"/>
        </patternFill>
      </fill>
    </dxf>
    <dxf>
      <fill>
        <patternFill patternType="solid">
          <bgColor rgb="FFF7FBFF"/>
        </patternFill>
      </fill>
    </dxf>
    <dxf>
      <font>
        <b/>
        <i val="0"/>
        <strike/>
        <color theme="6"/>
      </font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font>
        <strike/>
        <color theme="6"/>
      </font>
    </dxf>
    <dxf>
      <fill>
        <patternFill patternType="solid">
          <bgColor rgb="FFF7FBFF"/>
        </patternFill>
      </fill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font>
        <b val="0"/>
        <i/>
        <strike/>
        <color theme="1"/>
      </font>
      <fill>
        <patternFill patternType="solid">
          <bgColor theme="0" tint="-0.249977111117893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00B050"/>
        </patternFill>
      </fill>
    </dxf>
    <dxf>
      <font>
        <color theme="0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6"/>
        <color rgb="FF00B050"/>
      </font>
      <fill>
        <patternFill patternType="solid">
          <fgColor indexed="64"/>
          <bgColor rgb="FFB4E3C0"/>
        </patternFill>
      </fill>
      <alignment horizontal="center" vertical="center"/>
    </dxf>
    <dxf>
      <font>
        <b/>
        <sz val="16"/>
        <color rgb="FF00B050"/>
      </font>
      <fill>
        <patternFill patternType="solid">
          <fgColor indexed="64"/>
          <bgColor rgb="FFB4E3C0"/>
        </patternFill>
      </fill>
      <alignment horizontal="center" vertical="center"/>
    </dxf>
    <dxf>
      <font>
        <sz val="16"/>
      </font>
      <fill>
        <patternFill patternType="solid">
          <fgColor indexed="64"/>
          <bgColor rgb="FF00B050"/>
        </patternFill>
      </fill>
      <alignment horizontal="center" vertical="center"/>
    </dxf>
    <dxf>
      <fill>
        <patternFill>
          <bgColor theme="0"/>
        </patternFill>
      </fill>
    </dxf>
    <dxf>
      <font>
        <color auto="1"/>
      </font>
    </dxf>
    <dxf>
      <font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" formatCode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3" formatCode="0%"/>
    </dxf>
    <dxf>
      <numFmt numFmtId="1" formatCode="0"/>
    </dxf>
    <dxf>
      <font>
        <sz val="16"/>
      </font>
    </dxf>
    <dxf>
      <font>
        <sz val="16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0"/>
    </dxf>
    <dxf>
      <alignment wrapText="0"/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000000"/>
      </font>
    </dxf>
    <dxf>
      <font>
        <b val="0"/>
      </font>
    </dxf>
    <dxf>
      <alignment horizontal="left"/>
    </dxf>
    <dxf>
      <fill>
        <patternFill patternType="solid">
          <fgColor indexed="64"/>
          <bgColor theme="5" tint="0.79998168889431442"/>
        </patternFill>
      </fill>
    </dxf>
    <dxf>
      <font>
        <color theme="1"/>
      </font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sz val="16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ont>
        <color rgb="FF00B050"/>
      </font>
    </dxf>
    <dxf>
      <font>
        <b/>
      </font>
    </dxf>
    <dxf>
      <alignment vertical="center"/>
    </dxf>
    <dxf>
      <alignment horizontal="center"/>
    </dxf>
    <dxf>
      <font>
        <sz val="16"/>
      </font>
      <fill>
        <patternFill patternType="solid">
          <fgColor indexed="64"/>
          <bgColor rgb="FF00B050"/>
        </patternFill>
      </fill>
      <alignment horizontal="center" vertical="center"/>
    </dxf>
    <dxf>
      <fill>
        <patternFill>
          <bgColor theme="0"/>
        </patternFill>
      </fill>
    </dxf>
    <dxf>
      <font>
        <color auto="1"/>
      </font>
    </dxf>
    <dxf>
      <font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z val="16"/>
      </font>
    </dxf>
    <dxf>
      <font>
        <sz val="16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B050"/>
        </patternFill>
      </fill>
    </dxf>
    <dxf>
      <font>
        <b val="0"/>
      </font>
    </dxf>
    <dxf>
      <alignment vertical="center"/>
    </dxf>
    <dxf>
      <alignment horizontal="center"/>
    </dxf>
    <dxf>
      <font>
        <sz val="16"/>
      </font>
    </dxf>
    <dxf>
      <font>
        <b/>
      </font>
    </dxf>
    <dxf>
      <fill>
        <patternFill patternType="solid">
          <fgColor indexed="64"/>
          <bgColor rgb="FF00B050"/>
        </patternFill>
      </fill>
    </dxf>
    <dxf>
      <font>
        <b/>
      </font>
    </dxf>
    <dxf>
      <alignment vertical="center"/>
    </dxf>
    <dxf>
      <alignment horizontal="center"/>
    </dxf>
    <dxf>
      <font>
        <sz val="16"/>
      </font>
    </dxf>
    <dxf>
      <fill>
        <patternFill patternType="solid">
          <fgColor indexed="64"/>
          <bgColor rgb="FF00B050"/>
        </patternFill>
      </fill>
    </dxf>
    <dxf>
      <font>
        <b/>
      </font>
    </dxf>
    <dxf>
      <font>
        <sz val="16"/>
      </font>
    </dxf>
    <dxf>
      <alignment vertical="center"/>
    </dxf>
    <dxf>
      <alignment horizontal="center"/>
    </dxf>
    <dxf>
      <fill>
        <patternFill patternType="solid">
          <fgColor indexed="64"/>
          <bgColor rgb="FFB4E3C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00B050"/>
        </patternFill>
      </fill>
    </dxf>
    <dxf>
      <font>
        <color theme="0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6"/>
        <color rgb="FF00B050"/>
      </font>
      <fill>
        <patternFill patternType="solid">
          <fgColor indexed="64"/>
          <bgColor rgb="FFB4E3C0"/>
        </patternFill>
      </fill>
      <alignment horizontal="center" vertical="center"/>
    </dxf>
    <dxf>
      <font>
        <b/>
        <sz val="16"/>
        <color rgb="FF00B050"/>
      </font>
      <fill>
        <patternFill patternType="solid">
          <fgColor indexed="64"/>
          <bgColor rgb="FFB4E3C0"/>
        </patternFill>
      </fill>
      <alignment horizontal="center" vertical="center"/>
    </dxf>
    <dxf>
      <font>
        <sz val="16"/>
      </font>
      <fill>
        <patternFill patternType="solid">
          <fgColor indexed="64"/>
          <bgColor rgb="FF00B050"/>
        </patternFill>
      </fill>
      <alignment horizontal="center" vertical="center"/>
    </dxf>
    <dxf>
      <fill>
        <patternFill>
          <bgColor theme="0"/>
        </patternFill>
      </fill>
    </dxf>
    <dxf>
      <font>
        <color auto="1"/>
      </font>
    </dxf>
    <dxf>
      <font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" formatCode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3" formatCode="0%"/>
    </dxf>
    <dxf>
      <numFmt numFmtId="1" formatCode="0"/>
    </dxf>
    <dxf>
      <font>
        <sz val="16"/>
      </font>
    </dxf>
    <dxf>
      <font>
        <sz val="16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00B050"/>
        </patternFill>
      </fill>
    </dxf>
    <dxf>
      <font>
        <color theme="0"/>
      </font>
    </dxf>
    <dxf>
      <font>
        <sz val="16"/>
      </font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ill>
        <patternFill patternType="solid">
          <fgColor indexed="64"/>
          <bgColor rgb="FFB4E3C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6"/>
        <color rgb="FF00B050"/>
      </font>
      <fill>
        <patternFill patternType="solid">
          <fgColor indexed="64"/>
          <bgColor rgb="FFB4E3C0"/>
        </patternFill>
      </fill>
      <alignment horizontal="center" vertical="center"/>
    </dxf>
    <dxf>
      <font>
        <b/>
        <sz val="16"/>
        <color rgb="FF00B050"/>
      </font>
      <fill>
        <patternFill patternType="solid">
          <fgColor indexed="64"/>
          <bgColor rgb="FFB4E3C0"/>
        </patternFill>
      </fill>
      <alignment horizontal="center" vertical="center"/>
    </dxf>
    <dxf>
      <font>
        <sz val="16"/>
      </font>
      <fill>
        <patternFill patternType="solid">
          <fgColor indexed="64"/>
          <bgColor rgb="FF00B050"/>
        </patternFill>
      </fill>
      <alignment horizontal="center" vertical="center"/>
    </dxf>
    <dxf>
      <fill>
        <patternFill>
          <bgColor theme="0"/>
        </patternFill>
      </fill>
    </dxf>
    <dxf>
      <font>
        <color auto="1"/>
      </font>
    </dxf>
    <dxf>
      <font>
        <sz val="1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14" formatCode="0.00%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" formatCode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67" formatCode="dd/mm/yyyy"/>
    </dxf>
    <dxf>
      <numFmt numFmtId="13" formatCode="0%"/>
    </dxf>
    <dxf>
      <numFmt numFmtId="1" formatCode="0"/>
    </dxf>
    <dxf>
      <font>
        <sz val="16"/>
      </font>
    </dxf>
    <dxf>
      <font>
        <sz val="16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0"/>
    </dxf>
    <dxf>
      <alignment wrapText="0"/>
    </dxf>
    <dxf>
      <alignment wrapText="0"/>
    </dxf>
    <dxf>
      <font>
        <color rgb="FF000000"/>
      </font>
    </dxf>
    <dxf>
      <font>
        <b val="0"/>
      </font>
    </dxf>
    <dxf>
      <font>
        <i val="0"/>
      </font>
    </dxf>
    <dxf>
      <alignment horizontal="left"/>
    </dxf>
    <dxf>
      <fill>
        <patternFill patternType="solid">
          <fgColor indexed="64"/>
          <bgColor theme="7" tint="0.79998168889431442"/>
        </patternFill>
      </fill>
    </dxf>
    <dxf>
      <font>
        <color theme="1"/>
      </font>
    </dxf>
    <dxf>
      <alignment horizontal="left"/>
    </dxf>
    <dxf>
      <alignment wrapText="1"/>
    </dxf>
    <dxf>
      <alignment wrapText="0"/>
    </dxf>
    <dxf>
      <numFmt numFmtId="167" formatCode="dd/mm/yyyy"/>
    </dxf>
    <dxf>
      <alignment wrapText="1"/>
    </dxf>
    <dxf>
      <alignment wrapText="0"/>
    </dxf>
    <dxf>
      <numFmt numFmtId="167" formatCode="dd/mm/yyyy"/>
    </dxf>
    <dxf>
      <numFmt numFmtId="2" formatCode="0.00"/>
    </dxf>
    <dxf>
      <numFmt numFmtId="2" formatCode="0.00"/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PivotTable Style 1" table="0" count="2" xr9:uid="{F314F530-43EC-4BA8-8347-6238E332C7EA}">
      <tableStyleElement type="wholeTable" dxfId="1230"/>
      <tableStyleElement type="pageFieldValues" dxfId="1229"/>
    </tableStyle>
  </tableStyles>
  <colors>
    <mruColors>
      <color rgb="FFF7FBFF"/>
      <color rgb="FFB4E3C0"/>
      <color rgb="FFFABBBB"/>
      <color rgb="FF4472C4"/>
      <color rgb="FFFFCCFF"/>
      <color rgb="FFA6A6A6"/>
      <color rgb="FFCCCCFF"/>
      <color rgb="FF9C0006"/>
      <color rgb="FF7DB2E3"/>
      <color rgb="FFDCBD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[WF pendientes.xlsx]Filters!PivotTable24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 Template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Filters!$B$18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DC-4461-B9BA-487DF9167EC0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DC-4461-B9BA-487DF9167EC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DC-4461-B9BA-487DF9167E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Filters!$A$19:$A$22</c:f>
              <c:strCache>
                <c:ptCount val="3"/>
                <c:pt idx="0">
                  <c:v>LATE</c:v>
                </c:pt>
                <c:pt idx="1">
                  <c:v>ON TIME</c:v>
                </c:pt>
                <c:pt idx="2">
                  <c:v>SUPER LATE</c:v>
                </c:pt>
              </c:strCache>
            </c:strRef>
          </c:cat>
          <c:val>
            <c:numRef>
              <c:f>Filters!$B$19:$B$22</c:f>
              <c:numCache>
                <c:formatCode>0.00%</c:formatCode>
                <c:ptCount val="3"/>
                <c:pt idx="0">
                  <c:v>0.52219626168224298</c:v>
                </c:pt>
                <c:pt idx="1">
                  <c:v>0.45443925233644861</c:v>
                </c:pt>
                <c:pt idx="2">
                  <c:v>2.336448598130841E-2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DC-4461-B9BA-487DF9167E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Impacted Projects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# OF PROJECTS IMPACTED BY LATE WF (NOT BY ENG)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GSC!$H$5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9-4E4E-8552-5837D0ECB614}"/>
            </c:ext>
          </c:extLst>
        </c:ser>
        <c:ser>
          <c:idx val="1"/>
          <c:order val="1"/>
          <c:tx>
            <c:v># OF PROJECTS IMPACTED BY LATE WF (BY ENG)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GSC!$I$5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9-4E4E-8552-5837D0ECB614}"/>
            </c:ext>
          </c:extLst>
        </c:ser>
        <c:ser>
          <c:idx val="2"/>
          <c:order val="2"/>
          <c:tx>
            <c:v># OF PROJECTS IMPACTED BY WF CANCELATION ON TIME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GSC!$J$5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9-4E4E-8552-5837D0EC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8096904"/>
        <c:axId val="1878124040"/>
      </c:barChart>
      <c:catAx>
        <c:axId val="18780969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8124040"/>
        <c:crosses val="autoZero"/>
        <c:auto val="1"/>
        <c:lblAlgn val="ctr"/>
        <c:lblOffset val="100"/>
        <c:noMultiLvlLbl val="0"/>
      </c:catAx>
      <c:valAx>
        <c:axId val="187812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809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ACTIVE TIME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GSC!$A$5</c:f>
              <c:numCache>
                <c:formatCode>0.00</c:formatCode>
                <c:ptCount val="1"/>
                <c:pt idx="0">
                  <c:v>9.6623831775700939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1-483D-84B8-7455C49D6174}"/>
            </c:ext>
          </c:extLst>
        </c:ser>
        <c:ser>
          <c:idx val="1"/>
          <c:order val="1"/>
          <c:tx>
            <c:v>AVG OVERDUE TIME BY TEMPLATE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GSC!$B$5</c:f>
              <c:numCache>
                <c:formatCode>0.00</c:formatCode>
                <c:ptCount val="1"/>
                <c:pt idx="0">
                  <c:v>5.8822269807280518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1-483D-84B8-7455C49D6174}"/>
            </c:ext>
          </c:extLst>
        </c:ser>
        <c:ser>
          <c:idx val="2"/>
          <c:order val="2"/>
          <c:tx>
            <c:v>AVG OPENING TIME PRE RM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GSC!$C$5</c:f>
              <c:numCache>
                <c:formatCode>0.00</c:formatCode>
                <c:ptCount val="1"/>
                <c:pt idx="0">
                  <c:v>13.189252336448599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01-483D-84B8-7455C49D6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617992"/>
        <c:axId val="1784622088"/>
      </c:barChart>
      <c:catAx>
        <c:axId val="17846179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4622088"/>
        <c:crosses val="autoZero"/>
        <c:auto val="1"/>
        <c:lblAlgn val="ctr"/>
        <c:lblOffset val="100"/>
        <c:noMultiLvlLbl val="0"/>
      </c:catAx>
      <c:valAx>
        <c:axId val="17846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461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Impacted Projects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{"# OF PROJECTS IMPACTED BY LATE WFs DUE DATE (TEMPLATE)"}</c:f>
              <c:strCache>
                <c:ptCount val="1"/>
                <c:pt idx="0">
                  <c:v># OF PROJECTS IMPACTED BY LATE WFs DUE DATE (TEMPLATE)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GSC!$H$11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1-4A1C-9ECE-8FDCE9EED40C}"/>
            </c:ext>
          </c:extLst>
        </c:ser>
        <c:ser>
          <c:idx val="1"/>
          <c:order val="1"/>
          <c:tx>
            <c:v># OF PROJECTS IMPACTED BY LATE WFs (BY ENG)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GSC!$I$11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1-4A1C-9ECE-8FDCE9EED40C}"/>
            </c:ext>
          </c:extLst>
        </c:ser>
        <c:ser>
          <c:idx val="2"/>
          <c:order val="2"/>
          <c:tx>
            <c:v># OF PROJECTS IMPACTED BY WF CANCELATION ON TIME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GSC!$J$11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01-4A1C-9ECE-8FDCE9EED40C}"/>
            </c:ext>
          </c:extLst>
        </c:ser>
        <c:ser>
          <c:idx val="3"/>
          <c:order val="3"/>
          <c:tx>
            <c:strRef>
              <c:f>{"# OF PROJECT'S RMs IMPACTED BY LATE WFs (NOT ENG)"}</c:f>
              <c:strCache>
                <c:ptCount val="1"/>
                <c:pt idx="0">
                  <c:v># OF PROJECT'S RMs IMPACTED BY LATE WFs (NOT ENG)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GSC!$K$11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6-4A6F-9927-C9DCCA111A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8096904"/>
        <c:axId val="1878124040"/>
      </c:barChart>
      <c:catAx>
        <c:axId val="187809690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8124040"/>
        <c:crosses val="autoZero"/>
        <c:auto val="1"/>
        <c:lblAlgn val="ctr"/>
        <c:lblOffset val="100"/>
        <c:noMultiLvlLbl val="0"/>
      </c:catAx>
      <c:valAx>
        <c:axId val="187812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809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ACTIVE TIME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GSC!$A$11</c:f>
              <c:numCache>
                <c:formatCode>0.00</c:formatCode>
                <c:ptCount val="1"/>
                <c:pt idx="0">
                  <c:v>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55-45AF-86CD-858FB50BC5FE}"/>
            </c:ext>
          </c:extLst>
        </c:ser>
        <c:ser>
          <c:idx val="1"/>
          <c:order val="1"/>
          <c:tx>
            <c:v>AVG OVERDUE TIME BY TEMPLATE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GSC!$B$11</c:f>
              <c:numCache>
                <c:formatCode>0.00</c:formatCode>
                <c:ptCount val="1"/>
                <c:pt idx="0">
                  <c:v>5.5384615384615383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55-45AF-86CD-858FB50BC5FE}"/>
            </c:ext>
          </c:extLst>
        </c:ser>
        <c:ser>
          <c:idx val="2"/>
          <c:order val="2"/>
          <c:tx>
            <c:v>AVG OPENING TIME PRE RM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GSC!$C$11</c:f>
              <c:numCache>
                <c:formatCode>0.00</c:formatCode>
                <c:ptCount val="1"/>
                <c:pt idx="0">
                  <c:v>11.253333333333334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55-45AF-86CD-858FB50BC5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84617992"/>
        <c:axId val="1784622088"/>
      </c:barChart>
      <c:catAx>
        <c:axId val="17846179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4622088"/>
        <c:crosses val="autoZero"/>
        <c:auto val="1"/>
        <c:lblAlgn val="ctr"/>
        <c:lblOffset val="100"/>
        <c:noMultiLvlLbl val="0"/>
      </c:catAx>
      <c:valAx>
        <c:axId val="17846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461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80808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[WF pendientes.xlsx]Filters!PivotTable53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 Template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75717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</c:pivotFmt>
      <c:pivotFmt>
        <c:idx val="12"/>
        <c:spPr>
          <a:solidFill>
            <a:srgbClr val="92D050"/>
          </a:solidFill>
          <a:ln w="19050">
            <a:solidFill>
              <a:srgbClr val="92D050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75717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000"/>
          </a:solidFill>
          <a:ln w="19050">
            <a:solidFill>
              <a:srgbClr val="FFC000"/>
            </a:solidFill>
            <a:prstDash val="solid"/>
          </a:ln>
          <a:effectLst/>
        </c:spPr>
      </c:pivotFmt>
      <c:pivotFmt>
        <c:idx val="15"/>
        <c:spPr>
          <a:solidFill>
            <a:srgbClr val="92D050"/>
          </a:solidFill>
          <a:ln w="19050">
            <a:solidFill>
              <a:srgbClr val="92D050"/>
            </a:solidFill>
            <a:prstDash val="solid"/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rgbClr val="FF0000"/>
            </a:solidFill>
            <a:prstDash val="solid"/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75717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C000"/>
          </a:solidFill>
          <a:ln w="19050">
            <a:solidFill>
              <a:srgbClr val="FFC000"/>
            </a:solidFill>
            <a:prstDash val="solid"/>
          </a:ln>
          <a:effectLst/>
        </c:spPr>
      </c:pivotFmt>
      <c:pivotFmt>
        <c:idx val="19"/>
        <c:spPr>
          <a:solidFill>
            <a:srgbClr val="92D050"/>
          </a:solidFill>
          <a:ln w="19050">
            <a:solidFill>
              <a:srgbClr val="92D050"/>
            </a:solidFill>
            <a:prstDash val="solid"/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Filters!$P$18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rgbClr val="FFC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2-4EB0-A1C3-D78BB1BBC6D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rgbClr val="92D05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F2-4EB0-A1C3-D78BB1BBC6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2-4F83-9028-7C2E9B3644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75717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Filters!$O$19:$O$21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Filters!$P$19:$P$21</c:f>
              <c:numCache>
                <c:formatCode>0.00%</c:formatCode>
                <c:ptCount val="2"/>
                <c:pt idx="0">
                  <c:v>0.22413793103448276</c:v>
                </c:pt>
                <c:pt idx="1">
                  <c:v>0.77586206896551724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F2-4EB0-A1C3-D78BB1BBC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835725346800037"/>
          <c:y val="0.89229691601541528"/>
          <c:w val="0.36671171499246047"/>
          <c:h val="4.3196326801860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75717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[WF pendientes.xlsx]Filters!PivotTable31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WORKFLOWS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808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Filters!$B$406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808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Filters!$A$407:$A$419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Feb-2026</c:v>
                </c:pt>
                <c:pt idx="4">
                  <c:v>Jan-2026</c:v>
                </c:pt>
                <c:pt idx="5">
                  <c:v>Jul-2025</c:v>
                </c:pt>
                <c:pt idx="6">
                  <c:v>Jun-2025</c:v>
                </c:pt>
                <c:pt idx="7">
                  <c:v>Mar-2026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Filters!$B$407:$B$419</c:f>
              <c:numCache>
                <c:formatCode>General</c:formatCode>
                <c:ptCount val="12"/>
                <c:pt idx="0">
                  <c:v>38</c:v>
                </c:pt>
                <c:pt idx="1">
                  <c:v>61</c:v>
                </c:pt>
                <c:pt idx="2">
                  <c:v>78</c:v>
                </c:pt>
                <c:pt idx="3">
                  <c:v>92</c:v>
                </c:pt>
                <c:pt idx="4">
                  <c:v>54</c:v>
                </c:pt>
                <c:pt idx="5">
                  <c:v>50</c:v>
                </c:pt>
                <c:pt idx="6">
                  <c:v>49</c:v>
                </c:pt>
                <c:pt idx="7">
                  <c:v>58</c:v>
                </c:pt>
                <c:pt idx="8">
                  <c:v>31</c:v>
                </c:pt>
                <c:pt idx="9">
                  <c:v>77</c:v>
                </c:pt>
                <c:pt idx="10">
                  <c:v>109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D-4CDF-ABA8-2C89CB1100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312181255"/>
        <c:axId val="312183815"/>
      </c:barChart>
      <c:catAx>
        <c:axId val="312181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83815"/>
        <c:crosses val="autoZero"/>
        <c:auto val="1"/>
        <c:lblAlgn val="ctr"/>
        <c:lblOffset val="100"/>
        <c:noMultiLvlLbl val="0"/>
      </c:catAx>
      <c:valAx>
        <c:axId val="31218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WORKFLOWS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81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[WF pendientes.xlsx]Filters!PivotTable35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'Overdue Time [Expected-Completion]', 'Impact Time Post RM' and 'Pre RM Opening Time' by 'Start Date [Month and Year]'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70AD47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1.3511871386336128E-3"/>
              <c:y val="3.70588598912832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</c:spPr>
        <c:dLbl>
          <c:idx val="0"/>
          <c:layout>
            <c:manualLayout>
              <c:x val="1.3511871386336128E-3"/>
              <c:y val="3.70588598912832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Filters!$D$406</c:f>
              <c:strCache>
                <c:ptCount val="1"/>
                <c:pt idx="0">
                  <c:v>Average of Overdue Time [Expected-Completion]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Filters!$C$407:$C$418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Feb-2026</c:v>
                </c:pt>
                <c:pt idx="4">
                  <c:v>Jan-2026</c:v>
                </c:pt>
                <c:pt idx="5">
                  <c:v>Jul-2025</c:v>
                </c:pt>
                <c:pt idx="6">
                  <c:v>Jun-2025</c:v>
                </c:pt>
                <c:pt idx="7">
                  <c:v>Mar-2026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Filters!$D$407:$D$418</c:f>
              <c:numCache>
                <c:formatCode>0.00</c:formatCode>
                <c:ptCount val="12"/>
                <c:pt idx="0">
                  <c:v>-0.10526315789473684</c:v>
                </c:pt>
                <c:pt idx="1">
                  <c:v>1.7540983606557377</c:v>
                </c:pt>
                <c:pt idx="2">
                  <c:v>3.1153846153846154</c:v>
                </c:pt>
                <c:pt idx="3">
                  <c:v>2.7934782608695654</c:v>
                </c:pt>
                <c:pt idx="4">
                  <c:v>2.0185185185185186</c:v>
                </c:pt>
                <c:pt idx="5">
                  <c:v>2.2599999999999998</c:v>
                </c:pt>
                <c:pt idx="6">
                  <c:v>4.5102040816326534</c:v>
                </c:pt>
                <c:pt idx="7">
                  <c:v>-0.82758620689655171</c:v>
                </c:pt>
                <c:pt idx="8">
                  <c:v>1.2258064516129032</c:v>
                </c:pt>
                <c:pt idx="9">
                  <c:v>2.2467532467532467</c:v>
                </c:pt>
                <c:pt idx="10">
                  <c:v>1.4954128440366972</c:v>
                </c:pt>
                <c:pt idx="11">
                  <c:v>4.0909090909090908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7-4841-8DD4-09A4CF3FF235}"/>
            </c:ext>
          </c:extLst>
        </c:ser>
        <c:ser>
          <c:idx val="1"/>
          <c:order val="1"/>
          <c:tx>
            <c:strRef>
              <c:f>Filters!$E$406</c:f>
              <c:strCache>
                <c:ptCount val="1"/>
                <c:pt idx="0">
                  <c:v>Average of Impact Time Post RM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0E-4EC9-B27B-173378F4A930}"/>
              </c:ext>
            </c:extLst>
          </c:dPt>
          <c:dLbls>
            <c:dLbl>
              <c:idx val="2"/>
              <c:layout>
                <c:manualLayout>
                  <c:x val="1.3511871386336128E-3"/>
                  <c:y val="3.705885989128324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0E-4EC9-B27B-173378F4A9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Filters!$C$407:$C$418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Feb-2026</c:v>
                </c:pt>
                <c:pt idx="4">
                  <c:v>Jan-2026</c:v>
                </c:pt>
                <c:pt idx="5">
                  <c:v>Jul-2025</c:v>
                </c:pt>
                <c:pt idx="6">
                  <c:v>Jun-2025</c:v>
                </c:pt>
                <c:pt idx="7">
                  <c:v>Mar-2026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Filters!$E$407:$E$418</c:f>
              <c:numCache>
                <c:formatCode>0.00</c:formatCode>
                <c:ptCount val="12"/>
                <c:pt idx="0">
                  <c:v>-0.76315789473684215</c:v>
                </c:pt>
                <c:pt idx="1">
                  <c:v>-7.1311475409836067</c:v>
                </c:pt>
                <c:pt idx="2">
                  <c:v>1.3846153846153846</c:v>
                </c:pt>
                <c:pt idx="3">
                  <c:v>-1.1630434782608696</c:v>
                </c:pt>
                <c:pt idx="4">
                  <c:v>-2.7777777777777777</c:v>
                </c:pt>
                <c:pt idx="5">
                  <c:v>-9.86</c:v>
                </c:pt>
                <c:pt idx="6">
                  <c:v>-2.7551020408163267</c:v>
                </c:pt>
                <c:pt idx="7">
                  <c:v>-6.8103448275862073</c:v>
                </c:pt>
                <c:pt idx="8">
                  <c:v>-0.61290322580645162</c:v>
                </c:pt>
                <c:pt idx="9">
                  <c:v>-1.8701298701298701</c:v>
                </c:pt>
                <c:pt idx="10">
                  <c:v>-2.3761467889908259</c:v>
                </c:pt>
                <c:pt idx="11">
                  <c:v>-3.9191919191919191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7-4841-8DD4-09A4CF3FF235}"/>
            </c:ext>
          </c:extLst>
        </c:ser>
        <c:ser>
          <c:idx val="2"/>
          <c:order val="2"/>
          <c:tx>
            <c:strRef>
              <c:f>Filters!$F$406</c:f>
              <c:strCache>
                <c:ptCount val="1"/>
                <c:pt idx="0">
                  <c:v>Average of Pre RM Opening Time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5C6-4858-9C66-BE505699F2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Filters!$C$407:$C$418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Feb-2026</c:v>
                </c:pt>
                <c:pt idx="4">
                  <c:v>Jan-2026</c:v>
                </c:pt>
                <c:pt idx="5">
                  <c:v>Jul-2025</c:v>
                </c:pt>
                <c:pt idx="6">
                  <c:v>Jun-2025</c:v>
                </c:pt>
                <c:pt idx="7">
                  <c:v>Mar-2026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Filters!$F$407:$F$418</c:f>
              <c:numCache>
                <c:formatCode>0.00</c:formatCode>
                <c:ptCount val="12"/>
                <c:pt idx="0">
                  <c:v>10.210526315789474</c:v>
                </c:pt>
                <c:pt idx="1">
                  <c:v>16.721311475409838</c:v>
                </c:pt>
                <c:pt idx="2">
                  <c:v>10</c:v>
                </c:pt>
                <c:pt idx="3">
                  <c:v>10.184782608695652</c:v>
                </c:pt>
                <c:pt idx="4">
                  <c:v>9.981481481481481</c:v>
                </c:pt>
                <c:pt idx="5">
                  <c:v>19.600000000000001</c:v>
                </c:pt>
                <c:pt idx="6">
                  <c:v>13.530612244897959</c:v>
                </c:pt>
                <c:pt idx="7">
                  <c:v>12.948275862068966</c:v>
                </c:pt>
                <c:pt idx="8">
                  <c:v>9.387096774193548</c:v>
                </c:pt>
                <c:pt idx="9">
                  <c:v>14.571428571428571</c:v>
                </c:pt>
                <c:pt idx="10">
                  <c:v>11.541284403669724</c:v>
                </c:pt>
                <c:pt idx="11">
                  <c:v>15.555555555555555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7-4841-8DD4-09A4CF3FF23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4"/>
        <c:overlap val="100"/>
        <c:axId val="1505287687"/>
        <c:axId val="51729415"/>
      </c:barChart>
      <c:catAx>
        <c:axId val="15052876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Start Date [Month and Year]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9415"/>
        <c:crosses val="max"/>
        <c:auto val="1"/>
        <c:lblAlgn val="ctr"/>
        <c:lblOffset val="100"/>
        <c:noMultiLvlLbl val="0"/>
      </c:catAx>
      <c:valAx>
        <c:axId val="51729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8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800100</xdr:colOff>
      <xdr:row>0</xdr:row>
      <xdr:rowOff>381000</xdr:rowOff>
    </xdr:from>
    <xdr:to>
      <xdr:col>42</xdr:col>
      <xdr:colOff>180975</xdr:colOff>
      <xdr:row>0</xdr:row>
      <xdr:rowOff>657225</xdr:rowOff>
    </xdr:to>
    <xdr:sp macro="" textlink="">
      <xdr:nvSpPr>
        <xdr:cNvPr id="2" name="Rounded Rectangle 3">
          <a:extLst>
            <a:ext uri="{FF2B5EF4-FFF2-40B4-BE49-F238E27FC236}">
              <a16:creationId xmlns:a16="http://schemas.microsoft.com/office/drawing/2014/main" id="{E3A4EE5C-D39F-4FA6-B70E-BAADE8C64113}"/>
            </a:ext>
            <a:ext uri="{147F2762-F138-4A5C-976F-8EAC2B608ADB}">
              <a16:predDERef xmlns:a16="http://schemas.microsoft.com/office/drawing/2014/main" pred="{C4E11071-4AE4-4DE7-AAAD-85315FF5C60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2huZWlkZXJlbGVjdHJpYy1teS5zaGFyZXBvaW50LmNvbS86dTovZy9wZXJzb25hbC9zZXNhODIxMDEyX3NlX2NvbS9FVnJ3RFp5TE02Ukx1aWxnZnFBMHozMEJXOUpXMjNTZ3NDQUNXMERoa0RMUnpn&quot;}"/>
            </a:ext>
          </a:extLst>
        </xdr:cNvPr>
        <xdr:cNvSpPr/>
      </xdr:nvSpPr>
      <xdr:spPr>
        <a:xfrm>
          <a:off x="42691050" y="381000"/>
          <a:ext cx="1314450" cy="276225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Run Home</a:t>
          </a:r>
        </a:p>
      </xdr:txBody>
    </xdr:sp>
    <xdr:clientData/>
  </xdr:twoCellAnchor>
  <xdr:twoCellAnchor>
    <xdr:from>
      <xdr:col>39</xdr:col>
      <xdr:colOff>95250</xdr:colOff>
      <xdr:row>0</xdr:row>
      <xdr:rowOff>-2228850</xdr:rowOff>
    </xdr:from>
    <xdr:to>
      <xdr:col>40</xdr:col>
      <xdr:colOff>552450</xdr:colOff>
      <xdr:row>0</xdr:row>
      <xdr:rowOff>-2228850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C43B6A31-EA0D-41A3-ADB4-669756B708E6}"/>
            </a:ext>
            <a:ext uri="{147F2762-F138-4A5C-976F-8EAC2B608ADB}">
              <a16:predDERef xmlns:a16="http://schemas.microsoft.com/office/drawing/2014/main" pred="{5F5B5B76-727E-4B8A-89CE-4BB279043EE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2huZWlkZXJlbGVjdHJpYy1teS5zaGFyZXBvaW50LmNvbS86dTovZy9wZXJzb25hbC9zZXNhODIxMDEyX3NlX2NvbS9JUUQ4bEJwODZLeDRUNXdyQVd0dV8zUGJBZi1MR19LVHI4czVibXJ3Z1FNeVozcw&quot;}"/>
            </a:ext>
          </a:extLst>
        </xdr:cNvPr>
        <xdr:cNvSpPr/>
      </xdr:nvSpPr>
      <xdr:spPr>
        <a:xfrm>
          <a:off x="41986200" y="-2228850"/>
          <a:ext cx="1676400" cy="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Weekly WF Report</a:t>
          </a:r>
        </a:p>
      </xdr:txBody>
    </xdr:sp>
    <xdr:clientData/>
  </xdr:twoCellAnchor>
  <xdr:twoCellAnchor>
    <xdr:from>
      <xdr:col>39</xdr:col>
      <xdr:colOff>180975</xdr:colOff>
      <xdr:row>0</xdr:row>
      <xdr:rowOff>47625</xdr:rowOff>
    </xdr:from>
    <xdr:to>
      <xdr:col>40</xdr:col>
      <xdr:colOff>704850</xdr:colOff>
      <xdr:row>0</xdr:row>
      <xdr:rowOff>342900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C99139C-BCFA-465D-AAC9-14ED619E2E42}"/>
            </a:ext>
            <a:ext uri="{147F2762-F138-4A5C-976F-8EAC2B608ADB}">
              <a16:predDERef xmlns:a16="http://schemas.microsoft.com/office/drawing/2014/main" pred="{C43B6A31-EA0D-41A3-ADB4-669756B708E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2huZWlkZXJlbGVjdHJpYy1teS5zaGFyZXBvaW50LmNvbS86dTovZy9wZXJzb25hbC9zZXNhODIxMDEyX3NlX2NvbS9JUUQ4bEJwODZLeDRUNXdyQVd0dV8zUGJBZi1MR19LVHI4czVibXJ3Z1FNeVozcw&quot;}"/>
            </a:ext>
          </a:extLst>
        </xdr:cNvPr>
        <xdr:cNvSpPr/>
      </xdr:nvSpPr>
      <xdr:spPr>
        <a:xfrm>
          <a:off x="42071925" y="47625"/>
          <a:ext cx="1743075" cy="295275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Weekly WF Report</a:t>
          </a:r>
        </a:p>
      </xdr:txBody>
    </xdr:sp>
    <xdr:clientData/>
  </xdr:twoCellAnchor>
  <xdr:twoCellAnchor>
    <xdr:from>
      <xdr:col>39</xdr:col>
      <xdr:colOff>171450</xdr:colOff>
      <xdr:row>0</xdr:row>
      <xdr:rowOff>371475</xdr:rowOff>
    </xdr:from>
    <xdr:to>
      <xdr:col>40</xdr:col>
      <xdr:colOff>692150</xdr:colOff>
      <xdr:row>0</xdr:row>
      <xdr:rowOff>663575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E15C948D-E5E5-4A99-804F-E7CD527D85BC}"/>
            </a:ext>
            <a:ext uri="{147F2762-F138-4A5C-976F-8EAC2B608ADB}">
              <a16:predDERef xmlns:a16="http://schemas.microsoft.com/office/drawing/2014/main" pred="{0C99139C-BCFA-465D-AAC9-14ED619E2E4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2huZWlkZXJlbGVjdHJpYy1teS5zaGFyZXBvaW50LmNvbS86dTovZy9wZXJzb25hbC9zZXNhODIxMDEyX3NlX2NvbS9JUUJUZ1ZoTVYyUTdRWnQ5c3BQRjlPZHFBVU5fcjlra09URU1vZm9qWnJ6aXRyZw&quot;}"/>
            </a:ext>
          </a:extLst>
        </xdr:cNvPr>
        <xdr:cNvSpPr/>
      </xdr:nvSpPr>
      <xdr:spPr>
        <a:xfrm>
          <a:off x="11582400" y="371475"/>
          <a:ext cx="1739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Quick Update View</a:t>
          </a:r>
        </a:p>
      </xdr:txBody>
    </xdr:sp>
    <xdr:clientData/>
  </xdr:twoCellAnchor>
  <xdr:twoCellAnchor>
    <xdr:from>
      <xdr:col>40</xdr:col>
      <xdr:colOff>800100</xdr:colOff>
      <xdr:row>0</xdr:row>
      <xdr:rowOff>47625</xdr:rowOff>
    </xdr:from>
    <xdr:to>
      <xdr:col>42</xdr:col>
      <xdr:colOff>161925</xdr:colOff>
      <xdr:row>0</xdr:row>
      <xdr:rowOff>339725</xdr:rowOff>
    </xdr:to>
    <xdr:sp macro="" textlink="">
      <xdr:nvSpPr>
        <xdr:cNvPr id="11" name="Rounded Rectangle 9">
          <a:extLst>
            <a:ext uri="{FF2B5EF4-FFF2-40B4-BE49-F238E27FC236}">
              <a16:creationId xmlns:a16="http://schemas.microsoft.com/office/drawing/2014/main" id="{2EB7880F-AE56-4D00-A37C-AAB558DCC1F6}"/>
            </a:ext>
            <a:ext uri="{147F2762-F138-4A5C-976F-8EAC2B608ADB}">
              <a16:predDERef xmlns:a16="http://schemas.microsoft.com/office/drawing/2014/main" pred="{E15C948D-E5E5-4A99-804F-E7CD527D85BC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2huZWlkZXJlbGVjdHJpYy1teS5zaGFyZXBvaW50LmNvbS86dTovZy9wZXJzb25hbC9zZXNhODIxMDEyX3NlX2NvbS9JUUREQlNLcjdaallRSTdRc0RkUVh3Y0NBYW1SZGd2S0Y5VHY4TUI2U2xqTkdJWQ&quot;}"/>
            </a:ext>
          </a:extLst>
        </xdr:cNvPr>
        <xdr:cNvSpPr/>
      </xdr:nvSpPr>
      <xdr:spPr>
        <a:xfrm>
          <a:off x="42691050" y="47625"/>
          <a:ext cx="1295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Escalation</a:t>
          </a:r>
        </a:p>
      </xdr:txBody>
    </xdr:sp>
    <xdr:clientData/>
  </xdr:twoCellAnchor>
  <xdr:twoCellAnchor>
    <xdr:from>
      <xdr:col>42</xdr:col>
      <xdr:colOff>228600</xdr:colOff>
      <xdr:row>0</xdr:row>
      <xdr:rowOff>38100</xdr:rowOff>
    </xdr:from>
    <xdr:to>
      <xdr:col>44</xdr:col>
      <xdr:colOff>15875</xdr:colOff>
      <xdr:row>0</xdr:row>
      <xdr:rowOff>330200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D8369A8-A78E-4167-8078-37E30ABC4081}"/>
            </a:ext>
            <a:ext uri="{147F2762-F138-4A5C-976F-8EAC2B608ADB}">
              <a16:predDERef xmlns:a16="http://schemas.microsoft.com/office/drawing/2014/main" pred="{2EB7880F-AE56-4D00-A37C-AAB558DCC1F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Y2huZWlkZXJlbGVjdHJpYy1teS5zaGFyZXBvaW50LmNvbS86dTovZy9wZXJzb25hbC9zZXNhODIxMDEyX3NlX2NvbS9JUUFZaHhLOUpBaGRUcjlzTEI5WHZuWGZBYjhoc0hRLWE4WVJUNnJQLU1WalFuQQ&quot;}"/>
            </a:ext>
          </a:extLst>
        </xdr:cNvPr>
        <xdr:cNvSpPr/>
      </xdr:nvSpPr>
      <xdr:spPr>
        <a:xfrm>
          <a:off x="15440025" y="38100"/>
          <a:ext cx="1168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Update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4</xdr:row>
      <xdr:rowOff>152400</xdr:rowOff>
    </xdr:from>
    <xdr:to>
      <xdr:col>6</xdr:col>
      <xdr:colOff>1457325</xdr:colOff>
      <xdr:row>31</xdr:row>
      <xdr:rowOff>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E7C1CC59-6F39-4DE3-A065-B2E780C96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1762125</xdr:colOff>
      <xdr:row>3</xdr:row>
      <xdr:rowOff>219075</xdr:rowOff>
    </xdr:from>
    <xdr:to>
      <xdr:col>10</xdr:col>
      <xdr:colOff>4114800</xdr:colOff>
      <xdr:row>16</xdr:row>
      <xdr:rowOff>38100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48B118D5-2676-4326-A1E6-E1DD2D3C9B97}"/>
            </a:ext>
            <a:ext uri="{147F2762-F138-4A5C-976F-8EAC2B608ADB}">
              <a16:predDERef xmlns:a16="http://schemas.microsoft.com/office/drawing/2014/main" pred="{E7C1CC59-6F39-4DE3-A065-B2E780C96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1743075</xdr:colOff>
      <xdr:row>16</xdr:row>
      <xdr:rowOff>76200</xdr:rowOff>
    </xdr:from>
    <xdr:to>
      <xdr:col>10</xdr:col>
      <xdr:colOff>4124325</xdr:colOff>
      <xdr:row>30</xdr:row>
      <xdr:rowOff>228600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817587C1-7C00-4319-A758-64951091C056}"/>
            </a:ext>
            <a:ext uri="{147F2762-F138-4A5C-976F-8EAC2B608ADB}">
              <a16:predDERef xmlns:a16="http://schemas.microsoft.com/office/drawing/2014/main" pred="{48B118D5-2676-4326-A1E6-E1DD2D3C9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1057275</xdr:colOff>
      <xdr:row>4</xdr:row>
      <xdr:rowOff>95250</xdr:rowOff>
    </xdr:from>
    <xdr:to>
      <xdr:col>32</xdr:col>
      <xdr:colOff>304800</xdr:colOff>
      <xdr:row>17</xdr:row>
      <xdr:rowOff>28575</xdr:rowOff>
    </xdr:to>
    <xdr:graphicFrame macro="">
      <xdr:nvGraphicFramePr>
        <xdr:cNvPr id="155" name="Chart 3">
          <a:extLst>
            <a:ext uri="{FF2B5EF4-FFF2-40B4-BE49-F238E27FC236}">
              <a16:creationId xmlns:a16="http://schemas.microsoft.com/office/drawing/2014/main" id="{441B3E88-9D56-46FD-B95E-BD9DB34EAAED}"/>
            </a:ext>
            <a:ext uri="{147F2762-F138-4A5C-976F-8EAC2B608ADB}">
              <a16:predDERef xmlns:a16="http://schemas.microsoft.com/office/drawing/2014/main" pred="{817587C1-7C00-4319-A758-64951091C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1057275</xdr:colOff>
      <xdr:row>17</xdr:row>
      <xdr:rowOff>76200</xdr:rowOff>
    </xdr:from>
    <xdr:to>
      <xdr:col>32</xdr:col>
      <xdr:colOff>304800</xdr:colOff>
      <xdr:row>30</xdr:row>
      <xdr:rowOff>371475</xdr:rowOff>
    </xdr:to>
    <xdr:graphicFrame macro="">
      <xdr:nvGraphicFramePr>
        <xdr:cNvPr id="159" name="Chart 4">
          <a:extLst>
            <a:ext uri="{FF2B5EF4-FFF2-40B4-BE49-F238E27FC236}">
              <a16:creationId xmlns:a16="http://schemas.microsoft.com/office/drawing/2014/main" id="{2E554FD5-5FFD-4270-8D52-B1A1181537CF}"/>
            </a:ext>
            <a:ext uri="{147F2762-F138-4A5C-976F-8EAC2B608ADB}">
              <a16:predDERef xmlns:a16="http://schemas.microsoft.com/office/drawing/2014/main" pred="{441B3E88-9D56-46FD-B95E-BD9DB34EA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85725</xdr:colOff>
      <xdr:row>4</xdr:row>
      <xdr:rowOff>57150</xdr:rowOff>
    </xdr:from>
    <xdr:to>
      <xdr:col>23</xdr:col>
      <xdr:colOff>942975</xdr:colOff>
      <xdr:row>30</xdr:row>
      <xdr:rowOff>361950</xdr:rowOff>
    </xdr:to>
    <xdr:graphicFrame macro="">
      <xdr:nvGraphicFramePr>
        <xdr:cNvPr id="29" name="Chart 6">
          <a:extLst>
            <a:ext uri="{FF2B5EF4-FFF2-40B4-BE49-F238E27FC236}">
              <a16:creationId xmlns:a16="http://schemas.microsoft.com/office/drawing/2014/main" id="{AB72B16B-9466-4B63-BA16-631F4E7C495B}"/>
            </a:ext>
            <a:ext uri="{147F2762-F138-4A5C-976F-8EAC2B608ADB}">
              <a16:predDERef xmlns:a16="http://schemas.microsoft.com/office/drawing/2014/main" pred="{2E554FD5-5FFD-4270-8D52-B1A118153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180975</xdr:colOff>
      <xdr:row>31</xdr:row>
      <xdr:rowOff>9525</xdr:rowOff>
    </xdr:from>
    <xdr:to>
      <xdr:col>10</xdr:col>
      <xdr:colOff>4257675</xdr:colOff>
      <xdr:row>54</xdr:row>
      <xdr:rowOff>85725</xdr:rowOff>
    </xdr:to>
    <xdr:graphicFrame macro="">
      <xdr:nvGraphicFramePr>
        <xdr:cNvPr id="4" name="Chart 3" descr="Chart type: Clustered Column. 'WF' by 'Start Date [Month and Year]'&#10;&#10;Description automatically generated">
          <a:extLst>
            <a:ext uri="{FF2B5EF4-FFF2-40B4-BE49-F238E27FC236}">
              <a16:creationId xmlns:a16="http://schemas.microsoft.com/office/drawing/2014/main" id="{D964297A-1B8C-462A-AD6C-DA01EBE08734}"/>
            </a:ext>
            <a:ext uri="{147F2762-F138-4A5C-976F-8EAC2B608ADB}">
              <a16:predDERef xmlns:a16="http://schemas.microsoft.com/office/drawing/2014/main" pred="{AB72B16B-9466-4B63-BA16-631F4E7C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47625</xdr:colOff>
      <xdr:row>31</xdr:row>
      <xdr:rowOff>0</xdr:rowOff>
    </xdr:from>
    <xdr:to>
      <xdr:col>7</xdr:col>
      <xdr:colOff>133350</xdr:colOff>
      <xdr:row>77</xdr:row>
      <xdr:rowOff>152400</xdr:rowOff>
    </xdr:to>
    <xdr:graphicFrame macro="">
      <xdr:nvGraphicFramePr>
        <xdr:cNvPr id="6" name="Chart 5" descr="Chart type: 100% Stacked Bar. 'Overdue Time [Expected-Completion]', 'Impact Time Post RM' and 'Pre RM Opening Time' by 'Start Date [Month and Year]'&#10;&#10;Description automatically generated">
          <a:extLst>
            <a:ext uri="{FF2B5EF4-FFF2-40B4-BE49-F238E27FC236}">
              <a16:creationId xmlns:a16="http://schemas.microsoft.com/office/drawing/2014/main" id="{575CE067-C4B8-4F1C-A7E2-E5362CE8288A}"/>
            </a:ext>
            <a:ext uri="{147F2762-F138-4A5C-976F-8EAC2B608ADB}">
              <a16:predDERef xmlns:a16="http://schemas.microsoft.com/office/drawing/2014/main" pred="{D964297A-1B8C-462A-AD6C-DA01EBE08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Pendings" id="{A9D4A547-87A8-4173-8849-6640B7A27B39}">
    <nsvFilter filterId="{ED18AC10-AA8A-43A8-9D29-1233DEBA3947}" ref="B1:X1089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Data Update" id="{A094E829-0BCA-4C4D-9F45-CC27590F1825}">
    <nsvFilter filterId="{48F52398-CAAD-498E-8817-DF926E341E94}" ref="A1:AN857" tableId="1">
      <columnFilter colId="10" id="{723D8931-1203-4400-82FB-859144353584}">
        <filter colId="10">
          <x:filters>
            <x:filter val="Elec"/>
          </x:filters>
        </filter>
      </columnFilter>
      <columnFilter colId="28" id="{C03B0D0B-AE31-469B-BCB1-57EF5E1DB56C}">
        <filter colId="28">
          <x:filters>
            <x:filter val="i"/>
          </x:filters>
        </filter>
      </columnFilter>
      <sortRules>
        <sortRule colId="4" id="{A3F8642B-9708-4BC3-83DB-9A073BD89158}">
          <dxf>
            <x:font>
              <x:color rgb="FFFF0000"/>
            </x:font>
          </dxf>
          <sortCondition sortBy="fontColor" ref="E1:E857"/>
        </sortRule>
      </sortRules>
    </nsvFilter>
  </namedSheetView>
  <namedSheetView name="Funa" id="{742CC7E2-B9B5-4E7C-8F83-82A9407B479F}">
    <nsvFilter filterId="{48F52398-CAAD-498E-8817-DF926E341E94}" ref="A1:AN857" tableId="1">
      <columnFilter colId="33" id="{5F05E850-150E-47BE-8281-20BD37F27587}">
        <dxf>
          <x:fill>
            <x:patternFill patternType="solid">
              <x:fgColor rgb="FFFF0000"/>
              <x:bgColor rgb="FFFFFFFF"/>
            </x:patternFill>
          </x:fill>
        </dxf>
        <filter colId="33">
          <x:colorFilter/>
        </filter>
      </columnFilter>
      <sortRules>
        <sortRule colId="15" id="{79D291DD-C382-40C4-AF07-7C1458F18CF0}">
          <sortCondition ref="P1:P857"/>
        </sortRule>
      </sortRules>
    </nsvFilter>
  </namedSheetView>
  <namedSheetView name="Javi" id="{AE76E49F-D5F6-4AC4-95E7-033DB924F221}">
    <nsvFilter filterId="{48F52398-CAAD-498E-8817-DF926E341E94}" ref="A1:AN857" tableId="1">
      <columnFilter colId="33" id="{5F05E850-150E-47BE-8281-20BD37F27587}">
        <filter colId="33">
          <x:filters>
            <x:filter val="-10"/>
            <x:filter val="104"/>
            <x:filter val="107"/>
            <x:filter val="13"/>
            <x:filter val="15"/>
            <x:filter val="18"/>
            <x:filter val="-21"/>
            <x:filter val="-22"/>
            <x:filter val="28"/>
            <x:filter val="-28"/>
            <x:filter val="3"/>
            <x:filter val="-3"/>
            <x:filter val="4"/>
            <x:filter val="48"/>
            <x:filter val="60"/>
            <x:filter val="8"/>
          </x:filters>
        </filter>
      </columnFilter>
      <sortRules>
        <sortRule colId="5" id="{ABDA575D-257E-4457-9649-2B91BE3B1FD8}">
          <sortCondition ref="F1:F857"/>
        </sortRule>
      </sortRules>
    </nsvFilter>
  </namedSheetView>
  <namedSheetView name="Manu" id="{533AA97C-0DCF-4F9C-BDF3-C15BA34D7D2B}">
    <nsvFilter filterId="{48F52398-CAAD-498E-8817-DF926E341E94}" ref="A1:AN857" tableId="1">
      <sortRules>
        <sortRule colId="4" id="{A3F8642B-9708-4BC3-83DB-9A073BD89158}">
          <dxf>
            <x:font>
              <x:color rgb="FFFF0000"/>
            </x:font>
          </dxf>
          <sortCondition sortBy="fontColor" ref="E1:E857"/>
        </sortRule>
      </sortRules>
    </nsvFilter>
  </namedSheetView>
  <namedSheetView name="Normal" id="{C5C8D0F2-3E27-4D35-AF10-73B9C5F86E26}">
    <nsvFilter filterId="{48F52398-CAAD-498E-8817-DF926E341E94}" ref="A1:AN857" tableId="1">
      <columnFilter colId="10" id="{723D8931-1203-4400-82FB-859144353584}">
        <filter colId="10">
          <x:filters>
            <x:filter val="Elec"/>
          </x:filters>
        </filter>
      </columnFilter>
      <sortRules>
        <sortRule colId="4" id="{A3F8642B-9708-4BC3-83DB-9A073BD89158}">
          <dxf>
            <x:font>
              <x:color rgb="FFFF0000"/>
            </x:font>
          </dxf>
          <sortCondition sortBy="fontColor" ref="E1:E857"/>
        </sortRule>
      </sortRules>
    </nsvFilter>
  </namedSheetView>
  <namedSheetView name="View1" id="{50E3F977-321E-428C-8273-427FC0049130}">
    <nsvFilter filterId="{48F52398-CAAD-498E-8817-DF926E341E94}" ref="A1:AN857" tableId="1">
      <columnFilter colId="28" id="{C03B0D0B-AE31-469B-BCB1-57EF5E1DB56C}">
        <filter colId="28">
          <x:filters>
            <x:filter val="i"/>
          </x:filters>
        </filter>
      </columnFilter>
      <columnFilter colId="33" id="{5F05E850-150E-47BE-8281-20BD37F27587}">
        <dxf>
          <x:fill>
            <x:patternFill patternType="solid">
              <x:fgColor rgb="FFFF0000"/>
              <x:bgColor rgb="FFFFFFFF"/>
            </x:patternFill>
          </x:fill>
        </dxf>
        <filter colId="33">
          <x:colorFilter/>
        </filter>
      </columnFilter>
      <sortRules>
        <sortRule colId="4" id="{A3F8642B-9708-4BC3-83DB-9A073BD89158}">
          <sortCondition ref="E1:E857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00.273245486111" createdVersion="8" refreshedVersion="8" minRefreshableVersion="3" recordCount="856" xr:uid="{A116E946-5D5E-4E0B-B9B0-879E7C985C8A}">
  <cacheSource type="worksheet">
    <worksheetSource name="WFTracker"/>
  </cacheSource>
  <cacheFields count="40">
    <cacheField name="Product" numFmtId="0">
      <sharedItems containsBlank="1" count="4">
        <s v="PZ4"/>
        <s v="QED2"/>
        <s v="QED6"/>
        <m u="1"/>
      </sharedItems>
    </cacheField>
    <cacheField name="Order Number" numFmtId="0">
      <sharedItems/>
    </cacheField>
    <cacheField name="Item" numFmtId="0">
      <sharedItems/>
    </cacheField>
    <cacheField name="Sales Number" numFmtId="0">
      <sharedItems/>
    </cacheField>
    <cacheField name="Job Name" numFmtId="0">
      <sharedItems containsBlank="1" count="164">
        <s v="AO SMITH MCBEE SC"/>
        <s v="TOWER SEMICONDUCTOR - SAN ANTONIO - ALTE"/>
        <s v="USSF ANTENNA FACILITY PROJECT"/>
        <s v="SWITCHGEAR UPGRADE"/>
        <s v="CHARLOTTE WATER-MT. HOLLY PS &amp; STOWE  -"/>
        <s v="AT&amp;T GREENWOOD - GEAR ORDER"/>
        <s v="NSBSL SUBSTATION REPLACEMENT"/>
        <s v="UCSF PRAB 60CD MAR 2024 LONG LEAD SWITCH"/>
        <s v="PINELLAS COUNTY DUNN WWTP _ PALM HARBOR"/>
        <s v="IRON MOUNTAIN RM#6"/>
        <s v="INTEL SOW707 FEDERAL FOUNDRY OSM"/>
        <s v="COLLIER COUNTY NCWRF ELECTRICAL SERVICE"/>
        <s v="COLLIER COUNTY NCWRF  ELECTRICAL SERVICE"/>
        <s v="ROYAL CARRIBEAN ES-43478"/>
        <s v="STOWERS INSTITUTE - SUBSTATION REPLACEME"/>
        <s v="MICRON ID1 - PROJECT OPAL -WSP - BLDG B"/>
        <s v="BEACON HEALTH ES-43461"/>
        <s v="Y12 MERCURY TREATMENT FACILITY"/>
        <s v="STANDALONE CONNECT TO VETERANS ES-43368"/>
        <s v="LINCOLN TRANSPORTATION AND UTILITIES LIN"/>
        <s v="MCLEOD HEALTH - CAROLINA FOREST CAMHUPS H"/>
        <s v="DC TILLMAN"/>
        <s v="EOEM - STATES MANUFACTURING - AA - LEWIS"/>
        <s v="BWXT Q9"/>
        <s v="REX UNC HEALTHCARE S"/>
        <s v="THE ROUX INSTITUTE"/>
        <s v="BUNKER HILL WTP"/>
        <s v="FRESHPET PHASE 2A - ENNIS, TX"/>
        <s v="BF GOODRICH - FORT WAYNE PLANT - SUBSTAT"/>
        <s v="BWXT Q10 SUB"/>
        <s v="TOYOTA PEMC"/>
        <s v="CORNING ARM FURNACE FIT-UP"/>
        <s v="CYRUSONE - CYRUSONE, INC"/>
        <s v="MICRON ID1 - HPM/PROBE F12A"/>
        <s v="EAST CAROLINA UNIVERSITY (ECU) BRODY SCH"/>
        <s v="JHBSPH - 528 NORTH WASHINGTON ST"/>
        <s v="BURLINGTON NEW DOUBLE-END SUBSTATION"/>
        <s v="MDACC CSB CLINICAL SERVICES BUILDING"/>
        <s v="EC1&amp;EC2&amp;EC3"/>
        <s v="UNITEDHEALTHCARE FOR PARSONS ELECTRIC"/>
        <s v="KAISER SAN JOSE MEDICAL CENTER HOSPITAL"/>
        <s v="RRMC GENERATOR REPLACEMENT PROJECT"/>
        <s v="HORIZON HEALTH - EMERGENCY POWER UPGRADE"/>
        <s v="SEA NEMA DOC1033717255 EQUIPOS ELECTRICO"/>
        <s v="COLLEY MARKS"/>
        <s v="NORTHROP B307 3000 KVA SUBSTATIONS - PAL"/>
        <s v="SPACEX STARBASE GIGABAY UNIT SUBSTATIONS"/>
        <s v="PSTV CC NORMAL GEAR"/>
        <s v="KSFB PROPERY IMPROVEMENTS PHASE 1 STATE"/>
        <s v="M003 REPLACE ELECTRICAL SUBSTATION 3C"/>
        <s v="MICRON ID1 - PROJECT OPAL - WSP - BLDG B"/>
        <s v="DENSO 203_ UNIT SUB #6"/>
        <s v="SAPPI T103B SUBSTATION REPLACEMENT"/>
        <s v="AUS HYDRANT SYSTEM"/>
        <s v="meta rsb #80"/>
        <s v="UNITEDHEALTH GROUP CUL PROJECT, CHASKA,"/>
        <s v="META QED2"/>
        <s v="CUMMINS POWER GENERATION DOCK DOORS"/>
        <s v="EOEM-CUMMINS - USCG RIO BAYAMON"/>
        <s v="TALLAHASSEE POLICE DEPARTMENT HEADQUARTE"/>
        <s v="switchboard f2.0"/>
        <s v="meta rsb Proyecto META SWB"/>
        <s v="META 2.0"/>
        <s v="GIGABAY 15KV SUBSTATIONS REV3 STARBASE T"/>
        <s v="AT&amp;T 1420 BROADWAY STREET LUBBOCK TX"/>
        <s v="HYRDO BUS 480V SWGR"/>
        <s v="EOEM-CUMMINS - TEXAS DOT"/>
        <s v="MD ANDERSON CANCER CENTER CONSOLIDATED S"/>
        <s v="VO#XX ACTUALIZACION PZ4 TAG: 1313-SB-010"/>
        <s v="NEW PARNASSUS HEIGHTS HOSPITAL - UCSF -"/>
        <s v="SWBD 2.0 BREAKERS"/>
        <s v="EOEM-CUMMINS - REIDSVILLE WTP"/>
        <s v="GSK MARIETTA B55"/>
        <s v="ADVENT HEALTH CARROLLWOOD GARDEN TOWER E"/>
        <s v="swbd"/>
        <s v="NEMA 3R LIGHNING ASSY UPDATE"/>
        <s v="meta f2.0"/>
        <s v="SUNY UPSTATE MEDICAL WEISKOTTEN HALL ADD"/>
        <s v="TOYOTA PEMC EQUIPMENT REPLACEMENT"/>
        <s v="TME27242"/>
        <s v="ENCORE WIRE NEW PLANT 5 MCKINNEY"/>
        <s v="SCHNEIDER ELECTRIC USA INC"/>
        <s v="ADVENTHEALTH ORLANDO EOB CHILLER NO. 6"/>
        <s v="ABB BLACKLISTING"/>
        <s v="HF CURREN AWTP MASTER PLAN IMPROVEMENTS"/>
        <s v="BETTIS LAB CTC"/>
        <s v="AHO EOB CHILLER NO. 7"/>
        <s v="AT&amp;T 105 AUD – 9TH FLOOR SOUTH AON CLOUD"/>
        <s v="TAYLOR DAIRY ROAD WTP"/>
        <s v="LOUISA COUNTY TECH CAMHUPS"/>
        <s v="GENENTECH - APOLLO 11 - EQUIPMENT"/>
        <s v="NORTHROP B421 PHASE 3 COATING HANGAR"/>
        <s v="PSTV CC NORMAL GEAR REPLACEMENT - PSVMC"/>
        <s v="META - DC FV2.0 - LEB - NW BUILDING (LV)"/>
        <s v="REPLACE NETWORK SUBSTATIONS 9A,9B,9C,9D"/>
        <s v="TEMPLE UNIVERSITY LEW KLEIN COLLEGE OF M"/>
        <s v="BUNDLE FOR KOMAX PZ4"/>
        <s v="RAYTHEON - MARLBOROUGH - BUILDING 2 - PH"/>
        <s v="SPACEX CAPE GIGABAY M1/M2 UNIT SUBSTATIO"/>
        <s v="AT&amp;T : 51 PEACHTREE CENTER AVE SE ATL"/>
        <s v="RADY CHILDRENS HOSPITAL - ICU AND CONNEC"/>
        <s v="AT&amp;T SWITCHGEAR UPGRADE"/>
        <s v="NESTLÉ SILAO"/>
        <s v="NOVO NORDISK - BLDG QC CHEM-RM LAB - CLA"/>
        <s v="HARD LABOR CREEK WTP - WALTON COUNTY, GA"/>
        <s v="W912EF25QA023-ARMY US"/>
        <s v="UC BERKELEY HEATHCOCK HALL"/>
        <s v="NSWC RAM LAB"/>
        <s v="BOSCH - ELECTROLYZER INFRASTRUCTURE"/>
        <s v="NORTHROP B410 CHILLER UPGRADE"/>
        <s v="MICROLOGIC 6.0 X MTZ FIJO"/>
        <s v="BUNDLE FOR KOMAX"/>
        <s v="EOEM - REHLKO - PANAMA CITY - MILLVILLE"/>
        <s v="NORTH FORK PEACHTREE CREEK STORAGE TANK"/>
        <s v="EAST BANK REGIONAL PUMP STATION - NASHVI"/>
        <s v="PROJECT OPAL LLE2-MICRON TECHNOLOGY INC."/>
        <s v="ABB BLACKLIST"/>
        <s v="BJC HEALTHCARE WEST PAV EM POWER DIST"/>
        <s v="MICRON ID1 PHASE 2 - F12A UNIT SUBSTATIO"/>
        <s v="LOUISA COUNTY TECH CAMPUS"/>
        <s v="FC23-011 3000 KVA SUBSTATION U"/>
        <s v="CRIMP LUG LONG BARREL 2 AWG"/>
        <s v="GUNDERSEN HEALTH SYSTEM HERITAGE EMERGEN"/>
        <s v="NEW CASTLE COUNTY COURTHOUSE - CUSTOM HO"/>
        <s v="PROJECT OPAL LLE3"/>
        <s v="ADVENT HEALTH CELEBRATION PATIENT TOWER"/>
        <s v="GEISINGER MEDICAL CENTER SOUTH TOWER"/>
        <s v="FREIGHTLINER - CLEVELAND, NC."/>
        <s v="AMEREN CASTLE BLUFF ENERGY CENTER"/>
        <s v="OP-250808-15689594"/>
        <s v="CPS EMC UPGRADE - SAN ANTONIO - ALTERMAN"/>
        <s v="LMMFC SUB 7 REPLACEMENT PROJECT"/>
        <s v="AT&amp;T SLIDELL ENGINE REPLACEMENT"/>
        <s v="1319-V/056. M3-SPCC_PN240180-COGENERACIÓ"/>
        <s v="PROJECT ICY HOT CORE AND SHELL"/>
        <s v="BF GOODRICH -  FORT WAYNE, IN - OUTDOOR"/>
        <s v="SMUD FAOB"/>
        <s v="POLK REGIONAL WC SE WELLFIELD AND WATER"/>
        <s v="DUNEDIN WWTP ELECTRICAL SYSTEM UPGRADES"/>
        <s v="UT RED MCCOMBS UNDERGRADUATE SCHOOL OF B"/>
        <s v="WHOLESTONE FOODS FREEZER/COOLER EXPANSIO"/>
        <s v="TI LFAB2 - LEHI - TI"/>
        <s v="HAINES WWTP EXPANSION"/>
        <s v="SQD EXPANSION DE SISITEMAS DE ENERGIA "/>
        <s v="EOEM-CUMMINS- HCA ST DAVID'S S AUSTIN"/>
        <s v="PCA RIVERVILLE, VA MILL PZ4"/>
        <s v="DCH EAST KITCHEN MACHINE ROOM SWITCHBOAR"/>
        <s v="BONNEVILLE LOCK AND DAM BRADFORD ISLAND"/>
        <m u="1"/>
        <s v="319-V/056. M3-SPCC_PN240180-COGENERACIÓ" u="1"/>
        <s v="AMES LAB - METALS DEVELOPMENT ROOM 150 S" u="1"/>
        <s v="MCLEOD HEALTH - CAROLINA FOREST CAMPUS H" u="1"/>
        <s v="T&amp;T : 51 PEACHTREE CENTER AVE SE ATL" u="1"/>
        <s v="GENENTECH - APOLLO 11 - EQUIPME" u="1"/>
        <s v="META QED2 SWBD" u="1"/>
        <s v="_x0009_HF CURREN AWTP MASTER PLAN IMPROVEMENTS" u="1"/>
        <s v="UNKNOWN" u="1"/>
        <s v="UNITEDHEALTHCARE FOR PARSONS ELECTRIC -" u="1"/>
        <s v="M003 REPLACE ELECTRICAL SUBSTATION 3C &amp;" u="1"/>
        <s v="COLLIER COUNTY NCWRF" u="1"/>
        <s v="BEACON HEALTH ES-43461 (KOHLER)" u="1"/>
        <s v="See3D" u="1"/>
        <s v="NA" u="1"/>
        <s v="Micron" u="1"/>
      </sharedItems>
    </cacheField>
    <cacheField name="RM" numFmtId="14">
      <sharedItems containsSemiMixedTypes="0" containsNonDate="0" containsDate="1" containsString="0" minDate="2024-12-12T00:00:00" maxDate="2026-11-24T00:00:00" count="138">
        <d v="2025-02-14T00:00:00"/>
        <d v="2025-02-17T00:00:00"/>
        <d v="2025-02-25T00:00:00"/>
        <d v="2025-02-21T00:00:00"/>
        <d v="2025-03-14T00:00:00"/>
        <d v="2025-04-22T00:00:00"/>
        <d v="2025-04-15T00:00:00"/>
        <d v="2025-03-10T00:00:00"/>
        <d v="2025-03-28T00:00:00"/>
        <d v="2025-04-18T00:00:00"/>
        <d v="2025-04-21T00:00:00"/>
        <d v="2025-05-05T00:00:00"/>
        <d v="2025-05-02T00:00:00"/>
        <d v="2025-05-16T00:00:00"/>
        <d v="2025-05-23T00:00:00"/>
        <d v="2025-05-30T00:00:00"/>
        <d v="2025-06-06T00:00:00"/>
        <d v="2025-06-13T00:00:00"/>
        <d v="2025-06-11T00:00:00"/>
        <d v="2025-06-09T00:00:00"/>
        <d v="2025-06-27T00:00:00"/>
        <d v="2025-06-25T00:00:00"/>
        <d v="2025-07-11T00:00:00"/>
        <d v="2025-07-02T00:00:00"/>
        <d v="2025-07-04T00:00:00"/>
        <d v="2025-06-30T00:00:00"/>
        <d v="2025-07-10T00:00:00"/>
        <d v="2025-07-30T00:00:00"/>
        <d v="2025-08-22T00:00:00"/>
        <d v="2025-07-31T00:00:00"/>
        <d v="2025-08-27T00:00:00"/>
        <d v="2025-07-18T00:00:00"/>
        <d v="2025-10-14T00:00:00"/>
        <d v="2025-08-08T00:00:00"/>
        <d v="2025-08-29T00:00:00"/>
        <d v="2025-08-31T00:00:00"/>
        <d v="2025-10-15T00:00:00"/>
        <d v="2025-09-12T00:00:00"/>
        <d v="2025-09-11T00:00:00"/>
        <d v="2025-12-26T00:00:00"/>
        <d v="2025-08-26T00:00:00"/>
        <d v="2025-05-26T00:00:00"/>
        <d v="2025-09-30T00:00:00"/>
        <d v="2025-09-19T00:00:00"/>
        <d v="2025-09-26T00:00:00"/>
        <d v="2025-09-05T00:00:00"/>
        <d v="2025-10-24T00:00:00"/>
        <d v="2025-06-05T00:00:00"/>
        <d v="2025-09-10T00:00:00"/>
        <d v="2025-10-16T00:00:00"/>
        <d v="2025-10-06T00:00:00"/>
        <d v="2025-07-01T00:00:00"/>
        <d v="2025-11-14T00:00:00"/>
        <d v="2025-07-27T00:00:00"/>
        <d v="2025-10-27T00:00:00"/>
        <d v="2025-10-10T00:00:00"/>
        <d v="2025-10-23T00:00:00"/>
        <d v="2025-12-10T00:00:00"/>
        <d v="2025-11-10T00:00:00"/>
        <d v="2025-12-05T00:00:00"/>
        <d v="2025-11-20T00:00:00"/>
        <d v="2025-10-29T00:00:00"/>
        <d v="2025-11-05T00:00:00"/>
        <d v="2025-11-28T00:00:00"/>
        <d v="2025-11-21T00:00:00"/>
        <d v="2025-06-04T00:00:00"/>
        <d v="2025-11-12T00:00:00"/>
        <d v="2025-12-09T00:00:00"/>
        <d v="2025-12-19T00:00:00"/>
        <d v="2025-11-24T00:00:00"/>
        <d v="2025-12-22T00:00:00"/>
        <d v="2025-12-08T00:00:00"/>
        <d v="2025-10-17T00:00:00"/>
        <d v="2025-12-29T00:00:00"/>
        <d v="2026-01-06T00:00:00"/>
        <d v="2024-12-12T00:00:00"/>
        <d v="2025-12-15T00:00:00"/>
        <d v="2026-01-07T00:00:00"/>
        <d v="2025-12-23T00:00:00"/>
        <d v="2026-01-16T00:00:00"/>
        <d v="2025-09-22T00:00:00"/>
        <d v="2026-01-22T00:00:00"/>
        <d v="2026-01-30T00:00:00"/>
        <d v="2025-12-16T00:00:00"/>
        <d v="2025-12-01T00:00:00"/>
        <d v="2026-01-14T00:00:00"/>
        <d v="2026-01-28T00:00:00"/>
        <d v="2026-01-23T00:00:00"/>
        <d v="2026-03-20T00:00:00"/>
        <d v="2026-02-27T00:00:00"/>
        <d v="2025-09-24T00:00:00"/>
        <d v="2026-01-21T00:00:00"/>
        <d v="2026-01-26T00:00:00"/>
        <d v="2026-01-09T00:00:00"/>
        <d v="2026-02-04T00:00:00"/>
        <d v="2026-02-13T00:00:00"/>
        <d v="2026-02-02T00:00:00"/>
        <d v="2026-01-13T00:00:00"/>
        <d v="2026-03-06T00:00:00"/>
        <d v="2026-02-09T00:00:00"/>
        <d v="2026-02-10T00:00:00"/>
        <d v="2026-04-24T00:00:00"/>
        <d v="2026-02-17T00:00:00"/>
        <d v="2026-03-30T00:00:00"/>
        <d v="2026-02-25T00:00:00"/>
        <d v="2026-03-02T00:00:00"/>
        <d v="2026-03-13T00:00:00"/>
        <d v="2025-12-27T00:00:00"/>
        <d v="2026-03-11T00:00:00"/>
        <d v="2026-03-17T00:00:00"/>
        <d v="2026-03-16T00:00:00"/>
        <d v="2026-02-14T00:00:00"/>
        <d v="2026-03-31T00:00:00"/>
        <d v="2026-03-27T00:00:00"/>
        <d v="2026-04-17T00:00:00"/>
        <d v="2026-04-15T00:00:00"/>
        <d v="2026-04-04T00:00:00"/>
        <d v="2026-03-26T00:00:00"/>
        <d v="2026-03-25T00:00:00"/>
        <d v="2026-04-10T00:00:00"/>
        <d v="2026-03-23T00:00:00" u="1"/>
        <d v="2026-11-23T00:00:00" u="1"/>
        <d v="2025-09-25T00:00:00" u="1"/>
        <d v="2025-10-30T00:00:00" u="1"/>
        <d v="2025-08-13T00:00:00" u="1"/>
        <d v="2026-02-05T00:00:00" u="1"/>
        <d v="2025-09-04T00:00:00" u="1"/>
        <d v="2025-12-03T00:00:00" u="1"/>
        <d v="2025-10-31T00:00:00" u="1"/>
        <d v="2025-10-25T00:00:00" u="1"/>
        <d v="2025-10-26T00:00:00" u="1"/>
        <d v="2025-10-28T00:00:00" u="1"/>
        <d v="2025-11-01T00:00:00" u="1"/>
        <d v="2025-11-02T00:00:00" u="1"/>
        <d v="2025-11-03T00:00:00" u="1"/>
        <d v="2025-11-09T00:00:00" u="1"/>
        <d v="2025-02-09T00:00:00" u="1"/>
        <d v="2025-09-02T00:00:00" u="1"/>
      </sharedItems>
    </cacheField>
    <cacheField name="RE" numFmtId="0">
      <sharedItems containsDate="1" containsBlank="1" containsMixedTypes="1" minDate="2025-09-24T00:00:00" maxDate="2026-06-02T00:00:00"/>
    </cacheField>
    <cacheField name="AE" numFmtId="0">
      <sharedItems containsBlank="1"/>
    </cacheField>
    <cacheField name="MD" numFmtId="0">
      <sharedItems containsBlank="1"/>
    </cacheField>
    <cacheField name="WF" numFmtId="0">
      <sharedItems containsBlank="1" count="861">
        <s v="WF1593968"/>
        <s v="WF1634065"/>
        <s v="WF1634066"/>
        <s v="WF1634071"/>
        <s v="WF1634013"/>
        <s v="WF1634544"/>
        <s v="WF1634581"/>
        <s v="WF1634504"/>
        <s v="WF1635286"/>
        <s v="WF1645448"/>
        <s v="WF1647369"/>
        <s v="WF1647350"/>
        <s v="WF1648774"/>
        <s v="WF1648985"/>
        <s v="WF1650970"/>
        <s v="WF1650858"/>
        <s v="WF1650861"/>
        <s v="WF1650863"/>
        <s v="WF1651072"/>
        <s v="WF1650856"/>
        <s v="WF1651638"/>
        <s v="WF1652523"/>
        <s v="WF1652400"/>
        <s v="WF1654489"/>
        <s v="WF1654647"/>
        <s v="WF1654591"/>
        <s v="WF1654659"/>
        <s v="WF1654754"/>
        <s v="WF1654757"/>
        <s v="WF1654786"/>
        <s v="WF1654753"/>
        <s v="WF1655177"/>
        <s v="WF1655377"/>
        <s v="WF1655339"/>
        <s v="WF1655340"/>
        <s v="WF1656229"/>
        <s v="WF1656216"/>
        <s v="WF1656091"/>
        <s v="WF1656722"/>
        <s v="WF1656778"/>
        <s v="WF1656725"/>
        <s v="WF1656782"/>
        <s v="WF1657486"/>
        <s v="WF1657370"/>
        <s v="WF1657391"/>
        <s v="WF1658163"/>
        <s v="WF1659119"/>
        <s v="WF1658800"/>
        <s v="WF1660921"/>
        <s v="WF1660933"/>
        <s v="WF1661019"/>
        <s v="WF1660919"/>
        <s v="WF1660918"/>
        <s v="WF1663892"/>
        <s v="WF1665200"/>
        <s v="WF1665204"/>
        <s v="WF1667259"/>
        <s v="WF1668522"/>
        <s v="WF1668543"/>
        <s v="WF1668571"/>
        <s v="WF1669049"/>
        <s v="WF1669064"/>
        <s v="WF1669148"/>
        <s v="WF1669179"/>
        <s v="WF1669735"/>
        <s v="WF1670537"/>
        <s v="WF1670586"/>
        <s v="WF1670547"/>
        <s v="WF1671148"/>
        <s v="WF1672131"/>
        <s v="WF1672069"/>
        <s v="WF1672080"/>
        <s v="WF1672053"/>
        <s v="WF1672746"/>
        <s v="WF1672871"/>
        <s v="WF1672864"/>
        <s v="WF1672589"/>
        <s v="WF1672697"/>
        <s v="WF1672726"/>
        <s v="WF1672783"/>
        <s v="WF1672790"/>
        <s v="WF1672826"/>
        <s v="WF1672805"/>
        <s v="WF1672650"/>
        <s v="WF1672649"/>
        <s v="WF1674297"/>
        <s v="WF1674295"/>
        <s v="WF1674300"/>
        <s v="WF1675519"/>
        <s v="WF1675659"/>
        <s v="WF1675650"/>
        <s v="WF1675631"/>
        <s v="WF1676332"/>
        <s v="WF1676327"/>
        <s v="WF1676370"/>
        <s v="WF1676353"/>
        <s v="WF1676356"/>
        <s v="WF1680995"/>
        <s v="WF1686775"/>
        <s v="WF1686777"/>
        <s v="WF1686783"/>
        <s v="WF1686785"/>
        <s v="WF1686787"/>
        <s v="WF1688951"/>
        <s v="WF1689509"/>
        <s v="WF1690270"/>
        <s v="WF1690272"/>
        <s v="WF1690273"/>
        <s v="WF1691558"/>
        <s v="WF1692399"/>
        <s v="WF1693128"/>
        <s v="WF1693146"/>
        <s v="WF1693165"/>
        <s v="WF1693140"/>
        <s v="WF1693161"/>
        <s v="WF1693768"/>
        <s v="WF1694324"/>
        <s v="WF1694419"/>
        <s v="WF1695200"/>
        <s v="WF1695202"/>
        <s v="WF1695208"/>
        <s v="WF1695848"/>
        <s v="WF1695930"/>
        <s v="WF1695932"/>
        <s v="WF1697130"/>
        <s v="WF1697176"/>
        <s v="WF1697178"/>
        <s v="WF1697184"/>
        <s v="WF1697587"/>
        <s v="WF1700864"/>
        <s v="WF1701677"/>
        <s v="WF1703048"/>
        <s v="WF1703053"/>
        <s v="WF1703053 "/>
        <s v="WF1703229"/>
        <s v="WF1691406"/>
        <s v="WF1703793"/>
        <s v="WF1703644"/>
        <s v="WF1703674"/>
        <s v="WF1704391"/>
        <s v="WF1704344"/>
        <s v="WF1704554"/>
        <s v="WF1705119"/>
        <s v="WF1704960"/>
        <s v="WF1704965"/>
        <s v="WF1704972"/>
        <s v="WF1704978"/>
        <s v="WF1704998"/>
        <s v="WF1705004"/>
        <s v="WF1705013"/>
        <s v="WF1705022"/>
        <s v="WF1705028"/>
        <s v="WF1705056"/>
        <s v="WF1705115"/>
        <s v="WF1705120"/>
        <s v="WF1705814"/>
        <s v="WF1705861"/>
        <s v="WF1706367"/>
        <s v="WF1706423"/>
        <s v="WF1706432"/>
        <s v="WF1709160"/>
        <s v="WF1706503"/>
        <s v="WF1707204"/>
        <s v="WF1707205"/>
        <s v="WF1707006"/>
        <s v="WF1707018"/>
        <s v="WF1708345"/>
        <s v="WF1709320"/>
        <s v="WF1709322"/>
        <s v="WF1709985"/>
        <s v="WF1709903"/>
        <s v="WF1709991"/>
        <s v="WF1709976"/>
        <s v="WF1710702"/>
        <s v="WF1710566"/>
        <s v="WF1710577"/>
        <s v="WF1710583"/>
        <s v="WF1710562"/>
        <s v="WF1712648"/>
        <s v="WF1713291"/>
        <s v="WF1713330"/>
        <s v="WF1713357"/>
        <s v="WF1713351"/>
        <s v="WF1714133"/>
        <s v="WF1714125"/>
        <s v="WF1714164"/>
        <s v="WF1714161"/>
        <s v="WF1714810"/>
        <s v="WF1716071"/>
        <s v="WF1715227"/>
        <s v="WF1715221"/>
        <s v="WF1716883"/>
        <s v="WF1716891"/>
        <s v="WF1717670"/>
        <s v="WF1718673"/>
        <s v="WF1718777"/>
        <s v="WF1719682"/>
        <s v="WF1719687"/>
        <s v="WF1719693"/>
        <s v="WF1721549"/>
        <s v="WF1721556"/>
        <s v="WF1721674"/>
        <s v="WF1721676"/>
        <s v="WF1721678"/>
        <s v="WF1721679"/>
        <s v="WF1722268"/>
        <s v="WF1722971"/>
        <s v="WF1722976"/>
        <s v="WF1722995"/>
        <s v="WF1722997"/>
        <s v="WF1723629"/>
        <s v="WF1723039"/>
        <s v="WF1723841"/>
        <s v="WF1723790"/>
        <s v="WF1723765"/>
        <s v="WF1723759"/>
        <s v="WF1724577"/>
        <s v="WF1724591"/>
        <s v="WF1724586"/>
        <s v="WF1725577"/>
        <s v="WF1727097"/>
        <s v="WF1727106"/>
        <s v="WF1727108"/>
        <s v="WF1727653"/>
        <s v="WF1727836"/>
        <s v="WF1727675"/>
        <s v="WF1727722"/>
        <s v="WF1727648"/>
        <s v="WF1729134"/>
        <s v="WF1729021"/>
        <s v="WF1729188"/>
        <s v="WF1729833"/>
        <s v="WF1729717"/>
        <s v=" WF1729834"/>
        <s v="WF1729812"/>
        <s v="WF1730149"/>
        <s v="WF1730939"/>
        <s v="WF1730892"/>
        <s v="WF1730884"/>
        <s v="WF1730741"/>
        <s v="WF1731450"/>
        <s v="WF1731333"/>
        <s v="WF1731525"/>
        <s v="WF1731688"/>
        <s v="WF1731689"/>
        <s v="WF1732182"/>
        <s v="WF1732336"/>
        <s v="WF1732364"/>
        <s v="WF1732947"/>
        <s v="WF1733695"/>
        <s v="WF1733700"/>
        <s v="WF1733486"/>
        <s v="WF1734669"/>
        <s v="WF1734560"/>
        <s v="WF1734562"/>
        <s v="WF1734673"/>
        <s v="WF1734559"/>
        <s v="WF1735314"/>
        <s v="WF1735409"/>
        <s v="WF1735305"/>
        <s v="WF1735363"/>
        <s v="WF1735982"/>
        <s v="WF1735821"/>
        <s v="WF1735924"/>
        <s v="WF1735914"/>
        <s v="WF1735912"/>
        <s v="WF1736534"/>
        <s v="WF1736745"/>
        <s v="WF1737060"/>
        <s v="WF1737041"/>
        <s v="WF1737190"/>
        <s v="WF1737167"/>
        <s v="WF1737304"/>
        <s v="WF1737145"/>
        <s v="WF1737633"/>
        <s v="WF1738333"/>
        <s v="WF1739566"/>
        <s v=" WF1739687"/>
        <s v="WF1739717"/>
        <s v="WF1740256"/>
        <s v="WF1740199"/>
        <s v="WF1740203"/>
        <s v="WF1740323"/>
        <s v="WF1740322"/>
        <s v="WF1740321"/>
        <s v="WF1740325"/>
        <s v="WF1740324"/>
        <s v="WF1740319"/>
        <s v="WF1740823"/>
        <s v="WF1741470"/>
        <s v="WF1741474"/>
        <s v="WF1741660"/>
        <s v="WF1741546"/>
        <s v="WF1741521"/>
        <s v="WF1741537"/>
        <s v="WF1741558"/>
        <s v="WF1742143"/>
        <s v="WF1742958"/>
        <s v="WF1742802"/>
        <s v="WF1742903"/>
        <s v="WF1742912"/>
        <s v="WF1742935"/>
        <s v="WF1742957"/>
        <s v="WF1742985"/>
        <s v="WF1742965"/>
        <s v="WF1743044"/>
        <s v="WF1743659"/>
        <s v="WF1743744"/>
        <s v="WF1743800"/>
        <s v="WF1743774"/>
        <s v="WF1743757"/>
        <s v="WF1743745"/>
        <s v="WF1744143"/>
        <s v="WF1744180"/>
        <s v="WF1744192"/>
        <s v="WF1744181"/>
        <s v="WF1744169"/>
        <s v="WF1744166"/>
        <s v="WF1744145"/>
        <s v="WF1744219"/>
        <s v="WF1744209"/>
        <s v="WF1744206"/>
        <s v="WF1744203"/>
        <s v="WF1744245"/>
        <s v="WF1744236"/>
        <s v="WF1744229"/>
        <s v="WF1744137"/>
        <s v="WF1744136"/>
        <s v="WF1744149"/>
        <s v="WF1745812"/>
        <s v="WF1745721"/>
        <s v="WF1745785"/>
        <s v="WF1745767"/>
        <s v="WF1745908"/>
        <s v="WF1745782"/>
        <s v="WF1746349"/>
        <s v="WF1746541"/>
        <s v="WF1747019"/>
        <s v="WF1747868"/>
        <s v="WF1747814"/>
        <s v="WF1747702"/>
        <s v="WF1747718"/>
        <s v="WF1749894"/>
        <s v="WF1749895"/>
        <s v="WF1749839"/>
        <s v="WF1749869"/>
        <s v="WF1749888"/>
        <s v="WF1750068"/>
        <s v="WF1750094"/>
        <s v="WF1750559"/>
        <s v="WF1750577"/>
        <s v="WF1750707"/>
        <s v="WF1750555"/>
        <s v="WF1750597"/>
        <s v="WF1750669"/>
        <s v="WF1751222"/>
        <s v="WF1751205"/>
        <s v="WF1751144"/>
        <s v="WF1751204"/>
        <s v="WF1751231"/>
        <s v="WF1751236"/>
        <s v="WF1751133"/>
        <s v="WF1751246"/>
        <s v="WF1751267"/>
        <s v="WF1751250"/>
        <s v="WF1751244"/>
        <s v="WF1751253"/>
        <s v="WF1751255"/>
        <s v="WF1751258"/>
        <s v="WF1751260"/>
        <s v="WF1751263"/>
        <s v="WF1752607"/>
        <s v="WF1751270"/>
        <s v="WF1751293"/>
        <s v="WF1751310"/>
        <s v="WF1751996"/>
        <s v="WF1751991"/>
        <s v="WF1751976"/>
        <s v="WF1752083"/>
        <s v="WF1751974"/>
        <s v="WF1752117"/>
        <s v="WF1752089"/>
        <s v="WF1753559"/>
        <s v="WF1754205"/>
        <s v="WF1755425"/>
        <s v="WF1755461"/>
        <s v="WF1756153"/>
        <s v="WF1756385"/>
        <s v="WF1756796"/>
        <s v="WF1756795"/>
        <s v="WF1756798"/>
        <s v="WF1756782"/>
        <s v="WF1756814"/>
        <s v="WF1756800"/>
        <s v="WF1756603"/>
        <s v="WF1757184"/>
        <s v="WF1757179"/>
        <s v="WF1757153"/>
        <s v="WF1757167"/>
        <s v="WF1757140"/>
        <s v="WF1757224"/>
        <s v="WF1757819"/>
        <s v="WF1757818"/>
        <s v="WF1757866"/>
        <s v="WF1758721"/>
        <s v="WF1757806"/>
        <s v="WF1757799"/>
        <s v="WF1757815"/>
        <s v="WF1757835"/>
        <s v="WF1757847"/>
        <s v="WF1757849"/>
        <s v="WF1757850"/>
        <s v="WF1757861"/>
        <s v="WF1757859"/>
        <s v="WF1757856"/>
        <s v="WF1757853"/>
        <s v="WF1757855"/>
        <s v="WF1757876"/>
        <s v="WF1757883"/>
        <s v="WF1757880"/>
        <s v="WF1757878"/>
        <s v="WF1757841"/>
        <s v="WF1759194"/>
        <s v="WF1759378"/>
        <s v="WF1759943"/>
        <s v="WF1760055"/>
        <s v="WF1760037"/>
        <s v="WF1760035"/>
        <s v="WF1760605"/>
        <s v="WF1760609"/>
        <s v="WF1760611"/>
        <s v="WF1760855"/>
        <s v="WF1760784"/>
        <s v="WF1760617"/>
        <s v="WF1760520"/>
        <s v="WF1761226"/>
        <s v="WF1762157"/>
        <s v="WF1762078"/>
        <s v="WF1762133"/>
        <s v="WF1761987"/>
        <s v="WF1762112"/>
        <s v="WF1761923"/>
        <s v="WF1762111"/>
        <s v="WF1763017"/>
        <s v="WF1762796"/>
        <s v="WF1762777"/>
        <s v="WF1762944"/>
        <s v="WF1762941"/>
        <s v="WF1762945"/>
        <s v="WF1762885"/>
        <s v="WF1762887"/>
        <s v="WF1762947"/>
        <s v="WF1763020"/>
        <s v="WF1763630"/>
        <s v="WF1763566"/>
        <s v="WF1763481"/>
        <s v="WF1763609"/>
        <s v="WF1764090"/>
        <s v="WF1764092"/>
        <s v="WF1764099"/>
        <s v="WF1764182"/>
        <s v="WF1764230"/>
        <s v="WF1764231"/>
        <s v="WF1764238"/>
        <s v="WF1764643"/>
        <s v="WF1764639"/>
        <s v="WF1764572"/>
        <s v="WF1765269"/>
        <s v="WF1765360"/>
        <s v="WF1765254"/>
        <s v="WF1765136"/>
        <s v="WF1765234"/>
        <s v="WF1765333"/>
        <s v="WF1765340"/>
        <s v="WF1765915"/>
        <s v="WF1765921"/>
        <s v="WF1766499"/>
        <s v="WF1766612"/>
        <s v="WF1766476"/>
        <s v="WF1767147"/>
        <s v="WF1767159"/>
        <s v="WF1767157"/>
        <s v="WF1766987"/>
        <s v="WF1767025"/>
        <s v="WF1767217"/>
        <s v="WF1767216"/>
        <s v="WF1767100"/>
        <s v="WF1767579"/>
        <s v="WF1767492"/>
        <s v="WF1767468"/>
        <s v="WF1768370"/>
        <s v="WF1769097"/>
        <s v="WF1769099"/>
        <s v="WF1769103"/>
        <s v="WF1769567"/>
        <s v="WF1769697"/>
        <s v="WF1770319"/>
        <s v="WF1771689"/>
        <s v="WF1771711"/>
        <s v="WF1771712"/>
        <s v="WF1772295"/>
        <s v="WF1772317"/>
        <s v="WF1773191"/>
        <s v="WF1774444"/>
        <s v="WF1774367"/>
        <s v="WF1774370"/>
        <s v="WF1774331"/>
        <s v="WF1775167"/>
        <s v="WF1775101"/>
        <s v="WF1775052"/>
        <s v="WF1775087"/>
        <s v="WF1775291"/>
        <s v="WF1775784"/>
        <s v="WF1775909"/>
        <s v="WF1775912"/>
        <s v="WF1775913"/>
        <s v="WF1775950"/>
        <s v="WF1775782"/>
        <s v="WF1775901"/>
        <s v="WF1775890"/>
        <s v="WF1775947"/>
        <s v="WF1776319"/>
        <s v="WF1776454"/>
        <s v="WF1776233"/>
        <s v="WF1776452"/>
        <s v="WF1776468"/>
        <s v="WF1776462"/>
        <s v="WF1777034"/>
        <s v="WF1776983"/>
        <s v="WF1776893"/>
        <s v="WF1777092"/>
        <s v="WF1777247"/>
        <s v="WF1776965"/>
        <s v="WF1777059"/>
        <s v="WF1777521"/>
        <s v="WF1777613"/>
        <s v="WF1777619"/>
        <s v="WF1778438"/>
        <s v="WF1778331"/>
        <s v="WF1778342"/>
        <s v="WF1778288"/>
        <s v="WF1778302"/>
        <s v="WF1778312"/>
        <s v="WF1778278"/>
        <s v="WF1779134"/>
        <s v="WF1779165"/>
        <s v="WF1779166"/>
        <s v="WF1779138"/>
        <s v="WF1779746"/>
        <s v="WF1779671"/>
        <s v="WF1779672"/>
        <s v="WF1779687"/>
        <s v="WF1779839"/>
        <s v="WF1779843"/>
        <s v="WF1779840"/>
        <s v="WF1780475"/>
        <s v="WF1780466"/>
        <s v="WF1780471"/>
        <s v="WF1780880"/>
        <s v="WF1780890"/>
        <s v="WF1780874"/>
        <s v="WF1781142"/>
        <s v="WF1781872"/>
        <s v="WF1781856"/>
        <s v="WF1781485"/>
        <s v="WF1781932"/>
        <s v="WF1782397"/>
        <s v="WF1782400"/>
        <s v="WF1782413"/>
        <s v="WF1782615"/>
        <s v="WF1783156"/>
        <s v="WF1783445"/>
        <s v="WF1783949"/>
        <s v="WF1784326"/>
        <s v="WF1785225"/>
        <s v="WF1784934"/>
        <s v="WF1785827"/>
        <s v="WF1785844"/>
        <s v="WF1785760"/>
        <s v="WF1785862"/>
        <s v="WF1786267"/>
        <s v="WF1786489"/>
        <s v="WF1786367"/>
        <s v="WF1786486"/>
        <s v="WF1787112"/>
        <s v="WF1787249"/>
        <s v="WF1787231"/>
        <s v="WF1786894"/>
        <s v="WF1787624"/>
        <s v="WF1787536"/>
        <s v="WF1787873"/>
        <s v="WF1787889"/>
        <s v="WF1788498"/>
        <s v="WF1788202"/>
        <s v="WF1788225"/>
        <s v="WF1789259"/>
        <s v="WF1789252"/>
        <s v="WF1789256"/>
        <s v="WF1789752"/>
        <s v="WF1790024"/>
        <s v="WF1789788"/>
        <s v="WF1790023"/>
        <s v="WF1789889"/>
        <s v="WF1789969"/>
        <s v="WF1789875"/>
        <s v="WF1790513"/>
        <s v="WF1790597"/>
        <s v="WF1790621"/>
        <s v="WF1790543"/>
        <s v="WF1790561"/>
        <s v="WF1790595"/>
        <s v="WF1790575"/>
        <s v="WF1791221"/>
        <s v="WF1791235"/>
        <s v="WF1791372"/>
        <s v="WF1791343"/>
        <s v="WF1791930"/>
        <s v="WF1792125"/>
        <s v="WF1792197"/>
        <s v="WF1792636"/>
        <s v="WF1792667"/>
        <s v="WF1792878"/>
        <s v="WF1793556"/>
        <s v="WF1793610"/>
        <s v="WF1793584"/>
        <s v="WF1793591"/>
        <s v="WF1794049"/>
        <s v="WF1793411"/>
        <s v="WF1793560"/>
        <s v="WF1794223"/>
        <s v="WF1794234"/>
        <s v="WF1794198"/>
        <s v="WF1794239"/>
        <s v="WF1794098"/>
        <s v="WF1794091"/>
        <s v="WF1794690"/>
        <s v="WF1796023"/>
        <s v="WF1795898"/>
        <s v="WF1795795"/>
        <s v="WF1795911"/>
        <s v="WF1795964"/>
        <s v="WF1795986"/>
        <s v="WF1795965"/>
        <s v="WF1796648"/>
        <s v="WF1796616"/>
        <s v="WF1796617"/>
        <s v="WF1796605"/>
        <s v="WF1796649"/>
        <s v="WF1797106"/>
        <s v="WF1797033"/>
        <s v="WF1797108"/>
        <s v="WF1797190"/>
        <s v="WF1798395"/>
        <s v="WF1799079"/>
        <s v="WF1799173"/>
        <s v="WF1799067"/>
        <s v="WF1799011"/>
        <s v="WF1799816"/>
        <s v="WF1801057"/>
        <s v="WF1801061"/>
        <s v="WF1800943"/>
        <s v="WF1800951"/>
        <s v="WF1801632"/>
        <s v="WF1802028"/>
        <s v="WF1801750"/>
        <s v="WF1801636"/>
        <s v="WF1802767"/>
        <s v="WF1802512"/>
        <s v="WF1802529"/>
        <s v="WF1802550"/>
        <s v="WF1802551"/>
        <s v="WF1802521"/>
        <s v="WF1803218"/>
        <s v="WF1803392"/>
        <s v="WF1803393"/>
        <s v="WF1803394"/>
        <s v="WF1803400"/>
        <s v="WF1803401"/>
        <s v="WF1803903"/>
        <s v="WF1803920"/>
        <s v="WF1803907"/>
        <s v="WF1792804"/>
        <s v="WF1804277"/>
        <s v="WF1804422"/>
        <s v="WF1804434"/>
        <s v="WF1805051"/>
        <s v="WF1805069"/>
        <s v="WF1805075"/>
        <s v="WF1805186"/>
        <s v="WF1805305"/>
        <s v="WF1805115"/>
        <s v="WF1805700"/>
        <s v="WF1805991"/>
        <s v="WF1806568"/>
        <s v="WF1806642"/>
        <s v="WF1806459"/>
        <s v="WF1806481"/>
        <s v="WF1807077"/>
        <s v="WF1807192"/>
        <s v="WF1807719"/>
        <s v="WF1808503"/>
        <s v="WF1809205"/>
        <s v="WF1809914"/>
        <s v="WF1810047"/>
        <s v="WF1810046"/>
        <s v="WF1810695"/>
        <s v="WF1812135"/>
        <s v="WF1812731"/>
        <s v="WF1812732"/>
        <s v="WF1813531"/>
        <s v="WF1814100"/>
        <s v="WF1814234"/>
        <s v="WF1814058"/>
        <s v="WF1814064"/>
        <s v="WF1814275"/>
        <s v="WF1824746"/>
        <s v="WF1814660"/>
        <s v="WF1815036"/>
        <s v="WF1815037"/>
        <s v="WF1815038"/>
        <s v="WF1815539"/>
        <s v="WF1815649"/>
        <s v="WF1815705"/>
        <s v="WF1815776"/>
        <s v="WF1815825"/>
        <s v="WF1815896"/>
        <s v="WF1815786"/>
        <s v="WF1816679"/>
        <s v="WF1816745"/>
        <s v="WF1816621"/>
        <s v="WF1817227"/>
        <s v="WF1817252"/>
        <s v="WF1817258"/>
        <s v="WF1817340"/>
        <s v="WF1817261"/>
        <s v="WF1818518"/>
        <s v="WF1818758"/>
        <s v="WF1818759"/>
        <s v="WF1824935"/>
        <s v="WF1826493"/>
        <s v="WF1818845"/>
        <s v="WF1819210"/>
        <s v="WF1819217"/>
        <s v="WF1819309"/>
        <s v="WF1819270"/>
        <s v="WF1819360"/>
        <s v="WF1819957"/>
        <s v="WF1819819"/>
        <s v="WF1826414"/>
        <s v="WF1824999"/>
        <s v="WF1824004"/>
        <s v="WF1818756"/>
        <s v="WF1820447"/>
        <s v="WF1820356"/>
        <s v="WF1820504"/>
        <s v="WF1820617"/>
        <s v="WF1820616"/>
        <s v="WF1820618"/>
        <s v="WF1820647"/>
        <s v="WF1821083"/>
        <s v="_x000a_WF1819916"/>
        <s v="WF1826405"/>
        <s v="WF1826375"/>
        <s v="WF1818757"/>
        <s v="WF1819790"/>
        <s v="WF1821739"/>
        <s v="WF1819796"/>
        <s v="WF1821248"/>
        <s v="WF1819913"/>
        <s v="WF1821779"/>
        <s v="WF1821837"/>
        <s v="WF1821894"/>
        <s v="WF1821773"/>
        <s v="WF1821845"/>
        <s v="WF1823455"/>
        <s v="WF1822810"/>
        <s v="WF1823506"/>
        <s v="WF1821913"/>
        <s v="WF1823416"/>
        <s v="WF1822717"/>
        <s v="WF1824795"/>
        <s v="WF1824197"/>
        <s v="WF1823513"/>
        <s v="WF1824061"/>
        <s v="WF1822807"/>
        <s v="WF1821726"/>
        <s v="WF1821729"/>
        <s v="WF1824062"/>
        <s v="WF1821822"/>
        <s v="WF1826241"/>
        <s v="WF1824056"/>
        <s v="WF1824946"/>
        <s v="WF1824069"/>
        <s v="WF1824080"/>
        <s v="WF1824039"/>
        <s v="WF1824081"/>
        <s v="WF1824092"/>
        <s v="WF1825519"/>
        <s v="WF1822560"/>
        <s v="WF1825447"/>
        <s v="WF1825521"/>
        <s v="WF1825523"/>
        <s v="WF1826494"/>
        <s v="WF1826955"/>
        <s v="WF1827035"/>
        <s v="WF1827053"/>
        <s v="WF1827055"/>
        <s v="WF1827056"/>
        <s v="WF1827367"/>
        <s v="WF1826982"/>
        <s v="WF1823503"/>
        <s v="WF1823970"/>
        <s v="WF1827051"/>
        <s v="WF1827086"/>
        <s v="WF1827137"/>
        <s v="WF1827155"/>
        <s v="WF1827802"/>
        <s v="WF1827869"/>
        <s v="WF1827690"/>
        <s v="WF1827854"/>
        <s v="WF1828546"/>
        <s v="WF1828531"/>
        <s v="WF1828484"/>
        <s v="WF1828567"/>
        <s v="WF1829111"/>
        <s v="WF1828953"/>
        <s v="WF1828955"/>
        <s v="WF1829706"/>
        <s v="WF1829894"/>
        <s v="WF1829949"/>
        <s v="WF1829991"/>
        <s v="WF1830011"/>
        <s v="WF1830426"/>
        <s v="WF1830735"/>
        <s v="WF1830767"/>
        <s v="WF1830775"/>
        <s v="WF1830776"/>
        <s v="WF1831159"/>
        <s v="WF1831181"/>
        <s v="WF1832012"/>
        <s v="WF1832207"/>
        <s v="WF1832094"/>
        <s v="WF1832497"/>
        <s v="WF1832514"/>
        <s v="WF1832093"/>
        <s v="WF1832507"/>
        <s v="WF1832582"/>
        <s v="WF1832612"/>
        <s v="WF1832617"/>
        <s v="WF1832636"/>
        <s v="WF1832921"/>
        <s v="WF1833232"/>
        <s v="WF1833299"/>
        <s v="WF1833724"/>
        <s v="WF1833904"/>
        <s v="WF1834048"/>
        <m u="1"/>
        <s v="WF1828358" u="1"/>
        <s v="WF1817257" u="1"/>
        <s v="_x000a_WF1818756" u="1"/>
        <s v="WF1779796" u="1"/>
      </sharedItems>
    </cacheField>
    <cacheField name="Class" numFmtId="0">
      <sharedItems containsBlank="1" count="9">
        <s v="Elec"/>
        <s v="Mech"/>
        <s v="See3D"/>
        <m u="1"/>
        <s v="MEech" u="1"/>
        <s v="A" u="1"/>
        <s v="=Filters!B35/" u="1"/>
        <s v="SPECIAL" u="1"/>
        <s v="Mecch" u="1"/>
      </sharedItems>
    </cacheField>
    <cacheField name="Type" numFmtId="0">
      <sharedItems containsBlank="1" count="6">
        <s v="MAKE"/>
        <s v="BUY"/>
        <s v="CNG-BOM"/>
        <s v="OBS"/>
        <m u="1"/>
        <s v="Make " u="1"/>
      </sharedItems>
    </cacheField>
    <cacheField name="Special Paint" numFmtId="0">
      <sharedItems/>
    </cacheField>
    <cacheField name="CPD" numFmtId="0">
      <sharedItems containsDate="1" containsBlank="1" containsMixedTypes="1" minDate="2025-01-05T00:00:00" maxDate="2039-12-24T00:00:00"/>
    </cacheField>
    <cacheField name="Pre RM Opening Time" numFmtId="0">
      <sharedItems containsSemiMixedTypes="0" containsString="0" containsNumber="1" containsInteger="1" minValue="-234" maxValue="96"/>
    </cacheField>
    <cacheField name="Start date" numFmtId="0">
      <sharedItems containsSemiMixedTypes="0" containsNonDate="0" containsDate="1" containsString="0" minDate="2024-10-14T00:00:00" maxDate="2026-03-28T00:00:00"/>
    </cacheField>
    <cacheField name="Due date" numFmtId="0">
      <sharedItems containsSemiMixedTypes="0" containsNonDate="0" containsDate="1" containsString="0" minDate="2024-10-21T00:00:00" maxDate="2026-03-31T00:00:00"/>
    </cacheField>
    <cacheField name="Completion Date" numFmtId="0">
      <sharedItems containsNonDate="0" containsDate="1" containsString="0" containsBlank="1" minDate="2024-11-04T00:00:00" maxDate="2026-03-28T00:00:00"/>
    </cacheField>
    <cacheField name="Competion Date Content" numFmtId="0">
      <sharedItems/>
    </cacheField>
    <cacheField name="Start Date [Month and Year]" numFmtId="14">
      <sharedItems count="29">
        <s v="Oct-2024"/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  <s v="Jan-2026"/>
        <s v="Feb-2026"/>
        <s v="Mar-2026"/>
        <s v="oct-yyyy" u="1"/>
        <s v="ene-yyyy" u="1"/>
        <s v="feb-yyyy" u="1"/>
        <s v="mar-yyyy" u="1"/>
        <s v="abr-yyyy" u="1"/>
        <s v="may-yyyy" u="1"/>
        <s v="jun-yyyy" u="1"/>
        <s v="jul-yyyy" u="1"/>
        <s v="ago-yyyy" u="1"/>
        <s v="sep-yyyy" u="1"/>
        <s v="nov-yyyy" u="1"/>
        <s v="dic-yyyy" u="1"/>
        <s v="Jan-1900" u="1"/>
      </sharedItems>
    </cacheField>
    <cacheField name="Old vs New Order Lead Time WF dead line" numFmtId="0">
      <sharedItems containsSemiMixedTypes="0" containsString="0" containsNumber="1" containsInteger="1" minValue="5" maxValue="10"/>
    </cacheField>
    <cacheField name="Completion Days Template" numFmtId="0">
      <sharedItems containsSemiMixedTypes="0" containsString="0" containsNumber="1" containsInteger="1" minValue="-18" maxValue="29"/>
    </cacheField>
    <cacheField name="Active Time" numFmtId="0">
      <sharedItems containsSemiMixedTypes="0" containsString="0" containsNumber="1" containsInteger="1" minValue="-17" maxValue="86"/>
    </cacheField>
    <cacheField name="Overdue Time [Expected-Completion]" numFmtId="0">
      <sharedItems containsSemiMixedTypes="0" containsString="0" containsNumber="1" containsInteger="1" minValue="-15" maxValue="32908" count="119">
        <n v="10"/>
        <n v="4"/>
        <n v="27"/>
        <n v="5"/>
        <n v="3"/>
        <n v="-2"/>
        <n v="1"/>
        <n v="8"/>
        <n v="6"/>
        <n v="0"/>
        <n v="-8"/>
        <n v="-1"/>
        <n v="2"/>
        <n v="7"/>
        <n v="-4"/>
        <n v="-9"/>
        <n v="-3"/>
        <n v="9"/>
        <n v="17"/>
        <n v="42"/>
        <n v="14"/>
        <n v="11"/>
        <n v="13"/>
        <n v="-5"/>
        <n v="-6"/>
        <n v="-7"/>
        <n v="12"/>
        <n v="15"/>
        <n v="19"/>
        <n v="-10"/>
        <n v="79"/>
        <n v="57"/>
        <n v="55"/>
        <n v="-11"/>
        <n v="26"/>
        <n v="20"/>
        <n v="16"/>
        <n v="78" u="1"/>
        <n v="56" u="1"/>
        <n v="54" u="1"/>
        <n v="77" u="1"/>
        <n v="53" u="1"/>
        <n v="75" u="1"/>
        <n v="51" u="1"/>
        <n v="74" u="1"/>
        <n v="52" u="1"/>
        <n v="50" u="1"/>
        <n v="32908" u="1"/>
        <n v="73" u="1"/>
        <n v="49" u="1"/>
        <n v="32907" u="1"/>
        <n v="72" u="1"/>
        <n v="48" u="1"/>
        <n v="25" u="1"/>
        <n v="71" u="1"/>
        <n v="47" u="1"/>
        <n v="24" u="1"/>
        <n v="32905" u="1"/>
        <n v="70" u="1"/>
        <n v="46" u="1"/>
        <n v="23" u="1"/>
        <n v="32904" u="1"/>
        <n v="69" u="1"/>
        <n v="45" u="1"/>
        <n v="22" u="1"/>
        <n v="68" u="1"/>
        <n v="44" u="1"/>
        <n v="21" u="1"/>
        <n v="28" u="1"/>
        <n v="67" u="1"/>
        <n v="43" u="1"/>
        <n v="66" u="1"/>
        <n v="65" u="1"/>
        <n v="41" u="1"/>
        <n v="18" u="1"/>
        <n v="32899" u="1"/>
        <n v="64" u="1"/>
        <n v="40" u="1"/>
        <n v="63" u="1"/>
        <n v="39" u="1"/>
        <n v="62" u="1"/>
        <n v="38" u="1"/>
        <n v="61" u="1"/>
        <n v="37" u="1"/>
        <n v="60" u="1"/>
        <n v="36" u="1"/>
        <n v="32894" u="1"/>
        <n v="59" u="1"/>
        <n v="35" u="1"/>
        <n v="32893" u="1"/>
        <n v="58" u="1"/>
        <n v="34" u="1"/>
        <n v="32892" u="1"/>
        <n v="33" u="1"/>
        <n v="32891" u="1"/>
        <n v="32" u="1"/>
        <n v="32890" u="1"/>
        <n v="31" u="1"/>
        <n v="32889" u="1"/>
        <n v="30" u="1"/>
        <n v="32888" u="1"/>
        <n v="29" u="1"/>
        <n v="32884" u="1"/>
        <n v="32875" u="1"/>
        <n v="32874" u="1"/>
        <n v="32873" u="1"/>
        <n v="32872" u="1"/>
        <n v="32871" u="1"/>
        <n v="32870" u="1"/>
        <n v="32869" u="1"/>
        <n v="32868" u="1"/>
        <n v="32867" u="1"/>
        <n v="32866" u="1"/>
        <n v="-12" u="1"/>
        <n v="32865" u="1"/>
        <n v="-13" u="1"/>
        <n v="-14" u="1"/>
        <n v="-15" u="1"/>
        <n v="32862" u="1"/>
      </sharedItems>
    </cacheField>
    <cacheField name="Classification not considering 15+ days" numFmtId="0">
      <sharedItems/>
    </cacheField>
    <cacheField name="Classification [Completion-Due Date]" numFmtId="0">
      <sharedItems count="5">
        <s v="LATE"/>
        <s v="SUPER LATE"/>
        <s v="ON TIME"/>
        <e v="#REF!" u="1"/>
        <e v="#VALUE!" u="1"/>
      </sharedItems>
    </cacheField>
    <cacheField name="WF SUBMITTAL [RM&lt;5/10 DAYS]" numFmtId="0">
      <sharedItems count="2">
        <s v="ON TIME BY ENG"/>
        <s v="LATE BY ENG"/>
      </sharedItems>
    </cacheField>
    <cacheField name="Reason For Late WF Submital by Eng" numFmtId="0">
      <sharedItems containsBlank="1"/>
    </cacheField>
    <cacheField name="Status" numFmtId="0">
      <sharedItems containsBlank="1" count="4">
        <s v="C"/>
        <s v="X"/>
        <s v="I"/>
        <m u="1"/>
      </sharedItems>
    </cacheField>
    <cacheField name="Impact Time Post RM" numFmtId="0">
      <sharedItems containsSemiMixedTypes="0" containsString="0" containsNumber="1" containsInteger="1" minValue="-83" maxValue="238"/>
    </cacheField>
    <cacheField name="Impacted Post RM" numFmtId="0">
      <sharedItems count="2">
        <s v="NOT IMPACTED"/>
        <s v="IMPACTED"/>
      </sharedItems>
    </cacheField>
    <cacheField name="Re-Worked WF Active Time" numFmtId="0">
      <sharedItems containsNonDate="0" containsString="0" containsBlank="1"/>
    </cacheField>
    <cacheField name="Cancelation Cause" numFmtId="49">
      <sharedItems containsBlank="1"/>
    </cacheField>
    <cacheField name="Urgent Closure" numFmtId="0">
      <sharedItems containsMixedTypes="1" containsNumber="1" containsInteger="1" minValue="-27" maxValue="59"/>
    </cacheField>
    <cacheField name="Classification [Completion-RM]" numFmtId="0">
      <sharedItems count="2">
        <s v="ON TIME"/>
        <s v="LATE"/>
      </sharedItems>
    </cacheField>
    <cacheField name="Task responsible" numFmtId="0">
      <sharedItems/>
    </cacheField>
    <cacheField name="Task Number" numFmtId="0">
      <sharedItems containsString="0" containsBlank="1" containsNumber="1" containsInteger="1" minValue="0" maxValue="18"/>
    </cacheField>
    <cacheField name="Completion Forecast" numFmtId="14">
      <sharedItems containsSemiMixedTypes="0" containsNonDate="0" containsDate="1" containsString="0" minDate="2024-10-24T02:21:19" maxDate="2026-03-30T09:58:35"/>
    </cacheField>
    <cacheField name="% Of completion " numFmtId="10">
      <sharedItems containsMixedTypes="1" containsNumber="1" minValue="0" maxValue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 pivotCacheId="13241862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6">
  <r>
    <x v="0"/>
    <s v="0050535728"/>
    <s v="000130"/>
    <s v="0050535728-000130"/>
    <x v="0"/>
    <x v="0"/>
    <m/>
    <s v="AOB"/>
    <s v="OAL"/>
    <x v="0"/>
    <x v="0"/>
    <x v="0"/>
    <s v="ANSI 49"/>
    <d v="2025-06-16T00:00:00"/>
    <n v="90"/>
    <d v="2024-10-14T00:00:00"/>
    <d v="2024-10-21T00:00:00"/>
    <d v="2024-11-04T00:00:00"/>
    <b v="0"/>
    <x v="0"/>
    <n v="5"/>
    <n v="6"/>
    <n v="16"/>
    <x v="0"/>
    <s v="LATE"/>
    <x v="0"/>
    <x v="0"/>
    <m/>
    <x v="0"/>
    <n v="-73"/>
    <x v="0"/>
    <m/>
    <m/>
    <s v="Closed"/>
    <x v="0"/>
    <s v="NA"/>
    <n v="18"/>
    <d v="2024-10-24T02:21:19"/>
    <n v="1"/>
    <m/>
  </r>
  <r>
    <x v="0"/>
    <s v="0050754152"/>
    <s v="000090"/>
    <s v="0050754152-000090"/>
    <x v="1"/>
    <x v="1"/>
    <m/>
    <s v="JTV"/>
    <s v="LDT"/>
    <x v="1"/>
    <x v="1"/>
    <x v="0"/>
    <s v="ANSI 49"/>
    <d v="2025-09-22T00:00:00"/>
    <n v="21"/>
    <d v="2025-01-20T00:00:00"/>
    <d v="2025-01-29T00:00:00"/>
    <d v="2025-02-05T00:00:00"/>
    <b v="0"/>
    <x v="1"/>
    <n v="5"/>
    <n v="8"/>
    <n v="12"/>
    <x v="1"/>
    <s v="LATE"/>
    <x v="0"/>
    <x v="0"/>
    <m/>
    <x v="0"/>
    <n v="-9"/>
    <x v="0"/>
    <m/>
    <m/>
    <s v="Closed"/>
    <x v="0"/>
    <s v="NA"/>
    <n v="18"/>
    <d v="2025-02-01T02:21:19"/>
    <n v="1"/>
    <m/>
  </r>
  <r>
    <x v="0"/>
    <s v="0050754152"/>
    <s v="000090"/>
    <s v="0050754152-000090"/>
    <x v="1"/>
    <x v="1"/>
    <m/>
    <s v="JTV"/>
    <s v="LDT"/>
    <x v="2"/>
    <x v="1"/>
    <x v="0"/>
    <s v="ANSI 49"/>
    <d v="2025-09-22T00:00:00"/>
    <n v="21"/>
    <d v="2025-01-20T00:00:00"/>
    <d v="2025-01-29T00:00:00"/>
    <d v="2025-02-05T00:00:00"/>
    <b v="0"/>
    <x v="1"/>
    <n v="5"/>
    <n v="8"/>
    <n v="12"/>
    <x v="1"/>
    <s v="LATE"/>
    <x v="0"/>
    <x v="0"/>
    <m/>
    <x v="0"/>
    <n v="-9"/>
    <x v="0"/>
    <m/>
    <m/>
    <s v="Closed"/>
    <x v="0"/>
    <s v="NA"/>
    <n v="18"/>
    <d v="2025-02-01T02:21:19"/>
    <n v="1"/>
    <m/>
  </r>
  <r>
    <x v="0"/>
    <s v="0050754152"/>
    <s v="000090"/>
    <s v="0050754152-000090"/>
    <x v="1"/>
    <x v="1"/>
    <m/>
    <s v="JTV"/>
    <s v="LDT"/>
    <x v="3"/>
    <x v="1"/>
    <x v="0"/>
    <s v="ANSI 49"/>
    <d v="2025-09-22T00:00:00"/>
    <n v="21"/>
    <d v="2025-01-20T00:00:00"/>
    <d v="2025-01-29T00:00:00"/>
    <d v="2025-02-05T00:00:00"/>
    <b v="0"/>
    <x v="1"/>
    <n v="5"/>
    <n v="8"/>
    <n v="12"/>
    <x v="1"/>
    <s v="LATE"/>
    <x v="0"/>
    <x v="0"/>
    <m/>
    <x v="0"/>
    <n v="-9"/>
    <x v="0"/>
    <m/>
    <m/>
    <s v="Closed"/>
    <x v="0"/>
    <s v="NA"/>
    <n v="18"/>
    <d v="2025-02-01T02:21:19"/>
    <n v="1"/>
    <m/>
  </r>
  <r>
    <x v="0"/>
    <s v="0050529183"/>
    <s v="000460"/>
    <s v="0050529183-000460"/>
    <x v="2"/>
    <x v="2"/>
    <m/>
    <s v="AOB"/>
    <s v="DPM"/>
    <x v="4"/>
    <x v="0"/>
    <x v="1"/>
    <s v="MISAWA"/>
    <d v="2025-09-15T00:00:00"/>
    <n v="27"/>
    <d v="2025-01-20T00:00:00"/>
    <d v="2025-01-30T00:00:00"/>
    <d v="2025-03-11T00:00:00"/>
    <b v="0"/>
    <x v="1"/>
    <n v="5"/>
    <n v="9"/>
    <n v="36"/>
    <x v="2"/>
    <s v="LATE"/>
    <x v="1"/>
    <x v="0"/>
    <m/>
    <x v="0"/>
    <n v="11"/>
    <x v="1"/>
    <m/>
    <m/>
    <s v="Closed"/>
    <x v="1"/>
    <s v="NA"/>
    <n v="17"/>
    <d v="2025-01-30T09:58:35"/>
    <n v="1"/>
    <m/>
  </r>
  <r>
    <x v="0"/>
    <s v="0050754152"/>
    <s v="000090"/>
    <s v="0050754152-000090"/>
    <x v="1"/>
    <x v="1"/>
    <m/>
    <s v="JTV"/>
    <s v="LDT"/>
    <x v="5"/>
    <x v="1"/>
    <x v="0"/>
    <s v="ANSI 49"/>
    <d v="2025-09-22T00:00:00"/>
    <n v="20"/>
    <d v="2025-01-21T00:00:00"/>
    <d v="2025-01-28T00:00:00"/>
    <d v="2025-02-05T00:00:00"/>
    <b v="0"/>
    <x v="1"/>
    <n v="5"/>
    <n v="6"/>
    <n v="11"/>
    <x v="3"/>
    <s v="LATE"/>
    <x v="0"/>
    <x v="0"/>
    <m/>
    <x v="0"/>
    <n v="-9"/>
    <x v="0"/>
    <m/>
    <m/>
    <s v="Closed"/>
    <x v="0"/>
    <s v="NA"/>
    <n v="18"/>
    <d v="2025-01-31T02:21:19"/>
    <n v="1"/>
    <m/>
  </r>
  <r>
    <x v="0"/>
    <s v="0050754152"/>
    <s v="000090"/>
    <s v="0050754152-000090"/>
    <x v="1"/>
    <x v="1"/>
    <m/>
    <s v="JTV"/>
    <s v="LDT"/>
    <x v="6"/>
    <x v="1"/>
    <x v="0"/>
    <s v="ANSI 49"/>
    <d v="2025-09-22T00:00:00"/>
    <n v="20"/>
    <d v="2025-01-21T00:00:00"/>
    <d v="2025-01-28T00:00:00"/>
    <d v="2025-01-31T00:00:00"/>
    <b v="0"/>
    <x v="1"/>
    <n v="5"/>
    <n v="6"/>
    <n v="9"/>
    <x v="4"/>
    <s v="LATE"/>
    <x v="0"/>
    <x v="0"/>
    <m/>
    <x v="0"/>
    <n v="-11"/>
    <x v="0"/>
    <m/>
    <m/>
    <s v="Closed"/>
    <x v="0"/>
    <s v="NA"/>
    <n v="18"/>
    <d v="2025-01-31T02:21:19"/>
    <n v="1"/>
    <m/>
  </r>
  <r>
    <x v="0"/>
    <s v="0050754152"/>
    <s v="000090"/>
    <s v="0050754152-000090"/>
    <x v="1"/>
    <x v="1"/>
    <m/>
    <s v="JTV"/>
    <s v="LDT"/>
    <x v="7"/>
    <x v="1"/>
    <x v="1"/>
    <s v="ANSI 49"/>
    <d v="2025-09-22T00:00:00"/>
    <n v="20"/>
    <d v="2025-01-21T00:00:00"/>
    <d v="2025-01-31T00:00:00"/>
    <d v="2025-01-29T00:00:00"/>
    <b v="0"/>
    <x v="1"/>
    <n v="5"/>
    <n v="9"/>
    <n v="7"/>
    <x v="5"/>
    <s v="ON TIME"/>
    <x v="2"/>
    <x v="0"/>
    <m/>
    <x v="0"/>
    <n v="-13"/>
    <x v="0"/>
    <m/>
    <m/>
    <s v="Closed"/>
    <x v="0"/>
    <s v="NA"/>
    <n v="17"/>
    <d v="2025-01-31T09:58:35"/>
    <n v="1"/>
    <m/>
  </r>
  <r>
    <x v="0"/>
    <s v="0050754152"/>
    <s v="000090"/>
    <s v="0050754152-000090"/>
    <x v="1"/>
    <x v="1"/>
    <m/>
    <s v="JTV"/>
    <s v="LDT"/>
    <x v="8"/>
    <x v="0"/>
    <x v="1"/>
    <s v="ANSI 49"/>
    <d v="2025-09-22T00:00:00"/>
    <n v="19"/>
    <d v="2025-01-22T00:00:00"/>
    <d v="2025-02-03T00:00:00"/>
    <d v="2025-02-05T00:00:00"/>
    <b v="0"/>
    <x v="1"/>
    <n v="5"/>
    <n v="9"/>
    <n v="10"/>
    <x v="6"/>
    <s v="LATE"/>
    <x v="0"/>
    <x v="0"/>
    <m/>
    <x v="0"/>
    <n v="-9"/>
    <x v="0"/>
    <m/>
    <m/>
    <s v="Closed"/>
    <x v="0"/>
    <s v="NA"/>
    <n v="17"/>
    <d v="2025-02-03T09:58:35"/>
    <n v="1"/>
    <m/>
  </r>
  <r>
    <x v="0"/>
    <s v="0051035283"/>
    <s v="0000010&amp;0000050"/>
    <s v="0051035283-0000010&amp;0000050"/>
    <x v="3"/>
    <x v="3"/>
    <m/>
    <s v="LGS"/>
    <s v="OAL"/>
    <x v="9"/>
    <x v="0"/>
    <x v="0"/>
    <s v="ANSI 49"/>
    <d v="2025-06-27T00:00:00"/>
    <n v="8"/>
    <d v="2025-02-12T00:00:00"/>
    <d v="2025-02-20T00:00:00"/>
    <d v="2025-03-04T00:00:00"/>
    <b v="0"/>
    <x v="2"/>
    <n v="5"/>
    <n v="7"/>
    <n v="15"/>
    <x v="7"/>
    <s v="LATE"/>
    <x v="0"/>
    <x v="0"/>
    <m/>
    <x v="0"/>
    <n v="8"/>
    <x v="1"/>
    <m/>
    <m/>
    <s v="Closed"/>
    <x v="1"/>
    <s v="NA"/>
    <n v="18"/>
    <d v="2025-02-23T02:21:19"/>
    <n v="1"/>
    <m/>
  </r>
  <r>
    <x v="0"/>
    <s v="0051035283"/>
    <s v="0000010&amp;0000050"/>
    <s v="0051035283-0000010&amp;0000050"/>
    <x v="3"/>
    <x v="3"/>
    <m/>
    <s v="LGS"/>
    <s v="OAL"/>
    <x v="10"/>
    <x v="0"/>
    <x v="0"/>
    <s v="ANSI 49"/>
    <d v="2025-06-27T00:00:00"/>
    <n v="5"/>
    <d v="2025-02-17T00:00:00"/>
    <d v="2025-02-24T00:00:00"/>
    <d v="2025-03-04T00:00:00"/>
    <b v="0"/>
    <x v="2"/>
    <n v="5"/>
    <n v="6"/>
    <n v="12"/>
    <x v="8"/>
    <s v="LATE"/>
    <x v="0"/>
    <x v="0"/>
    <m/>
    <x v="0"/>
    <n v="8"/>
    <x v="1"/>
    <m/>
    <m/>
    <s v="Closed"/>
    <x v="1"/>
    <s v="NA"/>
    <n v="18"/>
    <d v="2025-02-27T02:21:19"/>
    <n v="1"/>
    <m/>
  </r>
  <r>
    <x v="0"/>
    <s v="0050255139"/>
    <s v="000780"/>
    <s v="0050255139-000780"/>
    <x v="4"/>
    <x v="4"/>
    <m/>
    <s v="KYC"/>
    <s v="VL"/>
    <x v="11"/>
    <x v="0"/>
    <x v="0"/>
    <s v="ANSI 49"/>
    <d v="2025-10-30T00:00:00"/>
    <n v="20"/>
    <d v="2025-02-17T00:00:00"/>
    <d v="2025-02-24T00:00:00"/>
    <d v="2025-03-04T00:00:00"/>
    <b v="0"/>
    <x v="2"/>
    <n v="5"/>
    <n v="6"/>
    <n v="12"/>
    <x v="8"/>
    <s v="LATE"/>
    <x v="0"/>
    <x v="0"/>
    <m/>
    <x v="0"/>
    <n v="-9"/>
    <x v="0"/>
    <m/>
    <m/>
    <s v="Closed"/>
    <x v="0"/>
    <s v="NA"/>
    <n v="18"/>
    <d v="2025-02-27T02:21:19"/>
    <n v="1"/>
    <m/>
  </r>
  <r>
    <x v="0"/>
    <s v="0051035283"/>
    <s v="0000010&amp;0000050"/>
    <s v="0051035283-0000010&amp;0000050"/>
    <x v="3"/>
    <x v="3"/>
    <m/>
    <s v="LGS"/>
    <s v="OAL"/>
    <x v="12"/>
    <x v="0"/>
    <x v="0"/>
    <s v="ANSI 49"/>
    <d v="2025-06-27T00:00:00"/>
    <n v="3"/>
    <d v="2025-02-19T00:00:00"/>
    <d v="2025-02-26T00:00:00"/>
    <d v="2025-02-27T00:00:00"/>
    <b v="0"/>
    <x v="2"/>
    <n v="5"/>
    <n v="6"/>
    <n v="7"/>
    <x v="6"/>
    <s v="LATE"/>
    <x v="0"/>
    <x v="1"/>
    <m/>
    <x v="0"/>
    <n v="5"/>
    <x v="1"/>
    <m/>
    <m/>
    <s v="Closed"/>
    <x v="1"/>
    <s v="NA"/>
    <n v="18"/>
    <d v="2025-03-01T02:21:19"/>
    <n v="1"/>
    <m/>
  </r>
  <r>
    <x v="0"/>
    <s v="0050206201"/>
    <s v="000160"/>
    <s v="0050206201-000160"/>
    <x v="5"/>
    <x v="5"/>
    <m/>
    <s v="JAM"/>
    <s v="ADL"/>
    <x v="13"/>
    <x v="0"/>
    <x v="0"/>
    <s v="ANSI 49"/>
    <d v="2025-07-30T00:00:00"/>
    <n v="45"/>
    <d v="2025-02-19T00:00:00"/>
    <d v="2025-02-27T00:00:00"/>
    <d v="2025-02-27T00:00:00"/>
    <b v="0"/>
    <x v="2"/>
    <n v="5"/>
    <n v="7"/>
    <n v="7"/>
    <x v="9"/>
    <s v="ON TIME"/>
    <x v="2"/>
    <x v="0"/>
    <m/>
    <x v="0"/>
    <n v="-36"/>
    <x v="0"/>
    <m/>
    <m/>
    <s v="Closed"/>
    <x v="0"/>
    <s v="NA"/>
    <n v="18"/>
    <d v="2025-03-02T02:21:19"/>
    <n v="1"/>
    <m/>
  </r>
  <r>
    <x v="0"/>
    <s v="0050255139"/>
    <s v="000780"/>
    <s v="0050255139-000780"/>
    <x v="4"/>
    <x v="4"/>
    <m/>
    <s v="KYC"/>
    <s v="VL"/>
    <x v="14"/>
    <x v="1"/>
    <x v="0"/>
    <s v="ANSI 49"/>
    <d v="2025-10-30T00:00:00"/>
    <n v="15"/>
    <d v="2025-02-24T00:00:00"/>
    <d v="2025-03-03T00:00:00"/>
    <d v="2025-03-11T00:00:00"/>
    <b v="0"/>
    <x v="2"/>
    <n v="5"/>
    <n v="6"/>
    <n v="12"/>
    <x v="8"/>
    <s v="LATE"/>
    <x v="0"/>
    <x v="0"/>
    <m/>
    <x v="0"/>
    <n v="-4"/>
    <x v="0"/>
    <m/>
    <m/>
    <s v="Closed"/>
    <x v="0"/>
    <s v="NA"/>
    <n v="18"/>
    <d v="2025-03-06T02:21:19"/>
    <n v="1"/>
    <m/>
  </r>
  <r>
    <x v="0"/>
    <s v="0050206201"/>
    <s v="000180"/>
    <s v="0050206201-000180"/>
    <x v="5"/>
    <x v="6"/>
    <m/>
    <s v="MGL"/>
    <s v="KGF"/>
    <x v="15"/>
    <x v="0"/>
    <x v="0"/>
    <s v="ANSI 49"/>
    <d v="2025-08-19T00:00:00"/>
    <n v="37"/>
    <d v="2025-02-24T00:00:00"/>
    <d v="2025-03-03T00:00:00"/>
    <d v="2025-02-27T00:00:00"/>
    <b v="0"/>
    <x v="2"/>
    <n v="5"/>
    <n v="6"/>
    <n v="4"/>
    <x v="5"/>
    <s v="ON TIME"/>
    <x v="2"/>
    <x v="0"/>
    <m/>
    <x v="0"/>
    <n v="-33"/>
    <x v="0"/>
    <m/>
    <m/>
    <s v="Closed"/>
    <x v="0"/>
    <s v="NA"/>
    <n v="18"/>
    <d v="2025-03-06T02:21:19"/>
    <n v="1"/>
    <m/>
  </r>
  <r>
    <x v="0"/>
    <s v="0050206201"/>
    <s v="000180"/>
    <s v="0050206201-000180"/>
    <x v="5"/>
    <x v="6"/>
    <m/>
    <s v="MGL"/>
    <s v="KGF"/>
    <x v="16"/>
    <x v="0"/>
    <x v="0"/>
    <s v="ANSI 49"/>
    <d v="2025-08-19T00:00:00"/>
    <n v="37"/>
    <d v="2025-02-24T00:00:00"/>
    <d v="2025-03-03T00:00:00"/>
    <d v="2025-03-11T00:00:00"/>
    <b v="0"/>
    <x v="2"/>
    <n v="5"/>
    <n v="6"/>
    <n v="12"/>
    <x v="8"/>
    <s v="LATE"/>
    <x v="0"/>
    <x v="0"/>
    <m/>
    <x v="0"/>
    <n v="-25"/>
    <x v="0"/>
    <m/>
    <m/>
    <s v="Closed"/>
    <x v="0"/>
    <s v="NA"/>
    <n v="18"/>
    <d v="2025-03-06T02:21:19"/>
    <n v="1"/>
    <m/>
  </r>
  <r>
    <x v="0"/>
    <s v="0050206201"/>
    <s v="000180"/>
    <s v="0050206201-000180"/>
    <x v="5"/>
    <x v="6"/>
    <m/>
    <s v="MGL"/>
    <s v="KGF"/>
    <x v="17"/>
    <x v="0"/>
    <x v="0"/>
    <s v="ANSI 49"/>
    <d v="2025-08-19T00:00:00"/>
    <n v="37"/>
    <d v="2025-02-24T00:00:00"/>
    <d v="2025-03-03T00:00:00"/>
    <d v="2025-03-11T00:00:00"/>
    <b v="0"/>
    <x v="2"/>
    <n v="5"/>
    <n v="6"/>
    <n v="12"/>
    <x v="8"/>
    <s v="LATE"/>
    <x v="0"/>
    <x v="0"/>
    <m/>
    <x v="0"/>
    <n v="-25"/>
    <x v="0"/>
    <m/>
    <m/>
    <s v="Closed"/>
    <x v="0"/>
    <s v="NA"/>
    <n v="18"/>
    <d v="2025-03-06T02:21:19"/>
    <n v="1"/>
    <m/>
  </r>
  <r>
    <x v="0"/>
    <s v="0050206201"/>
    <s v="000180"/>
    <s v="0050206201-000180"/>
    <x v="5"/>
    <x v="6"/>
    <m/>
    <s v="MGL"/>
    <s v="KGF"/>
    <x v="18"/>
    <x v="0"/>
    <x v="0"/>
    <s v="ANSI 49"/>
    <d v="2025-08-19T00:00:00"/>
    <n v="37"/>
    <d v="2025-02-24T00:00:00"/>
    <d v="2025-03-04T00:00:00"/>
    <d v="2025-03-04T00:00:00"/>
    <b v="0"/>
    <x v="2"/>
    <n v="5"/>
    <n v="7"/>
    <n v="7"/>
    <x v="9"/>
    <s v="ON TIME"/>
    <x v="2"/>
    <x v="0"/>
    <m/>
    <x v="0"/>
    <n v="-30"/>
    <x v="0"/>
    <m/>
    <m/>
    <s v="Closed"/>
    <x v="0"/>
    <s v="NA"/>
    <n v="18"/>
    <d v="2025-03-07T02:21:19"/>
    <n v="1"/>
    <m/>
  </r>
  <r>
    <x v="0"/>
    <s v="0050206201"/>
    <s v="000180"/>
    <s v="0050206201-000180"/>
    <x v="5"/>
    <x v="6"/>
    <m/>
    <s v="MGL"/>
    <s v="KGF"/>
    <x v="19"/>
    <x v="0"/>
    <x v="0"/>
    <s v="ANSI 49"/>
    <d v="2025-08-19T00:00:00"/>
    <n v="37"/>
    <d v="2025-02-24T00:00:00"/>
    <d v="2025-03-06T00:00:00"/>
    <d v="2025-02-24T00:00:00"/>
    <b v="0"/>
    <x v="2"/>
    <n v="5"/>
    <n v="9"/>
    <n v="1"/>
    <x v="10"/>
    <s v="ON TIME"/>
    <x v="2"/>
    <x v="0"/>
    <m/>
    <x v="1"/>
    <n v="-36"/>
    <x v="0"/>
    <m/>
    <m/>
    <s v="Cancelled"/>
    <x v="0"/>
    <s v="NA"/>
    <n v="0"/>
    <d v="2025-03-09T02:21:19"/>
    <n v="0"/>
    <m/>
  </r>
  <r>
    <x v="0"/>
    <s v="0050206201"/>
    <s v="000180"/>
    <s v="0050206201-000180"/>
    <x v="5"/>
    <x v="6"/>
    <m/>
    <s v="MGL"/>
    <s v="KGF"/>
    <x v="20"/>
    <x v="0"/>
    <x v="1"/>
    <s v="ANSI 49"/>
    <d v="2025-08-19T00:00:00"/>
    <n v="36"/>
    <d v="2025-02-25T00:00:00"/>
    <d v="2025-03-07T00:00:00"/>
    <d v="2025-03-06T00:00:00"/>
    <b v="0"/>
    <x v="2"/>
    <n v="5"/>
    <n v="9"/>
    <n v="8"/>
    <x v="11"/>
    <s v="ON TIME"/>
    <x v="2"/>
    <x v="0"/>
    <m/>
    <x v="0"/>
    <n v="-28"/>
    <x v="0"/>
    <m/>
    <m/>
    <s v="Closed"/>
    <x v="0"/>
    <s v="NA"/>
    <n v="17"/>
    <d v="2025-03-07T09:58:35"/>
    <n v="1"/>
    <m/>
  </r>
  <r>
    <x v="0"/>
    <s v="0051035283"/>
    <s v="0000010&amp;0000050"/>
    <s v="0051035283-0000010&amp;0000050"/>
    <x v="3"/>
    <x v="3"/>
    <m/>
    <s v="LGS"/>
    <s v="OAL"/>
    <x v="21"/>
    <x v="0"/>
    <x v="0"/>
    <s v="ANSI 49"/>
    <d v="2025-06-27T00:00:00"/>
    <n v="-4"/>
    <d v="2025-02-26T00:00:00"/>
    <d v="2025-03-06T00:00:00"/>
    <d v="2025-03-06T00:00:00"/>
    <b v="0"/>
    <x v="2"/>
    <n v="5"/>
    <n v="7"/>
    <n v="7"/>
    <x v="9"/>
    <s v="ON TIME"/>
    <x v="2"/>
    <x v="1"/>
    <m/>
    <x v="0"/>
    <n v="10"/>
    <x v="1"/>
    <m/>
    <m/>
    <s v="Closed"/>
    <x v="1"/>
    <s v="NA"/>
    <n v="18"/>
    <d v="2025-03-09T02:21:19"/>
    <n v="1"/>
    <m/>
  </r>
  <r>
    <x v="0"/>
    <s v="0050255139"/>
    <s v="000780"/>
    <s v="0050255139-000780"/>
    <x v="4"/>
    <x v="4"/>
    <m/>
    <s v="KYC"/>
    <s v="VL"/>
    <x v="22"/>
    <x v="1"/>
    <x v="0"/>
    <s v="ANSI 49"/>
    <d v="2025-10-30T00:00:00"/>
    <n v="13"/>
    <d v="2025-02-26T00:00:00"/>
    <d v="2025-03-05T00:00:00"/>
    <d v="2025-03-06T00:00:00"/>
    <b v="0"/>
    <x v="2"/>
    <n v="5"/>
    <n v="6"/>
    <n v="7"/>
    <x v="6"/>
    <s v="LATE"/>
    <x v="0"/>
    <x v="0"/>
    <m/>
    <x v="0"/>
    <n v="-7"/>
    <x v="0"/>
    <m/>
    <m/>
    <s v="Closed"/>
    <x v="0"/>
    <s v="NA"/>
    <n v="18"/>
    <d v="2025-03-08T02:21:19"/>
    <n v="1"/>
    <m/>
  </r>
  <r>
    <x v="0"/>
    <s v="0050959328"/>
    <s v="000010"/>
    <s v="0050959328-000010"/>
    <x v="6"/>
    <x v="7"/>
    <m/>
    <s v="RAS"/>
    <s v="OAL"/>
    <x v="23"/>
    <x v="0"/>
    <x v="1"/>
    <s v="ANSI 49"/>
    <d v="2025-06-27T00:00:00"/>
    <n v="6"/>
    <d v="2025-03-03T00:00:00"/>
    <d v="2025-03-03T00:00:00"/>
    <d v="2025-03-11T00:00:00"/>
    <b v="0"/>
    <x v="3"/>
    <n v="5"/>
    <n v="1"/>
    <n v="7"/>
    <x v="8"/>
    <s v="LATE"/>
    <x v="0"/>
    <x v="0"/>
    <m/>
    <x v="0"/>
    <n v="2"/>
    <x v="1"/>
    <m/>
    <m/>
    <s v="Closed"/>
    <x v="1"/>
    <s v="NA"/>
    <n v="17"/>
    <d v="2025-03-03T09:58:35"/>
    <n v="1"/>
    <m/>
  </r>
  <r>
    <x v="0"/>
    <s v="0050959328"/>
    <s v="000010"/>
    <s v="0050959328-000010"/>
    <x v="6"/>
    <x v="7"/>
    <m/>
    <s v="RAS"/>
    <s v="OAL"/>
    <x v="24"/>
    <x v="0"/>
    <x v="0"/>
    <s v="ANSI 49"/>
    <d v="2025-06-27T00:00:00"/>
    <n v="6"/>
    <d v="2025-03-03T00:00:00"/>
    <d v="2025-03-11T00:00:00"/>
    <d v="2025-03-19T00:00:00"/>
    <b v="0"/>
    <x v="3"/>
    <n v="5"/>
    <n v="7"/>
    <n v="12"/>
    <x v="3"/>
    <s v="LATE"/>
    <x v="0"/>
    <x v="0"/>
    <m/>
    <x v="0"/>
    <n v="7"/>
    <x v="1"/>
    <m/>
    <m/>
    <s v="Closed"/>
    <x v="1"/>
    <s v="NA"/>
    <n v="18"/>
    <d v="2025-03-14T02:21:19"/>
    <n v="1"/>
    <m/>
  </r>
  <r>
    <x v="0"/>
    <s v="0050255139"/>
    <s v="000780"/>
    <s v="0050255139-000780"/>
    <x v="4"/>
    <x v="4"/>
    <m/>
    <s v="KYC"/>
    <s v="VL"/>
    <x v="25"/>
    <x v="1"/>
    <x v="0"/>
    <s v="ANSI 49"/>
    <d v="2025-10-30T00:00:00"/>
    <n v="10"/>
    <d v="2025-03-03T00:00:00"/>
    <d v="2025-03-10T00:00:00"/>
    <d v="2025-03-12T00:00:00"/>
    <b v="0"/>
    <x v="3"/>
    <n v="5"/>
    <n v="6"/>
    <n v="8"/>
    <x v="12"/>
    <s v="LATE"/>
    <x v="0"/>
    <x v="0"/>
    <m/>
    <x v="0"/>
    <n v="-3"/>
    <x v="0"/>
    <m/>
    <m/>
    <s v="Closed"/>
    <x v="0"/>
    <s v="NA"/>
    <n v="18"/>
    <d v="2025-03-13T02:21:19"/>
    <n v="1"/>
    <m/>
  </r>
  <r>
    <x v="0"/>
    <s v="0050255139"/>
    <s v="000780"/>
    <s v="0050255139-000780"/>
    <x v="4"/>
    <x v="4"/>
    <m/>
    <s v="KYC"/>
    <s v="VL"/>
    <x v="26"/>
    <x v="1"/>
    <x v="0"/>
    <s v="ANSI 49"/>
    <d v="2025-10-30T00:00:00"/>
    <n v="10"/>
    <d v="2025-03-03T00:00:00"/>
    <d v="2025-03-11T00:00:00"/>
    <d v="2025-03-12T00:00:00"/>
    <b v="0"/>
    <x v="3"/>
    <n v="5"/>
    <n v="7"/>
    <n v="8"/>
    <x v="6"/>
    <s v="LATE"/>
    <x v="0"/>
    <x v="0"/>
    <m/>
    <x v="0"/>
    <n v="-3"/>
    <x v="0"/>
    <m/>
    <m/>
    <s v="Closed"/>
    <x v="0"/>
    <s v="NA"/>
    <n v="18"/>
    <d v="2025-03-14T02:21:19"/>
    <n v="1"/>
    <m/>
  </r>
  <r>
    <x v="0"/>
    <s v="0050780333"/>
    <s v="000110"/>
    <s v="0050780333-000110"/>
    <x v="7"/>
    <x v="4"/>
    <m/>
    <s v="LMB"/>
    <s v="ADL"/>
    <x v="27"/>
    <x v="1"/>
    <x v="0"/>
    <s v="ANSI 61"/>
    <d v="2025-08-27T00:00:00"/>
    <n v="10"/>
    <d v="2025-03-03T00:00:00"/>
    <d v="2025-03-12T00:00:00"/>
    <d v="2025-03-24T00:00:00"/>
    <b v="0"/>
    <x v="3"/>
    <n v="5"/>
    <n v="8"/>
    <n v="15"/>
    <x v="13"/>
    <s v="LATE"/>
    <x v="0"/>
    <x v="0"/>
    <m/>
    <x v="0"/>
    <n v="6"/>
    <x v="1"/>
    <m/>
    <m/>
    <s v="Closed"/>
    <x v="1"/>
    <s v="NA"/>
    <n v="18"/>
    <d v="2025-03-15T02:21:19"/>
    <n v="1"/>
    <m/>
  </r>
  <r>
    <x v="0"/>
    <s v="0050780333"/>
    <s v="000110"/>
    <s v="0050780333-000110"/>
    <x v="7"/>
    <x v="4"/>
    <m/>
    <s v="LMB"/>
    <s v="ADL"/>
    <x v="28"/>
    <x v="1"/>
    <x v="0"/>
    <s v="ANSI 61"/>
    <d v="2025-08-27T00:00:00"/>
    <n v="10"/>
    <d v="2025-03-03T00:00:00"/>
    <d v="2025-03-12T00:00:00"/>
    <d v="2025-03-20T00:00:00"/>
    <b v="0"/>
    <x v="3"/>
    <n v="5"/>
    <n v="8"/>
    <n v="13"/>
    <x v="3"/>
    <s v="LATE"/>
    <x v="0"/>
    <x v="0"/>
    <m/>
    <x v="0"/>
    <n v="4"/>
    <x v="1"/>
    <m/>
    <m/>
    <s v="Closed"/>
    <x v="1"/>
    <s v="NA"/>
    <n v="18"/>
    <d v="2025-03-15T02:21:19"/>
    <n v="1"/>
    <m/>
  </r>
  <r>
    <x v="0"/>
    <s v="0050780333"/>
    <s v="000110"/>
    <s v="0050780333-000110"/>
    <x v="7"/>
    <x v="4"/>
    <m/>
    <s v="LMB"/>
    <s v="ADL"/>
    <x v="29"/>
    <x v="1"/>
    <x v="0"/>
    <s v="ANSI 61"/>
    <d v="2025-08-27T00:00:00"/>
    <n v="10"/>
    <d v="2025-03-03T00:00:00"/>
    <d v="2025-03-12T00:00:00"/>
    <d v="2025-03-24T00:00:00"/>
    <b v="0"/>
    <x v="3"/>
    <n v="5"/>
    <n v="8"/>
    <n v="15"/>
    <x v="13"/>
    <s v="LATE"/>
    <x v="0"/>
    <x v="0"/>
    <m/>
    <x v="0"/>
    <n v="6"/>
    <x v="1"/>
    <m/>
    <m/>
    <s v="Closed"/>
    <x v="1"/>
    <s v="NA"/>
    <n v="18"/>
    <d v="2025-03-15T02:21:19"/>
    <n v="1"/>
    <m/>
  </r>
  <r>
    <x v="0"/>
    <s v="0050780333"/>
    <s v="000110"/>
    <s v="0050780333-000110"/>
    <x v="7"/>
    <x v="4"/>
    <m/>
    <s v="LMB"/>
    <s v="ADL"/>
    <x v="30"/>
    <x v="1"/>
    <x v="1"/>
    <s v="ANSI 61"/>
    <d v="2025-08-27T00:00:00"/>
    <n v="10"/>
    <d v="2025-03-03T00:00:00"/>
    <d v="2025-03-17T00:00:00"/>
    <d v="2025-03-13T00:00:00"/>
    <b v="0"/>
    <x v="3"/>
    <n v="5"/>
    <n v="11"/>
    <n v="9"/>
    <x v="5"/>
    <s v="ON TIME"/>
    <x v="2"/>
    <x v="0"/>
    <m/>
    <x v="0"/>
    <n v="-2"/>
    <x v="0"/>
    <m/>
    <m/>
    <s v="Closed"/>
    <x v="0"/>
    <s v="NA"/>
    <n v="17"/>
    <d v="2025-03-17T09:58:35"/>
    <n v="1"/>
    <m/>
  </r>
  <r>
    <x v="0"/>
    <s v="0050255139"/>
    <s v="000780"/>
    <s v="0050255139-000780"/>
    <x v="4"/>
    <x v="4"/>
    <m/>
    <s v="KYC"/>
    <s v="VL"/>
    <x v="31"/>
    <x v="1"/>
    <x v="0"/>
    <s v="ANSI 49"/>
    <d v="2025-10-30T00:00:00"/>
    <n v="9"/>
    <d v="2025-03-04T00:00:00"/>
    <d v="2025-03-11T00:00:00"/>
    <d v="2025-03-19T00:00:00"/>
    <b v="0"/>
    <x v="3"/>
    <n v="5"/>
    <n v="6"/>
    <n v="11"/>
    <x v="3"/>
    <s v="LATE"/>
    <x v="0"/>
    <x v="0"/>
    <m/>
    <x v="0"/>
    <n v="3"/>
    <x v="1"/>
    <m/>
    <m/>
    <s v="Closed"/>
    <x v="1"/>
    <s v="NA"/>
    <n v="18"/>
    <d v="2025-03-14T02:21:19"/>
    <n v="1"/>
    <m/>
  </r>
  <r>
    <x v="0"/>
    <s v="0050255139"/>
    <s v="000780"/>
    <s v="0050255139-000780"/>
    <x v="4"/>
    <x v="4"/>
    <m/>
    <s v="KYC"/>
    <s v="VL"/>
    <x v="32"/>
    <x v="1"/>
    <x v="1"/>
    <s v="ANSI 49"/>
    <d v="2025-10-30T00:00:00"/>
    <n v="9"/>
    <d v="2025-03-04T00:00:00"/>
    <d v="2025-03-14T00:00:00"/>
    <d v="2025-03-13T00:00:00"/>
    <b v="0"/>
    <x v="3"/>
    <n v="5"/>
    <n v="9"/>
    <n v="8"/>
    <x v="11"/>
    <s v="ON TIME"/>
    <x v="2"/>
    <x v="0"/>
    <m/>
    <x v="0"/>
    <n v="-2"/>
    <x v="0"/>
    <m/>
    <m/>
    <s v="Closed"/>
    <x v="0"/>
    <s v="NA"/>
    <n v="17"/>
    <d v="2025-03-14T09:58:35"/>
    <n v="1"/>
    <m/>
  </r>
  <r>
    <x v="0"/>
    <s v="0050206201"/>
    <s v="000180"/>
    <s v="0050206201-000180"/>
    <x v="5"/>
    <x v="6"/>
    <m/>
    <s v="MGL"/>
    <s v="KGF"/>
    <x v="33"/>
    <x v="0"/>
    <x v="0"/>
    <s v="ANSI 49"/>
    <d v="2025-08-19T00:00:00"/>
    <n v="31"/>
    <d v="2025-03-04T00:00:00"/>
    <d v="2025-03-12T00:00:00"/>
    <d v="2025-03-24T00:00:00"/>
    <b v="0"/>
    <x v="3"/>
    <n v="5"/>
    <n v="7"/>
    <n v="14"/>
    <x v="13"/>
    <s v="LATE"/>
    <x v="0"/>
    <x v="0"/>
    <m/>
    <x v="0"/>
    <n v="-17"/>
    <x v="0"/>
    <m/>
    <m/>
    <s v="Closed"/>
    <x v="0"/>
    <s v="NA"/>
    <n v="18"/>
    <d v="2025-03-15T02:21:19"/>
    <n v="1"/>
    <m/>
  </r>
  <r>
    <x v="0"/>
    <s v="0050206201"/>
    <s v="000180"/>
    <s v="0050206201-000180"/>
    <x v="5"/>
    <x v="6"/>
    <m/>
    <s v="MGL"/>
    <s v="KGF"/>
    <x v="34"/>
    <x v="0"/>
    <x v="0"/>
    <s v="ANSI 49"/>
    <d v="2025-08-19T00:00:00"/>
    <n v="31"/>
    <d v="2025-03-04T00:00:00"/>
    <d v="2025-03-12T00:00:00"/>
    <d v="2025-03-12T00:00:00"/>
    <b v="0"/>
    <x v="3"/>
    <n v="5"/>
    <n v="7"/>
    <n v="7"/>
    <x v="9"/>
    <s v="ON TIME"/>
    <x v="2"/>
    <x v="0"/>
    <m/>
    <x v="0"/>
    <n v="-24"/>
    <x v="0"/>
    <m/>
    <m/>
    <s v="Closed"/>
    <x v="0"/>
    <s v="NA"/>
    <n v="18"/>
    <d v="2025-03-15T02:21:19"/>
    <n v="1"/>
    <m/>
  </r>
  <r>
    <x v="0"/>
    <s v="0050780333"/>
    <s v="000110"/>
    <s v="0050780333-000110"/>
    <x v="7"/>
    <x v="4"/>
    <m/>
    <s v="LMB"/>
    <s v="ADL"/>
    <x v="35"/>
    <x v="1"/>
    <x v="0"/>
    <s v="ANSI 61"/>
    <d v="2025-08-27T00:00:00"/>
    <n v="8"/>
    <d v="2025-03-05T00:00:00"/>
    <d v="2025-03-14T00:00:00"/>
    <d v="2025-03-24T00:00:00"/>
    <b v="0"/>
    <x v="3"/>
    <n v="5"/>
    <n v="8"/>
    <n v="13"/>
    <x v="3"/>
    <s v="LATE"/>
    <x v="0"/>
    <x v="0"/>
    <m/>
    <x v="0"/>
    <n v="6"/>
    <x v="1"/>
    <m/>
    <m/>
    <s v="Closed"/>
    <x v="1"/>
    <s v="NA"/>
    <n v="18"/>
    <d v="2025-03-17T02:21:19"/>
    <n v="1"/>
    <m/>
  </r>
  <r>
    <x v="0"/>
    <s v="0050780333"/>
    <s v="000110"/>
    <s v="0050780333-000110"/>
    <x v="7"/>
    <x v="4"/>
    <m/>
    <s v="LMB"/>
    <s v="ADL"/>
    <x v="36"/>
    <x v="1"/>
    <x v="1"/>
    <s v="ANSI 61"/>
    <d v="2025-08-27T00:00:00"/>
    <n v="8"/>
    <d v="2025-03-05T00:00:00"/>
    <d v="2025-03-19T00:00:00"/>
    <d v="2025-03-13T00:00:00"/>
    <b v="0"/>
    <x v="3"/>
    <n v="5"/>
    <n v="11"/>
    <n v="7"/>
    <x v="14"/>
    <s v="ON TIME"/>
    <x v="2"/>
    <x v="0"/>
    <m/>
    <x v="0"/>
    <n v="-2"/>
    <x v="0"/>
    <m/>
    <m/>
    <s v="Closed"/>
    <x v="0"/>
    <s v="NA"/>
    <n v="17"/>
    <d v="2025-03-19T09:58:35"/>
    <n v="1"/>
    <m/>
  </r>
  <r>
    <x v="0"/>
    <s v="0050206201"/>
    <s v="000160"/>
    <s v="0050206201-000160"/>
    <x v="5"/>
    <x v="5"/>
    <m/>
    <s v="JAM"/>
    <s v="ADL"/>
    <x v="37"/>
    <x v="0"/>
    <x v="0"/>
    <s v="ANSI 49"/>
    <d v="2025-07-30T00:00:00"/>
    <n v="35"/>
    <d v="2025-03-05T00:00:00"/>
    <d v="2025-03-13T00:00:00"/>
    <d v="2025-03-19T00:00:00"/>
    <b v="0"/>
    <x v="3"/>
    <n v="5"/>
    <n v="7"/>
    <n v="10"/>
    <x v="4"/>
    <s v="LATE"/>
    <x v="0"/>
    <x v="0"/>
    <m/>
    <x v="0"/>
    <n v="-23"/>
    <x v="0"/>
    <m/>
    <m/>
    <s v="Closed"/>
    <x v="0"/>
    <s v="NA"/>
    <n v="18"/>
    <d v="2025-03-16T02:21:19"/>
    <n v="1"/>
    <m/>
  </r>
  <r>
    <x v="0"/>
    <s v="0050746660"/>
    <s v="000030"/>
    <s v="0050746660-000030"/>
    <x v="8"/>
    <x v="4"/>
    <m/>
    <s v="JTV"/>
    <s v="KGF"/>
    <x v="38"/>
    <x v="1"/>
    <x v="0"/>
    <s v="ANSI 49"/>
    <d v="2025-07-31T00:00:00"/>
    <n v="7"/>
    <d v="2025-03-06T00:00:00"/>
    <d v="2025-03-13T00:00:00"/>
    <d v="2025-03-25T00:00:00"/>
    <b v="0"/>
    <x v="3"/>
    <n v="5"/>
    <n v="6"/>
    <n v="13"/>
    <x v="13"/>
    <s v="LATE"/>
    <x v="0"/>
    <x v="0"/>
    <m/>
    <x v="0"/>
    <n v="7"/>
    <x v="1"/>
    <m/>
    <m/>
    <s v="Closed"/>
    <x v="1"/>
    <s v="NA"/>
    <n v="18"/>
    <d v="2025-03-16T02:21:19"/>
    <n v="1"/>
    <m/>
  </r>
  <r>
    <x v="0"/>
    <s v="0050746660"/>
    <s v="000030"/>
    <s v="0050746660-000030"/>
    <x v="8"/>
    <x v="4"/>
    <m/>
    <s v="JTV"/>
    <s v="KGF"/>
    <x v="39"/>
    <x v="1"/>
    <x v="0"/>
    <s v="ANSI 49"/>
    <d v="2025-07-31T00:00:00"/>
    <n v="7"/>
    <d v="2025-03-06T00:00:00"/>
    <d v="2025-03-13T00:00:00"/>
    <d v="2025-03-19T00:00:00"/>
    <b v="0"/>
    <x v="3"/>
    <n v="5"/>
    <n v="6"/>
    <n v="9"/>
    <x v="4"/>
    <s v="LATE"/>
    <x v="0"/>
    <x v="0"/>
    <m/>
    <x v="0"/>
    <n v="3"/>
    <x v="1"/>
    <m/>
    <m/>
    <s v="Closed"/>
    <x v="1"/>
    <s v="NA"/>
    <n v="18"/>
    <d v="2025-03-16T02:21:19"/>
    <n v="1"/>
    <m/>
  </r>
  <r>
    <x v="0"/>
    <s v="0050746660"/>
    <s v="000030"/>
    <s v="0050746660-000030"/>
    <x v="8"/>
    <x v="4"/>
    <m/>
    <s v="JTV"/>
    <s v="KGF"/>
    <x v="40"/>
    <x v="1"/>
    <x v="1"/>
    <s v="ANSI 49"/>
    <d v="2025-07-31T00:00:00"/>
    <n v="7"/>
    <d v="2025-03-06T00:00:00"/>
    <d v="2025-03-18T00:00:00"/>
    <d v="2025-03-25T00:00:00"/>
    <b v="0"/>
    <x v="3"/>
    <n v="5"/>
    <n v="9"/>
    <n v="13"/>
    <x v="1"/>
    <s v="LATE"/>
    <x v="0"/>
    <x v="0"/>
    <m/>
    <x v="0"/>
    <n v="7"/>
    <x v="1"/>
    <m/>
    <m/>
    <s v="Closed"/>
    <x v="1"/>
    <s v="NA"/>
    <n v="17"/>
    <d v="2025-03-18T09:58:35"/>
    <n v="1"/>
    <m/>
  </r>
  <r>
    <x v="0"/>
    <s v="0050746660"/>
    <s v="000030"/>
    <s v="0050746660-000030"/>
    <x v="8"/>
    <x v="4"/>
    <m/>
    <s v="JTV"/>
    <s v="KGF"/>
    <x v="41"/>
    <x v="1"/>
    <x v="1"/>
    <s v="ANSI 49"/>
    <d v="2025-07-31T00:00:00"/>
    <n v="7"/>
    <d v="2025-03-06T00:00:00"/>
    <d v="2025-03-18T00:00:00"/>
    <d v="2025-03-19T00:00:00"/>
    <b v="0"/>
    <x v="3"/>
    <n v="5"/>
    <n v="9"/>
    <n v="9"/>
    <x v="9"/>
    <s v="ON TIME"/>
    <x v="2"/>
    <x v="0"/>
    <m/>
    <x v="0"/>
    <n v="3"/>
    <x v="1"/>
    <m/>
    <m/>
    <s v="Closed"/>
    <x v="1"/>
    <s v="NA"/>
    <n v="17"/>
    <d v="2025-03-18T09:58:35"/>
    <n v="1"/>
    <m/>
  </r>
  <r>
    <x v="0"/>
    <s v="0050746660"/>
    <s v="000030"/>
    <s v="0050746660-000030"/>
    <x v="8"/>
    <x v="4"/>
    <m/>
    <s v="JTV"/>
    <s v="KGF"/>
    <x v="42"/>
    <x v="1"/>
    <x v="0"/>
    <s v="ANSI 49"/>
    <d v="2025-07-31T00:00:00"/>
    <n v="6"/>
    <d v="2025-03-07T00:00:00"/>
    <d v="2025-03-17T00:00:00"/>
    <d v="2025-03-13T00:00:00"/>
    <b v="0"/>
    <x v="3"/>
    <n v="5"/>
    <n v="7"/>
    <n v="5"/>
    <x v="5"/>
    <s v="ON TIME"/>
    <x v="2"/>
    <x v="0"/>
    <m/>
    <x v="0"/>
    <n v="-2"/>
    <x v="0"/>
    <m/>
    <m/>
    <s v="Closed"/>
    <x v="0"/>
    <s v="NA"/>
    <n v="18"/>
    <d v="2025-03-20T02:21:19"/>
    <n v="1"/>
    <m/>
  </r>
  <r>
    <x v="0"/>
    <s v="0050746660"/>
    <s v="000030"/>
    <s v="0050746660-000030"/>
    <x v="8"/>
    <x v="4"/>
    <m/>
    <s v="JTV"/>
    <s v="KGF"/>
    <x v="43"/>
    <x v="1"/>
    <x v="1"/>
    <s v="ANSI 49"/>
    <d v="2025-07-31T00:00:00"/>
    <n v="6"/>
    <d v="2025-03-07T00:00:00"/>
    <d v="2025-03-19T00:00:00"/>
    <d v="2025-03-19T00:00:00"/>
    <b v="0"/>
    <x v="3"/>
    <n v="5"/>
    <n v="9"/>
    <n v="8"/>
    <x v="11"/>
    <s v="ON TIME"/>
    <x v="2"/>
    <x v="0"/>
    <m/>
    <x v="0"/>
    <n v="3"/>
    <x v="1"/>
    <m/>
    <m/>
    <s v="Closed"/>
    <x v="1"/>
    <s v="NA"/>
    <n v="17"/>
    <d v="2025-03-19T09:58:35"/>
    <n v="1"/>
    <m/>
  </r>
  <r>
    <x v="0"/>
    <s v="0050206201"/>
    <s v="000180"/>
    <s v="0050206201-000180"/>
    <x v="5"/>
    <x v="6"/>
    <m/>
    <s v="MGL"/>
    <s v="KGF"/>
    <x v="44"/>
    <x v="0"/>
    <x v="0"/>
    <s v="ANSI 49"/>
    <d v="2025-08-19T00:00:00"/>
    <n v="28"/>
    <d v="2025-03-07T00:00:00"/>
    <d v="2025-03-14T00:00:00"/>
    <d v="2025-03-21T00:00:00"/>
    <b v="0"/>
    <x v="3"/>
    <n v="5"/>
    <n v="6"/>
    <n v="10"/>
    <x v="1"/>
    <s v="LATE"/>
    <x v="0"/>
    <x v="0"/>
    <m/>
    <x v="0"/>
    <n v="-18"/>
    <x v="0"/>
    <m/>
    <m/>
    <s v="Closed"/>
    <x v="0"/>
    <s v="NA"/>
    <n v="18"/>
    <d v="2025-03-17T02:21:19"/>
    <n v="1"/>
    <m/>
  </r>
  <r>
    <x v="0"/>
    <s v="0050206201"/>
    <s v="000180"/>
    <s v="0050206201-000180"/>
    <x v="5"/>
    <x v="6"/>
    <m/>
    <s v="MGL"/>
    <s v="KGF"/>
    <x v="45"/>
    <x v="0"/>
    <x v="0"/>
    <s v="ANSI 49"/>
    <d v="2025-08-19T00:00:00"/>
    <n v="27"/>
    <d v="2025-03-10T00:00:00"/>
    <d v="2025-03-20T00:00:00"/>
    <d v="2025-03-19T00:00:00"/>
    <b v="0"/>
    <x v="3"/>
    <n v="5"/>
    <n v="9"/>
    <n v="7"/>
    <x v="5"/>
    <s v="ON TIME"/>
    <x v="2"/>
    <x v="0"/>
    <m/>
    <x v="0"/>
    <n v="-20"/>
    <x v="0"/>
    <m/>
    <m/>
    <s v="Closed"/>
    <x v="0"/>
    <s v="NA"/>
    <n v="18"/>
    <d v="2025-03-23T02:21:19"/>
    <n v="1"/>
    <m/>
  </r>
  <r>
    <x v="0"/>
    <s v="0050746660"/>
    <s v="000030"/>
    <s v="0050746660-000030"/>
    <x v="8"/>
    <x v="4"/>
    <m/>
    <s v="JTV"/>
    <s v="KGF"/>
    <x v="46"/>
    <x v="0"/>
    <x v="0"/>
    <s v="ANSI 49"/>
    <d v="2025-07-31T00:00:00"/>
    <n v="4"/>
    <d v="2025-03-11T00:00:00"/>
    <d v="2025-03-20T00:00:00"/>
    <d v="2025-03-24T00:00:00"/>
    <b v="0"/>
    <x v="3"/>
    <n v="5"/>
    <n v="8"/>
    <n v="9"/>
    <x v="6"/>
    <s v="LATE"/>
    <x v="0"/>
    <x v="1"/>
    <m/>
    <x v="0"/>
    <n v="6"/>
    <x v="1"/>
    <m/>
    <m/>
    <s v="Closed"/>
    <x v="1"/>
    <s v="NA"/>
    <n v="18"/>
    <d v="2025-03-23T02:21:19"/>
    <n v="1"/>
    <m/>
  </r>
  <r>
    <x v="0"/>
    <s v="0050206201"/>
    <s v="000160"/>
    <s v="0050206201-000160"/>
    <x v="5"/>
    <x v="5"/>
    <m/>
    <s v="JAM"/>
    <s v="ADL"/>
    <x v="47"/>
    <x v="0"/>
    <x v="1"/>
    <s v="ANSI 49"/>
    <d v="2025-07-30T00:00:00"/>
    <n v="31"/>
    <d v="2025-03-11T00:00:00"/>
    <d v="2025-03-24T00:00:00"/>
    <d v="2025-03-11T00:00:00"/>
    <b v="0"/>
    <x v="3"/>
    <n v="5"/>
    <n v="10"/>
    <n v="1"/>
    <x v="15"/>
    <s v="ON TIME"/>
    <x v="2"/>
    <x v="0"/>
    <m/>
    <x v="1"/>
    <n v="-28"/>
    <x v="0"/>
    <m/>
    <m/>
    <s v="Cancelled"/>
    <x v="0"/>
    <s v="NA"/>
    <n v="0"/>
    <d v="2025-03-24T09:58:35"/>
    <n v="0"/>
    <m/>
  </r>
  <r>
    <x v="0"/>
    <s v="0051150882"/>
    <s v="000010"/>
    <s v="0051150882-000010"/>
    <x v="9"/>
    <x v="8"/>
    <m/>
    <s v="CFC"/>
    <s v="OAL"/>
    <x v="48"/>
    <x v="1"/>
    <x v="0"/>
    <s v="ANSI 49"/>
    <d v="2025-07-31T00:00:00"/>
    <n v="11"/>
    <d v="2025-03-14T00:00:00"/>
    <d v="2025-03-24T00:00:00"/>
    <d v="2025-03-24T00:00:00"/>
    <b v="0"/>
    <x v="3"/>
    <n v="5"/>
    <n v="7"/>
    <n v="6"/>
    <x v="11"/>
    <s v="ON TIME"/>
    <x v="2"/>
    <x v="0"/>
    <m/>
    <x v="0"/>
    <n v="-5"/>
    <x v="0"/>
    <m/>
    <m/>
    <s v="Closed"/>
    <x v="0"/>
    <s v="NA"/>
    <n v="18"/>
    <d v="2025-03-27T02:21:19"/>
    <n v="1"/>
    <m/>
  </r>
  <r>
    <x v="0"/>
    <s v="0051150882"/>
    <s v="000010"/>
    <s v="0051150882-000010"/>
    <x v="9"/>
    <x v="8"/>
    <m/>
    <s v="CFC"/>
    <s v="OAL"/>
    <x v="49"/>
    <x v="1"/>
    <x v="0"/>
    <s v="ANSI 49"/>
    <d v="2025-07-31T00:00:00"/>
    <n v="11"/>
    <d v="2025-03-14T00:00:00"/>
    <d v="2025-03-24T00:00:00"/>
    <d v="2025-03-26T00:00:00"/>
    <b v="0"/>
    <x v="3"/>
    <n v="5"/>
    <n v="7"/>
    <n v="8"/>
    <x v="6"/>
    <s v="LATE"/>
    <x v="0"/>
    <x v="0"/>
    <m/>
    <x v="0"/>
    <n v="-3"/>
    <x v="0"/>
    <m/>
    <m/>
    <s v="Closed"/>
    <x v="0"/>
    <s v="NA"/>
    <n v="18"/>
    <d v="2025-03-27T02:21:19"/>
    <n v="1"/>
    <m/>
  </r>
  <r>
    <x v="0"/>
    <s v="0051150882"/>
    <s v="000010"/>
    <s v="0051150882-000010"/>
    <x v="9"/>
    <x v="8"/>
    <m/>
    <s v="CFC"/>
    <s v="OAL"/>
    <x v="50"/>
    <x v="1"/>
    <x v="0"/>
    <s v="ANSI 49"/>
    <d v="2025-07-31T00:00:00"/>
    <n v="11"/>
    <d v="2025-03-14T00:00:00"/>
    <d v="2025-03-25T00:00:00"/>
    <d v="2025-03-26T00:00:00"/>
    <b v="0"/>
    <x v="3"/>
    <n v="5"/>
    <n v="8"/>
    <n v="8"/>
    <x v="9"/>
    <s v="ON TIME"/>
    <x v="2"/>
    <x v="0"/>
    <m/>
    <x v="0"/>
    <n v="-3"/>
    <x v="0"/>
    <m/>
    <m/>
    <s v="Closed"/>
    <x v="0"/>
    <s v="NA"/>
    <n v="18"/>
    <d v="2025-03-28T02:21:19"/>
    <n v="1"/>
    <m/>
  </r>
  <r>
    <x v="0"/>
    <s v="0051150882"/>
    <s v="000010"/>
    <s v="0051150882-000010"/>
    <x v="9"/>
    <x v="8"/>
    <m/>
    <s v="CFC"/>
    <s v="OAL"/>
    <x v="51"/>
    <x v="1"/>
    <x v="1"/>
    <s v="ANSI 49"/>
    <d v="2025-07-31T00:00:00"/>
    <n v="11"/>
    <d v="2025-03-14T00:00:00"/>
    <d v="2025-03-27T00:00:00"/>
    <d v="2025-03-25T00:00:00"/>
    <b v="0"/>
    <x v="3"/>
    <n v="5"/>
    <n v="10"/>
    <n v="7"/>
    <x v="16"/>
    <s v="ON TIME"/>
    <x v="2"/>
    <x v="0"/>
    <m/>
    <x v="0"/>
    <n v="-4"/>
    <x v="0"/>
    <m/>
    <m/>
    <s v="Closed"/>
    <x v="0"/>
    <s v="NA"/>
    <n v="17"/>
    <d v="2025-03-27T09:58:35"/>
    <n v="1"/>
    <m/>
  </r>
  <r>
    <x v="0"/>
    <s v="0050206201"/>
    <s v="000160"/>
    <s v="0050206201-000160"/>
    <x v="5"/>
    <x v="5"/>
    <m/>
    <s v="JAM"/>
    <s v="ADL"/>
    <x v="52"/>
    <x v="0"/>
    <x v="0"/>
    <s v="ANSI 49"/>
    <d v="2025-07-30T00:00:00"/>
    <n v="28"/>
    <d v="2025-03-14T00:00:00"/>
    <d v="2025-03-24T00:00:00"/>
    <d v="2025-03-24T00:00:00"/>
    <b v="0"/>
    <x v="3"/>
    <n v="5"/>
    <n v="7"/>
    <n v="6"/>
    <x v="11"/>
    <s v="ON TIME"/>
    <x v="2"/>
    <x v="0"/>
    <m/>
    <x v="0"/>
    <n v="-20"/>
    <x v="0"/>
    <m/>
    <m/>
    <s v="Closed"/>
    <x v="0"/>
    <s v="NA"/>
    <n v="18"/>
    <d v="2025-03-27T02:21:19"/>
    <n v="1"/>
    <m/>
  </r>
  <r>
    <x v="0"/>
    <s v="0050746660"/>
    <s v="000030"/>
    <s v="0050746660-000030"/>
    <x v="8"/>
    <x v="4"/>
    <m/>
    <s v="JTV"/>
    <s v="KGF"/>
    <x v="53"/>
    <x v="1"/>
    <x v="0"/>
    <s v="ANSI 49"/>
    <d v="2025-07-31T00:00:00"/>
    <n v="-5"/>
    <d v="2025-03-20T00:00:00"/>
    <d v="2025-03-27T00:00:00"/>
    <d v="2025-03-27T00:00:00"/>
    <b v="0"/>
    <x v="3"/>
    <n v="5"/>
    <n v="6"/>
    <n v="6"/>
    <x v="9"/>
    <s v="ON TIME"/>
    <x v="2"/>
    <x v="1"/>
    <m/>
    <x v="0"/>
    <n v="9"/>
    <x v="1"/>
    <m/>
    <m/>
    <s v="Closed"/>
    <x v="1"/>
    <s v="NA"/>
    <n v="18"/>
    <d v="2025-03-30T02:21:19"/>
    <n v="1"/>
    <m/>
  </r>
  <r>
    <x v="0"/>
    <s v="0050780333"/>
    <s v="000110"/>
    <s v="0050780333-000110"/>
    <x v="7"/>
    <x v="4"/>
    <m/>
    <s v="LMB"/>
    <s v="ADL"/>
    <x v="54"/>
    <x v="1"/>
    <x v="0"/>
    <s v="ANSI 61"/>
    <d v="2025-08-27T00:00:00"/>
    <n v="-7"/>
    <d v="2025-03-24T00:00:00"/>
    <d v="2025-03-31T00:00:00"/>
    <d v="2025-03-28T00:00:00"/>
    <b v="0"/>
    <x v="3"/>
    <n v="5"/>
    <n v="6"/>
    <n v="5"/>
    <x v="11"/>
    <s v="ON TIME"/>
    <x v="2"/>
    <x v="1"/>
    <m/>
    <x v="0"/>
    <n v="10"/>
    <x v="1"/>
    <m/>
    <m/>
    <s v="Closed"/>
    <x v="1"/>
    <s v="NA"/>
    <n v="18"/>
    <d v="2025-04-03T02:21:19"/>
    <n v="1"/>
    <m/>
  </r>
  <r>
    <x v="0"/>
    <s v="0050780333"/>
    <s v="000110"/>
    <s v="0050780333-000110"/>
    <x v="7"/>
    <x v="4"/>
    <m/>
    <s v="LMB"/>
    <s v="ADL"/>
    <x v="55"/>
    <x v="1"/>
    <x v="0"/>
    <s v="ANSI 61"/>
    <d v="2025-08-27T00:00:00"/>
    <n v="-7"/>
    <d v="2025-03-24T00:00:00"/>
    <d v="2025-03-31T00:00:00"/>
    <d v="2025-03-28T00:00:00"/>
    <b v="0"/>
    <x v="3"/>
    <n v="5"/>
    <n v="6"/>
    <n v="5"/>
    <x v="11"/>
    <s v="ON TIME"/>
    <x v="2"/>
    <x v="1"/>
    <m/>
    <x v="0"/>
    <n v="10"/>
    <x v="1"/>
    <m/>
    <m/>
    <s v="Closed"/>
    <x v="1"/>
    <s v="NA"/>
    <n v="18"/>
    <d v="2025-04-03T02:21:19"/>
    <n v="1"/>
    <m/>
  </r>
  <r>
    <x v="0"/>
    <s v="0050206201"/>
    <s v="000170"/>
    <s v="0050206201-000170"/>
    <x v="5"/>
    <x v="6"/>
    <m/>
    <s v="DR"/>
    <s v="OAL"/>
    <x v="56"/>
    <x v="1"/>
    <x v="0"/>
    <s v="ANSI 49"/>
    <d v="2025-08-19T00:00:00"/>
    <n v="14"/>
    <d v="2025-03-27T00:00:00"/>
    <d v="2025-04-03T00:00:00"/>
    <d v="2025-04-12T00:00:00"/>
    <b v="0"/>
    <x v="3"/>
    <n v="5"/>
    <n v="6"/>
    <n v="12"/>
    <x v="8"/>
    <s v="LATE"/>
    <x v="0"/>
    <x v="0"/>
    <m/>
    <x v="0"/>
    <n v="-2"/>
    <x v="0"/>
    <m/>
    <m/>
    <s v="Closed"/>
    <x v="0"/>
    <s v="NA"/>
    <n v="18"/>
    <d v="2025-04-06T02:21:19"/>
    <n v="1"/>
    <m/>
  </r>
  <r>
    <x v="0"/>
    <s v="0050206201"/>
    <s v="000180"/>
    <s v="0050206201-000180"/>
    <x v="5"/>
    <x v="6"/>
    <m/>
    <s v="MGL"/>
    <s v="KGF"/>
    <x v="57"/>
    <x v="1"/>
    <x v="0"/>
    <s v="ANSI 49"/>
    <d v="2025-08-19T00:00:00"/>
    <n v="12"/>
    <d v="2025-03-31T00:00:00"/>
    <d v="2025-04-08T00:00:00"/>
    <d v="2025-04-12T00:00:00"/>
    <b v="0"/>
    <x v="3"/>
    <n v="5"/>
    <n v="7"/>
    <n v="10"/>
    <x v="4"/>
    <s v="LATE"/>
    <x v="0"/>
    <x v="0"/>
    <m/>
    <x v="0"/>
    <n v="-2"/>
    <x v="0"/>
    <m/>
    <m/>
    <s v="Closed"/>
    <x v="0"/>
    <s v="NA"/>
    <n v="18"/>
    <d v="2025-04-11T02:21:19"/>
    <n v="1"/>
    <m/>
  </r>
  <r>
    <x v="0"/>
    <s v="0050206201"/>
    <s v="000180"/>
    <s v="0050206201-000180"/>
    <x v="5"/>
    <x v="6"/>
    <m/>
    <s v="MGL"/>
    <s v="KGF"/>
    <x v="58"/>
    <x v="1"/>
    <x v="0"/>
    <s v="ANSI 49"/>
    <d v="2025-08-19T00:00:00"/>
    <n v="12"/>
    <d v="2025-03-31T00:00:00"/>
    <d v="2025-04-08T00:00:00"/>
    <d v="2025-04-12T00:00:00"/>
    <b v="0"/>
    <x v="3"/>
    <n v="5"/>
    <n v="7"/>
    <n v="10"/>
    <x v="4"/>
    <s v="LATE"/>
    <x v="0"/>
    <x v="0"/>
    <m/>
    <x v="0"/>
    <n v="-2"/>
    <x v="0"/>
    <m/>
    <m/>
    <s v="Closed"/>
    <x v="0"/>
    <s v="NA"/>
    <n v="18"/>
    <d v="2025-04-11T02:21:19"/>
    <n v="1"/>
    <m/>
  </r>
  <r>
    <x v="0"/>
    <s v="0050206201"/>
    <s v="000180"/>
    <s v="0050206201-000180"/>
    <x v="5"/>
    <x v="6"/>
    <m/>
    <s v="MGL"/>
    <s v="KGF"/>
    <x v="59"/>
    <x v="1"/>
    <x v="1"/>
    <s v="ANSI 49"/>
    <d v="2025-08-19T00:00:00"/>
    <n v="12"/>
    <d v="2025-03-31T00:00:00"/>
    <d v="2025-04-10T00:00:00"/>
    <d v="2025-04-11T00:00:00"/>
    <b v="0"/>
    <x v="3"/>
    <n v="5"/>
    <n v="9"/>
    <n v="10"/>
    <x v="6"/>
    <s v="LATE"/>
    <x v="0"/>
    <x v="0"/>
    <m/>
    <x v="0"/>
    <n v="-3"/>
    <x v="0"/>
    <m/>
    <m/>
    <s v="Closed"/>
    <x v="0"/>
    <s v="NA"/>
    <n v="17"/>
    <d v="2025-04-10T09:58:35"/>
    <n v="1"/>
    <m/>
  </r>
  <r>
    <x v="0"/>
    <s v="0050206201"/>
    <s v="000180"/>
    <s v="0050206201-000180"/>
    <x v="5"/>
    <x v="6"/>
    <m/>
    <s v="MGL"/>
    <s v="KGF"/>
    <x v="60"/>
    <x v="1"/>
    <x v="0"/>
    <s v="ANSI 49"/>
    <d v="2025-08-19T00:00:00"/>
    <n v="11"/>
    <d v="2025-04-01T00:00:00"/>
    <d v="2025-04-08T00:00:00"/>
    <d v="2025-04-12T00:00:00"/>
    <b v="0"/>
    <x v="4"/>
    <n v="5"/>
    <n v="6"/>
    <n v="9"/>
    <x v="4"/>
    <s v="LATE"/>
    <x v="0"/>
    <x v="0"/>
    <m/>
    <x v="0"/>
    <n v="-2"/>
    <x v="0"/>
    <m/>
    <m/>
    <s v="Closed"/>
    <x v="0"/>
    <s v="NA"/>
    <n v="18"/>
    <d v="2025-04-11T02:21:19"/>
    <n v="1"/>
    <m/>
  </r>
  <r>
    <x v="0"/>
    <s v="0050206201"/>
    <s v="000180"/>
    <s v="0050206201-000180"/>
    <x v="5"/>
    <x v="6"/>
    <m/>
    <s v="MGL"/>
    <s v="KGF"/>
    <x v="61"/>
    <x v="1"/>
    <x v="0"/>
    <s v="ANSI 49"/>
    <d v="2025-08-19T00:00:00"/>
    <n v="11"/>
    <d v="2025-04-01T00:00:00"/>
    <d v="2025-04-08T00:00:00"/>
    <d v="2025-04-04T00:00:00"/>
    <b v="0"/>
    <x v="4"/>
    <n v="5"/>
    <n v="6"/>
    <n v="4"/>
    <x v="5"/>
    <s v="ON TIME"/>
    <x v="2"/>
    <x v="0"/>
    <m/>
    <x v="0"/>
    <n v="-8"/>
    <x v="0"/>
    <m/>
    <m/>
    <s v="Closed"/>
    <x v="0"/>
    <s v="NA"/>
    <n v="18"/>
    <d v="2025-04-11T02:21:19"/>
    <n v="1"/>
    <m/>
  </r>
  <r>
    <x v="0"/>
    <s v="0050206201"/>
    <s v="000180"/>
    <s v="0050206201-000180"/>
    <x v="5"/>
    <x v="6"/>
    <m/>
    <s v="MGL"/>
    <s v="KGF"/>
    <x v="62"/>
    <x v="1"/>
    <x v="0"/>
    <s v="ANSI 49"/>
    <d v="2025-08-19T00:00:00"/>
    <n v="11"/>
    <d v="2025-04-01T00:00:00"/>
    <d v="2025-04-09T00:00:00"/>
    <d v="2025-04-14T00:00:00"/>
    <b v="0"/>
    <x v="4"/>
    <n v="5"/>
    <n v="7"/>
    <n v="10"/>
    <x v="4"/>
    <s v="LATE"/>
    <x v="0"/>
    <x v="0"/>
    <m/>
    <x v="0"/>
    <n v="-2"/>
    <x v="0"/>
    <m/>
    <m/>
    <s v="Closed"/>
    <x v="0"/>
    <s v="NA"/>
    <n v="18"/>
    <d v="2025-04-12T02:21:19"/>
    <n v="1"/>
    <m/>
  </r>
  <r>
    <x v="0"/>
    <s v="0050206201"/>
    <s v="000180"/>
    <s v="0050206201-000180"/>
    <x v="5"/>
    <x v="6"/>
    <m/>
    <s v="MGL"/>
    <s v="KGF"/>
    <x v="63"/>
    <x v="1"/>
    <x v="0"/>
    <s v="ANSI 49"/>
    <d v="2025-08-19T00:00:00"/>
    <n v="11"/>
    <d v="2025-04-01T00:00:00"/>
    <d v="2025-04-10T00:00:00"/>
    <d v="2025-04-07T00:00:00"/>
    <b v="0"/>
    <x v="4"/>
    <n v="5"/>
    <n v="8"/>
    <n v="5"/>
    <x v="16"/>
    <s v="ON TIME"/>
    <x v="2"/>
    <x v="0"/>
    <m/>
    <x v="0"/>
    <n v="-7"/>
    <x v="0"/>
    <m/>
    <m/>
    <s v="Closed"/>
    <x v="0"/>
    <s v="NA"/>
    <n v="18"/>
    <d v="2025-04-13T02:21:19"/>
    <n v="1"/>
    <m/>
  </r>
  <r>
    <x v="0"/>
    <s v="0050206201"/>
    <s v="000180"/>
    <s v="0050206201-000180"/>
    <x v="5"/>
    <x v="6"/>
    <m/>
    <s v="MGL"/>
    <s v="KGF"/>
    <x v="64"/>
    <x v="1"/>
    <x v="0"/>
    <s v="ANSI 49"/>
    <d v="2025-08-19T00:00:00"/>
    <n v="10"/>
    <d v="2025-04-02T00:00:00"/>
    <d v="2025-04-09T00:00:00"/>
    <d v="2025-04-09T00:00:00"/>
    <b v="0"/>
    <x v="4"/>
    <n v="5"/>
    <n v="6"/>
    <n v="6"/>
    <x v="9"/>
    <s v="ON TIME"/>
    <x v="2"/>
    <x v="0"/>
    <m/>
    <x v="0"/>
    <n v="-5"/>
    <x v="0"/>
    <m/>
    <m/>
    <s v="Closed"/>
    <x v="0"/>
    <s v="NA"/>
    <n v="18"/>
    <d v="2025-04-12T02:21:19"/>
    <n v="1"/>
    <m/>
  </r>
  <r>
    <x v="0"/>
    <s v="0050206201"/>
    <s v="000180"/>
    <s v="0050206201-000180"/>
    <x v="5"/>
    <x v="6"/>
    <m/>
    <s v="MGL"/>
    <s v="KGF"/>
    <x v="65"/>
    <x v="1"/>
    <x v="1"/>
    <s v="ANSI 49"/>
    <d v="2025-08-19T00:00:00"/>
    <n v="9"/>
    <d v="2025-04-03T00:00:00"/>
    <d v="2025-04-15T00:00:00"/>
    <d v="2025-04-14T00:00:00"/>
    <b v="0"/>
    <x v="4"/>
    <n v="5"/>
    <n v="9"/>
    <n v="8"/>
    <x v="11"/>
    <s v="ON TIME"/>
    <x v="2"/>
    <x v="0"/>
    <m/>
    <x v="0"/>
    <n v="-2"/>
    <x v="0"/>
    <m/>
    <m/>
    <s v="Closed"/>
    <x v="0"/>
    <s v="NA"/>
    <n v="17"/>
    <d v="2025-04-15T09:58:35"/>
    <n v="1"/>
    <m/>
  </r>
  <r>
    <x v="0"/>
    <s v="0051199249"/>
    <s v="000050"/>
    <s v="0051199249-000050"/>
    <x v="10"/>
    <x v="9"/>
    <m/>
    <s v="ADT"/>
    <s v="LDT"/>
    <x v="66"/>
    <x v="1"/>
    <x v="0"/>
    <s v="ANSI 49"/>
    <d v="2025-07-30T00:00:00"/>
    <n v="12"/>
    <d v="2025-04-03T00:00:00"/>
    <d v="2025-04-11T00:00:00"/>
    <d v="2025-04-09T00:00:00"/>
    <b v="0"/>
    <x v="4"/>
    <n v="5"/>
    <n v="7"/>
    <n v="5"/>
    <x v="5"/>
    <s v="ON TIME"/>
    <x v="2"/>
    <x v="0"/>
    <m/>
    <x v="0"/>
    <n v="-6"/>
    <x v="0"/>
    <m/>
    <m/>
    <s v="Closed"/>
    <x v="0"/>
    <s v="NA"/>
    <n v="18"/>
    <d v="2025-04-14T02:21:19"/>
    <n v="1"/>
    <m/>
  </r>
  <r>
    <x v="0"/>
    <s v="0051199249"/>
    <s v="000040"/>
    <s v="0051199249-000040"/>
    <x v="10"/>
    <x v="10"/>
    <m/>
    <s v="OAC"/>
    <s v="DPM"/>
    <x v="67"/>
    <x v="1"/>
    <x v="0"/>
    <s v="ANSI 49"/>
    <d v="2025-07-31T00:00:00"/>
    <n v="13"/>
    <d v="2025-04-03T00:00:00"/>
    <d v="2025-04-11T00:00:00"/>
    <d v="2025-04-10T00:00:00"/>
    <b v="0"/>
    <x v="4"/>
    <n v="5"/>
    <n v="7"/>
    <n v="6"/>
    <x v="11"/>
    <s v="ON TIME"/>
    <x v="2"/>
    <x v="0"/>
    <m/>
    <x v="0"/>
    <n v="-6"/>
    <x v="0"/>
    <m/>
    <m/>
    <s v="Closed"/>
    <x v="0"/>
    <s v="NA"/>
    <n v="18"/>
    <d v="2025-04-14T02:21:19"/>
    <n v="1"/>
    <m/>
  </r>
  <r>
    <x v="0"/>
    <s v="0050206201"/>
    <s v="000160"/>
    <s v="0050206201-000160"/>
    <x v="5"/>
    <x v="5"/>
    <m/>
    <s v="JAM"/>
    <s v="ADL"/>
    <x v="68"/>
    <x v="0"/>
    <x v="1"/>
    <s v="ANSI 49"/>
    <d v="2025-07-30T00:00:00"/>
    <n v="13"/>
    <d v="2025-04-04T00:00:00"/>
    <d v="2025-04-16T00:00:00"/>
    <d v="2025-04-16T00:00:00"/>
    <b v="0"/>
    <x v="4"/>
    <n v="5"/>
    <n v="9"/>
    <n v="9"/>
    <x v="9"/>
    <s v="ON TIME"/>
    <x v="2"/>
    <x v="0"/>
    <m/>
    <x v="0"/>
    <n v="-3"/>
    <x v="0"/>
    <m/>
    <m/>
    <s v="Closed"/>
    <x v="0"/>
    <s v="NA"/>
    <n v="17"/>
    <d v="2025-04-16T09:58:35"/>
    <n v="1"/>
    <m/>
  </r>
  <r>
    <x v="0"/>
    <s v="0051199249"/>
    <s v="000050"/>
    <s v="0051199249-000050"/>
    <x v="10"/>
    <x v="9"/>
    <m/>
    <s v="ADT"/>
    <s v="LDT"/>
    <x v="69"/>
    <x v="1"/>
    <x v="0"/>
    <s v="ANSI 49"/>
    <d v="2025-07-30T00:00:00"/>
    <n v="10"/>
    <d v="2025-04-07T00:00:00"/>
    <d v="2025-04-16T00:00:00"/>
    <d v="2025-04-19T00:00:00"/>
    <b v="0"/>
    <x v="4"/>
    <n v="5"/>
    <n v="8"/>
    <n v="8"/>
    <x v="9"/>
    <s v="ON TIME"/>
    <x v="2"/>
    <x v="0"/>
    <m/>
    <x v="0"/>
    <n v="0"/>
    <x v="0"/>
    <m/>
    <m/>
    <s v="Closed"/>
    <x v="0"/>
    <s v="NA"/>
    <n v="18"/>
    <d v="2025-04-19T02:21:19"/>
    <n v="1"/>
    <m/>
  </r>
  <r>
    <x v="0"/>
    <s v="0051199249"/>
    <s v="000040"/>
    <s v="0051199249-000040"/>
    <x v="10"/>
    <x v="10"/>
    <m/>
    <s v="OAC"/>
    <s v="DPM"/>
    <x v="70"/>
    <x v="1"/>
    <x v="0"/>
    <s v="ANSI 49"/>
    <d v="2025-07-31T00:00:00"/>
    <n v="11"/>
    <d v="2025-04-07T00:00:00"/>
    <d v="2025-04-15T00:00:00"/>
    <d v="2025-04-17T00:00:00"/>
    <b v="0"/>
    <x v="4"/>
    <n v="5"/>
    <n v="7"/>
    <n v="8"/>
    <x v="6"/>
    <s v="LATE"/>
    <x v="0"/>
    <x v="0"/>
    <m/>
    <x v="0"/>
    <n v="-1"/>
    <x v="0"/>
    <m/>
    <m/>
    <s v="Closed"/>
    <x v="0"/>
    <s v="NA"/>
    <n v="18"/>
    <d v="2025-04-18T02:21:19"/>
    <n v="1"/>
    <m/>
  </r>
  <r>
    <x v="0"/>
    <s v="0051199249"/>
    <s v="000040"/>
    <s v="0051199249-000040"/>
    <x v="10"/>
    <x v="10"/>
    <m/>
    <s v="OAC"/>
    <s v="DPM"/>
    <x v="71"/>
    <x v="1"/>
    <x v="0"/>
    <s v="ANSI 49"/>
    <d v="2025-07-31T00:00:00"/>
    <n v="11"/>
    <d v="2025-04-07T00:00:00"/>
    <d v="2025-04-15T00:00:00"/>
    <d v="2025-04-11T00:00:00"/>
    <b v="0"/>
    <x v="4"/>
    <n v="5"/>
    <n v="7"/>
    <n v="5"/>
    <x v="5"/>
    <s v="ON TIME"/>
    <x v="2"/>
    <x v="0"/>
    <m/>
    <x v="0"/>
    <n v="-5"/>
    <x v="0"/>
    <m/>
    <m/>
    <s v="Closed"/>
    <x v="0"/>
    <s v="NA"/>
    <n v="18"/>
    <d v="2025-04-18T02:21:19"/>
    <n v="1"/>
    <m/>
  </r>
  <r>
    <x v="0"/>
    <s v="0051199249"/>
    <s v="000040"/>
    <s v="0051199249-000040"/>
    <x v="10"/>
    <x v="10"/>
    <m/>
    <s v="OAC"/>
    <s v="DPM"/>
    <x v="72"/>
    <x v="1"/>
    <x v="1"/>
    <s v="ANSI 49"/>
    <d v="2025-07-31T00:00:00"/>
    <n v="11"/>
    <d v="2025-04-07T00:00:00"/>
    <d v="2025-04-17T00:00:00"/>
    <d v="2025-04-17T00:00:00"/>
    <b v="0"/>
    <x v="4"/>
    <n v="5"/>
    <n v="9"/>
    <n v="8"/>
    <x v="11"/>
    <s v="ON TIME"/>
    <x v="2"/>
    <x v="0"/>
    <m/>
    <x v="0"/>
    <n v="-1"/>
    <x v="0"/>
    <m/>
    <m/>
    <s v="Closed"/>
    <x v="0"/>
    <s v="NA"/>
    <n v="17"/>
    <d v="2025-04-17T09:58:35"/>
    <n v="1"/>
    <m/>
  </r>
  <r>
    <x v="0"/>
    <s v="0051199249"/>
    <s v="000050"/>
    <s v="0051199249-000050"/>
    <x v="10"/>
    <x v="9"/>
    <m/>
    <s v="ADT"/>
    <s v="LDT"/>
    <x v="73"/>
    <x v="1"/>
    <x v="0"/>
    <s v="ANSI 49"/>
    <d v="2025-07-30T00:00:00"/>
    <n v="9"/>
    <d v="2025-04-08T00:00:00"/>
    <d v="2025-04-16T00:00:00"/>
    <d v="2025-04-19T00:00:00"/>
    <b v="0"/>
    <x v="4"/>
    <n v="5"/>
    <n v="7"/>
    <n v="7"/>
    <x v="9"/>
    <s v="ON TIME"/>
    <x v="2"/>
    <x v="0"/>
    <m/>
    <x v="0"/>
    <n v="0"/>
    <x v="0"/>
    <m/>
    <m/>
    <s v="Closed"/>
    <x v="0"/>
    <s v="NA"/>
    <n v="18"/>
    <d v="2025-04-19T02:21:19"/>
    <n v="1"/>
    <m/>
  </r>
  <r>
    <x v="0"/>
    <s v="0051199249"/>
    <s v="000050"/>
    <s v="0051199249-000050"/>
    <x v="10"/>
    <x v="9"/>
    <m/>
    <s v="ADT"/>
    <s v="LDT"/>
    <x v="74"/>
    <x v="1"/>
    <x v="0"/>
    <s v="ANSI 49"/>
    <d v="2025-07-30T00:00:00"/>
    <n v="9"/>
    <d v="2025-04-08T00:00:00"/>
    <d v="2025-04-17T00:00:00"/>
    <d v="2025-04-29T00:00:00"/>
    <b v="0"/>
    <x v="4"/>
    <n v="5"/>
    <n v="8"/>
    <n v="14"/>
    <x v="8"/>
    <s v="LATE"/>
    <x v="0"/>
    <x v="0"/>
    <m/>
    <x v="0"/>
    <n v="7"/>
    <x v="1"/>
    <m/>
    <m/>
    <s v="Closed"/>
    <x v="1"/>
    <s v="NA"/>
    <n v="18"/>
    <d v="2025-04-20T02:21:19"/>
    <n v="1"/>
    <m/>
  </r>
  <r>
    <x v="0"/>
    <s v="0051199249"/>
    <s v="000050"/>
    <s v="0051199249-000050"/>
    <x v="10"/>
    <x v="9"/>
    <m/>
    <s v="ADT"/>
    <s v="LDT"/>
    <x v="75"/>
    <x v="1"/>
    <x v="1"/>
    <s v="ANSI 49"/>
    <d v="2025-07-30T00:00:00"/>
    <n v="9"/>
    <d v="2025-04-08T00:00:00"/>
    <d v="2025-04-22T00:00:00"/>
    <d v="2025-04-25T00:00:00"/>
    <b v="0"/>
    <x v="4"/>
    <n v="5"/>
    <n v="11"/>
    <n v="12"/>
    <x v="6"/>
    <s v="LATE"/>
    <x v="0"/>
    <x v="0"/>
    <m/>
    <x v="0"/>
    <n v="5"/>
    <x v="1"/>
    <m/>
    <m/>
    <s v="Closed"/>
    <x v="1"/>
    <s v="NA"/>
    <n v="17"/>
    <d v="2025-04-22T09:58:35"/>
    <n v="1"/>
    <m/>
  </r>
  <r>
    <x v="0"/>
    <s v="0051199249"/>
    <s v="000040"/>
    <s v="0051199249-000040"/>
    <x v="10"/>
    <x v="10"/>
    <m/>
    <s v="OAC"/>
    <s v="DPM"/>
    <x v="76"/>
    <x v="1"/>
    <x v="0"/>
    <s v="ANSI 49"/>
    <d v="2025-07-31T00:00:00"/>
    <n v="10"/>
    <d v="2025-04-08T00:00:00"/>
    <d v="2025-04-15T00:00:00"/>
    <d v="2025-04-14T00:00:00"/>
    <b v="0"/>
    <x v="4"/>
    <n v="5"/>
    <n v="6"/>
    <n v="5"/>
    <x v="11"/>
    <s v="ON TIME"/>
    <x v="2"/>
    <x v="0"/>
    <m/>
    <x v="0"/>
    <n v="-4"/>
    <x v="0"/>
    <m/>
    <m/>
    <s v="Closed"/>
    <x v="0"/>
    <s v="NA"/>
    <n v="18"/>
    <d v="2025-04-18T02:21:19"/>
    <n v="1"/>
    <m/>
  </r>
  <r>
    <x v="0"/>
    <s v="0051199249"/>
    <s v="000040"/>
    <s v="0051199249-000040"/>
    <x v="10"/>
    <x v="10"/>
    <m/>
    <s v="OAC"/>
    <s v="DPM"/>
    <x v="77"/>
    <x v="1"/>
    <x v="0"/>
    <s v="ANSI 49"/>
    <d v="2025-07-31T00:00:00"/>
    <n v="10"/>
    <d v="2025-04-08T00:00:00"/>
    <d v="2025-04-15T00:00:00"/>
    <d v="2025-04-19T00:00:00"/>
    <b v="0"/>
    <x v="4"/>
    <n v="5"/>
    <n v="6"/>
    <n v="7"/>
    <x v="6"/>
    <s v="LATE"/>
    <x v="0"/>
    <x v="0"/>
    <m/>
    <x v="0"/>
    <n v="-1"/>
    <x v="0"/>
    <m/>
    <m/>
    <s v="Closed"/>
    <x v="0"/>
    <s v="NA"/>
    <n v="18"/>
    <d v="2025-04-18T02:21:19"/>
    <n v="1"/>
    <m/>
  </r>
  <r>
    <x v="0"/>
    <s v="0051199249"/>
    <s v="000040"/>
    <s v="0051199249-000040"/>
    <x v="10"/>
    <x v="10"/>
    <m/>
    <s v="OAC"/>
    <s v="DPM"/>
    <x v="78"/>
    <x v="1"/>
    <x v="0"/>
    <s v="ANSI 49"/>
    <d v="2025-07-31T00:00:00"/>
    <n v="10"/>
    <d v="2025-04-08T00:00:00"/>
    <d v="2025-04-15T00:00:00"/>
    <d v="2025-04-19T00:00:00"/>
    <b v="0"/>
    <x v="4"/>
    <n v="5"/>
    <n v="6"/>
    <n v="7"/>
    <x v="6"/>
    <s v="LATE"/>
    <x v="0"/>
    <x v="0"/>
    <m/>
    <x v="0"/>
    <n v="-1"/>
    <x v="0"/>
    <m/>
    <m/>
    <s v="Closed"/>
    <x v="0"/>
    <s v="NA"/>
    <n v="18"/>
    <d v="2025-04-18T02:21:19"/>
    <n v="1"/>
    <m/>
  </r>
  <r>
    <x v="0"/>
    <s v="0051199249"/>
    <s v="000040"/>
    <s v="0051199249-000040"/>
    <x v="10"/>
    <x v="10"/>
    <m/>
    <s v="OAC"/>
    <s v="DPM"/>
    <x v="79"/>
    <x v="1"/>
    <x v="0"/>
    <s v="ANSI 49"/>
    <d v="2025-07-31T00:00:00"/>
    <n v="10"/>
    <d v="2025-04-08T00:00:00"/>
    <d v="2025-04-16T00:00:00"/>
    <d v="2025-04-19T00:00:00"/>
    <b v="0"/>
    <x v="4"/>
    <n v="5"/>
    <n v="7"/>
    <n v="7"/>
    <x v="9"/>
    <s v="ON TIME"/>
    <x v="2"/>
    <x v="0"/>
    <m/>
    <x v="0"/>
    <n v="-1"/>
    <x v="0"/>
    <m/>
    <m/>
    <s v="Closed"/>
    <x v="0"/>
    <s v="NA"/>
    <n v="18"/>
    <d v="2025-04-19T02:21:19"/>
    <n v="1"/>
    <m/>
  </r>
  <r>
    <x v="0"/>
    <s v="0051199249"/>
    <s v="000040"/>
    <s v="0051199249-000040"/>
    <x v="10"/>
    <x v="10"/>
    <m/>
    <s v="OAC"/>
    <s v="DPM"/>
    <x v="80"/>
    <x v="1"/>
    <x v="0"/>
    <s v="ANSI 49"/>
    <d v="2025-07-31T00:00:00"/>
    <n v="10"/>
    <d v="2025-04-08T00:00:00"/>
    <d v="2025-04-16T00:00:00"/>
    <d v="2025-04-14T00:00:00"/>
    <b v="0"/>
    <x v="4"/>
    <n v="5"/>
    <n v="7"/>
    <n v="5"/>
    <x v="5"/>
    <s v="ON TIME"/>
    <x v="2"/>
    <x v="0"/>
    <m/>
    <x v="0"/>
    <n v="-4"/>
    <x v="0"/>
    <m/>
    <m/>
    <s v="Closed"/>
    <x v="0"/>
    <s v="NA"/>
    <n v="18"/>
    <d v="2025-04-19T02:21:19"/>
    <n v="1"/>
    <m/>
  </r>
  <r>
    <x v="0"/>
    <s v="0051199249"/>
    <s v="000040"/>
    <s v="0051199249-000040"/>
    <x v="10"/>
    <x v="10"/>
    <m/>
    <s v="OAC"/>
    <s v="VL"/>
    <x v="81"/>
    <x v="1"/>
    <x v="0"/>
    <s v="ANSI 49"/>
    <d v="2025-07-31T00:00:00"/>
    <n v="10"/>
    <d v="2025-04-08T00:00:00"/>
    <d v="2025-04-16T00:00:00"/>
    <d v="2025-04-16T00:00:00"/>
    <b v="0"/>
    <x v="4"/>
    <n v="5"/>
    <n v="7"/>
    <n v="7"/>
    <x v="9"/>
    <s v="ON TIME"/>
    <x v="2"/>
    <x v="0"/>
    <m/>
    <x v="0"/>
    <n v="-2"/>
    <x v="0"/>
    <m/>
    <m/>
    <s v="Closed"/>
    <x v="0"/>
    <s v="NA"/>
    <n v="18"/>
    <d v="2025-04-19T02:21:19"/>
    <n v="1"/>
    <m/>
  </r>
  <r>
    <x v="0"/>
    <s v="0051199249"/>
    <s v="000040"/>
    <s v="0051199249-000040"/>
    <x v="10"/>
    <x v="10"/>
    <m/>
    <s v="OAC"/>
    <s v="VL"/>
    <x v="82"/>
    <x v="1"/>
    <x v="1"/>
    <s v="ANSI 49"/>
    <d v="2025-07-31T00:00:00"/>
    <n v="10"/>
    <d v="2025-04-08T00:00:00"/>
    <d v="2025-04-18T00:00:00"/>
    <d v="2025-04-16T00:00:00"/>
    <b v="0"/>
    <x v="4"/>
    <n v="5"/>
    <n v="9"/>
    <n v="7"/>
    <x v="5"/>
    <s v="ON TIME"/>
    <x v="2"/>
    <x v="0"/>
    <m/>
    <x v="0"/>
    <n v="-2"/>
    <x v="0"/>
    <m/>
    <m/>
    <s v="Closed"/>
    <x v="0"/>
    <s v="NA"/>
    <n v="17"/>
    <d v="2025-04-18T09:58:35"/>
    <n v="1"/>
    <m/>
  </r>
  <r>
    <x v="0"/>
    <s v="0050465708"/>
    <s v="000270"/>
    <s v="0050465708-000270"/>
    <x v="11"/>
    <x v="11"/>
    <m/>
    <s v="DEV"/>
    <s v="LDT"/>
    <x v="83"/>
    <x v="0"/>
    <x v="1"/>
    <s v="ANSI 49"/>
    <d v="2025-08-28T00:00:00"/>
    <n v="20"/>
    <d v="2025-04-08T00:00:00"/>
    <d v="2025-04-18T00:00:00"/>
    <d v="2025-04-16T00:00:00"/>
    <b v="0"/>
    <x v="4"/>
    <n v="5"/>
    <n v="9"/>
    <n v="7"/>
    <x v="5"/>
    <s v="ON TIME"/>
    <x v="2"/>
    <x v="0"/>
    <m/>
    <x v="0"/>
    <n v="-11"/>
    <x v="0"/>
    <m/>
    <m/>
    <s v="Closed"/>
    <x v="0"/>
    <s v="NA"/>
    <n v="17"/>
    <d v="2025-04-18T09:58:35"/>
    <n v="1"/>
    <m/>
  </r>
  <r>
    <x v="0"/>
    <s v="0050465708"/>
    <s v="000270"/>
    <s v="0050465708-000270"/>
    <x v="12"/>
    <x v="11"/>
    <m/>
    <s v="DEV"/>
    <s v="LDT"/>
    <x v="84"/>
    <x v="0"/>
    <x v="1"/>
    <s v="ANSI 49"/>
    <d v="2025-08-28T00:00:00"/>
    <n v="20"/>
    <d v="2025-04-08T00:00:00"/>
    <d v="2025-04-18T00:00:00"/>
    <d v="2025-04-17T00:00:00"/>
    <b v="0"/>
    <x v="4"/>
    <n v="5"/>
    <n v="9"/>
    <n v="7"/>
    <x v="5"/>
    <s v="ON TIME"/>
    <x v="2"/>
    <x v="0"/>
    <m/>
    <x v="0"/>
    <n v="-10"/>
    <x v="0"/>
    <m/>
    <m/>
    <s v="Closed"/>
    <x v="0"/>
    <s v="NA"/>
    <n v="17"/>
    <d v="2025-04-18T09:58:35"/>
    <n v="1"/>
    <m/>
  </r>
  <r>
    <x v="0"/>
    <s v="0050206201"/>
    <s v="000170"/>
    <s v="0050206201-000170"/>
    <x v="5"/>
    <x v="6"/>
    <m/>
    <s v="DR"/>
    <s v="OAL"/>
    <x v="85"/>
    <x v="1"/>
    <x v="0"/>
    <s v="ANSI 49"/>
    <d v="2025-08-19T00:00:00"/>
    <n v="4"/>
    <d v="2025-04-10T00:00:00"/>
    <d v="2025-04-21T00:00:00"/>
    <d v="2025-04-30T00:00:00"/>
    <b v="0"/>
    <x v="4"/>
    <n v="5"/>
    <n v="8"/>
    <n v="13"/>
    <x v="3"/>
    <s v="LATE"/>
    <x v="0"/>
    <x v="1"/>
    <m/>
    <x v="0"/>
    <n v="10"/>
    <x v="1"/>
    <m/>
    <m/>
    <s v="Closed"/>
    <x v="1"/>
    <s v="NA"/>
    <n v="18"/>
    <d v="2025-04-24T02:21:19"/>
    <n v="1"/>
    <m/>
  </r>
  <r>
    <x v="0"/>
    <s v="0050206201"/>
    <s v="000160"/>
    <s v="0050206201-000160"/>
    <x v="5"/>
    <x v="5"/>
    <m/>
    <s v="JAM"/>
    <s v="ADL"/>
    <x v="86"/>
    <x v="1"/>
    <x v="0"/>
    <s v="ANSI 49"/>
    <d v="2025-07-30T00:00:00"/>
    <n v="9"/>
    <d v="2025-04-10T00:00:00"/>
    <d v="2025-04-21T00:00:00"/>
    <d v="2025-04-23T00:00:00"/>
    <b v="0"/>
    <x v="4"/>
    <n v="5"/>
    <n v="8"/>
    <n v="8"/>
    <x v="9"/>
    <s v="ON TIME"/>
    <x v="2"/>
    <x v="0"/>
    <m/>
    <x v="0"/>
    <n v="2"/>
    <x v="1"/>
    <m/>
    <m/>
    <s v="Closed"/>
    <x v="1"/>
    <s v="NA"/>
    <n v="18"/>
    <d v="2025-04-24T02:21:19"/>
    <n v="1"/>
    <m/>
  </r>
  <r>
    <x v="0"/>
    <s v="0050206201"/>
    <s v="000160"/>
    <s v="0050206201-000160"/>
    <x v="5"/>
    <x v="5"/>
    <m/>
    <s v="JAM"/>
    <s v="ADL"/>
    <x v="87"/>
    <x v="1"/>
    <x v="0"/>
    <s v="ANSI 49"/>
    <d v="2025-07-30T00:00:00"/>
    <n v="9"/>
    <d v="2025-04-10T00:00:00"/>
    <d v="2025-04-21T00:00:00"/>
    <d v="2025-04-23T00:00:00"/>
    <b v="0"/>
    <x v="4"/>
    <n v="5"/>
    <n v="8"/>
    <n v="8"/>
    <x v="9"/>
    <s v="ON TIME"/>
    <x v="2"/>
    <x v="0"/>
    <m/>
    <x v="0"/>
    <n v="2"/>
    <x v="1"/>
    <m/>
    <m/>
    <s v="Closed"/>
    <x v="1"/>
    <s v="NA"/>
    <n v="18"/>
    <d v="2025-04-24T02:21:19"/>
    <n v="1"/>
    <m/>
  </r>
  <r>
    <x v="0"/>
    <s v="0051199249"/>
    <s v="000040"/>
    <s v="0051199249-000040"/>
    <x v="10"/>
    <x v="10"/>
    <m/>
    <s v="OAC"/>
    <s v="VL"/>
    <x v="88"/>
    <x v="1"/>
    <x v="0"/>
    <s v="ANSI 49"/>
    <d v="2025-07-31T00:00:00"/>
    <n v="6"/>
    <d v="2025-04-14T00:00:00"/>
    <d v="2025-04-23T00:00:00"/>
    <d v="2025-04-29T00:00:00"/>
    <b v="0"/>
    <x v="4"/>
    <n v="5"/>
    <n v="8"/>
    <n v="10"/>
    <x v="12"/>
    <s v="LATE"/>
    <x v="0"/>
    <x v="0"/>
    <m/>
    <x v="0"/>
    <n v="7"/>
    <x v="1"/>
    <m/>
    <m/>
    <s v="Closed"/>
    <x v="1"/>
    <s v="NA"/>
    <n v="18"/>
    <d v="2025-04-26T02:21:19"/>
    <n v="1"/>
    <m/>
  </r>
  <r>
    <x v="0"/>
    <s v="0051199249"/>
    <s v="000040"/>
    <s v="0051199249-000040"/>
    <x v="10"/>
    <x v="10"/>
    <m/>
    <s v="OAC"/>
    <s v="VL"/>
    <x v="89"/>
    <x v="1"/>
    <x v="0"/>
    <s v="ANSI 49"/>
    <d v="2025-07-31T00:00:00"/>
    <n v="6"/>
    <d v="2025-04-14T00:00:00"/>
    <d v="2025-04-24T00:00:00"/>
    <d v="2025-04-30T00:00:00"/>
    <b v="0"/>
    <x v="4"/>
    <n v="5"/>
    <n v="9"/>
    <n v="11"/>
    <x v="12"/>
    <s v="LATE"/>
    <x v="0"/>
    <x v="0"/>
    <m/>
    <x v="0"/>
    <n v="8"/>
    <x v="1"/>
    <m/>
    <m/>
    <s v="Closed"/>
    <x v="1"/>
    <s v="NA"/>
    <n v="18"/>
    <d v="2025-04-27T02:21:19"/>
    <n v="1"/>
    <m/>
  </r>
  <r>
    <x v="0"/>
    <s v="0051199249"/>
    <s v="000040"/>
    <s v="0051199249-000040"/>
    <x v="10"/>
    <x v="10"/>
    <m/>
    <s v="OAC"/>
    <s v="VL"/>
    <x v="90"/>
    <x v="1"/>
    <x v="1"/>
    <s v="ANSI 49"/>
    <d v="2025-07-31T00:00:00"/>
    <n v="6"/>
    <d v="2025-04-14T00:00:00"/>
    <d v="2025-04-28T00:00:00"/>
    <d v="2025-04-30T00:00:00"/>
    <b v="0"/>
    <x v="4"/>
    <n v="5"/>
    <n v="11"/>
    <n v="11"/>
    <x v="9"/>
    <s v="ON TIME"/>
    <x v="2"/>
    <x v="0"/>
    <m/>
    <x v="0"/>
    <n v="8"/>
    <x v="1"/>
    <m/>
    <m/>
    <s v="Closed"/>
    <x v="1"/>
    <s v="NA"/>
    <n v="17"/>
    <d v="2025-04-28T09:58:35"/>
    <n v="1"/>
    <m/>
  </r>
  <r>
    <x v="0"/>
    <s v="0050206201"/>
    <s v="000160"/>
    <s v="0050206201-000160"/>
    <x v="5"/>
    <x v="5"/>
    <m/>
    <s v="JAM"/>
    <s v="ADL"/>
    <x v="91"/>
    <x v="1"/>
    <x v="1"/>
    <s v="ANSI 49"/>
    <d v="2025-07-30T00:00:00"/>
    <n v="7"/>
    <d v="2025-04-14T00:00:00"/>
    <d v="2025-04-28T00:00:00"/>
    <d v="2025-04-30T00:00:00"/>
    <b v="0"/>
    <x v="4"/>
    <n v="5"/>
    <n v="11"/>
    <n v="11"/>
    <x v="9"/>
    <s v="ON TIME"/>
    <x v="2"/>
    <x v="0"/>
    <m/>
    <x v="0"/>
    <n v="7"/>
    <x v="1"/>
    <m/>
    <m/>
    <s v="Closed"/>
    <x v="1"/>
    <s v="NA"/>
    <n v="17"/>
    <d v="2025-04-28T09:58:35"/>
    <n v="1"/>
    <m/>
  </r>
  <r>
    <x v="0"/>
    <s v="0051199249"/>
    <s v="000040"/>
    <s v="0051199249-000040"/>
    <x v="10"/>
    <x v="10"/>
    <m/>
    <s v="OAC"/>
    <s v="VL"/>
    <x v="92"/>
    <x v="1"/>
    <x v="0"/>
    <s v="ANSI 49"/>
    <d v="2025-07-31T00:00:00"/>
    <n v="5"/>
    <d v="2025-04-15T00:00:00"/>
    <d v="2025-04-24T00:00:00"/>
    <d v="2025-04-23T00:00:00"/>
    <b v="0"/>
    <x v="4"/>
    <n v="5"/>
    <n v="8"/>
    <n v="5"/>
    <x v="16"/>
    <s v="ON TIME"/>
    <x v="2"/>
    <x v="0"/>
    <m/>
    <x v="0"/>
    <n v="3"/>
    <x v="1"/>
    <m/>
    <m/>
    <s v="Closed"/>
    <x v="1"/>
    <s v="NA"/>
    <n v="18"/>
    <d v="2025-04-27T02:21:19"/>
    <n v="1"/>
    <m/>
  </r>
  <r>
    <x v="0"/>
    <s v="0051199249"/>
    <s v="000040"/>
    <s v="0051199249-000040"/>
    <x v="10"/>
    <x v="10"/>
    <m/>
    <s v="OAC"/>
    <s v="VL"/>
    <x v="93"/>
    <x v="1"/>
    <x v="1"/>
    <s v="ANSI 49"/>
    <d v="2025-07-31T00:00:00"/>
    <n v="5"/>
    <d v="2025-04-15T00:00:00"/>
    <d v="2025-04-29T00:00:00"/>
    <d v="2025-04-25T00:00:00"/>
    <b v="0"/>
    <x v="4"/>
    <n v="5"/>
    <n v="11"/>
    <n v="7"/>
    <x v="14"/>
    <s v="ON TIME"/>
    <x v="2"/>
    <x v="0"/>
    <m/>
    <x v="0"/>
    <n v="5"/>
    <x v="1"/>
    <m/>
    <m/>
    <s v="Closed"/>
    <x v="1"/>
    <s v="NA"/>
    <n v="17"/>
    <d v="2025-04-29T09:58:35"/>
    <n v="1"/>
    <m/>
  </r>
  <r>
    <x v="0"/>
    <s v="0050206201"/>
    <s v="000160"/>
    <s v="0050206201-000160"/>
    <x v="5"/>
    <x v="5"/>
    <m/>
    <s v="JAM"/>
    <s v="ADL"/>
    <x v="94"/>
    <x v="1"/>
    <x v="0"/>
    <s v="ANSI 49"/>
    <d v="2025-07-30T00:00:00"/>
    <n v="6"/>
    <d v="2025-04-15T00:00:00"/>
    <d v="2025-04-24T00:00:00"/>
    <d v="2025-04-29T00:00:00"/>
    <b v="0"/>
    <x v="4"/>
    <n v="5"/>
    <n v="8"/>
    <n v="9"/>
    <x v="6"/>
    <s v="LATE"/>
    <x v="0"/>
    <x v="0"/>
    <m/>
    <x v="0"/>
    <n v="6"/>
    <x v="1"/>
    <m/>
    <m/>
    <s v="Closed"/>
    <x v="1"/>
    <s v="NA"/>
    <n v="18"/>
    <d v="2025-04-27T02:21:19"/>
    <n v="1"/>
    <m/>
  </r>
  <r>
    <x v="0"/>
    <s v="0051002556"/>
    <s v="000010"/>
    <s v="0051002556-000010"/>
    <x v="13"/>
    <x v="12"/>
    <m/>
    <s v="DMA"/>
    <s v="OAL"/>
    <x v="95"/>
    <x v="1"/>
    <x v="0"/>
    <s v="ANSI 49"/>
    <d v="2025-08-27T00:00:00"/>
    <n v="14"/>
    <d v="2025-04-15T00:00:00"/>
    <d v="2025-04-24T00:00:00"/>
    <d v="2025-04-30T00:00:00"/>
    <b v="0"/>
    <x v="4"/>
    <n v="5"/>
    <n v="8"/>
    <n v="10"/>
    <x v="12"/>
    <s v="LATE"/>
    <x v="0"/>
    <x v="0"/>
    <m/>
    <x v="0"/>
    <n v="-2"/>
    <x v="0"/>
    <m/>
    <m/>
    <s v="Closed"/>
    <x v="0"/>
    <s v="NA"/>
    <n v="18"/>
    <d v="2025-04-27T02:21:19"/>
    <n v="1"/>
    <m/>
  </r>
  <r>
    <x v="0"/>
    <s v="0051002556"/>
    <s v="000010"/>
    <s v="0051002556-000010"/>
    <x v="13"/>
    <x v="12"/>
    <m/>
    <s v="DMA"/>
    <s v="OAL"/>
    <x v="96"/>
    <x v="1"/>
    <x v="1"/>
    <s v="ANSI 49"/>
    <d v="2025-08-27T00:00:00"/>
    <n v="14"/>
    <d v="2025-04-15T00:00:00"/>
    <d v="2025-04-29T00:00:00"/>
    <d v="2025-04-30T00:00:00"/>
    <b v="0"/>
    <x v="4"/>
    <n v="5"/>
    <n v="11"/>
    <n v="10"/>
    <x v="11"/>
    <s v="ON TIME"/>
    <x v="2"/>
    <x v="0"/>
    <m/>
    <x v="0"/>
    <n v="-2"/>
    <x v="0"/>
    <m/>
    <m/>
    <s v="Closed"/>
    <x v="0"/>
    <s v="NA"/>
    <n v="17"/>
    <d v="2025-04-29T09:58:35"/>
    <n v="1"/>
    <m/>
  </r>
  <r>
    <x v="0"/>
    <s v="0051117529"/>
    <s v="000020"/>
    <s v="0051117529-000020"/>
    <x v="14"/>
    <x v="13"/>
    <m/>
    <s v="RAS"/>
    <s v="ISQ"/>
    <x v="97"/>
    <x v="1"/>
    <x v="0"/>
    <s v="ANSI 49"/>
    <d v="2025-08-29T00:00:00"/>
    <n v="16"/>
    <d v="2025-04-25T00:00:00"/>
    <d v="2025-05-05T00:00:00"/>
    <d v="2025-04-30T00:00:00"/>
    <b v="0"/>
    <x v="4"/>
    <n v="5"/>
    <n v="7"/>
    <n v="4"/>
    <x v="16"/>
    <s v="ON TIME"/>
    <x v="2"/>
    <x v="0"/>
    <m/>
    <x v="0"/>
    <n v="-11"/>
    <x v="0"/>
    <m/>
    <m/>
    <s v="Closed"/>
    <x v="0"/>
    <s v="NA"/>
    <n v="18"/>
    <d v="2025-05-08T02:21:19"/>
    <n v="1"/>
    <m/>
  </r>
  <r>
    <x v="0"/>
    <s v="0051229942"/>
    <s v="000120"/>
    <s v="0051229942-000120"/>
    <x v="15"/>
    <x v="14"/>
    <m/>
    <s v="MGL"/>
    <s v="ADL"/>
    <x v="98"/>
    <x v="1"/>
    <x v="0"/>
    <s v="ANSI 49"/>
    <d v="2025-08-19T00:00:00"/>
    <n v="12"/>
    <d v="2025-05-08T00:00:00"/>
    <d v="2025-05-16T00:00:00"/>
    <d v="2025-05-23T00:00:00"/>
    <b v="0"/>
    <x v="5"/>
    <n v="5"/>
    <n v="7"/>
    <n v="11"/>
    <x v="1"/>
    <s v="LATE"/>
    <x v="0"/>
    <x v="0"/>
    <m/>
    <x v="0"/>
    <n v="1"/>
    <x v="1"/>
    <m/>
    <m/>
    <s v="Closed"/>
    <x v="1"/>
    <s v="NA"/>
    <n v="18"/>
    <d v="2025-05-19T02:21:19"/>
    <n v="1"/>
    <m/>
  </r>
  <r>
    <x v="0"/>
    <s v="0051229942"/>
    <s v="000120"/>
    <s v="0051229942-000120"/>
    <x v="15"/>
    <x v="14"/>
    <m/>
    <s v="MGL"/>
    <s v="ADL"/>
    <x v="99"/>
    <x v="1"/>
    <x v="0"/>
    <s v="ANSI 49"/>
    <d v="2025-08-19T00:00:00"/>
    <n v="12"/>
    <d v="2025-05-08T00:00:00"/>
    <d v="2025-05-16T00:00:00"/>
    <d v="2025-05-21T00:00:00"/>
    <b v="0"/>
    <x v="5"/>
    <n v="5"/>
    <n v="7"/>
    <n v="9"/>
    <x v="12"/>
    <s v="LATE"/>
    <x v="0"/>
    <x v="0"/>
    <m/>
    <x v="0"/>
    <n v="-3"/>
    <x v="0"/>
    <m/>
    <m/>
    <s v="Closed"/>
    <x v="0"/>
    <s v="NA"/>
    <n v="18"/>
    <d v="2025-05-19T02:21:19"/>
    <n v="1"/>
    <m/>
  </r>
  <r>
    <x v="0"/>
    <s v="0051229942"/>
    <s v="000120"/>
    <s v="0051229942-000120"/>
    <x v="15"/>
    <x v="14"/>
    <m/>
    <s v="MGL"/>
    <s v="ADL"/>
    <x v="100"/>
    <x v="1"/>
    <x v="0"/>
    <s v="ANSI 49"/>
    <d v="2025-08-19T00:00:00"/>
    <n v="12"/>
    <d v="2025-05-08T00:00:00"/>
    <d v="2025-05-16T00:00:00"/>
    <d v="2025-05-23T00:00:00"/>
    <b v="0"/>
    <x v="5"/>
    <n v="5"/>
    <n v="7"/>
    <n v="11"/>
    <x v="1"/>
    <s v="LATE"/>
    <x v="0"/>
    <x v="0"/>
    <m/>
    <x v="0"/>
    <n v="1"/>
    <x v="1"/>
    <m/>
    <m/>
    <s v="Closed"/>
    <x v="1"/>
    <s v="NA"/>
    <n v="18"/>
    <d v="2025-05-19T02:21:19"/>
    <n v="1"/>
    <m/>
  </r>
  <r>
    <x v="0"/>
    <s v="0051229942"/>
    <s v="000120"/>
    <s v="0051229942-000120"/>
    <x v="15"/>
    <x v="14"/>
    <m/>
    <s v="MGL"/>
    <s v="ADL"/>
    <x v="101"/>
    <x v="1"/>
    <x v="0"/>
    <s v="ANSI 49"/>
    <d v="2025-08-19T00:00:00"/>
    <n v="12"/>
    <d v="2025-05-08T00:00:00"/>
    <d v="2025-05-16T00:00:00"/>
    <d v="2025-05-23T00:00:00"/>
    <b v="0"/>
    <x v="5"/>
    <n v="5"/>
    <n v="7"/>
    <n v="11"/>
    <x v="1"/>
    <s v="LATE"/>
    <x v="0"/>
    <x v="0"/>
    <m/>
    <x v="0"/>
    <n v="1"/>
    <x v="1"/>
    <m/>
    <m/>
    <s v="Closed"/>
    <x v="1"/>
    <s v="NA"/>
    <n v="18"/>
    <d v="2025-05-19T02:21:19"/>
    <n v="1"/>
    <m/>
  </r>
  <r>
    <x v="0"/>
    <s v="0051229942"/>
    <s v="000120"/>
    <s v="0051229942-000120"/>
    <x v="15"/>
    <x v="14"/>
    <m/>
    <s v="MGL"/>
    <s v="ADL"/>
    <x v="102"/>
    <x v="1"/>
    <x v="1"/>
    <s v="ANSI 49"/>
    <d v="2025-08-19T00:00:00"/>
    <n v="12"/>
    <d v="2025-05-08T00:00:00"/>
    <d v="2025-05-21T00:00:00"/>
    <d v="2025-05-23T00:00:00"/>
    <b v="0"/>
    <x v="5"/>
    <n v="5"/>
    <n v="10"/>
    <n v="11"/>
    <x v="6"/>
    <s v="LATE"/>
    <x v="0"/>
    <x v="0"/>
    <m/>
    <x v="0"/>
    <n v="1"/>
    <x v="1"/>
    <m/>
    <m/>
    <s v="Closed"/>
    <x v="1"/>
    <s v="NA"/>
    <n v="17"/>
    <d v="2025-05-21T09:58:35"/>
    <n v="1"/>
    <m/>
  </r>
  <r>
    <x v="0"/>
    <s v="0051229942"/>
    <s v="000120"/>
    <s v="0051229942-000120"/>
    <x v="15"/>
    <x v="14"/>
    <m/>
    <s v="MGL"/>
    <s v="ADL"/>
    <x v="103"/>
    <x v="1"/>
    <x v="0"/>
    <s v="ANSI 49"/>
    <d v="2025-08-19T00:00:00"/>
    <n v="9"/>
    <d v="2025-05-13T00:00:00"/>
    <d v="2025-05-21T00:00:00"/>
    <d v="2025-05-20T00:00:00"/>
    <b v="0"/>
    <x v="5"/>
    <n v="5"/>
    <n v="7"/>
    <n v="6"/>
    <x v="11"/>
    <s v="ON TIME"/>
    <x v="2"/>
    <x v="0"/>
    <m/>
    <x v="0"/>
    <n v="-4"/>
    <x v="0"/>
    <m/>
    <m/>
    <s v="Closed"/>
    <x v="0"/>
    <s v="NA"/>
    <n v="18"/>
    <d v="2025-05-24T02:21:19"/>
    <n v="1"/>
    <m/>
  </r>
  <r>
    <x v="0"/>
    <s v="0051229942"/>
    <s v="000120"/>
    <s v="0051229942-000120"/>
    <x v="15"/>
    <x v="14"/>
    <m/>
    <s v="MGL"/>
    <s v="ADL"/>
    <x v="104"/>
    <x v="1"/>
    <x v="0"/>
    <s v="ANSI 49"/>
    <d v="2025-08-19T00:00:00"/>
    <n v="8"/>
    <d v="2025-05-14T00:00:00"/>
    <d v="2025-05-21T00:00:00"/>
    <d v="2025-05-21T00:00:00"/>
    <b v="0"/>
    <x v="5"/>
    <n v="5"/>
    <n v="6"/>
    <n v="6"/>
    <x v="9"/>
    <s v="ON TIME"/>
    <x v="2"/>
    <x v="0"/>
    <m/>
    <x v="0"/>
    <n v="-3"/>
    <x v="0"/>
    <m/>
    <m/>
    <s v="Closed"/>
    <x v="0"/>
    <s v="NA"/>
    <n v="18"/>
    <d v="2025-05-24T02:21:19"/>
    <n v="1"/>
    <m/>
  </r>
  <r>
    <x v="0"/>
    <s v="0051004478"/>
    <s v="000010"/>
    <s v="0051004478-000010"/>
    <x v="16"/>
    <x v="14"/>
    <m/>
    <s v="DMA"/>
    <s v="OAL"/>
    <x v="105"/>
    <x v="1"/>
    <x v="0"/>
    <s v="ANSI 49"/>
    <d v="2025-10-09T00:00:00"/>
    <n v="7"/>
    <d v="2025-05-15T00:00:00"/>
    <d v="2025-05-23T00:00:00"/>
    <d v="2025-05-23T00:00:00"/>
    <b v="0"/>
    <x v="5"/>
    <n v="5"/>
    <n v="7"/>
    <n v="7"/>
    <x v="9"/>
    <s v="ON TIME"/>
    <x v="2"/>
    <x v="0"/>
    <m/>
    <x v="0"/>
    <n v="1"/>
    <x v="1"/>
    <m/>
    <m/>
    <s v="Closed"/>
    <x v="1"/>
    <s v="NA"/>
    <n v="18"/>
    <d v="2025-05-26T02:21:19"/>
    <n v="1"/>
    <m/>
  </r>
  <r>
    <x v="0"/>
    <s v="0051004478"/>
    <s v="000010"/>
    <s v="0051004478-000010"/>
    <x v="16"/>
    <x v="14"/>
    <m/>
    <s v="DMA"/>
    <s v="OAL"/>
    <x v="106"/>
    <x v="1"/>
    <x v="0"/>
    <s v="ANSI 49"/>
    <d v="2025-10-09T00:00:00"/>
    <n v="7"/>
    <d v="2025-05-15T00:00:00"/>
    <d v="2025-05-23T00:00:00"/>
    <d v="2025-06-05T00:00:00"/>
    <b v="0"/>
    <x v="5"/>
    <n v="5"/>
    <n v="7"/>
    <n v="16"/>
    <x v="17"/>
    <s v="LATE"/>
    <x v="0"/>
    <x v="0"/>
    <m/>
    <x v="0"/>
    <n v="10"/>
    <x v="1"/>
    <m/>
    <m/>
    <s v="Closed"/>
    <x v="1"/>
    <s v="NA"/>
    <n v="18"/>
    <d v="2025-05-26T02:21:19"/>
    <n v="1"/>
    <m/>
  </r>
  <r>
    <x v="0"/>
    <s v="0051004478"/>
    <s v="000010"/>
    <s v="0051004478-000010"/>
    <x v="16"/>
    <x v="14"/>
    <m/>
    <s v="DMA"/>
    <s v="OAL"/>
    <x v="107"/>
    <x v="1"/>
    <x v="1"/>
    <s v="ANSI 49"/>
    <d v="2025-10-09T00:00:00"/>
    <n v="7"/>
    <d v="2025-05-15T00:00:00"/>
    <d v="2025-05-27T00:00:00"/>
    <d v="2025-05-29T00:00:00"/>
    <b v="0"/>
    <x v="5"/>
    <n v="5"/>
    <n v="9"/>
    <n v="11"/>
    <x v="12"/>
    <s v="LATE"/>
    <x v="0"/>
    <x v="0"/>
    <m/>
    <x v="0"/>
    <n v="5"/>
    <x v="1"/>
    <m/>
    <m/>
    <s v="Closed"/>
    <x v="1"/>
    <s v="NA"/>
    <n v="17"/>
    <d v="2025-05-27T09:58:35"/>
    <n v="1"/>
    <m/>
  </r>
  <r>
    <x v="0"/>
    <s v="0050545482"/>
    <s v="001640"/>
    <s v="0050545482-001640"/>
    <x v="17"/>
    <x v="15"/>
    <m/>
    <s v="ASP"/>
    <s v="FRC"/>
    <x v="108"/>
    <x v="1"/>
    <x v="0"/>
    <s v="ANSI 49"/>
    <d v="2025-12-09T00:00:00"/>
    <n v="10"/>
    <d v="2025-05-19T00:00:00"/>
    <d v="2025-05-26T00:00:00"/>
    <d v="2025-05-23T00:00:00"/>
    <b v="0"/>
    <x v="5"/>
    <n v="5"/>
    <n v="6"/>
    <n v="5"/>
    <x v="11"/>
    <s v="ON TIME"/>
    <x v="2"/>
    <x v="0"/>
    <m/>
    <x v="0"/>
    <n v="-6"/>
    <x v="0"/>
    <m/>
    <m/>
    <s v="Closed"/>
    <x v="0"/>
    <s v="NA"/>
    <n v="18"/>
    <d v="2025-05-29T02:21:19"/>
    <n v="1"/>
    <m/>
  </r>
  <r>
    <x v="0"/>
    <s v="0050545482"/>
    <s v="001640"/>
    <s v="0050545482-001640"/>
    <x v="17"/>
    <x v="15"/>
    <m/>
    <s v="ASP"/>
    <s v="FRC"/>
    <x v="109"/>
    <x v="1"/>
    <x v="0"/>
    <s v="ANSI 49"/>
    <d v="2025-12-09T00:00:00"/>
    <n v="9"/>
    <d v="2025-05-20T00:00:00"/>
    <d v="2025-05-28T00:00:00"/>
    <d v="2025-06-05T00:00:00"/>
    <b v="0"/>
    <x v="5"/>
    <n v="5"/>
    <n v="7"/>
    <n v="13"/>
    <x v="8"/>
    <s v="LATE"/>
    <x v="0"/>
    <x v="0"/>
    <m/>
    <x v="0"/>
    <n v="5"/>
    <x v="1"/>
    <m/>
    <m/>
    <s v="Closed"/>
    <x v="1"/>
    <s v="NA"/>
    <n v="18"/>
    <d v="2025-05-31T02:21:19"/>
    <n v="1"/>
    <m/>
  </r>
  <r>
    <x v="0"/>
    <s v="0050545482"/>
    <s v="001640"/>
    <s v="0050545482-001640"/>
    <x v="17"/>
    <x v="15"/>
    <m/>
    <s v="ASP"/>
    <s v="FRC"/>
    <x v="110"/>
    <x v="1"/>
    <x v="0"/>
    <s v="ANSI 49"/>
    <d v="2025-12-09T00:00:00"/>
    <n v="8"/>
    <d v="2025-05-21T00:00:00"/>
    <d v="2025-05-29T00:00:00"/>
    <d v="2025-05-29T00:00:00"/>
    <b v="0"/>
    <x v="5"/>
    <n v="5"/>
    <n v="7"/>
    <n v="7"/>
    <x v="9"/>
    <s v="ON TIME"/>
    <x v="2"/>
    <x v="0"/>
    <m/>
    <x v="0"/>
    <n v="-2"/>
    <x v="0"/>
    <m/>
    <m/>
    <s v="Closed"/>
    <x v="0"/>
    <s v="NA"/>
    <n v="18"/>
    <d v="2025-06-01T02:21:19"/>
    <n v="1"/>
    <m/>
  </r>
  <r>
    <x v="0"/>
    <s v="0050545482"/>
    <s v="001640"/>
    <s v="0050545482-001640"/>
    <x v="17"/>
    <x v="15"/>
    <m/>
    <s v="ASP"/>
    <s v="FRC"/>
    <x v="111"/>
    <x v="1"/>
    <x v="0"/>
    <s v="ANSI 49"/>
    <d v="2025-12-09T00:00:00"/>
    <n v="8"/>
    <d v="2025-05-21T00:00:00"/>
    <d v="2025-05-29T00:00:00"/>
    <d v="2025-06-09T00:00:00"/>
    <b v="0"/>
    <x v="5"/>
    <n v="5"/>
    <n v="7"/>
    <n v="14"/>
    <x v="13"/>
    <s v="LATE"/>
    <x v="0"/>
    <x v="0"/>
    <m/>
    <x v="0"/>
    <n v="7"/>
    <x v="1"/>
    <m/>
    <m/>
    <s v="Closed"/>
    <x v="1"/>
    <s v="NA"/>
    <n v="18"/>
    <d v="2025-06-01T02:21:19"/>
    <n v="1"/>
    <m/>
  </r>
  <r>
    <x v="0"/>
    <s v="0050545482"/>
    <s v="001640"/>
    <s v="0050545482-001640"/>
    <x v="17"/>
    <x v="15"/>
    <m/>
    <s v="ASP"/>
    <s v="FRC"/>
    <x v="112"/>
    <x v="1"/>
    <x v="0"/>
    <s v="ANSI 49"/>
    <d v="2025-12-09T00:00:00"/>
    <n v="8"/>
    <d v="2025-05-21T00:00:00"/>
    <d v="2025-05-29T00:00:00"/>
    <d v="2025-06-03T00:00:00"/>
    <b v="0"/>
    <x v="5"/>
    <n v="5"/>
    <n v="7"/>
    <n v="10"/>
    <x v="4"/>
    <s v="LATE"/>
    <x v="0"/>
    <x v="0"/>
    <m/>
    <x v="0"/>
    <n v="3"/>
    <x v="1"/>
    <m/>
    <m/>
    <s v="Closed"/>
    <x v="1"/>
    <s v="NA"/>
    <n v="18"/>
    <d v="2025-06-01T02:21:19"/>
    <n v="1"/>
    <m/>
  </r>
  <r>
    <x v="0"/>
    <s v="0050545482"/>
    <s v="001640"/>
    <s v="0050545482-001640"/>
    <x v="17"/>
    <x v="15"/>
    <m/>
    <s v="ASP"/>
    <s v="FRC"/>
    <x v="113"/>
    <x v="1"/>
    <x v="1"/>
    <s v="ANSI 49"/>
    <d v="2025-12-09T00:00:00"/>
    <n v="8"/>
    <d v="2025-05-21T00:00:00"/>
    <d v="2025-06-02T00:00:00"/>
    <d v="2025-06-05T00:00:00"/>
    <b v="0"/>
    <x v="5"/>
    <n v="5"/>
    <n v="9"/>
    <n v="12"/>
    <x v="4"/>
    <s v="LATE"/>
    <x v="0"/>
    <x v="0"/>
    <m/>
    <x v="0"/>
    <n v="5"/>
    <x v="1"/>
    <m/>
    <m/>
    <s v="Closed"/>
    <x v="1"/>
    <s v="NA"/>
    <n v="17"/>
    <d v="2025-06-02T09:58:35"/>
    <n v="1"/>
    <m/>
  </r>
  <r>
    <x v="0"/>
    <s v="0050545482"/>
    <s v="001640"/>
    <s v="0050545482-001640"/>
    <x v="17"/>
    <x v="15"/>
    <m/>
    <s v="ASP"/>
    <s v="FRC"/>
    <x v="114"/>
    <x v="1"/>
    <x v="1"/>
    <s v="ANSI 49"/>
    <d v="2025-12-09T00:00:00"/>
    <n v="8"/>
    <d v="2025-05-21T00:00:00"/>
    <d v="2025-06-02T00:00:00"/>
    <d v="2025-06-02T00:00:00"/>
    <b v="0"/>
    <x v="5"/>
    <n v="5"/>
    <n v="9"/>
    <n v="9"/>
    <x v="9"/>
    <s v="ON TIME"/>
    <x v="2"/>
    <x v="0"/>
    <m/>
    <x v="0"/>
    <n v="2"/>
    <x v="1"/>
    <m/>
    <m/>
    <s v="Closed"/>
    <x v="1"/>
    <s v="NA"/>
    <n v="17"/>
    <d v="2025-06-02T09:58:35"/>
    <n v="1"/>
    <m/>
  </r>
  <r>
    <x v="0"/>
    <s v="0051329560"/>
    <s v="000010"/>
    <s v="0051329560-000010"/>
    <x v="18"/>
    <x v="16"/>
    <m/>
    <s v="DMA"/>
    <s v="KGF"/>
    <x v="115"/>
    <x v="1"/>
    <x v="1"/>
    <s v="ANSI 49"/>
    <d v="2025-09-18T00:00:00"/>
    <n v="12"/>
    <d v="2025-05-22T00:00:00"/>
    <d v="2025-06-03T00:00:00"/>
    <d v="2025-06-02T00:00:00"/>
    <b v="0"/>
    <x v="5"/>
    <n v="5"/>
    <n v="9"/>
    <n v="8"/>
    <x v="11"/>
    <s v="ON TIME"/>
    <x v="2"/>
    <x v="0"/>
    <m/>
    <x v="0"/>
    <n v="-5"/>
    <x v="0"/>
    <m/>
    <m/>
    <s v="Closed"/>
    <x v="0"/>
    <s v="NA"/>
    <n v="17"/>
    <d v="2025-06-03T09:58:35"/>
    <n v="1"/>
    <m/>
  </r>
  <r>
    <x v="0"/>
    <s v="0051329560"/>
    <s v="000010"/>
    <s v="0051329560-000010"/>
    <x v="18"/>
    <x v="16"/>
    <m/>
    <s v="DMA"/>
    <s v="KGF"/>
    <x v="116"/>
    <x v="1"/>
    <x v="0"/>
    <s v="ANSI 49"/>
    <d v="2025-09-18T00:00:00"/>
    <n v="11"/>
    <d v="2025-05-23T00:00:00"/>
    <d v="2025-05-30T00:00:00"/>
    <d v="2025-05-30T00:00:00"/>
    <b v="0"/>
    <x v="5"/>
    <n v="5"/>
    <n v="6"/>
    <n v="6"/>
    <x v="9"/>
    <s v="ON TIME"/>
    <x v="2"/>
    <x v="0"/>
    <m/>
    <x v="0"/>
    <n v="-6"/>
    <x v="0"/>
    <m/>
    <m/>
    <s v="Closed"/>
    <x v="0"/>
    <s v="NA"/>
    <n v="18"/>
    <d v="2025-06-02T02:21:19"/>
    <n v="1"/>
    <m/>
  </r>
  <r>
    <x v="0"/>
    <s v="0051034440"/>
    <s v="000040"/>
    <s v="0051034440-000040"/>
    <x v="19"/>
    <x v="17"/>
    <m/>
    <s v="JRC"/>
    <s v="ISQ"/>
    <x v="117"/>
    <x v="1"/>
    <x v="0"/>
    <s v="ANSI 61"/>
    <m/>
    <n v="16"/>
    <d v="2025-05-23T00:00:00"/>
    <d v="2025-06-02T00:00:00"/>
    <d v="2025-05-30T00:00:00"/>
    <b v="0"/>
    <x v="5"/>
    <n v="5"/>
    <n v="7"/>
    <n v="6"/>
    <x v="11"/>
    <s v="ON TIME"/>
    <x v="2"/>
    <x v="0"/>
    <m/>
    <x v="0"/>
    <n v="-11"/>
    <x v="0"/>
    <m/>
    <m/>
    <s v="Closed"/>
    <x v="0"/>
    <s v="NA"/>
    <n v="18"/>
    <d v="2025-06-05T02:21:19"/>
    <n v="1"/>
    <m/>
  </r>
  <r>
    <x v="0"/>
    <s v="0050762569"/>
    <s v="000090"/>
    <s v="0050762569-000090"/>
    <x v="20"/>
    <x v="15"/>
    <m/>
    <s v="HMA"/>
    <s v="ODE"/>
    <x v="118"/>
    <x v="1"/>
    <x v="0"/>
    <s v="ANSI 49"/>
    <d v="2025-09-19T00:00:00"/>
    <n v="5"/>
    <d v="2025-05-26T00:00:00"/>
    <d v="2025-06-03T00:00:00"/>
    <d v="2025-06-03T00:00:00"/>
    <b v="0"/>
    <x v="5"/>
    <n v="5"/>
    <n v="7"/>
    <n v="7"/>
    <x v="9"/>
    <s v="ON TIME"/>
    <x v="2"/>
    <x v="0"/>
    <m/>
    <x v="0"/>
    <n v="3"/>
    <x v="1"/>
    <m/>
    <m/>
    <s v="Closed"/>
    <x v="1"/>
    <s v="NA"/>
    <n v="18"/>
    <d v="2025-06-06T02:21:19"/>
    <n v="1"/>
    <m/>
  </r>
  <r>
    <x v="0"/>
    <s v="0050762569"/>
    <s v="000090"/>
    <s v="0050762569-000090"/>
    <x v="20"/>
    <x v="15"/>
    <m/>
    <s v="HMA"/>
    <s v="ODE"/>
    <x v="119"/>
    <x v="1"/>
    <x v="0"/>
    <s v="ANSI 49"/>
    <d v="2025-09-19T00:00:00"/>
    <n v="5"/>
    <d v="2025-05-26T00:00:00"/>
    <d v="2025-06-03T00:00:00"/>
    <d v="2025-06-03T00:00:00"/>
    <b v="0"/>
    <x v="5"/>
    <n v="5"/>
    <n v="7"/>
    <n v="7"/>
    <x v="9"/>
    <s v="ON TIME"/>
    <x v="2"/>
    <x v="0"/>
    <m/>
    <x v="0"/>
    <n v="3"/>
    <x v="1"/>
    <m/>
    <m/>
    <s v="Closed"/>
    <x v="1"/>
    <s v="NA"/>
    <n v="18"/>
    <d v="2025-06-06T02:21:19"/>
    <n v="1"/>
    <m/>
  </r>
  <r>
    <x v="0"/>
    <s v="0050762569"/>
    <s v="000090"/>
    <s v="0050762569-000090"/>
    <x v="20"/>
    <x v="15"/>
    <m/>
    <s v="HMA"/>
    <s v="ODE"/>
    <x v="120"/>
    <x v="1"/>
    <x v="0"/>
    <s v="ANSI 49"/>
    <d v="2025-09-19T00:00:00"/>
    <n v="5"/>
    <d v="2025-05-26T00:00:00"/>
    <d v="2025-06-03T00:00:00"/>
    <d v="2025-06-03T00:00:00"/>
    <b v="0"/>
    <x v="5"/>
    <n v="5"/>
    <n v="7"/>
    <n v="7"/>
    <x v="9"/>
    <s v="ON TIME"/>
    <x v="2"/>
    <x v="0"/>
    <m/>
    <x v="0"/>
    <n v="3"/>
    <x v="1"/>
    <m/>
    <m/>
    <s v="Closed"/>
    <x v="1"/>
    <s v="NA"/>
    <n v="18"/>
    <d v="2025-06-06T02:21:19"/>
    <n v="1"/>
    <m/>
  </r>
  <r>
    <x v="0"/>
    <s v="0050762569"/>
    <s v="000010"/>
    <s v="0050762569-000010"/>
    <x v="20"/>
    <x v="16"/>
    <m/>
    <s v="JTV"/>
    <s v="CML"/>
    <x v="121"/>
    <x v="1"/>
    <x v="0"/>
    <s v="ANSI 49"/>
    <d v="2025-09-18T00:00:00"/>
    <n v="9"/>
    <d v="2025-05-27T00:00:00"/>
    <d v="2025-06-03T00:00:00"/>
    <d v="2025-06-03T00:00:00"/>
    <b v="0"/>
    <x v="5"/>
    <n v="5"/>
    <n v="6"/>
    <n v="6"/>
    <x v="9"/>
    <s v="ON TIME"/>
    <x v="2"/>
    <x v="0"/>
    <m/>
    <x v="0"/>
    <n v="-4"/>
    <x v="0"/>
    <m/>
    <m/>
    <s v="Closed"/>
    <x v="0"/>
    <s v="NA"/>
    <n v="18"/>
    <d v="2025-06-06T02:21:19"/>
    <n v="1"/>
    <m/>
  </r>
  <r>
    <x v="0"/>
    <s v="0050988425"/>
    <s v="000040"/>
    <s v="0050988425-000040"/>
    <x v="21"/>
    <x v="18"/>
    <m/>
    <s v="RRD"/>
    <s v="OAL"/>
    <x v="122"/>
    <x v="1"/>
    <x v="0"/>
    <s v="ANSI 49"/>
    <d v="2025-12-11T00:00:00"/>
    <n v="12"/>
    <d v="2025-05-27T00:00:00"/>
    <d v="2025-06-05T00:00:00"/>
    <d v="2025-06-04T00:00:00"/>
    <b v="0"/>
    <x v="5"/>
    <n v="5"/>
    <n v="8"/>
    <n v="7"/>
    <x v="11"/>
    <s v="ON TIME"/>
    <x v="2"/>
    <x v="0"/>
    <m/>
    <x v="0"/>
    <n v="-6"/>
    <x v="0"/>
    <m/>
    <m/>
    <s v="Closed"/>
    <x v="0"/>
    <s v="NA"/>
    <n v="18"/>
    <d v="2025-06-08T02:21:19"/>
    <n v="1"/>
    <m/>
  </r>
  <r>
    <x v="0"/>
    <s v="0050988425"/>
    <s v="000040"/>
    <s v="0050988425-000040"/>
    <x v="21"/>
    <x v="18"/>
    <m/>
    <s v="RRD"/>
    <s v="OAL"/>
    <x v="123"/>
    <x v="1"/>
    <x v="0"/>
    <s v="ANSI 49"/>
    <d v="2025-12-11T00:00:00"/>
    <n v="12"/>
    <d v="2025-05-27T00:00:00"/>
    <d v="2025-06-05T00:00:00"/>
    <d v="2025-06-04T00:00:00"/>
    <b v="0"/>
    <x v="5"/>
    <n v="5"/>
    <n v="8"/>
    <n v="7"/>
    <x v="11"/>
    <s v="ON TIME"/>
    <x v="2"/>
    <x v="0"/>
    <m/>
    <x v="0"/>
    <n v="-6"/>
    <x v="0"/>
    <m/>
    <m/>
    <s v="Closed"/>
    <x v="0"/>
    <s v="NA"/>
    <n v="18"/>
    <d v="2025-06-08T02:21:19"/>
    <n v="1"/>
    <m/>
  </r>
  <r>
    <x v="0"/>
    <s v="0051198254"/>
    <s v="000010"/>
    <s v="0051198254-000010"/>
    <x v="22"/>
    <x v="19"/>
    <m/>
    <s v="JAM"/>
    <s v="VL"/>
    <x v="124"/>
    <x v="1"/>
    <x v="0"/>
    <s v="ANSI 49"/>
    <d v="2025-08-25T00:00:00"/>
    <n v="8"/>
    <d v="2025-05-29T00:00:00"/>
    <d v="2025-06-05T00:00:00"/>
    <d v="2025-06-11T00:00:00"/>
    <b v="0"/>
    <x v="5"/>
    <n v="5"/>
    <n v="6"/>
    <n v="10"/>
    <x v="1"/>
    <s v="LATE"/>
    <x v="0"/>
    <x v="0"/>
    <m/>
    <x v="0"/>
    <n v="3"/>
    <x v="1"/>
    <m/>
    <m/>
    <s v="Closed"/>
    <x v="1"/>
    <s v="NA"/>
    <n v="18"/>
    <d v="2025-06-08T02:21:19"/>
    <n v="1"/>
    <m/>
  </r>
  <r>
    <x v="0"/>
    <s v="0051198254"/>
    <s v="000010"/>
    <s v="0051198254-000010"/>
    <x v="22"/>
    <x v="19"/>
    <m/>
    <s v="JAM"/>
    <s v="VL"/>
    <x v="125"/>
    <x v="1"/>
    <x v="1"/>
    <s v="ANSI 49"/>
    <d v="2025-08-25T00:00:00"/>
    <n v="8"/>
    <d v="2025-05-29T00:00:00"/>
    <d v="2025-06-10T00:00:00"/>
    <d v="2025-06-11T00:00:00"/>
    <b v="0"/>
    <x v="5"/>
    <n v="5"/>
    <n v="9"/>
    <n v="10"/>
    <x v="6"/>
    <s v="LATE"/>
    <x v="0"/>
    <x v="0"/>
    <m/>
    <x v="0"/>
    <n v="3"/>
    <x v="1"/>
    <m/>
    <m/>
    <s v="Closed"/>
    <x v="1"/>
    <s v="NA"/>
    <n v="17"/>
    <d v="2025-06-10T09:58:35"/>
    <n v="1"/>
    <m/>
  </r>
  <r>
    <x v="0"/>
    <s v="0051034440"/>
    <s v="000020"/>
    <s v="0051034440-000020"/>
    <x v="19"/>
    <x v="17"/>
    <m/>
    <s v="JRC"/>
    <s v="ISQ"/>
    <x v="126"/>
    <x v="1"/>
    <x v="0"/>
    <s v="ANSI 61"/>
    <m/>
    <n v="12"/>
    <d v="2025-05-29T00:00:00"/>
    <d v="2025-06-06T00:00:00"/>
    <d v="2025-06-03T00:00:00"/>
    <b v="0"/>
    <x v="5"/>
    <n v="5"/>
    <n v="7"/>
    <n v="4"/>
    <x v="16"/>
    <s v="ON TIME"/>
    <x v="2"/>
    <x v="0"/>
    <m/>
    <x v="0"/>
    <n v="-9"/>
    <x v="0"/>
    <m/>
    <m/>
    <s v="Closed"/>
    <x v="0"/>
    <s v="NA"/>
    <n v="18"/>
    <d v="2025-06-09T02:21:19"/>
    <n v="1"/>
    <m/>
  </r>
  <r>
    <x v="0"/>
    <s v="0050762569"/>
    <s v="000040"/>
    <s v="0050762569-000040"/>
    <x v="20"/>
    <x v="17"/>
    <m/>
    <s v="JTV"/>
    <s v="HUP"/>
    <x v="127"/>
    <x v="1"/>
    <x v="0"/>
    <s v="ANSI 49"/>
    <d v="2025-09-18T00:00:00"/>
    <n v="12"/>
    <d v="2025-05-29T00:00:00"/>
    <d v="2025-06-06T00:00:00"/>
    <d v="2025-06-03T00:00:00"/>
    <b v="0"/>
    <x v="5"/>
    <n v="5"/>
    <n v="7"/>
    <n v="4"/>
    <x v="16"/>
    <s v="ON TIME"/>
    <x v="2"/>
    <x v="0"/>
    <m/>
    <x v="0"/>
    <n v="-9"/>
    <x v="0"/>
    <m/>
    <m/>
    <s v="Closed"/>
    <x v="0"/>
    <s v="NA"/>
    <n v="18"/>
    <d v="2025-06-09T02:21:19"/>
    <n v="1"/>
    <m/>
  </r>
  <r>
    <x v="0"/>
    <s v="0051198254"/>
    <s v="000010"/>
    <s v="0051198254-000010"/>
    <x v="22"/>
    <x v="19"/>
    <m/>
    <s v="JAM"/>
    <s v="VL"/>
    <x v="128"/>
    <x v="1"/>
    <x v="0"/>
    <s v="ANSI 49"/>
    <d v="2025-08-25T00:00:00"/>
    <n v="7"/>
    <d v="2025-05-30T00:00:00"/>
    <d v="2025-06-06T00:00:00"/>
    <d v="2025-06-06T00:00:00"/>
    <b v="0"/>
    <x v="5"/>
    <n v="5"/>
    <n v="6"/>
    <n v="6"/>
    <x v="9"/>
    <s v="ON TIME"/>
    <x v="2"/>
    <x v="0"/>
    <m/>
    <x v="0"/>
    <n v="-2"/>
    <x v="0"/>
    <m/>
    <m/>
    <s v="Closed"/>
    <x v="0"/>
    <s v="NA"/>
    <n v="18"/>
    <d v="2025-06-09T02:21:19"/>
    <n v="1"/>
    <m/>
  </r>
  <r>
    <x v="0"/>
    <s v="0051138616"/>
    <s v="000070"/>
    <s v="0051138616-000070"/>
    <x v="23"/>
    <x v="20"/>
    <m/>
    <s v="HMA"/>
    <s v="ODE"/>
    <x v="129"/>
    <x v="1"/>
    <x v="0"/>
    <s v="ANSI 49"/>
    <d v="2026-07-01T00:00:00"/>
    <n v="16"/>
    <d v="2025-06-06T00:00:00"/>
    <d v="2025-06-13T00:00:00"/>
    <d v="2025-06-14T00:00:00"/>
    <b v="0"/>
    <x v="6"/>
    <n v="5"/>
    <n v="6"/>
    <n v="6"/>
    <x v="9"/>
    <s v="ON TIME"/>
    <x v="2"/>
    <x v="0"/>
    <m/>
    <x v="0"/>
    <n v="-10"/>
    <x v="0"/>
    <m/>
    <m/>
    <s v="Closed"/>
    <x v="0"/>
    <s v="NA"/>
    <n v="18"/>
    <d v="2025-06-16T02:21:19"/>
    <n v="1"/>
    <m/>
  </r>
  <r>
    <x v="0"/>
    <s v="0050754152"/>
    <s v="000090"/>
    <s v="0050754152-000090"/>
    <x v="1"/>
    <x v="21"/>
    <m/>
    <s v="DMA"/>
    <s v="LDT"/>
    <x v="130"/>
    <x v="0"/>
    <x v="0"/>
    <s v="ANSI 49"/>
    <d v="2025-09-22T00:00:00"/>
    <n v="13"/>
    <d v="2025-06-09T00:00:00"/>
    <d v="2025-06-17T00:00:00"/>
    <d v="2025-06-19T00:00:00"/>
    <b v="0"/>
    <x v="6"/>
    <n v="5"/>
    <n v="7"/>
    <n v="9"/>
    <x v="12"/>
    <s v="LATE"/>
    <x v="0"/>
    <x v="0"/>
    <m/>
    <x v="0"/>
    <n v="-5"/>
    <x v="0"/>
    <m/>
    <m/>
    <s v="Closed"/>
    <x v="0"/>
    <s v="NA"/>
    <n v="18"/>
    <d v="2025-06-20T02:21:19"/>
    <n v="1"/>
    <m/>
  </r>
  <r>
    <x v="0"/>
    <s v="0050665738"/>
    <s v="000700&amp;710"/>
    <s v="0050665738-000700&amp;710"/>
    <x v="24"/>
    <x v="20"/>
    <m/>
    <s v="JAM"/>
    <s v="ODE"/>
    <x v="131"/>
    <x v="0"/>
    <x v="0"/>
    <s v="ANSI 49"/>
    <d v="2025-09-30T00:00:00"/>
    <n v="13"/>
    <d v="2025-06-11T00:00:00"/>
    <d v="2025-06-18T00:00:00"/>
    <d v="2025-06-19T00:00:00"/>
    <b v="0"/>
    <x v="6"/>
    <n v="5"/>
    <n v="6"/>
    <n v="7"/>
    <x v="6"/>
    <s v="LATE"/>
    <x v="0"/>
    <x v="0"/>
    <m/>
    <x v="0"/>
    <n v="-7"/>
    <x v="0"/>
    <m/>
    <m/>
    <s v="Closed"/>
    <x v="0"/>
    <s v="NA"/>
    <n v="18"/>
    <d v="2025-06-21T02:21:19"/>
    <n v="1"/>
    <m/>
  </r>
  <r>
    <x v="0"/>
    <s v="0050665738"/>
    <s v="000700&amp;710"/>
    <s v="0050665738-000700&amp;710"/>
    <x v="24"/>
    <x v="20"/>
    <m/>
    <s v="JAM"/>
    <s v="ODE"/>
    <x v="132"/>
    <x v="0"/>
    <x v="1"/>
    <s v="ANSI 49"/>
    <d v="2025-09-30T00:00:00"/>
    <n v="13"/>
    <d v="2025-06-11T00:00:00"/>
    <d v="2025-06-23T00:00:00"/>
    <d v="2025-07-16T00:00:00"/>
    <b v="0"/>
    <x v="6"/>
    <n v="5"/>
    <n v="9"/>
    <n v="26"/>
    <x v="18"/>
    <s v="LATE"/>
    <x v="1"/>
    <x v="0"/>
    <m/>
    <x v="0"/>
    <n v="14"/>
    <x v="1"/>
    <m/>
    <m/>
    <s v="Closed"/>
    <x v="1"/>
    <s v="NA"/>
    <n v="17"/>
    <d v="2025-06-23T09:58:35"/>
    <n v="1"/>
    <m/>
  </r>
  <r>
    <x v="0"/>
    <s v="0051022459"/>
    <s v="004500"/>
    <s v="0051022459-004500"/>
    <x v="25"/>
    <x v="20"/>
    <m/>
    <s v="JMZ"/>
    <s v="DPM"/>
    <x v="133"/>
    <x v="0"/>
    <x v="1"/>
    <s v="ANSI 49"/>
    <d v="2025-10-14T00:00:00"/>
    <n v="13"/>
    <d v="2025-06-11T00:00:00"/>
    <d v="2025-06-23T00:00:00"/>
    <d v="2025-07-16T00:00:00"/>
    <b v="0"/>
    <x v="6"/>
    <n v="5"/>
    <n v="9"/>
    <n v="26"/>
    <x v="18"/>
    <s v="LATE"/>
    <x v="1"/>
    <x v="0"/>
    <m/>
    <x v="0"/>
    <n v="14"/>
    <x v="1"/>
    <m/>
    <m/>
    <s v="Closed"/>
    <x v="1"/>
    <s v="NA"/>
    <n v="17"/>
    <d v="2025-06-23T09:58:35"/>
    <n v="1"/>
    <m/>
  </r>
  <r>
    <x v="0"/>
    <s v="0051020870"/>
    <s v="000840"/>
    <s v="0051020870-000840"/>
    <x v="26"/>
    <x v="22"/>
    <m/>
    <s v="JAV"/>
    <s v="AL"/>
    <x v="134"/>
    <x v="0"/>
    <x v="1"/>
    <s v="ANSI 61"/>
    <d v="2026-02-27T00:00:00"/>
    <n v="23"/>
    <d v="2025-06-11T00:00:00"/>
    <d v="2025-06-23T00:00:00"/>
    <d v="2025-06-24T00:00:00"/>
    <b v="0"/>
    <x v="6"/>
    <n v="5"/>
    <n v="9"/>
    <n v="10"/>
    <x v="6"/>
    <s v="LATE"/>
    <x v="0"/>
    <x v="0"/>
    <m/>
    <x v="0"/>
    <n v="-14"/>
    <x v="0"/>
    <m/>
    <m/>
    <s v="Closed"/>
    <x v="0"/>
    <s v="NA"/>
    <n v="17"/>
    <d v="2025-06-23T09:58:35"/>
    <n v="1"/>
    <m/>
  </r>
  <r>
    <x v="0"/>
    <s v="0050988425"/>
    <s v="001260"/>
    <s v="0050988425-001260"/>
    <x v="21"/>
    <x v="20"/>
    <m/>
    <s v="RRD"/>
    <s v="OAL"/>
    <x v="135"/>
    <x v="0"/>
    <x v="0"/>
    <s v="ANSI 49"/>
    <d v="2025-12-11T00:00:00"/>
    <n v="12"/>
    <d v="2025-06-12T00:00:00"/>
    <d v="2025-05-26T00:00:00"/>
    <d v="2025-07-21T00:00:00"/>
    <b v="0"/>
    <x v="6"/>
    <n v="5"/>
    <n v="-14"/>
    <n v="28"/>
    <x v="19"/>
    <s v="LATE"/>
    <x v="1"/>
    <x v="0"/>
    <m/>
    <x v="0"/>
    <n v="17"/>
    <x v="1"/>
    <m/>
    <m/>
    <s v="Closed"/>
    <x v="1"/>
    <s v="NA"/>
    <n v="18"/>
    <d v="2025-05-29T02:21:19"/>
    <n v="1"/>
    <m/>
  </r>
  <r>
    <x v="0"/>
    <s v="0050988425"/>
    <s v="001260"/>
    <s v="0050988425-001260"/>
    <x v="21"/>
    <x v="20"/>
    <m/>
    <s v="RRD"/>
    <s v="OAL"/>
    <x v="136"/>
    <x v="0"/>
    <x v="1"/>
    <s v="ANSI 49"/>
    <d v="2025-12-11T00:00:00"/>
    <n v="12"/>
    <d v="2025-06-12T00:00:00"/>
    <d v="2025-06-24T00:00:00"/>
    <d v="2025-07-14T00:00:00"/>
    <b v="0"/>
    <x v="6"/>
    <n v="5"/>
    <n v="9"/>
    <n v="23"/>
    <x v="20"/>
    <s v="LATE"/>
    <x v="0"/>
    <x v="0"/>
    <m/>
    <x v="0"/>
    <n v="12"/>
    <x v="1"/>
    <m/>
    <m/>
    <s v="Closed"/>
    <x v="1"/>
    <s v="NA"/>
    <n v="17"/>
    <d v="2025-06-24T09:58:35"/>
    <n v="1"/>
    <m/>
  </r>
  <r>
    <x v="0"/>
    <s v="0050665738"/>
    <s v="000700&amp;710"/>
    <s v="0050665738-000700&amp;710"/>
    <x v="24"/>
    <x v="20"/>
    <m/>
    <s v="JAM"/>
    <s v="ODE"/>
    <x v="137"/>
    <x v="0"/>
    <x v="1"/>
    <s v="ANSI 49"/>
    <d v="2025-09-30T00:00:00"/>
    <n v="12"/>
    <d v="2025-06-12T00:00:00"/>
    <d v="2025-06-24T00:00:00"/>
    <d v="2025-06-26T00:00:00"/>
    <b v="0"/>
    <x v="6"/>
    <n v="5"/>
    <n v="9"/>
    <n v="11"/>
    <x v="12"/>
    <s v="LATE"/>
    <x v="0"/>
    <x v="0"/>
    <m/>
    <x v="0"/>
    <n v="-2"/>
    <x v="0"/>
    <m/>
    <m/>
    <s v="Closed"/>
    <x v="0"/>
    <s v="NA"/>
    <n v="17"/>
    <d v="2025-06-24T09:58:35"/>
    <n v="1"/>
    <m/>
  </r>
  <r>
    <x v="0"/>
    <s v="0051020870"/>
    <s v="000840"/>
    <s v="0051020870-000840"/>
    <x v="26"/>
    <x v="22"/>
    <m/>
    <s v="JAV"/>
    <s v="AL"/>
    <x v="138"/>
    <x v="0"/>
    <x v="0"/>
    <s v="ANSI 61"/>
    <d v="2026-02-27T00:00:00"/>
    <n v="22"/>
    <d v="2025-06-12T00:00:00"/>
    <d v="2025-06-24T00:00:00"/>
    <d v="2025-06-24T00:00:00"/>
    <b v="0"/>
    <x v="6"/>
    <n v="5"/>
    <n v="9"/>
    <n v="9"/>
    <x v="9"/>
    <s v="ON TIME"/>
    <x v="2"/>
    <x v="0"/>
    <m/>
    <x v="1"/>
    <n v="-14"/>
    <x v="0"/>
    <m/>
    <s v="Found PN"/>
    <s v="Cancelled"/>
    <x v="0"/>
    <s v="NA"/>
    <n v="0"/>
    <d v="2025-06-27T02:21:19"/>
    <n v="0"/>
    <m/>
  </r>
  <r>
    <x v="0"/>
    <s v="0050665738"/>
    <s v="000700"/>
    <s v="0050665738-000700"/>
    <x v="24"/>
    <x v="20"/>
    <m/>
    <s v="JAM"/>
    <s v="ODE"/>
    <x v="139"/>
    <x v="0"/>
    <x v="0"/>
    <s v="ANSI 49"/>
    <d v="2025-09-30T00:00:00"/>
    <n v="11"/>
    <d v="2025-06-13T00:00:00"/>
    <d v="2025-06-23T00:00:00"/>
    <d v="2025-06-30T00:00:00"/>
    <b v="0"/>
    <x v="6"/>
    <n v="5"/>
    <n v="7"/>
    <n v="12"/>
    <x v="3"/>
    <s v="LATE"/>
    <x v="0"/>
    <x v="0"/>
    <m/>
    <x v="0"/>
    <n v="2"/>
    <x v="1"/>
    <m/>
    <m/>
    <s v="Closed"/>
    <x v="1"/>
    <s v="NA"/>
    <n v="18"/>
    <d v="2025-06-26T02:21:19"/>
    <n v="1"/>
    <m/>
  </r>
  <r>
    <x v="0"/>
    <s v="0051229472"/>
    <s v="000100"/>
    <s v="0051229472-000100"/>
    <x v="27"/>
    <x v="23"/>
    <m/>
    <s v="MGL"/>
    <s v="ISQ"/>
    <x v="140"/>
    <x v="1"/>
    <x v="0"/>
    <s v="ANSI 49"/>
    <d v="2025-09-26T00:00:00"/>
    <n v="14"/>
    <d v="2025-06-13T00:00:00"/>
    <d v="2025-06-20T00:00:00"/>
    <d v="2025-06-20T00:00:00"/>
    <b v="0"/>
    <x v="6"/>
    <n v="5"/>
    <n v="6"/>
    <n v="6"/>
    <x v="9"/>
    <s v="ON TIME"/>
    <x v="2"/>
    <x v="0"/>
    <m/>
    <x v="0"/>
    <n v="-9"/>
    <x v="0"/>
    <m/>
    <m/>
    <s v="Closed"/>
    <x v="0"/>
    <s v="NA"/>
    <n v="18"/>
    <d v="2025-06-23T02:21:19"/>
    <n v="1"/>
    <m/>
  </r>
  <r>
    <x v="0"/>
    <s v="0051096008"/>
    <s v="000080"/>
    <s v="0051096008-000080"/>
    <x v="28"/>
    <x v="23"/>
    <m/>
    <s v="DRV"/>
    <s v="CML"/>
    <x v="141"/>
    <x v="1"/>
    <x v="0"/>
    <s v="ANSI 61"/>
    <d v="2025-09-23T00:00:00"/>
    <n v="13"/>
    <d v="2025-06-15T00:00:00"/>
    <d v="2025-06-24T00:00:00"/>
    <d v="2025-06-26T00:00:00"/>
    <b v="0"/>
    <x v="6"/>
    <n v="5"/>
    <n v="7"/>
    <n v="9"/>
    <x v="12"/>
    <s v="LATE"/>
    <x v="0"/>
    <x v="0"/>
    <m/>
    <x v="0"/>
    <n v="-5"/>
    <x v="0"/>
    <m/>
    <m/>
    <s v="Closed"/>
    <x v="0"/>
    <s v="NA"/>
    <n v="18"/>
    <d v="2025-06-27T02:21:19"/>
    <n v="1"/>
    <m/>
  </r>
  <r>
    <x v="0"/>
    <s v="0051138733"/>
    <s v="000070"/>
    <s v="0051138733-000070"/>
    <x v="29"/>
    <x v="24"/>
    <m/>
    <s v="HMA"/>
    <s v="FRC"/>
    <x v="142"/>
    <x v="1"/>
    <x v="0"/>
    <s v="ANSI 49"/>
    <d v="2026-01-14T00:00:00"/>
    <n v="15"/>
    <d v="2025-06-16T00:00:00"/>
    <d v="2025-06-24T00:00:00"/>
    <d v="2025-06-26T00:00:00"/>
    <b v="0"/>
    <x v="6"/>
    <n v="5"/>
    <n v="7"/>
    <n v="9"/>
    <x v="12"/>
    <s v="LATE"/>
    <x v="0"/>
    <x v="0"/>
    <m/>
    <x v="0"/>
    <n v="-7"/>
    <x v="0"/>
    <m/>
    <m/>
    <s v="Closed"/>
    <x v="0"/>
    <s v="NA"/>
    <n v="18"/>
    <d v="2025-06-27T02:21:19"/>
    <n v="1"/>
    <m/>
  </r>
  <r>
    <x v="0"/>
    <s v="0051020870"/>
    <s v="000840"/>
    <s v="0051020870-000840"/>
    <x v="26"/>
    <x v="22"/>
    <m/>
    <s v="JAV"/>
    <s v="AL"/>
    <x v="143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44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45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46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47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48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49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50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51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52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53"/>
    <x v="0"/>
    <x v="0"/>
    <s v="ANSI 61"/>
    <d v="2026-02-27T00:00:00"/>
    <n v="20"/>
    <d v="2025-06-16T00:00:00"/>
    <d v="2025-06-23T00:00:00"/>
    <d v="2025-07-08T00:00:00"/>
    <b v="0"/>
    <x v="6"/>
    <n v="5"/>
    <n v="6"/>
    <n v="17"/>
    <x v="21"/>
    <s v="LATE"/>
    <x v="0"/>
    <x v="0"/>
    <m/>
    <x v="0"/>
    <n v="-4"/>
    <x v="0"/>
    <m/>
    <m/>
    <s v="Closed"/>
    <x v="0"/>
    <s v="NA"/>
    <n v="18"/>
    <d v="2025-06-26T02:21:19"/>
    <n v="1"/>
    <m/>
  </r>
  <r>
    <x v="0"/>
    <s v="0051020870"/>
    <s v="000840"/>
    <s v="0051020870-000840"/>
    <x v="26"/>
    <x v="22"/>
    <m/>
    <s v="JAV"/>
    <s v="AL"/>
    <x v="154"/>
    <x v="0"/>
    <x v="0"/>
    <s v="ANSI 61"/>
    <d v="2026-02-27T00:00:00"/>
    <n v="20"/>
    <d v="2025-06-16T00:00:00"/>
    <d v="2025-06-23T00:00:00"/>
    <d v="2025-06-25T00:00:00"/>
    <b v="0"/>
    <x v="6"/>
    <n v="5"/>
    <n v="6"/>
    <n v="8"/>
    <x v="12"/>
    <s v="LATE"/>
    <x v="0"/>
    <x v="0"/>
    <m/>
    <x v="0"/>
    <n v="-13"/>
    <x v="0"/>
    <m/>
    <m/>
    <s v="Closed"/>
    <x v="0"/>
    <s v="NA"/>
    <n v="18"/>
    <d v="2025-06-26T02:21:19"/>
    <n v="1"/>
    <m/>
  </r>
  <r>
    <x v="0"/>
    <s v="0050754152"/>
    <s v="000090"/>
    <s v="0050754152-000090"/>
    <x v="1"/>
    <x v="21"/>
    <m/>
    <s v="DMA"/>
    <s v="LDT"/>
    <x v="155"/>
    <x v="1"/>
    <x v="0"/>
    <s v="ANSI 49"/>
    <d v="2025-09-22T00:00:00"/>
    <n v="7"/>
    <d v="2025-06-17T00:00:00"/>
    <d v="2025-06-25T00:00:00"/>
    <d v="2025-06-24T00:00:00"/>
    <b v="0"/>
    <x v="6"/>
    <n v="5"/>
    <n v="7"/>
    <n v="6"/>
    <x v="11"/>
    <s v="ON TIME"/>
    <x v="2"/>
    <x v="0"/>
    <m/>
    <x v="1"/>
    <n v="-2"/>
    <x v="0"/>
    <m/>
    <s v="Wrong PN"/>
    <s v="Cancelled"/>
    <x v="0"/>
    <s v="NA"/>
    <n v="0"/>
    <d v="2025-06-28T02:21:19"/>
    <n v="0"/>
    <m/>
  </r>
  <r>
    <x v="0"/>
    <s v="0051283748"/>
    <s v="000120"/>
    <s v="0051283748-000120"/>
    <x v="30"/>
    <x v="25"/>
    <m/>
    <s v="AOB"/>
    <s v="CML"/>
    <x v="156"/>
    <x v="0"/>
    <x v="0"/>
    <s v="ANSI 49"/>
    <d v="2025-09-29T00:00:00"/>
    <n v="10"/>
    <d v="2025-06-17T00:00:00"/>
    <d v="2025-06-26T00:00:00"/>
    <d v="2025-06-25T00:00:00"/>
    <b v="0"/>
    <x v="6"/>
    <n v="5"/>
    <n v="8"/>
    <n v="7"/>
    <x v="11"/>
    <s v="ON TIME"/>
    <x v="2"/>
    <x v="0"/>
    <m/>
    <x v="0"/>
    <n v="-4"/>
    <x v="0"/>
    <m/>
    <m/>
    <s v="Closed"/>
    <x v="0"/>
    <s v="NA"/>
    <n v="18"/>
    <d v="2025-06-29T02:21:19"/>
    <n v="1"/>
    <m/>
  </r>
  <r>
    <x v="0"/>
    <s v="0050754152"/>
    <s v="000090"/>
    <s v="0050754152-000090"/>
    <x v="1"/>
    <x v="21"/>
    <m/>
    <s v="DMA"/>
    <s v="LDT"/>
    <x v="157"/>
    <x v="1"/>
    <x v="0"/>
    <s v="ANSI 49"/>
    <d v="2025-09-22T00:00:00"/>
    <n v="6"/>
    <d v="2025-06-18T00:00:00"/>
    <d v="2025-06-25T00:00:00"/>
    <d v="2025-06-25T00:00:00"/>
    <b v="0"/>
    <x v="6"/>
    <n v="5"/>
    <n v="6"/>
    <n v="6"/>
    <x v="9"/>
    <s v="ON TIME"/>
    <x v="2"/>
    <x v="0"/>
    <m/>
    <x v="0"/>
    <n v="1"/>
    <x v="1"/>
    <m/>
    <m/>
    <s v="Closed"/>
    <x v="1"/>
    <s v="NA"/>
    <n v="18"/>
    <d v="2025-06-28T02:21:19"/>
    <n v="1"/>
    <m/>
  </r>
  <r>
    <x v="0"/>
    <s v="0050754152"/>
    <s v="000090"/>
    <s v="0050754152-000090"/>
    <x v="1"/>
    <x v="21"/>
    <m/>
    <s v="DMA"/>
    <s v="LDT"/>
    <x v="158"/>
    <x v="1"/>
    <x v="0"/>
    <s v="ANSI 49"/>
    <d v="2025-09-22T00:00:00"/>
    <n v="6"/>
    <d v="2025-06-18T00:00:00"/>
    <d v="2025-06-25T00:00:00"/>
    <d v="2025-07-05T00:00:00"/>
    <b v="0"/>
    <x v="6"/>
    <n v="5"/>
    <n v="6"/>
    <n v="13"/>
    <x v="13"/>
    <s v="LATE"/>
    <x v="0"/>
    <x v="0"/>
    <m/>
    <x v="0"/>
    <n v="8"/>
    <x v="1"/>
    <m/>
    <m/>
    <s v="Closed"/>
    <x v="1"/>
    <s v="NA"/>
    <n v="18"/>
    <d v="2025-06-28T02:21:19"/>
    <n v="1"/>
    <m/>
  </r>
  <r>
    <x v="0"/>
    <s v="0050754152"/>
    <s v="000090"/>
    <s v="0050754152-000090"/>
    <x v="1"/>
    <x v="21"/>
    <m/>
    <s v="DMA"/>
    <s v="LDT"/>
    <x v="159"/>
    <x v="1"/>
    <x v="0"/>
    <s v="ANSI 49"/>
    <d v="2025-09-22T00:00:00"/>
    <n v="6"/>
    <d v="2025-06-18T00:00:00"/>
    <d v="2025-06-25T00:00:00"/>
    <d v="2025-06-25T00:00:00"/>
    <b v="0"/>
    <x v="6"/>
    <n v="5"/>
    <n v="6"/>
    <n v="6"/>
    <x v="9"/>
    <s v="ON TIME"/>
    <x v="2"/>
    <x v="0"/>
    <m/>
    <x v="0"/>
    <n v="1"/>
    <x v="1"/>
    <m/>
    <m/>
    <s v="Closed"/>
    <x v="1"/>
    <s v="NA"/>
    <n v="18"/>
    <d v="2025-06-28T02:21:19"/>
    <n v="1"/>
    <m/>
  </r>
  <r>
    <x v="0"/>
    <s v="0050754152"/>
    <s v="000090"/>
    <s v="0050754152-000090"/>
    <x v="1"/>
    <x v="21"/>
    <m/>
    <s v="DMA"/>
    <s v="LDT"/>
    <x v="160"/>
    <x v="1"/>
    <x v="0"/>
    <s v="ANSI 49"/>
    <d v="2025-09-22T00:00:00"/>
    <n v="6"/>
    <d v="2025-06-18T00:00:00"/>
    <d v="2025-07-01T00:00:00"/>
    <d v="2025-07-01T00:00:00"/>
    <b v="0"/>
    <x v="6"/>
    <n v="5"/>
    <n v="10"/>
    <n v="10"/>
    <x v="9"/>
    <s v="ON TIME"/>
    <x v="2"/>
    <x v="0"/>
    <m/>
    <x v="0"/>
    <n v="5"/>
    <x v="1"/>
    <m/>
    <m/>
    <s v="Closed"/>
    <x v="1"/>
    <s v="NA"/>
    <n v="18"/>
    <d v="2025-07-04T02:21:19"/>
    <n v="1"/>
    <m/>
  </r>
  <r>
    <x v="0"/>
    <s v="0050665738"/>
    <s v="000700"/>
    <s v="0050665738-000700"/>
    <x v="24"/>
    <x v="20"/>
    <m/>
    <s v="JAM"/>
    <s v="ODE"/>
    <x v="161"/>
    <x v="1"/>
    <x v="0"/>
    <s v="ANSI 49"/>
    <d v="2025-09-30T00:00:00"/>
    <n v="8"/>
    <d v="2025-06-18T00:00:00"/>
    <d v="2025-06-26T00:00:00"/>
    <d v="2025-06-25T00:00:00"/>
    <b v="0"/>
    <x v="6"/>
    <n v="5"/>
    <n v="7"/>
    <n v="6"/>
    <x v="11"/>
    <s v="ON TIME"/>
    <x v="2"/>
    <x v="0"/>
    <m/>
    <x v="0"/>
    <n v="-3"/>
    <x v="0"/>
    <m/>
    <m/>
    <s v="Closed"/>
    <x v="0"/>
    <s v="NA"/>
    <n v="18"/>
    <d v="2025-06-29T02:21:19"/>
    <n v="1"/>
    <m/>
  </r>
  <r>
    <x v="0"/>
    <s v="0050665738"/>
    <s v="000700&amp;710"/>
    <s v="0050665738-000700&amp;710"/>
    <x v="24"/>
    <x v="20"/>
    <m/>
    <s v="JAM"/>
    <s v="ODE"/>
    <x v="162"/>
    <x v="0"/>
    <x v="1"/>
    <s v="ANSI 49"/>
    <d v="2025-09-30T00:00:00"/>
    <n v="7"/>
    <d v="2025-06-19T00:00:00"/>
    <d v="2025-06-26T00:00:00"/>
    <d v="2025-07-01T00:00:00"/>
    <b v="0"/>
    <x v="6"/>
    <n v="5"/>
    <n v="6"/>
    <n v="9"/>
    <x v="4"/>
    <s v="LATE"/>
    <x v="0"/>
    <x v="0"/>
    <m/>
    <x v="0"/>
    <n v="3"/>
    <x v="1"/>
    <m/>
    <m/>
    <s v="Closed"/>
    <x v="1"/>
    <s v="NA"/>
    <n v="17"/>
    <d v="2025-06-26T09:58:35"/>
    <n v="1"/>
    <m/>
  </r>
  <r>
    <x v="0"/>
    <s v="0050665738"/>
    <s v="000700&amp;710"/>
    <s v="0050665738-000700&amp;710"/>
    <x v="24"/>
    <x v="20"/>
    <m/>
    <s v="JAM"/>
    <s v="ODE"/>
    <x v="163"/>
    <x v="0"/>
    <x v="1"/>
    <s v="ANSI 49"/>
    <d v="2025-09-30T00:00:00"/>
    <n v="7"/>
    <d v="2025-06-19T00:00:00"/>
    <d v="2025-06-26T00:00:00"/>
    <d v="2025-07-01T00:00:00"/>
    <b v="0"/>
    <x v="6"/>
    <n v="5"/>
    <n v="6"/>
    <n v="9"/>
    <x v="4"/>
    <s v="LATE"/>
    <x v="0"/>
    <x v="0"/>
    <m/>
    <x v="0"/>
    <n v="3"/>
    <x v="1"/>
    <m/>
    <m/>
    <s v="Closed"/>
    <x v="1"/>
    <s v="NA"/>
    <n v="17"/>
    <d v="2025-06-26T09:58:35"/>
    <n v="1"/>
    <m/>
  </r>
  <r>
    <x v="0"/>
    <s v="0050665738"/>
    <s v="000700"/>
    <s v="0050665738-000700"/>
    <x v="24"/>
    <x v="20"/>
    <m/>
    <s v="JAM"/>
    <s v="ODE"/>
    <x v="164"/>
    <x v="1"/>
    <x v="0"/>
    <s v="ANSI 49"/>
    <d v="2025-09-30T00:00:00"/>
    <n v="7"/>
    <d v="2025-06-19T00:00:00"/>
    <d v="2025-06-26T00:00:00"/>
    <d v="2025-06-25T00:00:00"/>
    <b v="0"/>
    <x v="6"/>
    <n v="5"/>
    <n v="6"/>
    <n v="5"/>
    <x v="11"/>
    <s v="ON TIME"/>
    <x v="2"/>
    <x v="0"/>
    <m/>
    <x v="0"/>
    <n v="-3"/>
    <x v="0"/>
    <m/>
    <m/>
    <s v="Closed"/>
    <x v="0"/>
    <s v="NA"/>
    <n v="18"/>
    <d v="2025-06-29T02:21:19"/>
    <n v="1"/>
    <m/>
  </r>
  <r>
    <x v="0"/>
    <s v="0050665738"/>
    <s v="000700"/>
    <s v="0050665738-000700"/>
    <x v="24"/>
    <x v="20"/>
    <m/>
    <s v="JAM"/>
    <s v="ODE"/>
    <x v="165"/>
    <x v="1"/>
    <x v="0"/>
    <s v="ANSI 49"/>
    <d v="2025-09-30T00:00:00"/>
    <n v="7"/>
    <d v="2025-06-19T00:00:00"/>
    <d v="2025-06-26T00:00:00"/>
    <d v="2025-07-05T00:00:00"/>
    <b v="0"/>
    <x v="6"/>
    <n v="5"/>
    <n v="6"/>
    <n v="12"/>
    <x v="8"/>
    <s v="LATE"/>
    <x v="0"/>
    <x v="0"/>
    <m/>
    <x v="0"/>
    <n v="6"/>
    <x v="1"/>
    <m/>
    <m/>
    <s v="Closed"/>
    <x v="1"/>
    <s v="NA"/>
    <n v="18"/>
    <d v="2025-06-29T02:21:19"/>
    <n v="1"/>
    <m/>
  </r>
  <r>
    <x v="0"/>
    <s v="0051022459"/>
    <s v="004500"/>
    <s v="0051022459-004500"/>
    <x v="25"/>
    <x v="20"/>
    <m/>
    <s v="JMZ"/>
    <s v="DPM"/>
    <x v="166"/>
    <x v="1"/>
    <x v="0"/>
    <s v="ANSI 49"/>
    <d v="2025-10-14T00:00:00"/>
    <n v="5"/>
    <d v="2025-06-23T00:00:00"/>
    <d v="2025-06-30T00:00:00"/>
    <d v="2025-07-03T00:00:00"/>
    <b v="0"/>
    <x v="6"/>
    <n v="5"/>
    <n v="6"/>
    <n v="9"/>
    <x v="4"/>
    <s v="LATE"/>
    <x v="0"/>
    <x v="0"/>
    <m/>
    <x v="0"/>
    <n v="5"/>
    <x v="1"/>
    <m/>
    <m/>
    <s v="Closed"/>
    <x v="1"/>
    <s v="NA"/>
    <n v="18"/>
    <d v="2025-07-03T02:21:19"/>
    <n v="1"/>
    <m/>
  </r>
  <r>
    <x v="0"/>
    <s v="0051020870"/>
    <s v="000840"/>
    <s v="0051020870-000840"/>
    <x v="26"/>
    <x v="22"/>
    <m/>
    <s v="ALT"/>
    <s v="AL"/>
    <x v="167"/>
    <x v="1"/>
    <x v="0"/>
    <s v="ANSI 61"/>
    <d v="2026-02-27T00:00:00"/>
    <n v="14"/>
    <d v="2025-06-24T00:00:00"/>
    <d v="2025-07-03T00:00:00"/>
    <d v="2025-07-08T00:00:00"/>
    <b v="0"/>
    <x v="6"/>
    <n v="5"/>
    <n v="8"/>
    <n v="11"/>
    <x v="4"/>
    <s v="LATE"/>
    <x v="0"/>
    <x v="0"/>
    <m/>
    <x v="0"/>
    <n v="-4"/>
    <x v="0"/>
    <m/>
    <m/>
    <s v="Closed"/>
    <x v="0"/>
    <s v="NA"/>
    <n v="18"/>
    <d v="2025-07-06T02:21:19"/>
    <n v="1"/>
    <m/>
  </r>
  <r>
    <x v="0"/>
    <s v="0051020870"/>
    <s v="000840"/>
    <s v="0051020870-000840"/>
    <x v="26"/>
    <x v="22"/>
    <m/>
    <s v="ALT"/>
    <s v="AL"/>
    <x v="168"/>
    <x v="0"/>
    <x v="0"/>
    <s v="ANSI 61"/>
    <d v="2026-02-27T00:00:00"/>
    <n v="14"/>
    <d v="2025-06-24T00:00:00"/>
    <d v="2025-07-03T00:00:00"/>
    <d v="2025-07-16T00:00:00"/>
    <b v="0"/>
    <x v="6"/>
    <n v="5"/>
    <n v="8"/>
    <n v="17"/>
    <x v="17"/>
    <s v="LATE"/>
    <x v="0"/>
    <x v="0"/>
    <m/>
    <x v="0"/>
    <n v="4"/>
    <x v="1"/>
    <m/>
    <m/>
    <s v="Closed"/>
    <x v="1"/>
    <s v="NA"/>
    <n v="18"/>
    <d v="2025-07-06T02:21:19"/>
    <n v="1"/>
    <m/>
  </r>
  <r>
    <x v="0"/>
    <s v="0051383209"/>
    <s v="000010"/>
    <s v="0051383209-000010"/>
    <x v="31"/>
    <x v="26"/>
    <m/>
    <s v="RRD"/>
    <s v="HUP"/>
    <x v="169"/>
    <x v="1"/>
    <x v="0"/>
    <s v="ANSI 49"/>
    <d v="2025-10-20T00:00:00"/>
    <n v="12"/>
    <d v="2025-06-25T00:00:00"/>
    <d v="2025-07-03T00:00:00"/>
    <d v="2025-07-16T00:00:00"/>
    <b v="0"/>
    <x v="6"/>
    <n v="5"/>
    <n v="7"/>
    <n v="16"/>
    <x v="17"/>
    <s v="LATE"/>
    <x v="0"/>
    <x v="0"/>
    <m/>
    <x v="0"/>
    <n v="5"/>
    <x v="1"/>
    <m/>
    <m/>
    <s v="Closed"/>
    <x v="1"/>
    <s v="NA"/>
    <n v="18"/>
    <d v="2025-07-06T02:21:19"/>
    <n v="1"/>
    <m/>
  </r>
  <r>
    <x v="0"/>
    <s v="0051020870"/>
    <s v="000840"/>
    <s v="0051020870-000840"/>
    <x v="26"/>
    <x v="22"/>
    <m/>
    <s v="JAV"/>
    <s v="AL"/>
    <x v="170"/>
    <x v="0"/>
    <x v="0"/>
    <s v="ANSI 61"/>
    <d v="2026-02-27T00:00:00"/>
    <n v="13"/>
    <d v="2025-06-25T00:00:00"/>
    <d v="2025-07-02T00:00:00"/>
    <d v="2025-07-08T00:00:00"/>
    <b v="0"/>
    <x v="6"/>
    <n v="5"/>
    <n v="6"/>
    <n v="10"/>
    <x v="1"/>
    <s v="LATE"/>
    <x v="0"/>
    <x v="0"/>
    <m/>
    <x v="0"/>
    <n v="-4"/>
    <x v="0"/>
    <m/>
    <m/>
    <s v="Closed"/>
    <x v="0"/>
    <s v="NA"/>
    <n v="18"/>
    <d v="2025-07-05T02:21:19"/>
    <n v="1"/>
    <m/>
  </r>
  <r>
    <x v="0"/>
    <s v="0051306085"/>
    <s v="000280&amp;000290 "/>
    <s v="0051306085-000280&amp;000290 "/>
    <x v="32"/>
    <x v="22"/>
    <m/>
    <s v="JRC"/>
    <s v="IGS"/>
    <x v="171"/>
    <x v="0"/>
    <x v="0"/>
    <s v="ANSI 49"/>
    <d v="2025-10-27T00:00:00"/>
    <n v="13"/>
    <d v="2025-06-25T00:00:00"/>
    <d v="2025-07-03T00:00:00"/>
    <d v="2025-07-08T00:00:00"/>
    <b v="0"/>
    <x v="6"/>
    <n v="5"/>
    <n v="7"/>
    <n v="10"/>
    <x v="4"/>
    <s v="LATE"/>
    <x v="0"/>
    <x v="0"/>
    <m/>
    <x v="0"/>
    <n v="-4"/>
    <x v="0"/>
    <m/>
    <m/>
    <s v="Closed"/>
    <x v="0"/>
    <s v="NA"/>
    <n v="18"/>
    <d v="2025-07-06T02:21:19"/>
    <n v="1"/>
    <m/>
  </r>
  <r>
    <x v="0"/>
    <s v="0051427096"/>
    <s v="000120"/>
    <s v="0051427096-000120"/>
    <x v="33"/>
    <x v="27"/>
    <m/>
    <s v="HMA"/>
    <s v="ODE"/>
    <x v="172"/>
    <x v="0"/>
    <x v="0"/>
    <s v="ANSI 49"/>
    <d v="2025-10-23T00:00:00"/>
    <n v="26"/>
    <d v="2025-06-25T00:00:00"/>
    <d v="2025-07-03T00:00:00"/>
    <d v="2025-07-09T00:00:00"/>
    <b v="0"/>
    <x v="6"/>
    <n v="5"/>
    <n v="7"/>
    <n v="11"/>
    <x v="1"/>
    <s v="LATE"/>
    <x v="0"/>
    <x v="0"/>
    <m/>
    <x v="0"/>
    <n v="-16"/>
    <x v="0"/>
    <m/>
    <m/>
    <s v="Closed"/>
    <x v="0"/>
    <s v="NA"/>
    <n v="18"/>
    <d v="2025-07-06T02:21:19"/>
    <n v="1"/>
    <m/>
  </r>
  <r>
    <x v="0"/>
    <s v="0051283748"/>
    <s v="000120"/>
    <s v="0051283748-000120"/>
    <x v="30"/>
    <x v="25"/>
    <m/>
    <s v="AOB"/>
    <s v="CML"/>
    <x v="173"/>
    <x v="1"/>
    <x v="0"/>
    <s v="ANSI 49"/>
    <d v="2025-09-29T00:00:00"/>
    <n v="3"/>
    <d v="2025-06-26T00:00:00"/>
    <d v="2025-07-04T00:00:00"/>
    <d v="2025-07-14T00:00:00"/>
    <b v="0"/>
    <x v="6"/>
    <n v="5"/>
    <n v="7"/>
    <n v="13"/>
    <x v="8"/>
    <s v="LATE"/>
    <x v="0"/>
    <x v="1"/>
    <m/>
    <x v="0"/>
    <n v="11"/>
    <x v="1"/>
    <m/>
    <m/>
    <s v="Closed"/>
    <x v="1"/>
    <s v="NA"/>
    <n v="18"/>
    <d v="2025-07-07T02:21:19"/>
    <n v="1"/>
    <m/>
  </r>
  <r>
    <x v="0"/>
    <s v="0051383209"/>
    <s v="000010"/>
    <s v="0051383209-000010"/>
    <x v="31"/>
    <x v="26"/>
    <m/>
    <s v="RRD"/>
    <s v="HUP"/>
    <x v="174"/>
    <x v="1"/>
    <x v="0"/>
    <s v="ANSI 49"/>
    <d v="2025-10-20T00:00:00"/>
    <n v="11"/>
    <d v="2025-06-26T00:00:00"/>
    <d v="2025-07-03T00:00:00"/>
    <d v="2025-07-12T00:00:00"/>
    <b v="0"/>
    <x v="6"/>
    <n v="5"/>
    <n v="6"/>
    <n v="12"/>
    <x v="8"/>
    <s v="LATE"/>
    <x v="0"/>
    <x v="0"/>
    <m/>
    <x v="0"/>
    <n v="2"/>
    <x v="1"/>
    <m/>
    <m/>
    <s v="Closed"/>
    <x v="1"/>
    <s v="NA"/>
    <n v="18"/>
    <d v="2025-07-06T02:21:19"/>
    <n v="1"/>
    <m/>
  </r>
  <r>
    <x v="0"/>
    <s v="0051383209"/>
    <s v="000010"/>
    <s v="0051383209-000010"/>
    <x v="31"/>
    <x v="26"/>
    <m/>
    <s v="RRD"/>
    <s v="HUP"/>
    <x v="175"/>
    <x v="1"/>
    <x v="0"/>
    <s v="ANSI 49"/>
    <d v="2025-10-20T00:00:00"/>
    <n v="11"/>
    <d v="2025-06-26T00:00:00"/>
    <d v="2025-07-03T00:00:00"/>
    <d v="2025-07-22T00:00:00"/>
    <b v="0"/>
    <x v="6"/>
    <n v="5"/>
    <n v="6"/>
    <n v="19"/>
    <x v="22"/>
    <s v="LATE"/>
    <x v="0"/>
    <x v="0"/>
    <m/>
    <x v="0"/>
    <n v="9"/>
    <x v="1"/>
    <m/>
    <m/>
    <s v="Closed"/>
    <x v="1"/>
    <s v="NA"/>
    <n v="18"/>
    <d v="2025-07-06T02:21:19"/>
    <n v="1"/>
    <m/>
  </r>
  <r>
    <x v="0"/>
    <s v="0051383209"/>
    <s v="000010"/>
    <s v="0051383209-000010"/>
    <x v="31"/>
    <x v="26"/>
    <m/>
    <s v="RRD"/>
    <s v="HUP"/>
    <x v="176"/>
    <x v="1"/>
    <x v="0"/>
    <s v="ANSI 49"/>
    <d v="2025-10-20T00:00:00"/>
    <n v="11"/>
    <d v="2025-06-26T00:00:00"/>
    <d v="2025-07-03T00:00:00"/>
    <d v="2025-07-10T00:00:00"/>
    <b v="0"/>
    <x v="6"/>
    <n v="5"/>
    <n v="6"/>
    <n v="11"/>
    <x v="3"/>
    <s v="LATE"/>
    <x v="0"/>
    <x v="0"/>
    <m/>
    <x v="0"/>
    <n v="1"/>
    <x v="1"/>
    <m/>
    <m/>
    <s v="Closed"/>
    <x v="1"/>
    <s v="NA"/>
    <n v="18"/>
    <d v="2025-07-06T02:21:19"/>
    <n v="1"/>
    <m/>
  </r>
  <r>
    <x v="0"/>
    <s v="0051383209"/>
    <s v="000010"/>
    <s v="0051383209-000010"/>
    <x v="31"/>
    <x v="26"/>
    <m/>
    <s v="RRD"/>
    <s v="HUP"/>
    <x v="177"/>
    <x v="1"/>
    <x v="1"/>
    <s v="ANSI 49"/>
    <d v="2025-10-20T00:00:00"/>
    <n v="11"/>
    <d v="2025-06-26T00:00:00"/>
    <d v="2025-07-08T00:00:00"/>
    <d v="2025-07-12T00:00:00"/>
    <b v="0"/>
    <x v="6"/>
    <n v="5"/>
    <n v="9"/>
    <n v="12"/>
    <x v="4"/>
    <s v="LATE"/>
    <x v="0"/>
    <x v="0"/>
    <m/>
    <x v="0"/>
    <n v="2"/>
    <x v="1"/>
    <m/>
    <m/>
    <s v="Closed"/>
    <x v="1"/>
    <s v="NA"/>
    <n v="17"/>
    <d v="2025-07-08T09:58:35"/>
    <n v="1"/>
    <m/>
  </r>
  <r>
    <x v="0"/>
    <s v="0051004478"/>
    <s v="000010"/>
    <s v="0051004478-000010"/>
    <x v="16"/>
    <x v="14"/>
    <m/>
    <s v="DMA"/>
    <s v="OAL"/>
    <x v="178"/>
    <x v="1"/>
    <x v="0"/>
    <s v="ANSI 49"/>
    <d v="2025-10-09T00:00:00"/>
    <n v="-28"/>
    <d v="2025-07-01T00:00:00"/>
    <d v="2025-07-08T00:00:00"/>
    <d v="2025-07-16T00:00:00"/>
    <b v="0"/>
    <x v="7"/>
    <n v="5"/>
    <n v="6"/>
    <n v="12"/>
    <x v="8"/>
    <s v="LATE"/>
    <x v="0"/>
    <x v="1"/>
    <m/>
    <x v="0"/>
    <n v="39"/>
    <x v="1"/>
    <m/>
    <m/>
    <s v="Closed"/>
    <x v="1"/>
    <s v="NA"/>
    <n v="18"/>
    <d v="2025-07-11T02:21:19"/>
    <n v="1"/>
    <m/>
  </r>
  <r>
    <x v="0"/>
    <s v="0051306085"/>
    <s v="000300"/>
    <s v="0051306085-000300"/>
    <x v="32"/>
    <x v="28"/>
    <m/>
    <s v="HMA"/>
    <s v="IGS"/>
    <x v="179"/>
    <x v="0"/>
    <x v="0"/>
    <s v="ANSI 49"/>
    <d v="2025-05-12T00:00:00"/>
    <n v="38"/>
    <d v="2025-07-02T00:00:00"/>
    <d v="2025-07-09T00:00:00"/>
    <d v="2025-07-09T00:00:00"/>
    <b v="0"/>
    <x v="7"/>
    <n v="5"/>
    <n v="6"/>
    <n v="6"/>
    <x v="9"/>
    <s v="ON TIME"/>
    <x v="2"/>
    <x v="0"/>
    <m/>
    <x v="0"/>
    <n v="-33"/>
    <x v="0"/>
    <m/>
    <m/>
    <s v="Closed"/>
    <x v="0"/>
    <s v="NA"/>
    <n v="18"/>
    <d v="2025-07-12T02:21:19"/>
    <n v="1"/>
    <m/>
  </r>
  <r>
    <x v="0"/>
    <s v="0051306085"/>
    <s v="000300"/>
    <s v="0051306085-000300"/>
    <x v="32"/>
    <x v="28"/>
    <m/>
    <s v="HMA"/>
    <s v="IGS"/>
    <x v="180"/>
    <x v="0"/>
    <x v="0"/>
    <s v="ANSI 49"/>
    <d v="2025-05-12T00:00:00"/>
    <n v="38"/>
    <d v="2025-07-02T00:00:00"/>
    <d v="2025-07-09T00:00:00"/>
    <d v="2025-07-09T00:00:00"/>
    <b v="0"/>
    <x v="7"/>
    <n v="5"/>
    <n v="6"/>
    <n v="6"/>
    <x v="9"/>
    <s v="ON TIME"/>
    <x v="2"/>
    <x v="0"/>
    <m/>
    <x v="0"/>
    <n v="-33"/>
    <x v="0"/>
    <m/>
    <m/>
    <s v="Closed"/>
    <x v="0"/>
    <s v="NA"/>
    <n v="18"/>
    <d v="2025-07-12T02:21:19"/>
    <n v="1"/>
    <m/>
  </r>
  <r>
    <x v="0"/>
    <s v="0051306085"/>
    <s v="000300"/>
    <s v="0051306085-000300"/>
    <x v="32"/>
    <x v="28"/>
    <m/>
    <s v="HMA"/>
    <s v="IGS"/>
    <x v="181"/>
    <x v="0"/>
    <x v="0"/>
    <s v="ANSI 49"/>
    <d v="2025-05-12T00:00:00"/>
    <n v="38"/>
    <d v="2025-07-02T00:00:00"/>
    <d v="2025-07-09T00:00:00"/>
    <d v="2025-07-17T00:00:00"/>
    <b v="0"/>
    <x v="7"/>
    <n v="5"/>
    <n v="6"/>
    <n v="12"/>
    <x v="8"/>
    <s v="LATE"/>
    <x v="0"/>
    <x v="0"/>
    <m/>
    <x v="0"/>
    <n v="-27"/>
    <x v="0"/>
    <m/>
    <m/>
    <s v="Closed"/>
    <x v="0"/>
    <s v="NA"/>
    <n v="18"/>
    <d v="2025-07-12T02:21:19"/>
    <n v="1"/>
    <m/>
  </r>
  <r>
    <x v="0"/>
    <s v="0051306085"/>
    <s v="000300"/>
    <s v="0051306085-000300"/>
    <x v="32"/>
    <x v="28"/>
    <m/>
    <s v="HMA"/>
    <s v="IGS"/>
    <x v="182"/>
    <x v="0"/>
    <x v="1"/>
    <s v="ANSI 49"/>
    <d v="2025-05-12T00:00:00"/>
    <n v="38"/>
    <d v="2025-07-02T00:00:00"/>
    <d v="2025-07-14T00:00:00"/>
    <d v="2025-07-14T00:00:00"/>
    <b v="0"/>
    <x v="7"/>
    <n v="5"/>
    <n v="9"/>
    <n v="9"/>
    <x v="9"/>
    <s v="ON TIME"/>
    <x v="2"/>
    <x v="0"/>
    <m/>
    <x v="0"/>
    <n v="-30"/>
    <x v="0"/>
    <m/>
    <m/>
    <s v="Closed"/>
    <x v="0"/>
    <s v="NA"/>
    <n v="17"/>
    <d v="2025-07-14T09:58:35"/>
    <n v="1"/>
    <m/>
  </r>
  <r>
    <x v="0"/>
    <s v="0051020870"/>
    <s v="000840"/>
    <s v="0051020870-000840"/>
    <x v="26"/>
    <x v="22"/>
    <m/>
    <s v="JAV"/>
    <s v="AL"/>
    <x v="183"/>
    <x v="0"/>
    <x v="0"/>
    <s v="ANSI 61"/>
    <d v="2026-02-27T00:00:00"/>
    <n v="7"/>
    <d v="2025-07-03T00:00:00"/>
    <d v="2025-07-11T00:00:00"/>
    <d v="2025-07-16T00:00:00"/>
    <b v="0"/>
    <x v="7"/>
    <n v="5"/>
    <n v="7"/>
    <n v="10"/>
    <x v="4"/>
    <s v="LATE"/>
    <x v="0"/>
    <x v="0"/>
    <m/>
    <x v="0"/>
    <n v="4"/>
    <x v="1"/>
    <m/>
    <m/>
    <s v="Closed"/>
    <x v="1"/>
    <s v="NA"/>
    <n v="18"/>
    <d v="2025-07-14T02:21:19"/>
    <n v="1"/>
    <m/>
  </r>
  <r>
    <x v="0"/>
    <s v="0051020870"/>
    <s v="000840"/>
    <s v="0051020870-000840"/>
    <x v="26"/>
    <x v="22"/>
    <m/>
    <s v="JAV"/>
    <s v="AL"/>
    <x v="184"/>
    <x v="0"/>
    <x v="1"/>
    <s v="ANSI 61"/>
    <d v="2026-02-27T00:00:00"/>
    <n v="7"/>
    <d v="2025-07-03T00:00:00"/>
    <d v="2025-07-15T00:00:00"/>
    <d v="2025-07-14T00:00:00"/>
    <b v="0"/>
    <x v="7"/>
    <n v="5"/>
    <n v="9"/>
    <n v="8"/>
    <x v="11"/>
    <s v="ON TIME"/>
    <x v="2"/>
    <x v="0"/>
    <m/>
    <x v="0"/>
    <n v="2"/>
    <x v="1"/>
    <m/>
    <m/>
    <s v="Closed"/>
    <x v="1"/>
    <s v="NA"/>
    <n v="17"/>
    <d v="2025-07-15T09:58:35"/>
    <n v="1"/>
    <m/>
  </r>
  <r>
    <x v="0"/>
    <s v="0051296915"/>
    <s v="000010"/>
    <s v="0051296915-000010"/>
    <x v="34"/>
    <x v="29"/>
    <m/>
    <s v="JAM"/>
    <s v="VL"/>
    <x v="185"/>
    <x v="0"/>
    <x v="0"/>
    <s v="ANSI 49"/>
    <d v="2025-11-21T00:00:00"/>
    <n v="21"/>
    <d v="2025-07-03T00:00:00"/>
    <d v="2025-07-14T00:00:00"/>
    <d v="2025-07-18T00:00:00"/>
    <b v="0"/>
    <x v="7"/>
    <n v="5"/>
    <n v="8"/>
    <n v="12"/>
    <x v="1"/>
    <s v="LATE"/>
    <x v="0"/>
    <x v="0"/>
    <m/>
    <x v="0"/>
    <n v="-10"/>
    <x v="0"/>
    <m/>
    <m/>
    <s v="Closed"/>
    <x v="0"/>
    <s v="NA"/>
    <n v="18"/>
    <d v="2025-07-17T02:21:19"/>
    <n v="1"/>
    <m/>
  </r>
  <r>
    <x v="0"/>
    <s v="0051296915"/>
    <s v="000010"/>
    <s v="0051296915-000010"/>
    <x v="34"/>
    <x v="29"/>
    <m/>
    <s v="JAM"/>
    <s v="VL"/>
    <x v="186"/>
    <x v="0"/>
    <x v="1"/>
    <s v="ANSI 49"/>
    <d v="2025-11-21T00:00:00"/>
    <n v="21"/>
    <d v="2025-07-03T00:00:00"/>
    <d v="2025-07-17T00:00:00"/>
    <d v="2025-07-17T00:00:00"/>
    <b v="0"/>
    <x v="7"/>
    <n v="5"/>
    <n v="11"/>
    <n v="11"/>
    <x v="9"/>
    <s v="ON TIME"/>
    <x v="2"/>
    <x v="0"/>
    <m/>
    <x v="0"/>
    <n v="-11"/>
    <x v="0"/>
    <m/>
    <m/>
    <s v="Closed"/>
    <x v="0"/>
    <s v="NA"/>
    <n v="17"/>
    <d v="2025-07-17T09:58:35"/>
    <n v="1"/>
    <m/>
  </r>
  <r>
    <x v="0"/>
    <s v="0050866188"/>
    <s v="004960"/>
    <s v="0050866188-004960"/>
    <x v="35"/>
    <x v="22"/>
    <m/>
    <s v="JTV"/>
    <s v="VL"/>
    <x v="187"/>
    <x v="1"/>
    <x v="1"/>
    <s v="ANSI 49"/>
    <d v="2025-10-20T00:00:00"/>
    <n v="5"/>
    <d v="2025-07-06T00:00:00"/>
    <d v="2025-07-15T00:00:00"/>
    <d v="2025-07-29T00:00:00"/>
    <b v="0"/>
    <x v="7"/>
    <n v="5"/>
    <n v="7"/>
    <n v="17"/>
    <x v="0"/>
    <s v="LATE"/>
    <x v="0"/>
    <x v="0"/>
    <m/>
    <x v="0"/>
    <n v="13"/>
    <x v="1"/>
    <m/>
    <m/>
    <s v="Closed"/>
    <x v="1"/>
    <s v="NA"/>
    <n v="17"/>
    <d v="2025-07-15T09:58:35"/>
    <n v="1"/>
    <m/>
  </r>
  <r>
    <x v="0"/>
    <s v="0051283748"/>
    <s v="000120"/>
    <s v="0051283748-000120"/>
    <x v="30"/>
    <x v="25"/>
    <m/>
    <s v="AOB"/>
    <s v="CML"/>
    <x v="188"/>
    <x v="1"/>
    <x v="0"/>
    <s v="ANSI 49"/>
    <d v="2025-09-29T00:00:00"/>
    <n v="-6"/>
    <d v="2025-07-07T00:00:00"/>
    <d v="2025-07-15T00:00:00"/>
    <d v="2025-07-11T00:00:00"/>
    <b v="0"/>
    <x v="7"/>
    <n v="5"/>
    <n v="7"/>
    <n v="5"/>
    <x v="5"/>
    <s v="ON TIME"/>
    <x v="2"/>
    <x v="1"/>
    <m/>
    <x v="0"/>
    <n v="10"/>
    <x v="1"/>
    <m/>
    <m/>
    <s v="Closed"/>
    <x v="1"/>
    <s v="NA"/>
    <n v="18"/>
    <d v="2025-07-18T02:21:19"/>
    <n v="1"/>
    <m/>
  </r>
  <r>
    <x v="0"/>
    <s v="0050866188"/>
    <s v="004690"/>
    <s v="0050866188-004690"/>
    <x v="35"/>
    <x v="22"/>
    <m/>
    <s v="JTV"/>
    <s v="VL"/>
    <x v="189"/>
    <x v="1"/>
    <x v="0"/>
    <s v="ANSI 49"/>
    <d v="2025-10-20T00:00:00"/>
    <n v="5"/>
    <d v="2025-07-07T00:00:00"/>
    <d v="2025-07-14T00:00:00"/>
    <d v="2025-07-22T00:00:00"/>
    <b v="0"/>
    <x v="7"/>
    <n v="5"/>
    <n v="6"/>
    <n v="12"/>
    <x v="8"/>
    <s v="LATE"/>
    <x v="0"/>
    <x v="0"/>
    <m/>
    <x v="0"/>
    <n v="8"/>
    <x v="1"/>
    <m/>
    <m/>
    <s v="Closed"/>
    <x v="1"/>
    <s v="NA"/>
    <n v="18"/>
    <d v="2025-07-17T02:21:19"/>
    <n v="1"/>
    <m/>
  </r>
  <r>
    <x v="0"/>
    <s v="0050866188"/>
    <s v="004690"/>
    <s v="0050866188-004690"/>
    <x v="35"/>
    <x v="22"/>
    <m/>
    <s v="JTV"/>
    <s v="VL"/>
    <x v="190"/>
    <x v="1"/>
    <x v="1"/>
    <s v="ANSI 49"/>
    <d v="2025-10-20T00:00:00"/>
    <n v="5"/>
    <d v="2025-07-07T00:00:00"/>
    <d v="2025-07-17T00:00:00"/>
    <d v="2025-07-21T00:00:00"/>
    <b v="0"/>
    <x v="7"/>
    <n v="5"/>
    <n v="9"/>
    <n v="11"/>
    <x v="12"/>
    <s v="LATE"/>
    <x v="0"/>
    <x v="0"/>
    <m/>
    <x v="0"/>
    <n v="7"/>
    <x v="1"/>
    <m/>
    <m/>
    <s v="Closed"/>
    <x v="1"/>
    <s v="NA"/>
    <n v="17"/>
    <d v="2025-07-17T09:58:35"/>
    <n v="1"/>
    <m/>
  </r>
  <r>
    <x v="0"/>
    <s v="0051461793"/>
    <s v="000010"/>
    <s v="0051461793-000010"/>
    <x v="36"/>
    <x v="25"/>
    <d v="2026-01-09T00:00:00"/>
    <s v="KYC"/>
    <s v="NA"/>
    <x v="191"/>
    <x v="0"/>
    <x v="0"/>
    <s v="ANSI 49"/>
    <d v="2026-03-17T00:00:00"/>
    <n v="-8"/>
    <d v="2025-07-09T00:00:00"/>
    <d v="2025-07-16T00:00:00"/>
    <d v="2025-07-17T00:00:00"/>
    <b v="0"/>
    <x v="7"/>
    <n v="5"/>
    <n v="6"/>
    <n v="7"/>
    <x v="6"/>
    <s v="LATE"/>
    <x v="0"/>
    <x v="1"/>
    <m/>
    <x v="0"/>
    <n v="14"/>
    <x v="1"/>
    <m/>
    <m/>
    <s v="Closed"/>
    <x v="1"/>
    <s v="NA"/>
    <n v="18"/>
    <d v="2025-07-19T02:21:19"/>
    <n v="1"/>
    <m/>
  </r>
  <r>
    <x v="0"/>
    <s v="0051461793"/>
    <s v="000010"/>
    <s v="0051461793-000010"/>
    <x v="36"/>
    <x v="28"/>
    <d v="2026-01-09T00:00:00"/>
    <s v="KYC"/>
    <s v="NA"/>
    <x v="192"/>
    <x v="0"/>
    <x v="1"/>
    <s v="ANSI 49"/>
    <d v="2026-03-17T00:00:00"/>
    <n v="33"/>
    <d v="2025-07-09T00:00:00"/>
    <d v="2025-07-21T00:00:00"/>
    <d v="2025-07-17T00:00:00"/>
    <b v="0"/>
    <x v="7"/>
    <n v="5"/>
    <n v="9"/>
    <n v="7"/>
    <x v="5"/>
    <s v="ON TIME"/>
    <x v="2"/>
    <x v="0"/>
    <m/>
    <x v="0"/>
    <n v="-27"/>
    <x v="0"/>
    <m/>
    <m/>
    <s v="Closed"/>
    <x v="0"/>
    <s v="NA"/>
    <n v="17"/>
    <d v="2025-07-21T09:58:35"/>
    <n v="1"/>
    <m/>
  </r>
  <r>
    <x v="0"/>
    <s v="0051306085_x000a_"/>
    <s v="000310"/>
    <s v="0051306085_x000a_-000310"/>
    <x v="32"/>
    <x v="28"/>
    <m/>
    <s v="HMA"/>
    <s v="IGS"/>
    <x v="193"/>
    <x v="0"/>
    <x v="1"/>
    <s v="ANSI 49"/>
    <d v="2025-05-12T00:00:00"/>
    <n v="32"/>
    <d v="2025-07-10T00:00:00"/>
    <d v="2025-07-22T00:00:00"/>
    <d v="2025-07-29T00:00:00"/>
    <b v="0"/>
    <x v="7"/>
    <n v="5"/>
    <n v="9"/>
    <n v="14"/>
    <x v="3"/>
    <s v="LATE"/>
    <x v="0"/>
    <x v="0"/>
    <m/>
    <x v="0"/>
    <n v="-19"/>
    <x v="0"/>
    <m/>
    <m/>
    <s v="Closed"/>
    <x v="0"/>
    <s v="NA"/>
    <n v="17"/>
    <d v="2025-07-22T09:58:35"/>
    <n v="1"/>
    <m/>
  </r>
  <r>
    <x v="0"/>
    <s v="0051306085_x000a_"/>
    <s v="000310"/>
    <s v="0051306085_x000a_-000310"/>
    <x v="31"/>
    <x v="26"/>
    <m/>
    <s v="RRD"/>
    <s v="HUP"/>
    <x v="194"/>
    <x v="0"/>
    <x v="1"/>
    <s v="ANSI 49"/>
    <d v="2025-10-20T00:00:00"/>
    <n v="-3"/>
    <d v="2025-07-14T00:00:00"/>
    <d v="2025-07-24T00:00:00"/>
    <d v="2025-07-21T00:00:00"/>
    <b v="0"/>
    <x v="7"/>
    <n v="5"/>
    <n v="9"/>
    <n v="6"/>
    <x v="16"/>
    <s v="ON TIME"/>
    <x v="2"/>
    <x v="1"/>
    <m/>
    <x v="0"/>
    <n v="8"/>
    <x v="1"/>
    <m/>
    <m/>
    <s v="Closed"/>
    <x v="1"/>
    <s v="NA"/>
    <n v="17"/>
    <d v="2025-07-24T09:58:35"/>
    <n v="1"/>
    <m/>
  </r>
  <r>
    <x v="0"/>
    <s v="0051306085_x000a_"/>
    <s v="000310"/>
    <s v="0051306085_x000a_-000310"/>
    <x v="32"/>
    <x v="28"/>
    <m/>
    <s v="HMA"/>
    <s v="IGS"/>
    <x v="195"/>
    <x v="0"/>
    <x v="1"/>
    <s v="ANSI 49"/>
    <d v="2025-05-12T00:00:00"/>
    <n v="30"/>
    <d v="2025-07-14T00:00:00"/>
    <d v="2025-07-24T00:00:00"/>
    <d v="2025-07-21T00:00:00"/>
    <b v="0"/>
    <x v="7"/>
    <n v="5"/>
    <n v="9"/>
    <n v="6"/>
    <x v="16"/>
    <s v="ON TIME"/>
    <x v="2"/>
    <x v="0"/>
    <m/>
    <x v="0"/>
    <n v="-25"/>
    <x v="0"/>
    <m/>
    <m/>
    <s v="Closed"/>
    <x v="0"/>
    <s v="NA"/>
    <n v="17"/>
    <d v="2025-07-24T09:58:35"/>
    <n v="1"/>
    <m/>
  </r>
  <r>
    <x v="0"/>
    <s v="0050866188"/>
    <s v="004960"/>
    <s v="0050866188-004960"/>
    <x v="35"/>
    <x v="22"/>
    <m/>
    <s v="JTV"/>
    <s v="VL"/>
    <x v="196"/>
    <x v="1"/>
    <x v="1"/>
    <s v="ANSI 49"/>
    <d v="2025-10-20T00:00:00"/>
    <n v="-3"/>
    <d v="2025-07-15T00:00:00"/>
    <d v="2025-07-25T00:00:00"/>
    <d v="2025-07-30T00:00:00"/>
    <b v="0"/>
    <x v="7"/>
    <n v="5"/>
    <n v="9"/>
    <n v="12"/>
    <x v="4"/>
    <s v="LATE"/>
    <x v="0"/>
    <x v="1"/>
    <m/>
    <x v="0"/>
    <n v="14"/>
    <x v="1"/>
    <m/>
    <m/>
    <s v="Closed"/>
    <x v="1"/>
    <s v="NA"/>
    <n v="17"/>
    <d v="2025-07-25T09:58:35"/>
    <n v="1"/>
    <m/>
  </r>
  <r>
    <x v="0"/>
    <s v="0050728484"/>
    <s v="018570"/>
    <s v="0050728484-018570"/>
    <x v="37"/>
    <x v="30"/>
    <m/>
    <s v="KYC"/>
    <s v="KGF"/>
    <x v="197"/>
    <x v="1"/>
    <x v="0"/>
    <s v="ANSI 49"/>
    <d v="2025-11-25T00:00:00"/>
    <n v="32"/>
    <d v="2025-07-15T00:00:00"/>
    <d v="2025-07-23T00:00:00"/>
    <d v="2025-07-25T00:00:00"/>
    <b v="0"/>
    <x v="7"/>
    <n v="5"/>
    <n v="7"/>
    <n v="9"/>
    <x v="12"/>
    <s v="LATE"/>
    <x v="0"/>
    <x v="0"/>
    <m/>
    <x v="0"/>
    <n v="-24"/>
    <x v="0"/>
    <m/>
    <m/>
    <s v="Closed"/>
    <x v="0"/>
    <s v="NA"/>
    <n v="18"/>
    <d v="2025-07-26T02:21:19"/>
    <n v="1"/>
    <m/>
  </r>
  <r>
    <x v="0"/>
    <s v="0050728484"/>
    <s v="018570"/>
    <s v="0050728484-018570"/>
    <x v="37"/>
    <x v="30"/>
    <m/>
    <s v="KYC"/>
    <s v="KGF"/>
    <x v="198"/>
    <x v="1"/>
    <x v="0"/>
    <s v="ANSI 49"/>
    <d v="2025-11-25T00:00:00"/>
    <n v="32"/>
    <d v="2025-07-15T00:00:00"/>
    <d v="2025-07-23T00:00:00"/>
    <d v="2025-07-25T00:00:00"/>
    <b v="0"/>
    <x v="7"/>
    <n v="5"/>
    <n v="7"/>
    <n v="9"/>
    <x v="12"/>
    <s v="LATE"/>
    <x v="0"/>
    <x v="0"/>
    <m/>
    <x v="0"/>
    <n v="-24"/>
    <x v="0"/>
    <m/>
    <m/>
    <s v="Closed"/>
    <x v="0"/>
    <s v="NA"/>
    <n v="18"/>
    <d v="2025-07-26T02:21:19"/>
    <n v="1"/>
    <m/>
  </r>
  <r>
    <x v="0"/>
    <s v="0051427096"/>
    <s v="000120"/>
    <s v="0051427096-000120"/>
    <x v="33"/>
    <x v="31"/>
    <m/>
    <s v="HMA"/>
    <s v="ODE"/>
    <x v="199"/>
    <x v="1"/>
    <x v="0"/>
    <s v="ANSI 49"/>
    <d v="2025-10-23T00:00:00"/>
    <n v="1"/>
    <d v="2025-07-18T00:00:00"/>
    <d v="2025-07-25T00:00:00"/>
    <d v="2025-07-29T00:00:00"/>
    <b v="0"/>
    <x v="7"/>
    <n v="5"/>
    <n v="6"/>
    <n v="8"/>
    <x v="12"/>
    <s v="LATE"/>
    <x v="0"/>
    <x v="1"/>
    <m/>
    <x v="0"/>
    <n v="8"/>
    <x v="1"/>
    <m/>
    <m/>
    <s v="Closed"/>
    <x v="1"/>
    <s v="NA"/>
    <n v="18"/>
    <d v="2025-07-28T02:21:19"/>
    <n v="1"/>
    <m/>
  </r>
  <r>
    <x v="0"/>
    <s v="0051427096"/>
    <s v="000120"/>
    <s v="0051427096-000120"/>
    <x v="33"/>
    <x v="27"/>
    <m/>
    <s v="HMA"/>
    <s v="ODE"/>
    <x v="200"/>
    <x v="1"/>
    <x v="0"/>
    <s v="ANSI 49"/>
    <d v="2025-10-23T00:00:00"/>
    <n v="9"/>
    <d v="2025-07-18T00:00:00"/>
    <d v="2025-07-25T00:00:00"/>
    <d v="2025-07-29T00:00:00"/>
    <b v="0"/>
    <x v="7"/>
    <n v="5"/>
    <n v="6"/>
    <n v="8"/>
    <x v="12"/>
    <s v="LATE"/>
    <x v="0"/>
    <x v="0"/>
    <m/>
    <x v="0"/>
    <n v="-2"/>
    <x v="0"/>
    <m/>
    <m/>
    <s v="Closed"/>
    <x v="0"/>
    <s v="NA"/>
    <n v="18"/>
    <d v="2025-07-28T02:21:19"/>
    <n v="1"/>
    <m/>
  </r>
  <r>
    <x v="0"/>
    <s v="0050728484"/>
    <s v="018570"/>
    <s v="0050728484-018570"/>
    <x v="37"/>
    <x v="30"/>
    <m/>
    <s v="KYC"/>
    <s v="KGF"/>
    <x v="201"/>
    <x v="0"/>
    <x v="0"/>
    <s v="ANSI 49"/>
    <d v="2025-11-25T00:00:00"/>
    <n v="29"/>
    <d v="2025-07-18T00:00:00"/>
    <d v="2025-07-28T00:00:00"/>
    <d v="2025-08-04T00:00:00"/>
    <b v="0"/>
    <x v="7"/>
    <n v="5"/>
    <n v="7"/>
    <n v="12"/>
    <x v="3"/>
    <s v="LATE"/>
    <x v="0"/>
    <x v="0"/>
    <m/>
    <x v="0"/>
    <n v="-18"/>
    <x v="0"/>
    <m/>
    <m/>
    <s v="Closed"/>
    <x v="0"/>
    <s v="NA"/>
    <n v="18"/>
    <d v="2025-07-31T02:21:19"/>
    <n v="1"/>
    <m/>
  </r>
  <r>
    <x v="0"/>
    <s v="0050728484"/>
    <s v="018570"/>
    <s v="0050728484-018570"/>
    <x v="37"/>
    <x v="30"/>
    <m/>
    <s v="KYC"/>
    <s v="KGF"/>
    <x v="202"/>
    <x v="0"/>
    <x v="0"/>
    <s v="ANSI 49"/>
    <d v="2025-11-25T00:00:00"/>
    <n v="29"/>
    <d v="2025-07-18T00:00:00"/>
    <d v="2025-07-28T00:00:00"/>
    <d v="2025-08-06T00:00:00"/>
    <b v="0"/>
    <x v="7"/>
    <n v="5"/>
    <n v="7"/>
    <n v="14"/>
    <x v="13"/>
    <s v="LATE"/>
    <x v="0"/>
    <x v="0"/>
    <m/>
    <x v="0"/>
    <n v="-16"/>
    <x v="0"/>
    <m/>
    <m/>
    <s v="Closed"/>
    <x v="0"/>
    <s v="NA"/>
    <n v="18"/>
    <d v="2025-07-31T02:21:19"/>
    <n v="1"/>
    <m/>
  </r>
  <r>
    <x v="0"/>
    <s v="0050728484"/>
    <s v="018570"/>
    <s v="0050728484-018570"/>
    <x v="37"/>
    <x v="30"/>
    <m/>
    <s v="KYC"/>
    <s v="KGF"/>
    <x v="203"/>
    <x v="0"/>
    <x v="0"/>
    <s v="ANSI 49"/>
    <d v="2025-11-25T00:00:00"/>
    <n v="29"/>
    <d v="2025-07-18T00:00:00"/>
    <d v="2025-07-28T00:00:00"/>
    <d v="2025-08-04T00:00:00"/>
    <b v="0"/>
    <x v="7"/>
    <n v="5"/>
    <n v="7"/>
    <n v="12"/>
    <x v="3"/>
    <s v="LATE"/>
    <x v="0"/>
    <x v="0"/>
    <m/>
    <x v="0"/>
    <n v="-18"/>
    <x v="0"/>
    <m/>
    <m/>
    <s v="Closed"/>
    <x v="0"/>
    <s v="NA"/>
    <n v="18"/>
    <d v="2025-07-31T02:21:19"/>
    <n v="1"/>
    <m/>
  </r>
  <r>
    <x v="0"/>
    <s v="0050728484"/>
    <s v="018570"/>
    <s v="0050728484-018570"/>
    <x v="37"/>
    <x v="30"/>
    <m/>
    <s v="KYC"/>
    <s v="KGF"/>
    <x v="204"/>
    <x v="0"/>
    <x v="0"/>
    <s v="ANSI 49"/>
    <d v="2025-11-25T00:00:00"/>
    <n v="29"/>
    <d v="2025-07-18T00:00:00"/>
    <d v="2025-07-28T00:00:00"/>
    <d v="2025-08-11T00:00:00"/>
    <b v="0"/>
    <x v="7"/>
    <n v="5"/>
    <n v="7"/>
    <n v="17"/>
    <x v="0"/>
    <s v="LATE"/>
    <x v="0"/>
    <x v="0"/>
    <m/>
    <x v="0"/>
    <n v="-13"/>
    <x v="0"/>
    <m/>
    <m/>
    <s v="Closed"/>
    <x v="0"/>
    <s v="NA"/>
    <n v="18"/>
    <d v="2025-07-31T02:21:19"/>
    <n v="1"/>
    <m/>
  </r>
  <r>
    <x v="0"/>
    <s v="0050728484"/>
    <s v="018570"/>
    <s v="0050728484-018570"/>
    <x v="37"/>
    <x v="30"/>
    <m/>
    <s v="KYC"/>
    <s v="KGF"/>
    <x v="205"/>
    <x v="0"/>
    <x v="0"/>
    <s v="ANSI 49"/>
    <d v="2025-11-25T00:00:00"/>
    <n v="29"/>
    <d v="2025-07-18T00:00:00"/>
    <d v="2025-07-28T00:00:00"/>
    <d v="2025-07-23T00:00:00"/>
    <b v="0"/>
    <x v="7"/>
    <n v="5"/>
    <n v="7"/>
    <n v="4"/>
    <x v="16"/>
    <s v="ON TIME"/>
    <x v="2"/>
    <x v="0"/>
    <m/>
    <x v="1"/>
    <n v="-26"/>
    <x v="0"/>
    <m/>
    <m/>
    <s v="Cancelled"/>
    <x v="0"/>
    <s v="NA"/>
    <n v="0"/>
    <d v="2025-07-31T02:21:19"/>
    <n v="0"/>
    <m/>
  </r>
  <r>
    <x v="0"/>
    <s v="0050988425"/>
    <s v="001260"/>
    <s v="0050988425-001260"/>
    <x v="21"/>
    <x v="32"/>
    <m/>
    <s v="RRD"/>
    <s v="OAL"/>
    <x v="206"/>
    <x v="0"/>
    <x v="0"/>
    <s v="ANSI 49"/>
    <d v="2025-12-11T00:00:00"/>
    <n v="61"/>
    <d v="2025-07-22T00:00:00"/>
    <d v="2025-07-29T00:00:00"/>
    <d v="2025-07-31T00:00:00"/>
    <b v="0"/>
    <x v="7"/>
    <n v="5"/>
    <n v="6"/>
    <n v="8"/>
    <x v="12"/>
    <s v="LATE"/>
    <x v="0"/>
    <x v="0"/>
    <m/>
    <x v="0"/>
    <n v="-53"/>
    <x v="0"/>
    <m/>
    <m/>
    <s v="Closed"/>
    <x v="0"/>
    <s v="NA"/>
    <n v="18"/>
    <d v="2025-08-01T02:21:19"/>
    <n v="1"/>
    <m/>
  </r>
  <r>
    <x v="0"/>
    <s v="0050988425"/>
    <s v="001260"/>
    <s v="0050988425-001260"/>
    <x v="21"/>
    <x v="32"/>
    <m/>
    <s v="RRD"/>
    <s v="OAL"/>
    <x v="207"/>
    <x v="0"/>
    <x v="0"/>
    <s v="ANSI 49"/>
    <d v="2025-12-11T00:00:00"/>
    <n v="61"/>
    <d v="2025-07-22T00:00:00"/>
    <d v="2025-07-29T00:00:00"/>
    <d v="2025-07-31T00:00:00"/>
    <b v="0"/>
    <x v="7"/>
    <n v="5"/>
    <n v="6"/>
    <n v="8"/>
    <x v="12"/>
    <s v="LATE"/>
    <x v="0"/>
    <x v="0"/>
    <m/>
    <x v="0"/>
    <n v="-53"/>
    <x v="0"/>
    <m/>
    <m/>
    <s v="Closed"/>
    <x v="0"/>
    <s v="NA"/>
    <n v="18"/>
    <d v="2025-08-01T02:21:19"/>
    <n v="1"/>
    <m/>
  </r>
  <r>
    <x v="0"/>
    <s v="0050988425"/>
    <s v="001260"/>
    <s v="0050988425-001260"/>
    <x v="21"/>
    <x v="32"/>
    <m/>
    <s v="RRD"/>
    <s v="OAL"/>
    <x v="208"/>
    <x v="0"/>
    <x v="0"/>
    <s v="ANSI 49"/>
    <d v="2025-12-11T00:00:00"/>
    <n v="61"/>
    <d v="2025-07-22T00:00:00"/>
    <d v="2025-07-29T00:00:00"/>
    <d v="2025-07-31T00:00:00"/>
    <b v="0"/>
    <x v="7"/>
    <n v="5"/>
    <n v="6"/>
    <n v="8"/>
    <x v="12"/>
    <s v="LATE"/>
    <x v="0"/>
    <x v="0"/>
    <m/>
    <x v="0"/>
    <n v="-53"/>
    <x v="0"/>
    <m/>
    <m/>
    <s v="Closed"/>
    <x v="0"/>
    <s v="NA"/>
    <n v="18"/>
    <d v="2025-08-01T02:21:19"/>
    <n v="1"/>
    <m/>
  </r>
  <r>
    <x v="0"/>
    <s v="0050988425"/>
    <s v="001260"/>
    <s v="0050988425-001260"/>
    <x v="21"/>
    <x v="32"/>
    <m/>
    <s v="RRD"/>
    <s v="OAL"/>
    <x v="209"/>
    <x v="0"/>
    <x v="0"/>
    <s v="ANSI 49"/>
    <d v="2025-12-11T00:00:00"/>
    <n v="61"/>
    <d v="2025-07-22T00:00:00"/>
    <d v="2025-08-04T00:00:00"/>
    <d v="2025-07-29T00:00:00"/>
    <b v="0"/>
    <x v="7"/>
    <n v="5"/>
    <n v="10"/>
    <n v="6"/>
    <x v="14"/>
    <s v="ON TIME"/>
    <x v="2"/>
    <x v="0"/>
    <m/>
    <x v="0"/>
    <n v="-55"/>
    <x v="0"/>
    <m/>
    <m/>
    <s v="Closed"/>
    <x v="0"/>
    <s v="NA"/>
    <n v="18"/>
    <d v="2025-08-07T02:21:19"/>
    <n v="1"/>
    <m/>
  </r>
  <r>
    <x v="0"/>
    <s v="0051199001"/>
    <s v="000010"/>
    <s v="0051199001-000010"/>
    <x v="38"/>
    <x v="33"/>
    <m/>
    <s v="ASP"/>
    <s v="AL"/>
    <x v="210"/>
    <x v="0"/>
    <x v="0"/>
    <s v="RAL 7035"/>
    <d v="2025-11-26T00:00:00"/>
    <n v="13"/>
    <d v="2025-07-23T00:00:00"/>
    <d v="2025-07-30T00:00:00"/>
    <d v="2025-07-31T00:00:00"/>
    <b v="0"/>
    <x v="7"/>
    <n v="5"/>
    <n v="6"/>
    <n v="7"/>
    <x v="6"/>
    <s v="LATE"/>
    <x v="0"/>
    <x v="0"/>
    <m/>
    <x v="0"/>
    <n v="-7"/>
    <x v="0"/>
    <m/>
    <m/>
    <s v="Closed"/>
    <x v="0"/>
    <s v="NA"/>
    <n v="18"/>
    <d v="2025-08-02T02:21:19"/>
    <n v="1"/>
    <m/>
  </r>
  <r>
    <x v="0"/>
    <s v="0051199001"/>
    <s v="000010"/>
    <s v="0051199001-000010"/>
    <x v="38"/>
    <x v="33"/>
    <m/>
    <s v="ASP"/>
    <s v="AL"/>
    <x v="211"/>
    <x v="0"/>
    <x v="1"/>
    <s v="RAL 7035"/>
    <d v="2025-11-26T00:00:00"/>
    <n v="13"/>
    <d v="2025-07-23T00:00:00"/>
    <d v="2025-08-01T00:00:00"/>
    <d v="2025-08-13T00:00:00"/>
    <b v="0"/>
    <x v="7"/>
    <n v="5"/>
    <n v="8"/>
    <n v="16"/>
    <x v="7"/>
    <s v="LATE"/>
    <x v="0"/>
    <x v="0"/>
    <m/>
    <x v="0"/>
    <n v="4"/>
    <x v="1"/>
    <m/>
    <m/>
    <s v="Closed"/>
    <x v="1"/>
    <s v="NA"/>
    <n v="17"/>
    <d v="2025-08-01T09:58:35"/>
    <n v="1"/>
    <m/>
  </r>
  <r>
    <x v="0"/>
    <s v="0051199001"/>
    <s v="000010"/>
    <s v="0051199001-000010"/>
    <x v="38"/>
    <x v="33"/>
    <m/>
    <s v="ASP"/>
    <s v="AL"/>
    <x v="212"/>
    <x v="0"/>
    <x v="1"/>
    <s v="RAL 7035"/>
    <d v="2025-11-26T00:00:00"/>
    <n v="13"/>
    <d v="2025-07-23T00:00:00"/>
    <d v="2025-08-04T00:00:00"/>
    <d v="2025-08-13T00:00:00"/>
    <b v="0"/>
    <x v="7"/>
    <n v="5"/>
    <n v="9"/>
    <n v="16"/>
    <x v="13"/>
    <s v="LATE"/>
    <x v="0"/>
    <x v="0"/>
    <m/>
    <x v="0"/>
    <n v="4"/>
    <x v="1"/>
    <m/>
    <m/>
    <s v="Closed"/>
    <x v="1"/>
    <s v="NA"/>
    <n v="17"/>
    <d v="2025-08-04T09:58:35"/>
    <n v="1"/>
    <m/>
  </r>
  <r>
    <x v="0"/>
    <s v="0051199001"/>
    <s v="000010"/>
    <s v="0051199001-000010"/>
    <x v="38"/>
    <x v="33"/>
    <m/>
    <s v="ASP"/>
    <s v="AL"/>
    <x v="213"/>
    <x v="0"/>
    <x v="1"/>
    <s v="RAL 7035"/>
    <d v="2025-11-26T00:00:00"/>
    <n v="13"/>
    <d v="2025-07-23T00:00:00"/>
    <d v="2025-08-05T00:00:00"/>
    <d v="2025-07-30T00:00:00"/>
    <b v="0"/>
    <x v="7"/>
    <n v="5"/>
    <n v="10"/>
    <n v="6"/>
    <x v="14"/>
    <s v="ON TIME"/>
    <x v="2"/>
    <x v="0"/>
    <m/>
    <x v="0"/>
    <n v="-8"/>
    <x v="0"/>
    <m/>
    <m/>
    <s v="Closed"/>
    <x v="0"/>
    <s v="NA"/>
    <n v="17"/>
    <d v="2025-08-05T09:58:35"/>
    <n v="1"/>
    <m/>
  </r>
  <r>
    <x v="0"/>
    <s v="0051199001"/>
    <s v="000010"/>
    <s v="0051199001-000010"/>
    <x v="38"/>
    <x v="33"/>
    <m/>
    <s v="ASP"/>
    <s v="AL"/>
    <x v="214"/>
    <x v="0"/>
    <x v="1"/>
    <s v="RAL 7035"/>
    <d v="2025-11-26T00:00:00"/>
    <n v="13"/>
    <d v="2025-07-23T00:00:00"/>
    <d v="2025-08-06T00:00:00"/>
    <d v="2025-07-30T00:00:00"/>
    <b v="0"/>
    <x v="7"/>
    <n v="5"/>
    <n v="11"/>
    <n v="6"/>
    <x v="23"/>
    <s v="ON TIME"/>
    <x v="2"/>
    <x v="0"/>
    <m/>
    <x v="0"/>
    <n v="-8"/>
    <x v="0"/>
    <m/>
    <m/>
    <s v="Closed"/>
    <x v="0"/>
    <s v="NA"/>
    <n v="17"/>
    <d v="2025-08-06T09:58:35"/>
    <n v="1"/>
    <m/>
  </r>
  <r>
    <x v="0"/>
    <s v="0051199001"/>
    <s v="000010"/>
    <s v="0051199001-000010"/>
    <x v="38"/>
    <x v="33"/>
    <m/>
    <s v="ASP"/>
    <s v="AL"/>
    <x v="215"/>
    <x v="0"/>
    <x v="1"/>
    <s v="RAL 7035"/>
    <d v="2025-11-26T00:00:00"/>
    <n v="13"/>
    <d v="2025-07-23T00:00:00"/>
    <d v="2025-08-07T00:00:00"/>
    <d v="2025-07-30T00:00:00"/>
    <b v="0"/>
    <x v="7"/>
    <n v="5"/>
    <n v="12"/>
    <n v="6"/>
    <x v="24"/>
    <s v="ON TIME"/>
    <x v="2"/>
    <x v="0"/>
    <m/>
    <x v="0"/>
    <n v="-8"/>
    <x v="0"/>
    <m/>
    <m/>
    <s v="Closed"/>
    <x v="0"/>
    <s v="NA"/>
    <n v="17"/>
    <d v="2025-08-07T09:58:35"/>
    <n v="1"/>
    <m/>
  </r>
  <r>
    <x v="0"/>
    <s v="0051072452"/>
    <s v="000020&amp;000470"/>
    <s v="0051072452-000020&amp;000470"/>
    <x v="39"/>
    <x v="34"/>
    <m/>
    <s v="DRV"/>
    <s v="VL"/>
    <x v="216"/>
    <x v="0"/>
    <x v="0"/>
    <s v="ANSI 49"/>
    <d v="2025-12-17T00:00:00"/>
    <n v="27"/>
    <d v="2025-07-24T00:00:00"/>
    <d v="2025-08-04T00:00:00"/>
    <d v="2025-08-11T00:00:00"/>
    <b v="0"/>
    <x v="7"/>
    <n v="5"/>
    <n v="8"/>
    <n v="13"/>
    <x v="3"/>
    <s v="LATE"/>
    <x v="0"/>
    <x v="0"/>
    <m/>
    <x v="0"/>
    <n v="-15"/>
    <x v="0"/>
    <m/>
    <m/>
    <s v="Closed"/>
    <x v="0"/>
    <s v="NA"/>
    <n v="18"/>
    <d v="2025-08-07T02:21:19"/>
    <n v="1"/>
    <m/>
  </r>
  <r>
    <x v="0"/>
    <s v="0051072452"/>
    <s v="000020&amp;000470"/>
    <s v="0051072452-000020&amp;000470"/>
    <x v="39"/>
    <x v="34"/>
    <m/>
    <s v="DRV"/>
    <s v="VL"/>
    <x v="217"/>
    <x v="0"/>
    <x v="0"/>
    <s v="ANSI 49"/>
    <d v="2025-12-17T00:00:00"/>
    <n v="27"/>
    <d v="2025-07-24T00:00:00"/>
    <d v="2025-08-04T00:00:00"/>
    <d v="2025-08-19T00:00:00"/>
    <b v="0"/>
    <x v="7"/>
    <n v="5"/>
    <n v="8"/>
    <n v="19"/>
    <x v="21"/>
    <s v="LATE"/>
    <x v="0"/>
    <x v="0"/>
    <m/>
    <x v="0"/>
    <n v="-9"/>
    <x v="0"/>
    <m/>
    <m/>
    <s v="Closed"/>
    <x v="0"/>
    <s v="NA"/>
    <n v="18"/>
    <d v="2025-08-07T02:21:19"/>
    <n v="1"/>
    <m/>
  </r>
  <r>
    <x v="0"/>
    <s v="0051072452"/>
    <s v="000020&amp;000470"/>
    <s v="0051072452-000020&amp;000470"/>
    <x v="39"/>
    <x v="34"/>
    <m/>
    <s v="DRV"/>
    <s v="VL"/>
    <x v="218"/>
    <x v="0"/>
    <x v="1"/>
    <s v="ANSI 49"/>
    <d v="2025-12-17T00:00:00"/>
    <n v="27"/>
    <d v="2025-07-24T00:00:00"/>
    <d v="2025-08-07T00:00:00"/>
    <d v="2025-08-05T00:00:00"/>
    <b v="0"/>
    <x v="7"/>
    <n v="5"/>
    <n v="11"/>
    <n v="9"/>
    <x v="5"/>
    <s v="ON TIME"/>
    <x v="2"/>
    <x v="0"/>
    <m/>
    <x v="1"/>
    <n v="-19"/>
    <x v="0"/>
    <m/>
    <s v="Wrong Classification in SAP"/>
    <s v="Cancelled"/>
    <x v="0"/>
    <s v="NA"/>
    <n v="0"/>
    <d v="2025-08-07T09:58:35"/>
    <n v="0"/>
    <m/>
  </r>
  <r>
    <x v="0"/>
    <s v="0050465708"/>
    <s v="000270"/>
    <s v="0050465708-000270"/>
    <x v="11"/>
    <x v="35"/>
    <m/>
    <s v="DEV"/>
    <s v="LDT"/>
    <x v="219"/>
    <x v="0"/>
    <x v="1"/>
    <s v="ANSI 49"/>
    <d v="2025-12-30T00:00:00"/>
    <n v="25"/>
    <d v="2025-07-28T00:00:00"/>
    <d v="2025-08-07T00:00:00"/>
    <d v="2025-07-29T00:00:00"/>
    <b v="0"/>
    <x v="7"/>
    <n v="5"/>
    <n v="9"/>
    <n v="2"/>
    <x v="25"/>
    <s v="ON TIME"/>
    <x v="2"/>
    <x v="0"/>
    <m/>
    <x v="0"/>
    <n v="-24"/>
    <x v="0"/>
    <m/>
    <m/>
    <s v="Closed"/>
    <x v="0"/>
    <s v="NA"/>
    <n v="17"/>
    <d v="2025-08-07T09:58:35"/>
    <n v="1"/>
    <m/>
  </r>
  <r>
    <x v="0"/>
    <s v="0051427096"/>
    <s v="000120"/>
    <s v="0051427096-000120"/>
    <x v="33"/>
    <x v="27"/>
    <m/>
    <s v="HMA"/>
    <s v="ODE"/>
    <x v="220"/>
    <x v="1"/>
    <x v="0"/>
    <s v="ANSI 49"/>
    <d v="2025-10-23T00:00:00"/>
    <n v="1"/>
    <d v="2025-07-30T00:00:00"/>
    <d v="2025-08-07T00:00:00"/>
    <d v="2025-08-14T00:00:00"/>
    <b v="0"/>
    <x v="7"/>
    <n v="5"/>
    <n v="7"/>
    <n v="12"/>
    <x v="3"/>
    <s v="LATE"/>
    <x v="0"/>
    <x v="1"/>
    <m/>
    <x v="0"/>
    <n v="12"/>
    <x v="1"/>
    <m/>
    <m/>
    <s v="Closed"/>
    <x v="1"/>
    <s v="NA"/>
    <n v="18"/>
    <d v="2025-08-10T02:21:19"/>
    <n v="1"/>
    <m/>
  </r>
  <r>
    <x v="0"/>
    <s v="0051427096"/>
    <s v="000120"/>
    <s v="0051427096-000120"/>
    <x v="33"/>
    <x v="27"/>
    <m/>
    <s v="HMA"/>
    <s v="ODE"/>
    <x v="221"/>
    <x v="1"/>
    <x v="0"/>
    <s v="ANSI 49"/>
    <d v="2025-10-23T00:00:00"/>
    <n v="1"/>
    <d v="2025-07-30T00:00:00"/>
    <d v="2025-08-07T00:00:00"/>
    <d v="2025-08-13T00:00:00"/>
    <b v="0"/>
    <x v="7"/>
    <n v="5"/>
    <n v="7"/>
    <n v="11"/>
    <x v="1"/>
    <s v="LATE"/>
    <x v="0"/>
    <x v="1"/>
    <m/>
    <x v="0"/>
    <n v="11"/>
    <x v="1"/>
    <m/>
    <m/>
    <s v="Closed"/>
    <x v="1"/>
    <s v="NA"/>
    <n v="18"/>
    <d v="2025-08-10T02:21:19"/>
    <n v="1"/>
    <m/>
  </r>
  <r>
    <x v="0"/>
    <s v="0051427096"/>
    <s v="000120"/>
    <s v="0051427096-000120"/>
    <x v="33"/>
    <x v="27"/>
    <m/>
    <s v="HMA"/>
    <s v="ODE"/>
    <x v="222"/>
    <x v="1"/>
    <x v="1"/>
    <s v="ANSI 49"/>
    <d v="2025-10-23T00:00:00"/>
    <n v="1"/>
    <d v="2025-07-30T00:00:00"/>
    <d v="2025-08-11T00:00:00"/>
    <d v="2025-08-14T00:00:00"/>
    <b v="0"/>
    <x v="7"/>
    <n v="5"/>
    <n v="9"/>
    <n v="12"/>
    <x v="4"/>
    <s v="LATE"/>
    <x v="0"/>
    <x v="1"/>
    <m/>
    <x v="0"/>
    <n v="12"/>
    <x v="1"/>
    <m/>
    <m/>
    <s v="Closed"/>
    <x v="1"/>
    <s v="NA"/>
    <n v="17"/>
    <d v="2025-08-11T09:58:35"/>
    <n v="1"/>
    <m/>
  </r>
  <r>
    <x v="0"/>
    <s v="0051199001"/>
    <s v="000010"/>
    <s v="0051199001-000010"/>
    <x v="38"/>
    <x v="33"/>
    <m/>
    <s v="ASP"/>
    <s v="AL"/>
    <x v="223"/>
    <x v="1"/>
    <x v="0"/>
    <s v="RAL 7035"/>
    <d v="2025-11-26T00:00:00"/>
    <n v="7"/>
    <d v="2025-07-31T00:00:00"/>
    <d v="2025-08-07T00:00:00"/>
    <d v="2025-08-12T00:00:00"/>
    <b v="0"/>
    <x v="7"/>
    <n v="5"/>
    <n v="6"/>
    <n v="9"/>
    <x v="4"/>
    <s v="LATE"/>
    <x v="0"/>
    <x v="0"/>
    <m/>
    <x v="0"/>
    <n v="3"/>
    <x v="1"/>
    <m/>
    <m/>
    <s v="Closed"/>
    <x v="1"/>
    <s v="NA"/>
    <n v="18"/>
    <d v="2025-08-10T02:21:19"/>
    <n v="1"/>
    <m/>
  </r>
  <r>
    <x v="0"/>
    <s v="0051199001"/>
    <s v="000010"/>
    <s v="0051199001-000010"/>
    <x v="38"/>
    <x v="33"/>
    <m/>
    <s v="ASP"/>
    <s v="AL"/>
    <x v="224"/>
    <x v="1"/>
    <x v="0"/>
    <s v="RAL 7035"/>
    <d v="2025-11-26T00:00:00"/>
    <n v="7"/>
    <d v="2025-07-31T00:00:00"/>
    <d v="2025-08-11T00:00:00"/>
    <d v="2025-08-13T00:00:00"/>
    <b v="0"/>
    <x v="7"/>
    <n v="5"/>
    <n v="8"/>
    <n v="10"/>
    <x v="12"/>
    <s v="LATE"/>
    <x v="0"/>
    <x v="0"/>
    <m/>
    <x v="0"/>
    <n v="4"/>
    <x v="1"/>
    <m/>
    <m/>
    <s v="Closed"/>
    <x v="1"/>
    <s v="NA"/>
    <n v="18"/>
    <d v="2025-08-14T02:21:19"/>
    <n v="1"/>
    <m/>
  </r>
  <r>
    <x v="0"/>
    <s v="0051199001"/>
    <s v="000010"/>
    <s v="0051199001-000010"/>
    <x v="38"/>
    <x v="33"/>
    <m/>
    <s v="ASP"/>
    <s v="AL"/>
    <x v="225"/>
    <x v="0"/>
    <x v="1"/>
    <s v="RAL 7035"/>
    <d v="2025-11-26T00:00:00"/>
    <n v="7"/>
    <d v="2025-07-31T00:00:00"/>
    <d v="2025-08-12T00:00:00"/>
    <d v="2025-08-14T00:00:00"/>
    <b v="0"/>
    <x v="7"/>
    <n v="5"/>
    <n v="9"/>
    <n v="11"/>
    <x v="12"/>
    <s v="LATE"/>
    <x v="0"/>
    <x v="0"/>
    <m/>
    <x v="0"/>
    <n v="5"/>
    <x v="1"/>
    <m/>
    <m/>
    <s v="Closed"/>
    <x v="1"/>
    <s v="NA"/>
    <n v="17"/>
    <d v="2025-08-12T09:58:35"/>
    <n v="1"/>
    <m/>
  </r>
  <r>
    <x v="0"/>
    <s v="0051306085_x000a_"/>
    <s v="000310"/>
    <s v="0051306085_x000a_-000310"/>
    <x v="32"/>
    <x v="28"/>
    <m/>
    <s v="HMA"/>
    <s v="IGS"/>
    <x v="226"/>
    <x v="0"/>
    <x v="1"/>
    <s v="ANSI 49"/>
    <d v="2025-05-12T00:00:00"/>
    <n v="17"/>
    <d v="2025-07-31T00:00:00"/>
    <d v="2025-08-12T00:00:00"/>
    <d v="2025-08-25T00:00:00"/>
    <b v="0"/>
    <x v="7"/>
    <n v="5"/>
    <n v="9"/>
    <n v="18"/>
    <x v="17"/>
    <s v="LATE"/>
    <x v="0"/>
    <x v="0"/>
    <m/>
    <x v="0"/>
    <n v="2"/>
    <x v="1"/>
    <m/>
    <m/>
    <s v="Closed"/>
    <x v="1"/>
    <s v="NA"/>
    <n v="17"/>
    <d v="2025-08-12T09:58:35"/>
    <n v="1"/>
    <m/>
  </r>
  <r>
    <x v="0"/>
    <s v="0050753978"/>
    <s v="003800"/>
    <s v="0050753978-003800"/>
    <x v="40"/>
    <x v="34"/>
    <m/>
    <s v="ALT"/>
    <s v="HUP"/>
    <x v="227"/>
    <x v="0"/>
    <x v="0"/>
    <s v="ANSI 49"/>
    <d v="2026-07-04T00:00:00"/>
    <n v="22"/>
    <d v="2025-07-31T00:00:00"/>
    <d v="2025-08-07T00:00:00"/>
    <d v="2025-08-19T00:00:00"/>
    <b v="0"/>
    <x v="7"/>
    <n v="5"/>
    <n v="6"/>
    <n v="14"/>
    <x v="7"/>
    <s v="LATE"/>
    <x v="0"/>
    <x v="0"/>
    <m/>
    <x v="0"/>
    <n v="-9"/>
    <x v="0"/>
    <m/>
    <m/>
    <s v="Closed"/>
    <x v="0"/>
    <s v="NA"/>
    <n v="18"/>
    <d v="2025-08-10T02:21:19"/>
    <n v="1"/>
    <m/>
  </r>
  <r>
    <x v="0"/>
    <s v="0051306085_x000a_"/>
    <s v="000310"/>
    <s v="0051306085_x000a_-000310"/>
    <x v="32"/>
    <x v="28"/>
    <m/>
    <s v="HMA"/>
    <s v="IGS"/>
    <x v="228"/>
    <x v="1"/>
    <x v="0"/>
    <s v="ANSI 49"/>
    <d v="2025-05-12T00:00:00"/>
    <n v="15"/>
    <d v="2025-08-04T00:00:00"/>
    <d v="2025-08-12T00:00:00"/>
    <d v="2025-08-20T00:00:00"/>
    <b v="0"/>
    <x v="8"/>
    <n v="5"/>
    <n v="7"/>
    <n v="13"/>
    <x v="8"/>
    <s v="LATE"/>
    <x v="0"/>
    <x v="0"/>
    <m/>
    <x v="0"/>
    <n v="-3"/>
    <x v="0"/>
    <m/>
    <m/>
    <s v="Closed"/>
    <x v="0"/>
    <s v="NA"/>
    <n v="18"/>
    <d v="2025-08-15T02:21:19"/>
    <n v="1"/>
    <m/>
  </r>
  <r>
    <x v="0"/>
    <s v="0051306085_x000a_"/>
    <s v="000310"/>
    <s v="0051306085_x000a_-000310"/>
    <x v="32"/>
    <x v="28"/>
    <m/>
    <s v="HMA"/>
    <s v="IGS"/>
    <x v="229"/>
    <x v="1"/>
    <x v="1"/>
    <s v="ANSI 49"/>
    <d v="2025-05-12T00:00:00"/>
    <n v="15"/>
    <d v="2025-08-04T00:00:00"/>
    <d v="2025-08-14T00:00:00"/>
    <d v="2025-08-13T00:00:00"/>
    <b v="0"/>
    <x v="8"/>
    <n v="5"/>
    <n v="9"/>
    <n v="8"/>
    <x v="11"/>
    <s v="ON TIME"/>
    <x v="2"/>
    <x v="0"/>
    <m/>
    <x v="0"/>
    <n v="-8"/>
    <x v="0"/>
    <m/>
    <m/>
    <s v="Closed"/>
    <x v="0"/>
    <s v="NA"/>
    <n v="17"/>
    <d v="2025-08-14T09:58:35"/>
    <n v="1"/>
    <m/>
  </r>
  <r>
    <x v="0"/>
    <s v="0050442535"/>
    <s v="000170"/>
    <s v="0050442535-000170"/>
    <x v="41"/>
    <x v="36"/>
    <m/>
    <s v="ATA"/>
    <s v="CML"/>
    <x v="230"/>
    <x v="1"/>
    <x v="0"/>
    <s v="ANSI 49"/>
    <d v="2026-01-13T00:00:00"/>
    <n v="53"/>
    <d v="2025-08-04T00:00:00"/>
    <d v="2025-08-12T00:00:00"/>
    <d v="2025-08-14T00:00:00"/>
    <b v="0"/>
    <x v="8"/>
    <n v="5"/>
    <n v="7"/>
    <n v="9"/>
    <x v="12"/>
    <s v="LATE"/>
    <x v="0"/>
    <x v="0"/>
    <m/>
    <x v="0"/>
    <n v="-44"/>
    <x v="0"/>
    <m/>
    <m/>
    <s v="Closed"/>
    <x v="0"/>
    <s v="NA"/>
    <n v="18"/>
    <d v="2025-08-15T02:21:19"/>
    <n v="1"/>
    <m/>
  </r>
  <r>
    <x v="0"/>
    <s v="0051427096"/>
    <s v="000120"/>
    <s v="0051427096-000120"/>
    <x v="33"/>
    <x v="27"/>
    <m/>
    <s v="HMA"/>
    <s v="ODE"/>
    <x v="231"/>
    <x v="1"/>
    <x v="0"/>
    <s v="ANSI 49"/>
    <d v="2025-10-23T00:00:00"/>
    <n v="-5"/>
    <d v="2025-08-05T00:00:00"/>
    <d v="2025-08-13T00:00:00"/>
    <d v="2025-08-13T00:00:00"/>
    <b v="0"/>
    <x v="8"/>
    <n v="5"/>
    <n v="7"/>
    <n v="7"/>
    <x v="9"/>
    <s v="ON TIME"/>
    <x v="2"/>
    <x v="1"/>
    <m/>
    <x v="0"/>
    <n v="11"/>
    <x v="1"/>
    <m/>
    <m/>
    <s v="Closed"/>
    <x v="1"/>
    <s v="NA"/>
    <n v="18"/>
    <d v="2025-08-16T02:21:19"/>
    <n v="1"/>
    <m/>
  </r>
  <r>
    <x v="0"/>
    <s v="0051072452"/>
    <s v="000020&amp;000470"/>
    <s v="0051072452-000020&amp;000470"/>
    <x v="39"/>
    <x v="34"/>
    <m/>
    <s v="DRV"/>
    <s v="VL"/>
    <x v="232"/>
    <x v="0"/>
    <x v="0"/>
    <s v="ANSI 49"/>
    <d v="2025-12-17T00:00:00"/>
    <n v="19"/>
    <d v="2025-08-05T00:00:00"/>
    <d v="2025-08-12T00:00:00"/>
    <d v="2025-08-19T00:00:00"/>
    <b v="0"/>
    <x v="8"/>
    <n v="5"/>
    <n v="6"/>
    <n v="11"/>
    <x v="3"/>
    <s v="LATE"/>
    <x v="0"/>
    <x v="0"/>
    <m/>
    <x v="0"/>
    <n v="-9"/>
    <x v="0"/>
    <m/>
    <m/>
    <s v="Closed"/>
    <x v="0"/>
    <s v="NA"/>
    <n v="18"/>
    <d v="2025-08-15T02:21:19"/>
    <n v="1"/>
    <m/>
  </r>
  <r>
    <x v="0"/>
    <s v="0051072452"/>
    <s v="000020&amp;000470"/>
    <s v="0051072452-000020&amp;000470"/>
    <x v="39"/>
    <x v="34"/>
    <m/>
    <s v="DRV"/>
    <s v="VL"/>
    <x v="233"/>
    <x v="0"/>
    <x v="1"/>
    <s v="ANSI 49"/>
    <d v="2025-12-17T00:00:00"/>
    <n v="19"/>
    <d v="2025-08-05T00:00:00"/>
    <d v="2025-08-15T00:00:00"/>
    <d v="2025-08-15T00:00:00"/>
    <b v="0"/>
    <x v="8"/>
    <n v="5"/>
    <n v="9"/>
    <n v="9"/>
    <x v="9"/>
    <s v="ON TIME"/>
    <x v="2"/>
    <x v="0"/>
    <m/>
    <x v="1"/>
    <n v="-11"/>
    <x v="0"/>
    <m/>
    <m/>
    <s v="Cancelled"/>
    <x v="0"/>
    <s v="NA"/>
    <n v="0"/>
    <d v="2025-08-15T09:58:35"/>
    <n v="0"/>
    <m/>
  </r>
  <r>
    <x v="0"/>
    <s v="0051072452"/>
    <s v="000020&amp;000470"/>
    <s v="0051072452-000020&amp;000470"/>
    <x v="39"/>
    <x v="34"/>
    <m/>
    <s v="DRV"/>
    <s v="VL"/>
    <x v="234"/>
    <x v="0"/>
    <x v="1"/>
    <s v="ANSI 49"/>
    <d v="2025-12-17T00:00:00"/>
    <n v="19"/>
    <d v="2025-08-05T00:00:00"/>
    <d v="2025-08-15T00:00:00"/>
    <d v="2025-08-14T00:00:00"/>
    <b v="0"/>
    <x v="8"/>
    <n v="5"/>
    <n v="9"/>
    <n v="8"/>
    <x v="11"/>
    <s v="ON TIME"/>
    <x v="2"/>
    <x v="0"/>
    <m/>
    <x v="0"/>
    <n v="-12"/>
    <x v="0"/>
    <m/>
    <m/>
    <s v="Closed"/>
    <x v="0"/>
    <s v="NA"/>
    <n v="17"/>
    <d v="2025-08-15T09:58:35"/>
    <n v="1"/>
    <m/>
  </r>
  <r>
    <x v="0"/>
    <s v="0050728484"/>
    <s v="018570"/>
    <s v="0050728484-018570"/>
    <x v="37"/>
    <x v="30"/>
    <m/>
    <s v="KYC"/>
    <s v="KGF"/>
    <x v="235"/>
    <x v="1"/>
    <x v="0"/>
    <s v="ANSI 49"/>
    <d v="2025-11-25T00:00:00"/>
    <n v="16"/>
    <d v="2025-08-06T00:00:00"/>
    <d v="2025-08-14T00:00:00"/>
    <d v="2025-08-18T00:00:00"/>
    <b v="0"/>
    <x v="8"/>
    <n v="5"/>
    <n v="7"/>
    <n v="9"/>
    <x v="12"/>
    <s v="LATE"/>
    <x v="0"/>
    <x v="0"/>
    <m/>
    <x v="0"/>
    <n v="-8"/>
    <x v="0"/>
    <m/>
    <m/>
    <s v="Closed"/>
    <x v="0"/>
    <s v="NA"/>
    <n v="18"/>
    <d v="2025-08-17T02:21:19"/>
    <n v="1"/>
    <m/>
  </r>
  <r>
    <x v="0"/>
    <s v="0051306085_x000a_"/>
    <s v="000310"/>
    <s v="0051306085_x000a_-000310"/>
    <x v="32"/>
    <x v="28"/>
    <m/>
    <s v="HMA"/>
    <s v="IGS"/>
    <x v="236"/>
    <x v="1"/>
    <x v="0"/>
    <s v="ANSI 49"/>
    <d v="2025-05-12T00:00:00"/>
    <n v="12"/>
    <d v="2025-08-07T00:00:00"/>
    <d v="2025-08-15T00:00:00"/>
    <d v="2025-08-14T00:00:00"/>
    <b v="0"/>
    <x v="8"/>
    <n v="5"/>
    <n v="7"/>
    <n v="6"/>
    <x v="11"/>
    <s v="ON TIME"/>
    <x v="2"/>
    <x v="0"/>
    <m/>
    <x v="0"/>
    <n v="-7"/>
    <x v="0"/>
    <m/>
    <m/>
    <s v="Closed"/>
    <x v="0"/>
    <s v="NA"/>
    <n v="18"/>
    <d v="2025-08-18T02:21:19"/>
    <n v="1"/>
    <m/>
  </r>
  <r>
    <x v="0"/>
    <s v="0050728484"/>
    <s v="018570"/>
    <s v="0050728484-018570"/>
    <x v="37"/>
    <x v="30"/>
    <m/>
    <s v="KYC"/>
    <s v="KGF"/>
    <x v="237"/>
    <x v="1"/>
    <x v="0"/>
    <s v="ANSI 49"/>
    <d v="2025-11-25T00:00:00"/>
    <n v="15"/>
    <d v="2025-08-07T00:00:00"/>
    <d v="2025-08-14T00:00:00"/>
    <d v="2025-08-14T00:00:00"/>
    <b v="0"/>
    <x v="8"/>
    <n v="5"/>
    <n v="6"/>
    <n v="6"/>
    <x v="9"/>
    <s v="ON TIME"/>
    <x v="2"/>
    <x v="0"/>
    <m/>
    <x v="0"/>
    <n v="-10"/>
    <x v="0"/>
    <m/>
    <m/>
    <s v="Closed"/>
    <x v="0"/>
    <s v="NA"/>
    <n v="18"/>
    <d v="2025-08-17T02:21:19"/>
    <n v="1"/>
    <m/>
  </r>
  <r>
    <x v="0"/>
    <s v="0051072452"/>
    <s v="000020&amp;000470"/>
    <s v="0051072452-000020&amp;000470"/>
    <x v="39"/>
    <x v="34"/>
    <m/>
    <s v="DRV"/>
    <s v="VL"/>
    <x v="238"/>
    <x v="0"/>
    <x v="1"/>
    <s v="ANSI 49"/>
    <d v="2025-12-17T00:00:00"/>
    <n v="17"/>
    <d v="2025-08-07T00:00:00"/>
    <d v="2025-08-19T00:00:00"/>
    <d v="2025-08-20T00:00:00"/>
    <b v="0"/>
    <x v="8"/>
    <n v="5"/>
    <n v="9"/>
    <n v="10"/>
    <x v="6"/>
    <s v="LATE"/>
    <x v="0"/>
    <x v="0"/>
    <m/>
    <x v="0"/>
    <n v="-8"/>
    <x v="0"/>
    <m/>
    <m/>
    <s v="Closed"/>
    <x v="0"/>
    <s v="NA"/>
    <n v="17"/>
    <d v="2025-08-19T09:58:35"/>
    <n v="1"/>
    <m/>
  </r>
  <r>
    <x v="0"/>
    <s v="0051217009"/>
    <s v="000550"/>
    <s v="0051217009-000550"/>
    <x v="42"/>
    <x v="37"/>
    <m/>
    <s v="JAM"/>
    <s v="FRC"/>
    <x v="239"/>
    <x v="0"/>
    <x v="0"/>
    <s v="ANSI 49"/>
    <d v="2025-04-12T00:00:00"/>
    <n v="27"/>
    <d v="2025-08-07T00:00:00"/>
    <d v="2025-08-14T00:00:00"/>
    <d v="2025-08-14T00:00:00"/>
    <b v="0"/>
    <x v="8"/>
    <n v="10"/>
    <n v="6"/>
    <n v="6"/>
    <x v="9"/>
    <s v="ON TIME"/>
    <x v="2"/>
    <x v="0"/>
    <m/>
    <x v="0"/>
    <n v="-22"/>
    <x v="0"/>
    <m/>
    <m/>
    <s v="Closed"/>
    <x v="0"/>
    <s v="NA"/>
    <n v="18"/>
    <d v="2025-08-17T02:21:19"/>
    <n v="1"/>
    <m/>
  </r>
  <r>
    <x v="0"/>
    <s v="0050753978"/>
    <s v="003800"/>
    <s v="0050753978-003800"/>
    <x v="40"/>
    <x v="34"/>
    <m/>
    <s v="ALT"/>
    <s v="HUP"/>
    <x v="240"/>
    <x v="0"/>
    <x v="0"/>
    <s v="ANSI 49"/>
    <d v="2026-07-04T00:00:00"/>
    <n v="16"/>
    <d v="2025-08-08T00:00:00"/>
    <d v="2025-08-15T00:00:00"/>
    <d v="2025-08-14T00:00:00"/>
    <b v="0"/>
    <x v="8"/>
    <n v="5"/>
    <n v="6"/>
    <n v="5"/>
    <x v="11"/>
    <s v="ON TIME"/>
    <x v="2"/>
    <x v="0"/>
    <m/>
    <x v="0"/>
    <n v="-12"/>
    <x v="0"/>
    <m/>
    <m/>
    <s v="Closed"/>
    <x v="0"/>
    <s v="NA"/>
    <n v="18"/>
    <d v="2025-08-18T02:21:19"/>
    <n v="1"/>
    <m/>
  </r>
  <r>
    <x v="0"/>
    <s v="0051072452"/>
    <s v="000020&amp;000470"/>
    <s v="0051072452-000020&amp;000470"/>
    <x v="39"/>
    <x v="34"/>
    <m/>
    <s v="DRV"/>
    <s v="VL"/>
    <x v="241"/>
    <x v="0"/>
    <x v="1"/>
    <s v="ANSI 49"/>
    <d v="2025-12-17T00:00:00"/>
    <n v="16"/>
    <d v="2025-08-08T00:00:00"/>
    <d v="2025-08-20T00:00:00"/>
    <d v="2025-08-20T00:00:00"/>
    <b v="0"/>
    <x v="8"/>
    <n v="5"/>
    <n v="9"/>
    <n v="9"/>
    <x v="9"/>
    <s v="ON TIME"/>
    <x v="2"/>
    <x v="0"/>
    <m/>
    <x v="0"/>
    <n v="-8"/>
    <x v="0"/>
    <m/>
    <m/>
    <s v="Closed"/>
    <x v="0"/>
    <s v="NA"/>
    <n v="17"/>
    <d v="2025-08-20T09:58:35"/>
    <n v="1"/>
    <m/>
  </r>
  <r>
    <x v="0"/>
    <s v="0051472151"/>
    <s v="000010 &amp; 000020"/>
    <s v="0051472151-000010 &amp; 000020"/>
    <x v="43"/>
    <x v="38"/>
    <m/>
    <s v="OAC"/>
    <s v="ODE"/>
    <x v="242"/>
    <x v="0"/>
    <x v="1"/>
    <s v="ANSI 49"/>
    <d v="2025-12-19T00:00:00"/>
    <n v="25"/>
    <d v="2025-08-08T00:00:00"/>
    <d v="2025-08-20T00:00:00"/>
    <d v="2025-09-02T00:00:00"/>
    <b v="0"/>
    <x v="8"/>
    <n v="10"/>
    <n v="9"/>
    <n v="18"/>
    <x v="17"/>
    <s v="LATE"/>
    <x v="0"/>
    <x v="0"/>
    <m/>
    <x v="0"/>
    <n v="-8"/>
    <x v="0"/>
    <m/>
    <m/>
    <s v="Closed"/>
    <x v="0"/>
    <s v="NA"/>
    <n v="17"/>
    <d v="2025-08-20T09:58:35"/>
    <n v="1"/>
    <m/>
  </r>
  <r>
    <x v="0"/>
    <s v="0051306085_x000a_"/>
    <s v="000310"/>
    <s v="0051306085_x000a_-000310"/>
    <x v="32"/>
    <x v="28"/>
    <m/>
    <s v="HMA"/>
    <s v="IGS"/>
    <x v="243"/>
    <x v="0"/>
    <x v="1"/>
    <s v="ANSI 49"/>
    <d v="2025-05-12T00:00:00"/>
    <n v="10"/>
    <d v="2025-08-10T00:00:00"/>
    <d v="2025-08-22T00:00:00"/>
    <d v="2025-08-19T00:00:00"/>
    <b v="0"/>
    <x v="8"/>
    <n v="5"/>
    <n v="10"/>
    <n v="7"/>
    <x v="16"/>
    <s v="ON TIME"/>
    <x v="2"/>
    <x v="0"/>
    <m/>
    <x v="0"/>
    <n v="-4"/>
    <x v="0"/>
    <m/>
    <m/>
    <s v="Closed"/>
    <x v="0"/>
    <s v="NA"/>
    <n v="17"/>
    <d v="2025-08-22T09:58:35"/>
    <n v="1"/>
    <m/>
  </r>
  <r>
    <x v="0"/>
    <s v="0051306085_x000a_"/>
    <s v="000310"/>
    <s v="0051306085_x000a_-000310"/>
    <x v="32"/>
    <x v="28"/>
    <m/>
    <s v="HMA"/>
    <s v="IGS"/>
    <x v="244"/>
    <x v="0"/>
    <x v="1"/>
    <s v="ANSI 49"/>
    <d v="2025-05-12T00:00:00"/>
    <n v="10"/>
    <d v="2025-08-10T00:00:00"/>
    <d v="2025-08-22T00:00:00"/>
    <d v="2025-08-19T00:00:00"/>
    <b v="0"/>
    <x v="8"/>
    <n v="5"/>
    <n v="10"/>
    <n v="7"/>
    <x v="16"/>
    <s v="ON TIME"/>
    <x v="2"/>
    <x v="0"/>
    <m/>
    <x v="0"/>
    <n v="-4"/>
    <x v="0"/>
    <m/>
    <m/>
    <s v="Closed"/>
    <x v="0"/>
    <s v="NA"/>
    <n v="17"/>
    <d v="2025-08-22T09:58:35"/>
    <n v="1"/>
    <m/>
  </r>
  <r>
    <x v="0"/>
    <s v="0051199001"/>
    <s v="000010"/>
    <s v="0051199001-000010"/>
    <x v="38"/>
    <x v="33"/>
    <m/>
    <s v="ASP"/>
    <s v="AL"/>
    <x v="245"/>
    <x v="0"/>
    <x v="1"/>
    <s v="RAL 7035"/>
    <d v="2025-11-26T00:00:00"/>
    <n v="-2"/>
    <d v="2025-08-11T00:00:00"/>
    <d v="2025-08-21T00:00:00"/>
    <d v="2025-08-20T00:00:00"/>
    <b v="0"/>
    <x v="8"/>
    <n v="5"/>
    <n v="9"/>
    <n v="8"/>
    <x v="11"/>
    <s v="ON TIME"/>
    <x v="2"/>
    <x v="1"/>
    <m/>
    <x v="0"/>
    <n v="9"/>
    <x v="1"/>
    <m/>
    <m/>
    <s v="Closed"/>
    <x v="1"/>
    <s v="NA"/>
    <n v="17"/>
    <d v="2025-08-21T09:58:35"/>
    <n v="1"/>
    <m/>
  </r>
  <r>
    <x v="0"/>
    <s v="0050753978"/>
    <s v="003780"/>
    <s v="0050753978-003780"/>
    <x v="40"/>
    <x v="34"/>
    <m/>
    <s v="RAS"/>
    <s v="CML"/>
    <x v="246"/>
    <x v="0"/>
    <x v="1"/>
    <s v="ANSI 49"/>
    <d v="2026-01-04T00:00:00"/>
    <n v="15"/>
    <d v="2025-08-11T00:00:00"/>
    <d v="2025-08-21T00:00:00"/>
    <d v="2025-08-27T00:00:00"/>
    <b v="0"/>
    <x v="8"/>
    <n v="5"/>
    <n v="9"/>
    <n v="13"/>
    <x v="1"/>
    <s v="LATE"/>
    <x v="0"/>
    <x v="0"/>
    <m/>
    <x v="0"/>
    <n v="-3"/>
    <x v="0"/>
    <m/>
    <m/>
    <s v="Closed"/>
    <x v="0"/>
    <s v="NA"/>
    <n v="17"/>
    <d v="2025-08-21T09:58:35"/>
    <n v="1"/>
    <m/>
  </r>
  <r>
    <x v="0"/>
    <s v="0051515918"/>
    <s v="000010"/>
    <s v="0051515918-000010"/>
    <x v="44"/>
    <x v="37"/>
    <m/>
    <s v="JAV"/>
    <s v="KGF"/>
    <x v="247"/>
    <x v="1"/>
    <x v="0"/>
    <s v="ANSI 49"/>
    <d v="2025-12-30T00:00:00"/>
    <n v="25"/>
    <d v="2025-08-11T00:00:00"/>
    <d v="2025-08-21T00:00:00"/>
    <d v="2025-08-19T00:00:00"/>
    <b v="0"/>
    <x v="8"/>
    <n v="10"/>
    <n v="9"/>
    <n v="7"/>
    <x v="5"/>
    <s v="ON TIME"/>
    <x v="2"/>
    <x v="0"/>
    <m/>
    <x v="0"/>
    <n v="-19"/>
    <x v="0"/>
    <m/>
    <m/>
    <s v="Closed"/>
    <x v="0"/>
    <s v="NA"/>
    <n v="18"/>
    <d v="2025-08-24T02:21:19"/>
    <n v="1"/>
    <m/>
  </r>
  <r>
    <x v="0"/>
    <s v="0051306085"/>
    <s v="000310"/>
    <s v="0051306085-000310"/>
    <x v="32"/>
    <x v="28"/>
    <m/>
    <s v="HMA"/>
    <s v="IGS"/>
    <x v="248"/>
    <x v="0"/>
    <x v="1"/>
    <s v="ANSI 49"/>
    <d v="2025-05-12T00:00:00"/>
    <n v="9"/>
    <d v="2025-08-12T00:00:00"/>
    <d v="2025-08-22T00:00:00"/>
    <d v="2025-08-19T00:00:00"/>
    <b v="0"/>
    <x v="8"/>
    <n v="5"/>
    <n v="9"/>
    <n v="6"/>
    <x v="16"/>
    <s v="ON TIME"/>
    <x v="2"/>
    <x v="0"/>
    <m/>
    <x v="0"/>
    <n v="-4"/>
    <x v="0"/>
    <m/>
    <m/>
    <s v="Closed"/>
    <x v="0"/>
    <s v="NA"/>
    <n v="17"/>
    <d v="2025-08-22T09:58:35"/>
    <n v="1"/>
    <m/>
  </r>
  <r>
    <x v="0"/>
    <s v="0050753978"/>
    <s v="003790"/>
    <s v="0050753978-003790"/>
    <x v="40"/>
    <x v="34"/>
    <m/>
    <s v="RAS"/>
    <s v="ODE"/>
    <x v="249"/>
    <x v="1"/>
    <x v="0"/>
    <s v="ANSI 49"/>
    <d v="2026-06-04T00:00:00"/>
    <n v="13"/>
    <d v="2025-08-13T00:00:00"/>
    <d v="2025-08-21T00:00:00"/>
    <d v="2025-08-21T00:00:00"/>
    <b v="0"/>
    <x v="8"/>
    <n v="5"/>
    <n v="7"/>
    <n v="7"/>
    <x v="9"/>
    <s v="ON TIME"/>
    <x v="2"/>
    <x v="0"/>
    <m/>
    <x v="0"/>
    <n v="-7"/>
    <x v="0"/>
    <m/>
    <m/>
    <s v="Closed"/>
    <x v="0"/>
    <s v="NA"/>
    <n v="18"/>
    <d v="2025-08-24T02:21:19"/>
    <n v="1"/>
    <m/>
  </r>
  <r>
    <x v="0"/>
    <s v="0050753978"/>
    <s v="003790"/>
    <s v="0050753978-003790"/>
    <x v="40"/>
    <x v="34"/>
    <m/>
    <s v="RAS"/>
    <s v="ODE"/>
    <x v="250"/>
    <x v="1"/>
    <x v="0"/>
    <s v="ANSI 49"/>
    <d v="2026-06-04T00:00:00"/>
    <n v="13"/>
    <d v="2025-08-13T00:00:00"/>
    <d v="2025-08-25T00:00:00"/>
    <d v="2025-09-01T00:00:00"/>
    <b v="0"/>
    <x v="8"/>
    <n v="5"/>
    <n v="9"/>
    <n v="14"/>
    <x v="3"/>
    <s v="LATE"/>
    <x v="0"/>
    <x v="0"/>
    <m/>
    <x v="0"/>
    <n v="2"/>
    <x v="1"/>
    <m/>
    <m/>
    <s v="Closed"/>
    <x v="1"/>
    <s v="NA"/>
    <n v="18"/>
    <d v="2025-08-28T02:21:19"/>
    <n v="1"/>
    <m/>
  </r>
  <r>
    <x v="0"/>
    <s v="0051472151"/>
    <s v="000010 &amp; 000020"/>
    <s v="0051472151-000010 &amp; 000020"/>
    <x v="43"/>
    <x v="38"/>
    <m/>
    <s v="OAC"/>
    <s v="ODE"/>
    <x v="251"/>
    <x v="0"/>
    <x v="0"/>
    <s v="ANSI 49"/>
    <d v="2025-12-19T00:00:00"/>
    <n v="22"/>
    <d v="2025-08-13T00:00:00"/>
    <d v="2025-08-20T00:00:00"/>
    <d v="2025-09-09T00:00:00"/>
    <b v="0"/>
    <x v="8"/>
    <n v="10"/>
    <n v="6"/>
    <n v="20"/>
    <x v="20"/>
    <s v="LATE"/>
    <x v="0"/>
    <x v="0"/>
    <m/>
    <x v="1"/>
    <n v="-3"/>
    <x v="0"/>
    <m/>
    <s v="Oneshuttle barrier "/>
    <s v="Cancelled"/>
    <x v="0"/>
    <s v="NA"/>
    <n v="0"/>
    <d v="2025-08-23T02:21:19"/>
    <n v="0"/>
    <m/>
  </r>
  <r>
    <x v="0"/>
    <s v="0051139077"/>
    <s v="000030&amp;000110&amp;000290"/>
    <s v="0051139077-000030&amp;000110&amp;000290"/>
    <x v="45"/>
    <x v="34"/>
    <m/>
    <s v="AOB"/>
    <s v="OAL"/>
    <x v="252"/>
    <x v="0"/>
    <x v="0"/>
    <s v="ANSI 49"/>
    <d v="2026-03-31T00:00:00"/>
    <n v="11"/>
    <d v="2025-08-15T00:00:00"/>
    <d v="2025-08-25T00:00:00"/>
    <d v="2025-09-10T00:00:00"/>
    <b v="0"/>
    <x v="8"/>
    <n v="5"/>
    <n v="7"/>
    <n v="19"/>
    <x v="26"/>
    <s v="LATE"/>
    <x v="0"/>
    <x v="0"/>
    <m/>
    <x v="0"/>
    <n v="9"/>
    <x v="1"/>
    <m/>
    <m/>
    <s v="Closed"/>
    <x v="1"/>
    <s v="NA"/>
    <n v="18"/>
    <d v="2025-08-28T02:21:19"/>
    <n v="1"/>
    <m/>
  </r>
  <r>
    <x v="0"/>
    <s v="0050753978"/>
    <s v="003790"/>
    <s v="0050753978-003790"/>
    <x v="40"/>
    <x v="34"/>
    <m/>
    <s v="RAS"/>
    <s v="ODE"/>
    <x v="253"/>
    <x v="1"/>
    <x v="1"/>
    <s v="ANSI 49"/>
    <d v="2026-06-04T00:00:00"/>
    <n v="11"/>
    <d v="2025-08-15T00:00:00"/>
    <d v="2025-08-27T00:00:00"/>
    <d v="2025-09-01T00:00:00"/>
    <b v="0"/>
    <x v="8"/>
    <n v="5"/>
    <n v="9"/>
    <n v="12"/>
    <x v="4"/>
    <s v="LATE"/>
    <x v="0"/>
    <x v="0"/>
    <m/>
    <x v="0"/>
    <n v="2"/>
    <x v="1"/>
    <m/>
    <m/>
    <s v="Closed"/>
    <x v="1"/>
    <s v="NA"/>
    <n v="17"/>
    <d v="2025-08-27T09:58:35"/>
    <n v="1"/>
    <m/>
  </r>
  <r>
    <x v="0"/>
    <s v="0050753978"/>
    <s v="003790"/>
    <s v="0050753978-003790"/>
    <x v="40"/>
    <x v="34"/>
    <m/>
    <s v="RAS"/>
    <s v="ODE"/>
    <x v="254"/>
    <x v="1"/>
    <x v="0"/>
    <s v="ANSI 49"/>
    <d v="2026-06-04T00:00:00"/>
    <n v="11"/>
    <d v="2025-08-15T00:00:00"/>
    <d v="2025-08-27T00:00:00"/>
    <d v="2025-09-02T00:00:00"/>
    <b v="0"/>
    <x v="8"/>
    <n v="5"/>
    <n v="9"/>
    <n v="13"/>
    <x v="1"/>
    <s v="LATE"/>
    <x v="0"/>
    <x v="0"/>
    <m/>
    <x v="0"/>
    <n v="3"/>
    <x v="1"/>
    <m/>
    <m/>
    <s v="Closed"/>
    <x v="1"/>
    <s v="NA"/>
    <n v="18"/>
    <d v="2025-08-30T02:21:19"/>
    <n v="1"/>
    <m/>
  </r>
  <r>
    <x v="0"/>
    <s v="0051139077"/>
    <s v="000030&amp;000110&amp;000290"/>
    <s v="0051139077-000030&amp;000110&amp;000290"/>
    <x v="45"/>
    <x v="34"/>
    <m/>
    <s v="AOB"/>
    <s v="OAL"/>
    <x v="255"/>
    <x v="0"/>
    <x v="1"/>
    <s v="ANSI 49"/>
    <d v="2026-01-04T00:00:00"/>
    <n v="11"/>
    <d v="2025-08-15T00:00:00"/>
    <d v="2025-08-27T00:00:00"/>
    <d v="2025-08-19T00:00:00"/>
    <b v="0"/>
    <x v="8"/>
    <n v="5"/>
    <n v="9"/>
    <n v="3"/>
    <x v="24"/>
    <s v="ON TIME"/>
    <x v="2"/>
    <x v="0"/>
    <m/>
    <x v="1"/>
    <n v="-9"/>
    <x v="0"/>
    <m/>
    <s v="PN Active in plant"/>
    <s v="Cancelled"/>
    <x v="0"/>
    <s v="NA"/>
    <n v="0"/>
    <d v="2025-08-27T09:58:35"/>
    <n v="0"/>
    <m/>
  </r>
  <r>
    <x v="0"/>
    <s v="0051436816"/>
    <s v="000030"/>
    <s v="0051436816-000030"/>
    <x v="46"/>
    <x v="39"/>
    <d v="2025-12-19T00:00:00"/>
    <s v="DMA"/>
    <s v="KGF"/>
    <x v="256"/>
    <x v="0"/>
    <x v="0"/>
    <s v="RAL9003"/>
    <d v="2026-03-17T00:00:00"/>
    <n v="96"/>
    <d v="2025-08-15T00:00:00"/>
    <d v="2025-08-22T00:00:00"/>
    <d v="2025-08-22T00:00:00"/>
    <b v="0"/>
    <x v="8"/>
    <n v="10"/>
    <n v="6"/>
    <n v="6"/>
    <x v="9"/>
    <s v="ON TIME"/>
    <x v="2"/>
    <x v="0"/>
    <m/>
    <x v="0"/>
    <n v="-83"/>
    <x v="0"/>
    <m/>
    <m/>
    <s v="Closed"/>
    <x v="0"/>
    <s v="NA"/>
    <n v="18"/>
    <d v="2025-08-25T02:21:19"/>
    <n v="1"/>
    <m/>
  </r>
  <r>
    <x v="0"/>
    <s v="0051139077"/>
    <s v="000030&amp;000110&amp;000290"/>
    <s v="0051139077-000030&amp;000110&amp;000290"/>
    <x v="45"/>
    <x v="34"/>
    <m/>
    <s v="AOB"/>
    <s v="OAL"/>
    <x v="257"/>
    <x v="1"/>
    <x v="0"/>
    <s v="ANSI 49"/>
    <d v="2026-03-31T00:00:00"/>
    <n v="10"/>
    <d v="2025-08-18T00:00:00"/>
    <d v="2025-08-25T00:00:00"/>
    <d v="2025-08-25T00:00:00"/>
    <b v="0"/>
    <x v="8"/>
    <n v="5"/>
    <n v="6"/>
    <n v="6"/>
    <x v="9"/>
    <s v="ON TIME"/>
    <x v="2"/>
    <x v="0"/>
    <m/>
    <x v="0"/>
    <n v="-5"/>
    <x v="0"/>
    <m/>
    <m/>
    <s v="Closed"/>
    <x v="0"/>
    <s v="NA"/>
    <n v="18"/>
    <d v="2025-08-28T02:21:19"/>
    <n v="1"/>
    <m/>
  </r>
  <r>
    <x v="0"/>
    <s v="0051027340"/>
    <s v="000100"/>
    <s v="0051027340-000100"/>
    <x v="47"/>
    <x v="34"/>
    <m/>
    <s v="MGL"/>
    <s v="FRC"/>
    <x v="258"/>
    <x v="1"/>
    <x v="0"/>
    <s v="ANSI 49"/>
    <d v="2025-12-30T00:00:00"/>
    <n v="10"/>
    <d v="2025-08-18T00:00:00"/>
    <d v="2025-08-26T00:00:00"/>
    <d v="2025-08-30T00:00:00"/>
    <b v="0"/>
    <x v="8"/>
    <n v="5"/>
    <n v="7"/>
    <n v="10"/>
    <x v="4"/>
    <s v="LATE"/>
    <x v="0"/>
    <x v="0"/>
    <m/>
    <x v="0"/>
    <n v="1"/>
    <x v="1"/>
    <m/>
    <m/>
    <s v="Closed"/>
    <x v="1"/>
    <s v="NA"/>
    <n v="18"/>
    <d v="2025-08-29T02:21:19"/>
    <n v="1"/>
    <m/>
  </r>
  <r>
    <x v="0"/>
    <s v="0051139077"/>
    <s v="000030&amp;000110&amp;000290"/>
    <s v="0051139077-000030&amp;000110&amp;000290"/>
    <x v="45"/>
    <x v="34"/>
    <m/>
    <s v="AOB"/>
    <s v="OAL"/>
    <x v="259"/>
    <x v="1"/>
    <x v="1"/>
    <s v="ANSI 49"/>
    <d v="2026-01-04T00:00:00"/>
    <n v="10"/>
    <d v="2025-08-18T00:00:00"/>
    <d v="2025-08-28T00:00:00"/>
    <d v="2025-08-28T00:00:00"/>
    <b v="0"/>
    <x v="8"/>
    <n v="5"/>
    <n v="9"/>
    <n v="9"/>
    <x v="9"/>
    <s v="ON TIME"/>
    <x v="2"/>
    <x v="0"/>
    <m/>
    <x v="0"/>
    <n v="-2"/>
    <x v="0"/>
    <m/>
    <m/>
    <s v="Closed"/>
    <x v="0"/>
    <s v="NA"/>
    <n v="17"/>
    <d v="2025-08-28T09:58:35"/>
    <n v="1"/>
    <m/>
  </r>
  <r>
    <x v="0"/>
    <s v="0051027340"/>
    <s v="000100"/>
    <s v="0051027340-000100"/>
    <x v="47"/>
    <x v="34"/>
    <m/>
    <s v="MGL"/>
    <s v="FRC"/>
    <x v="260"/>
    <x v="1"/>
    <x v="1"/>
    <s v="ANSI 49"/>
    <d v="2025-12-30T00:00:00"/>
    <n v="10"/>
    <d v="2025-08-18T00:00:00"/>
    <d v="2025-08-28T00:00:00"/>
    <d v="2025-08-29T00:00:00"/>
    <b v="0"/>
    <x v="8"/>
    <n v="5"/>
    <n v="9"/>
    <n v="10"/>
    <x v="6"/>
    <s v="LATE"/>
    <x v="0"/>
    <x v="0"/>
    <m/>
    <x v="0"/>
    <n v="1"/>
    <x v="1"/>
    <m/>
    <m/>
    <s v="Closed"/>
    <x v="1"/>
    <s v="NA"/>
    <n v="17"/>
    <d v="2025-08-28T09:58:35"/>
    <n v="1"/>
    <m/>
  </r>
  <r>
    <x v="0"/>
    <s v="0050753978"/>
    <s v="003780"/>
    <s v="0050753978-003780"/>
    <x v="40"/>
    <x v="34"/>
    <m/>
    <s v="RAS"/>
    <s v="CML"/>
    <x v="261"/>
    <x v="1"/>
    <x v="0"/>
    <s v="ANSI 49"/>
    <d v="2026-01-04T00:00:00"/>
    <n v="9"/>
    <d v="2025-08-19T00:00:00"/>
    <d v="2025-08-26T00:00:00"/>
    <d v="2025-08-30T00:00:00"/>
    <b v="0"/>
    <x v="8"/>
    <n v="5"/>
    <n v="6"/>
    <n v="9"/>
    <x v="4"/>
    <s v="LATE"/>
    <x v="0"/>
    <x v="0"/>
    <m/>
    <x v="0"/>
    <n v="1"/>
    <x v="1"/>
    <m/>
    <m/>
    <s v="Closed"/>
    <x v="1"/>
    <s v="NA"/>
    <n v="18"/>
    <d v="2025-08-29T02:21:19"/>
    <n v="1"/>
    <m/>
  </r>
  <r>
    <x v="0"/>
    <s v="0050753978"/>
    <s v="003790"/>
    <s v="0050753978-003790"/>
    <x v="40"/>
    <x v="34"/>
    <m/>
    <s v="RAS"/>
    <s v="ODE"/>
    <x v="262"/>
    <x v="1"/>
    <x v="0"/>
    <s v="ANSI 49"/>
    <d v="2026-06-04T00:00:00"/>
    <n v="9"/>
    <d v="2025-08-19T00:00:00"/>
    <d v="2025-08-26T00:00:00"/>
    <d v="2025-08-25T00:00:00"/>
    <b v="0"/>
    <x v="8"/>
    <n v="5"/>
    <n v="6"/>
    <n v="5"/>
    <x v="11"/>
    <s v="ON TIME"/>
    <x v="2"/>
    <x v="0"/>
    <m/>
    <x v="0"/>
    <n v="-5"/>
    <x v="0"/>
    <m/>
    <m/>
    <s v="Closed"/>
    <x v="0"/>
    <s v="NA"/>
    <n v="18"/>
    <d v="2025-08-29T02:21:19"/>
    <n v="1"/>
    <m/>
  </r>
  <r>
    <x v="0"/>
    <s v="0051359498"/>
    <s v="000080"/>
    <s v="0051359498-000080"/>
    <x v="48"/>
    <x v="34"/>
    <m/>
    <s v="JRC"/>
    <s v="RCI"/>
    <x v="263"/>
    <x v="1"/>
    <x v="0"/>
    <s v="ANSI 49"/>
    <d v="2025-12-30T00:00:00"/>
    <n v="9"/>
    <d v="2025-08-19T00:00:00"/>
    <d v="2025-08-26T00:00:00"/>
    <d v="2025-08-25T00:00:00"/>
    <b v="0"/>
    <x v="8"/>
    <n v="5"/>
    <n v="6"/>
    <n v="5"/>
    <x v="11"/>
    <s v="ON TIME"/>
    <x v="2"/>
    <x v="0"/>
    <m/>
    <x v="0"/>
    <n v="-5"/>
    <x v="0"/>
    <m/>
    <m/>
    <s v="Closed"/>
    <x v="0"/>
    <s v="NA"/>
    <n v="18"/>
    <d v="2025-08-29T02:21:19"/>
    <n v="1"/>
    <m/>
  </r>
  <r>
    <x v="0"/>
    <s v="0051139077"/>
    <s v="000030&amp;000110&amp;000290"/>
    <s v="0051139077-000030&amp;000110&amp;000290"/>
    <x v="45"/>
    <x v="34"/>
    <m/>
    <s v="AOB"/>
    <s v="OAL"/>
    <x v="264"/>
    <x v="0"/>
    <x v="0"/>
    <s v="ANSI 49"/>
    <d v="2026-03-31T00:00:00"/>
    <n v="9"/>
    <d v="2025-08-19T00:00:00"/>
    <d v="2025-08-26T00:00:00"/>
    <d v="2025-08-26T00:00:00"/>
    <b v="0"/>
    <x v="8"/>
    <n v="5"/>
    <n v="6"/>
    <n v="6"/>
    <x v="9"/>
    <s v="ON TIME"/>
    <x v="2"/>
    <x v="0"/>
    <m/>
    <x v="0"/>
    <n v="-4"/>
    <x v="0"/>
    <m/>
    <m/>
    <s v="Closed"/>
    <x v="0"/>
    <s v="NA"/>
    <n v="18"/>
    <d v="2025-08-29T02:21:19"/>
    <n v="1"/>
    <m/>
  </r>
  <r>
    <x v="0"/>
    <s v="0051436816"/>
    <s v="000030"/>
    <s v="0051436816-000030"/>
    <x v="46"/>
    <x v="39"/>
    <d v="2025-12-19T00:00:00"/>
    <s v="DMA"/>
    <s v="KGF"/>
    <x v="265"/>
    <x v="0"/>
    <x v="0"/>
    <s v="RAL9003"/>
    <d v="2026-03-17T00:00:00"/>
    <n v="94"/>
    <d v="2025-08-19T00:00:00"/>
    <d v="2025-08-26T00:00:00"/>
    <d v="2025-08-25T00:00:00"/>
    <b v="0"/>
    <x v="8"/>
    <n v="10"/>
    <n v="6"/>
    <n v="5"/>
    <x v="11"/>
    <s v="ON TIME"/>
    <x v="2"/>
    <x v="0"/>
    <m/>
    <x v="0"/>
    <n v="-82"/>
    <x v="0"/>
    <m/>
    <m/>
    <s v="Closed"/>
    <x v="0"/>
    <s v="NA"/>
    <n v="18"/>
    <d v="2025-08-29T02:21:19"/>
    <n v="1"/>
    <m/>
  </r>
  <r>
    <x v="0"/>
    <s v="0050847146"/>
    <s v="000200"/>
    <s v="0050847146-000200"/>
    <x v="49"/>
    <x v="40"/>
    <m/>
    <s v="ASP"/>
    <s v="DPM"/>
    <x v="266"/>
    <x v="0"/>
    <x v="1"/>
    <s v="ANSI 49"/>
    <d v="2025-08-20T00:00:00"/>
    <n v="5"/>
    <d v="2025-08-20T00:00:00"/>
    <d v="2025-09-01T00:00:00"/>
    <d v="2025-08-29T00:00:00"/>
    <b v="0"/>
    <x v="8"/>
    <n v="5"/>
    <n v="9"/>
    <n v="8"/>
    <x v="11"/>
    <s v="ON TIME"/>
    <x v="2"/>
    <x v="0"/>
    <m/>
    <x v="0"/>
    <n v="4"/>
    <x v="1"/>
    <m/>
    <m/>
    <s v="Closed"/>
    <x v="1"/>
    <s v="NA"/>
    <n v="17"/>
    <d v="2025-09-01T09:58:35"/>
    <n v="1"/>
    <m/>
  </r>
  <r>
    <x v="0"/>
    <s v="0051072452"/>
    <s v="000020"/>
    <s v="0051072452-000020"/>
    <x v="39"/>
    <x v="34"/>
    <m/>
    <s v="DRV"/>
    <s v="VL"/>
    <x v="267"/>
    <x v="1"/>
    <x v="0"/>
    <s v="ANSI 49"/>
    <d v="2025-12-17T00:00:00"/>
    <n v="8"/>
    <d v="2025-08-20T00:00:00"/>
    <d v="2025-08-29T00:00:00"/>
    <d v="2025-09-01T00:00:00"/>
    <b v="0"/>
    <x v="8"/>
    <n v="5"/>
    <n v="8"/>
    <n v="9"/>
    <x v="6"/>
    <s v="LATE"/>
    <x v="0"/>
    <x v="0"/>
    <m/>
    <x v="0"/>
    <n v="2"/>
    <x v="1"/>
    <m/>
    <m/>
    <s v="Closed"/>
    <x v="1"/>
    <s v="NA"/>
    <n v="18"/>
    <d v="2025-09-01T02:21:19"/>
    <n v="1"/>
    <m/>
  </r>
  <r>
    <x v="0"/>
    <s v="0051229942"/>
    <s v="000120"/>
    <s v="0051229942-000120"/>
    <x v="50"/>
    <x v="41"/>
    <m/>
    <s v="MGL"/>
    <s v="AL"/>
    <x v="268"/>
    <x v="0"/>
    <x v="1"/>
    <s v="ANSI 49"/>
    <d v="2025-08-19T00:00:00"/>
    <n v="-64"/>
    <d v="2025-08-21T00:00:00"/>
    <d v="2025-09-02T00:00:00"/>
    <d v="2025-09-03T00:00:00"/>
    <b v="0"/>
    <x v="8"/>
    <n v="5"/>
    <n v="9"/>
    <n v="10"/>
    <x v="6"/>
    <s v="LATE"/>
    <x v="0"/>
    <x v="1"/>
    <m/>
    <x v="0"/>
    <n v="73"/>
    <x v="1"/>
    <m/>
    <m/>
    <s v="Closed"/>
    <x v="1"/>
    <s v="NA"/>
    <n v="17"/>
    <d v="2025-09-02T09:58:35"/>
    <n v="1"/>
    <m/>
  </r>
  <r>
    <x v="0"/>
    <s v="0051359498"/>
    <s v="000080"/>
    <s v="0051359498-000080"/>
    <x v="48"/>
    <x v="34"/>
    <m/>
    <s v="JRC"/>
    <s v="RCI"/>
    <x v="269"/>
    <x v="0"/>
    <x v="0"/>
    <s v="ANSI 49"/>
    <d v="2025-12-30T00:00:00"/>
    <n v="7"/>
    <d v="2025-08-21T00:00:00"/>
    <d v="2025-08-28T00:00:00"/>
    <d v="2025-08-28T00:00:00"/>
    <b v="0"/>
    <x v="8"/>
    <n v="5"/>
    <n v="6"/>
    <n v="6"/>
    <x v="9"/>
    <s v="ON TIME"/>
    <x v="2"/>
    <x v="0"/>
    <m/>
    <x v="0"/>
    <n v="-2"/>
    <x v="0"/>
    <m/>
    <m/>
    <s v="Closed"/>
    <x v="0"/>
    <s v="NA"/>
    <n v="18"/>
    <d v="2025-08-31T02:21:19"/>
    <n v="1"/>
    <m/>
  </r>
  <r>
    <x v="0"/>
    <s v="0051072452"/>
    <s v="000020"/>
    <s v="0051072452-000020"/>
    <x v="39"/>
    <x v="34"/>
    <m/>
    <s v="DRV"/>
    <s v="VL"/>
    <x v="270"/>
    <x v="1"/>
    <x v="0"/>
    <s v="ANSI 49"/>
    <d v="2025-12-17T00:00:00"/>
    <n v="7"/>
    <d v="2025-08-21T00:00:00"/>
    <d v="2025-08-28T00:00:00"/>
    <d v="2025-09-01T00:00:00"/>
    <b v="0"/>
    <x v="8"/>
    <n v="5"/>
    <n v="6"/>
    <n v="8"/>
    <x v="12"/>
    <s v="LATE"/>
    <x v="0"/>
    <x v="0"/>
    <m/>
    <x v="0"/>
    <n v="2"/>
    <x v="1"/>
    <m/>
    <m/>
    <s v="Closed"/>
    <x v="1"/>
    <s v="NA"/>
    <n v="18"/>
    <d v="2025-08-31T02:21:19"/>
    <n v="1"/>
    <m/>
  </r>
  <r>
    <x v="0"/>
    <s v="0051072452"/>
    <s v="000020"/>
    <s v="0051072452-000020"/>
    <x v="39"/>
    <x v="34"/>
    <m/>
    <s v="DRV"/>
    <s v="VL"/>
    <x v="271"/>
    <x v="1"/>
    <x v="0"/>
    <s v="ANSI 49"/>
    <d v="2025-12-17T00:00:00"/>
    <n v="7"/>
    <d v="2025-08-21T00:00:00"/>
    <d v="2025-08-28T00:00:00"/>
    <d v="2025-09-11T00:00:00"/>
    <b v="0"/>
    <x v="8"/>
    <n v="5"/>
    <n v="6"/>
    <n v="16"/>
    <x v="0"/>
    <s v="LATE"/>
    <x v="0"/>
    <x v="0"/>
    <m/>
    <x v="0"/>
    <n v="10"/>
    <x v="1"/>
    <m/>
    <m/>
    <s v="Closed"/>
    <x v="1"/>
    <s v="NA"/>
    <n v="18"/>
    <d v="2025-08-31T02:21:19"/>
    <n v="1"/>
    <m/>
  </r>
  <r>
    <x v="0"/>
    <s v="0051072452"/>
    <s v="000020"/>
    <s v="0051072452-000020"/>
    <x v="39"/>
    <x v="34"/>
    <m/>
    <s v="DRV"/>
    <s v="VL"/>
    <x v="272"/>
    <x v="1"/>
    <x v="0"/>
    <s v="ANSI 49"/>
    <d v="2025-12-17T00:00:00"/>
    <n v="7"/>
    <d v="2025-08-21T00:00:00"/>
    <d v="2025-08-29T00:00:00"/>
    <d v="2025-08-29T00:00:00"/>
    <b v="0"/>
    <x v="8"/>
    <n v="5"/>
    <n v="7"/>
    <n v="7"/>
    <x v="9"/>
    <s v="ON TIME"/>
    <x v="2"/>
    <x v="0"/>
    <m/>
    <x v="0"/>
    <n v="1"/>
    <x v="1"/>
    <m/>
    <m/>
    <s v="Closed"/>
    <x v="1"/>
    <s v="NA"/>
    <n v="18"/>
    <d v="2025-09-01T02:21:19"/>
    <n v="1"/>
    <m/>
  </r>
  <r>
    <x v="0"/>
    <s v="0051072452"/>
    <s v="000020"/>
    <s v="0051072452-000020"/>
    <x v="39"/>
    <x v="34"/>
    <m/>
    <s v="DRV"/>
    <s v="VL"/>
    <x v="273"/>
    <x v="1"/>
    <x v="1"/>
    <s v="ANSI 49"/>
    <d v="2025-12-17T00:00:00"/>
    <n v="7"/>
    <d v="2025-08-21T00:00:00"/>
    <d v="2025-09-02T00:00:00"/>
    <d v="2025-09-03T00:00:00"/>
    <b v="0"/>
    <x v="8"/>
    <n v="5"/>
    <n v="9"/>
    <n v="10"/>
    <x v="6"/>
    <s v="LATE"/>
    <x v="0"/>
    <x v="0"/>
    <m/>
    <x v="0"/>
    <n v="4"/>
    <x v="1"/>
    <m/>
    <m/>
    <s v="Closed"/>
    <x v="1"/>
    <s v="NA"/>
    <n v="17"/>
    <d v="2025-09-02T09:58:35"/>
    <n v="1"/>
    <m/>
  </r>
  <r>
    <x v="0"/>
    <s v="0051072452"/>
    <s v="000470"/>
    <s v="0051072452-000470"/>
    <x v="39"/>
    <x v="34"/>
    <m/>
    <s v="DRV"/>
    <s v="IGS"/>
    <x v="274"/>
    <x v="1"/>
    <x v="0"/>
    <s v="ANSI 49"/>
    <d v="2025-12-17T00:00:00"/>
    <n v="6"/>
    <d v="2025-08-22T00:00:00"/>
    <d v="2025-08-29T00:00:00"/>
    <d v="2025-08-28T00:00:00"/>
    <b v="0"/>
    <x v="8"/>
    <n v="5"/>
    <n v="6"/>
    <n v="5"/>
    <x v="11"/>
    <s v="ON TIME"/>
    <x v="2"/>
    <x v="0"/>
    <m/>
    <x v="0"/>
    <n v="-2"/>
    <x v="0"/>
    <m/>
    <m/>
    <s v="Closed"/>
    <x v="0"/>
    <s v="NA"/>
    <n v="18"/>
    <d v="2025-09-01T02:21:19"/>
    <n v="1"/>
    <m/>
  </r>
  <r>
    <x v="0"/>
    <s v="0051072451"/>
    <s v="000150"/>
    <s v="0051072451-000150"/>
    <x v="39"/>
    <x v="34"/>
    <m/>
    <s v="DRV"/>
    <s v="IGS"/>
    <x v="275"/>
    <x v="1"/>
    <x v="0"/>
    <s v="ANSI 49"/>
    <d v="2025-12-17T00:00:00"/>
    <n v="5"/>
    <d v="2025-08-25T00:00:00"/>
    <d v="2025-09-09T00:00:00"/>
    <d v="2025-09-09T00:00:00"/>
    <b v="0"/>
    <x v="8"/>
    <n v="5"/>
    <n v="12"/>
    <n v="12"/>
    <x v="9"/>
    <s v="ON TIME"/>
    <x v="2"/>
    <x v="0"/>
    <m/>
    <x v="0"/>
    <n v="8"/>
    <x v="1"/>
    <m/>
    <m/>
    <s v="Closed"/>
    <x v="1"/>
    <s v="NA"/>
    <n v="18"/>
    <d v="2025-09-12T02:21:19"/>
    <n v="1"/>
    <m/>
  </r>
  <r>
    <x v="0"/>
    <s v="0051472151"/>
    <s v="000010"/>
    <s v="0051472151-000010"/>
    <x v="43"/>
    <x v="38"/>
    <m/>
    <s v="OAC"/>
    <s v="ODE"/>
    <x v="276"/>
    <x v="1"/>
    <x v="0"/>
    <s v="ANSI 49"/>
    <d v="2025-12-19T00:00:00"/>
    <n v="12"/>
    <d v="2025-08-27T00:00:00"/>
    <d v="2025-09-03T00:00:00"/>
    <d v="2025-09-10T00:00:00"/>
    <b v="0"/>
    <x v="8"/>
    <n v="10"/>
    <n v="6"/>
    <n v="11"/>
    <x v="3"/>
    <s v="LATE"/>
    <x v="0"/>
    <x v="0"/>
    <m/>
    <x v="0"/>
    <n v="-2"/>
    <x v="0"/>
    <m/>
    <m/>
    <s v="Closed"/>
    <x v="0"/>
    <s v="NA"/>
    <n v="18"/>
    <d v="2025-09-06T02:21:19"/>
    <n v="1"/>
    <m/>
  </r>
  <r>
    <x v="0"/>
    <s v="0051461115"/>
    <s v="000030"/>
    <s v="0051461115-000030"/>
    <x v="51"/>
    <x v="42"/>
    <m/>
    <s v="UFA"/>
    <s v="RCI"/>
    <x v="277"/>
    <x v="0"/>
    <x v="0"/>
    <s v="ANSI 49"/>
    <d v="2025-12-26T00:00:00"/>
    <n v="25"/>
    <d v="2025-08-27T00:00:00"/>
    <d v="2025-09-04T00:00:00"/>
    <d v="2025-09-01T00:00:00"/>
    <b v="0"/>
    <x v="8"/>
    <n v="5"/>
    <n v="7"/>
    <n v="4"/>
    <x v="16"/>
    <s v="ON TIME"/>
    <x v="2"/>
    <x v="0"/>
    <s v="Change Order"/>
    <x v="0"/>
    <n v="-21"/>
    <x v="0"/>
    <m/>
    <m/>
    <s v="Closed"/>
    <x v="0"/>
    <s v="NA"/>
    <n v="18"/>
    <d v="2025-09-07T02:21:19"/>
    <n v="1"/>
    <m/>
  </r>
  <r>
    <x v="0"/>
    <s v="0051424832"/>
    <s v="000020"/>
    <s v="0051424832-000020"/>
    <x v="52"/>
    <x v="42"/>
    <m/>
    <s v="JTV"/>
    <s v="CML"/>
    <x v="278"/>
    <x v="1"/>
    <x v="0"/>
    <s v="ANSI 49"/>
    <d v="2026-01-15T00:00:00"/>
    <n v="25"/>
    <d v="2025-08-27T00:00:00"/>
    <d v="2025-09-05T00:00:00"/>
    <d v="2025-09-02T00:00:00"/>
    <b v="0"/>
    <x v="8"/>
    <n v="10"/>
    <n v="8"/>
    <n v="5"/>
    <x v="16"/>
    <s v="ON TIME"/>
    <x v="2"/>
    <x v="0"/>
    <m/>
    <x v="0"/>
    <n v="-20"/>
    <x v="0"/>
    <m/>
    <m/>
    <s v="Closed"/>
    <x v="0"/>
    <s v="NA"/>
    <n v="18"/>
    <d v="2025-09-08T02:21:19"/>
    <n v="1"/>
    <m/>
  </r>
  <r>
    <x v="0"/>
    <s v="0051139077"/>
    <s v="000190"/>
    <s v="0051139077-000190"/>
    <x v="43"/>
    <x v="34"/>
    <m/>
    <s v="OAC"/>
    <s v="ODE"/>
    <x v="279"/>
    <x v="1"/>
    <x v="0"/>
    <s v="ANSI 49"/>
    <d v="2026-04-01T00:00:00"/>
    <n v="2"/>
    <d v="2025-08-28T00:00:00"/>
    <d v="2025-09-05T00:00:00"/>
    <d v="2025-09-09T00:00:00"/>
    <b v="0"/>
    <x v="8"/>
    <n v="5"/>
    <n v="7"/>
    <n v="9"/>
    <x v="12"/>
    <s v="LATE"/>
    <x v="0"/>
    <x v="1"/>
    <m/>
    <x v="0"/>
    <n v="8"/>
    <x v="1"/>
    <m/>
    <m/>
    <s v="Closed"/>
    <x v="1"/>
    <s v="NA"/>
    <n v="18"/>
    <d v="2025-09-08T02:21:19"/>
    <n v="1"/>
    <m/>
  </r>
  <r>
    <x v="0"/>
    <s v="0051340498"/>
    <s v="000010"/>
    <s v="0051340498-000010"/>
    <x v="53"/>
    <x v="43"/>
    <m/>
    <s v="ASP"/>
    <s v="RCI"/>
    <x v="280"/>
    <x v="0"/>
    <x v="1"/>
    <s v="ANSI 49"/>
    <d v="2025-12-30T00:00:00"/>
    <n v="17"/>
    <d v="2025-08-28T00:00:00"/>
    <d v="2025-09-09T00:00:00"/>
    <d v="2025-09-09T00:00:00"/>
    <b v="0"/>
    <x v="8"/>
    <n v="10"/>
    <n v="9"/>
    <n v="9"/>
    <x v="9"/>
    <s v="ON TIME"/>
    <x v="2"/>
    <x v="0"/>
    <m/>
    <x v="0"/>
    <n v="-8"/>
    <x v="0"/>
    <m/>
    <m/>
    <s v="Closed"/>
    <x v="0"/>
    <s v="NA"/>
    <n v="17"/>
    <d v="2025-09-09T09:58:35"/>
    <n v="1"/>
    <m/>
  </r>
  <r>
    <x v="1"/>
    <s v="SWBD"/>
    <s v="meta rsb #80"/>
    <s v="SWBD-meta rsb #80"/>
    <x v="54"/>
    <x v="44"/>
    <m/>
    <s v="ALT"/>
    <s v="AL"/>
    <x v="281"/>
    <x v="0"/>
    <x v="0"/>
    <s v="ANSI 49"/>
    <s v="NA"/>
    <n v="22"/>
    <d v="2025-08-28T00:00:00"/>
    <d v="2025-09-04T00:00:00"/>
    <d v="2025-09-10T00:00:00"/>
    <b v="0"/>
    <x v="8"/>
    <n v="10"/>
    <n v="6"/>
    <n v="10"/>
    <x v="1"/>
    <s v="LATE"/>
    <x v="0"/>
    <x v="0"/>
    <m/>
    <x v="0"/>
    <n v="-12"/>
    <x v="0"/>
    <m/>
    <m/>
    <s v="Closed"/>
    <x v="0"/>
    <s v="NA"/>
    <n v="18"/>
    <d v="2025-09-07T02:21:19"/>
    <n v="1"/>
    <m/>
  </r>
  <r>
    <x v="1"/>
    <s v="SWBD"/>
    <s v="meta rsb #80"/>
    <s v="SWBD-meta rsb #80"/>
    <x v="54"/>
    <x v="44"/>
    <m/>
    <s v="ALT"/>
    <s v="AL"/>
    <x v="282"/>
    <x v="0"/>
    <x v="0"/>
    <s v="ANSI 49"/>
    <s v="NA"/>
    <n v="22"/>
    <d v="2025-08-28T00:00:00"/>
    <d v="2025-09-08T00:00:00"/>
    <d v="2025-09-27T00:00:00"/>
    <b v="0"/>
    <x v="8"/>
    <n v="10"/>
    <n v="8"/>
    <n v="21"/>
    <x v="22"/>
    <s v="LATE"/>
    <x v="0"/>
    <x v="0"/>
    <m/>
    <x v="0"/>
    <n v="1"/>
    <x v="1"/>
    <m/>
    <m/>
    <s v="Closed"/>
    <x v="1"/>
    <s v="NA"/>
    <n v="18"/>
    <d v="2025-09-11T02:21:19"/>
    <n v="1"/>
    <m/>
  </r>
  <r>
    <x v="1"/>
    <s v="SWBD"/>
    <s v="meta rsb #80"/>
    <s v="SWBD-meta rsb #80"/>
    <x v="54"/>
    <x v="44"/>
    <m/>
    <s v="ALT"/>
    <s v="AL"/>
    <x v="283"/>
    <x v="0"/>
    <x v="0"/>
    <s v="ANSI 49"/>
    <s v="NA"/>
    <n v="22"/>
    <d v="2025-08-28T00:00:00"/>
    <d v="2025-09-08T00:00:00"/>
    <d v="2025-09-08T00:00:00"/>
    <b v="0"/>
    <x v="8"/>
    <n v="10"/>
    <n v="8"/>
    <n v="8"/>
    <x v="9"/>
    <s v="ON TIME"/>
    <x v="2"/>
    <x v="0"/>
    <m/>
    <x v="0"/>
    <n v="-14"/>
    <x v="0"/>
    <m/>
    <m/>
    <s v="Closed"/>
    <x v="0"/>
    <s v="NA"/>
    <n v="18"/>
    <d v="2025-09-11T02:21:19"/>
    <n v="1"/>
    <m/>
  </r>
  <r>
    <x v="1"/>
    <s v="SWBD"/>
    <s v="meta rsb #80"/>
    <s v="SWBD-meta rsb #80"/>
    <x v="54"/>
    <x v="44"/>
    <m/>
    <s v="ALT"/>
    <s v="AL"/>
    <x v="284"/>
    <x v="0"/>
    <x v="0"/>
    <s v="ANSI 49"/>
    <s v="NA"/>
    <n v="22"/>
    <d v="2025-08-28T00:00:00"/>
    <d v="2025-09-08T00:00:00"/>
    <d v="2025-09-24T00:00:00"/>
    <b v="0"/>
    <x v="8"/>
    <n v="10"/>
    <n v="8"/>
    <n v="19"/>
    <x v="21"/>
    <s v="LATE"/>
    <x v="0"/>
    <x v="0"/>
    <m/>
    <x v="0"/>
    <n v="-3"/>
    <x v="0"/>
    <m/>
    <m/>
    <s v="Closed"/>
    <x v="0"/>
    <s v="NA"/>
    <n v="18"/>
    <d v="2025-09-11T02:21:19"/>
    <n v="1"/>
    <m/>
  </r>
  <r>
    <x v="1"/>
    <s v="SWBD"/>
    <s v="meta rsb #80"/>
    <s v="SWBD-meta rsb #80"/>
    <x v="54"/>
    <x v="44"/>
    <m/>
    <s v="ALT"/>
    <s v="AL"/>
    <x v="285"/>
    <x v="0"/>
    <x v="0"/>
    <s v="ANSI 49"/>
    <s v="NA"/>
    <n v="22"/>
    <d v="2025-08-28T00:00:00"/>
    <d v="2025-09-08T00:00:00"/>
    <d v="2025-09-13T00:00:00"/>
    <b v="0"/>
    <x v="8"/>
    <n v="10"/>
    <n v="8"/>
    <n v="12"/>
    <x v="1"/>
    <s v="LATE"/>
    <x v="0"/>
    <x v="0"/>
    <m/>
    <x v="0"/>
    <n v="-9"/>
    <x v="0"/>
    <m/>
    <m/>
    <s v="Closed"/>
    <x v="0"/>
    <s v="NA"/>
    <n v="18"/>
    <d v="2025-09-11T02:21:19"/>
    <n v="1"/>
    <m/>
  </r>
  <r>
    <x v="1"/>
    <s v="SWBD"/>
    <s v="meta rsb #80"/>
    <s v="SWBD-meta rsb #80"/>
    <x v="54"/>
    <x v="44"/>
    <m/>
    <s v="ALT"/>
    <s v="AL"/>
    <x v="286"/>
    <x v="0"/>
    <x v="0"/>
    <s v="ANSI 49"/>
    <s v="NA"/>
    <n v="22"/>
    <d v="2025-08-28T00:00:00"/>
    <d v="2025-09-08T00:00:00"/>
    <d v="2025-09-20T00:00:00"/>
    <b v="0"/>
    <x v="8"/>
    <n v="10"/>
    <n v="8"/>
    <n v="16"/>
    <x v="7"/>
    <s v="LATE"/>
    <x v="0"/>
    <x v="0"/>
    <m/>
    <x v="0"/>
    <n v="-5"/>
    <x v="0"/>
    <m/>
    <m/>
    <s v="Closed"/>
    <x v="0"/>
    <s v="NA"/>
    <n v="18"/>
    <d v="2025-09-11T02:21:19"/>
    <n v="1"/>
    <m/>
  </r>
  <r>
    <x v="1"/>
    <s v="SWBD"/>
    <s v="meta rsb #80"/>
    <s v="SWBD-meta rsb #80"/>
    <x v="54"/>
    <x v="44"/>
    <m/>
    <s v="ALT"/>
    <s v="AL"/>
    <x v="287"/>
    <x v="0"/>
    <x v="1"/>
    <s v="ANSI 49"/>
    <s v="NA"/>
    <n v="22"/>
    <d v="2025-08-28T00:00:00"/>
    <d v="2025-09-11T00:00:00"/>
    <d v="2025-09-11T00:00:00"/>
    <b v="0"/>
    <x v="8"/>
    <n v="10"/>
    <n v="11"/>
    <n v="11"/>
    <x v="9"/>
    <s v="ON TIME"/>
    <x v="2"/>
    <x v="0"/>
    <m/>
    <x v="0"/>
    <n v="-11"/>
    <x v="0"/>
    <m/>
    <m/>
    <s v="Closed"/>
    <x v="0"/>
    <s v="NA"/>
    <n v="17"/>
    <d v="2025-09-11T09:58:35"/>
    <n v="1"/>
    <m/>
  </r>
  <r>
    <x v="0"/>
    <s v="0051436816"/>
    <s v="000130"/>
    <s v="0051436816-000130"/>
    <x v="46"/>
    <x v="39"/>
    <d v="2025-12-19T00:00:00"/>
    <s v="DMA"/>
    <s v="KGF"/>
    <x v="288"/>
    <x v="1"/>
    <x v="0"/>
    <s v="RAL9003"/>
    <d v="2025-12-30T00:00:00"/>
    <n v="86"/>
    <d v="2025-08-29T00:00:00"/>
    <d v="2025-09-05T00:00:00"/>
    <d v="2025-09-11T00:00:00"/>
    <b v="0"/>
    <x v="8"/>
    <n v="10"/>
    <n v="6"/>
    <n v="10"/>
    <x v="1"/>
    <s v="LATE"/>
    <x v="0"/>
    <x v="0"/>
    <m/>
    <x v="0"/>
    <n v="-69"/>
    <x v="0"/>
    <m/>
    <m/>
    <s v="Closed"/>
    <x v="0"/>
    <s v="NA"/>
    <n v="18"/>
    <d v="2025-09-08T02:21:19"/>
    <n v="1"/>
    <m/>
  </r>
  <r>
    <x v="0"/>
    <s v="0051472151"/>
    <s v="000020"/>
    <s v="0051472151-000020"/>
    <x v="43"/>
    <x v="34"/>
    <m/>
    <s v="OAC"/>
    <s v="OAL"/>
    <x v="289"/>
    <x v="1"/>
    <x v="0"/>
    <s v="ANSI 49"/>
    <d v="2025-12-19T00:00:00"/>
    <n v="-2"/>
    <d v="2025-09-01T00:00:00"/>
    <d v="2025-09-08T00:00:00"/>
    <d v="2025-09-12T00:00:00"/>
    <b v="0"/>
    <x v="9"/>
    <n v="5"/>
    <n v="6"/>
    <n v="10"/>
    <x v="1"/>
    <s v="LATE"/>
    <x v="0"/>
    <x v="1"/>
    <m/>
    <x v="0"/>
    <n v="11"/>
    <x v="1"/>
    <m/>
    <m/>
    <s v="Closed"/>
    <x v="1"/>
    <s v="NA"/>
    <n v="18"/>
    <d v="2025-09-11T02:21:19"/>
    <n v="1"/>
    <m/>
  </r>
  <r>
    <x v="0"/>
    <s v="0051472151"/>
    <s v="000020"/>
    <s v="0051472151-000020"/>
    <x v="45"/>
    <x v="34"/>
    <m/>
    <s v="AOB"/>
    <s v="OAL"/>
    <x v="290"/>
    <x v="1"/>
    <x v="1"/>
    <s v="ANSI 49"/>
    <d v="2025-09-05T00:00:00"/>
    <n v="-2"/>
    <d v="2025-09-01T00:00:00"/>
    <d v="2025-09-11T00:00:00"/>
    <d v="2025-09-05T00:00:00"/>
    <b v="0"/>
    <x v="9"/>
    <n v="5"/>
    <n v="9"/>
    <n v="5"/>
    <x v="14"/>
    <s v="ON TIME"/>
    <x v="2"/>
    <x v="1"/>
    <m/>
    <x v="1"/>
    <n v="6"/>
    <x v="1"/>
    <m/>
    <s v="PN Active in US23"/>
    <s v="Cancelled"/>
    <x v="1"/>
    <s v="NA"/>
    <n v="0"/>
    <d v="2025-09-11T09:58:35"/>
    <n v="0"/>
    <m/>
  </r>
  <r>
    <x v="0"/>
    <s v="0051536680"/>
    <s v="000150"/>
    <s v="0051536680-000150"/>
    <x v="55"/>
    <x v="45"/>
    <m/>
    <s v="DRV"/>
    <s v="IGS"/>
    <x v="291"/>
    <x v="1"/>
    <x v="0"/>
    <s v="ANSI 49"/>
    <d v="2025-12-30T00:00:00"/>
    <n v="5"/>
    <d v="2025-09-01T00:00:00"/>
    <d v="2025-09-10T00:00:00"/>
    <d v="2025-09-16T00:00:00"/>
    <b v="0"/>
    <x v="9"/>
    <n v="10"/>
    <n v="8"/>
    <n v="11"/>
    <x v="4"/>
    <s v="LATE"/>
    <x v="0"/>
    <x v="1"/>
    <m/>
    <x v="0"/>
    <n v="7"/>
    <x v="1"/>
    <m/>
    <m/>
    <s v="Closed"/>
    <x v="1"/>
    <s v="NA"/>
    <n v="18"/>
    <d v="2025-09-13T02:21:19"/>
    <n v="1"/>
    <m/>
  </r>
  <r>
    <x v="0"/>
    <s v="0050988425"/>
    <s v="001260"/>
    <s v="0050988425-001260"/>
    <x v="21"/>
    <x v="37"/>
    <m/>
    <s v="KYC"/>
    <s v="OAL"/>
    <x v="292"/>
    <x v="0"/>
    <x v="1"/>
    <s v="ANSI 49"/>
    <d v="2025-11-18T00:00:00"/>
    <n v="10"/>
    <d v="2025-09-01T00:00:00"/>
    <d v="2025-09-11T00:00:00"/>
    <d v="2025-09-15T00:00:00"/>
    <b v="0"/>
    <x v="9"/>
    <n v="5"/>
    <n v="9"/>
    <n v="11"/>
    <x v="12"/>
    <s v="LATE"/>
    <x v="0"/>
    <x v="0"/>
    <m/>
    <x v="0"/>
    <n v="2"/>
    <x v="1"/>
    <m/>
    <m/>
    <s v="Closed"/>
    <x v="1"/>
    <s v="NA"/>
    <n v="17"/>
    <d v="2025-09-11T09:58:35"/>
    <n v="1"/>
    <m/>
  </r>
  <r>
    <x v="1"/>
    <s v="SWBD"/>
    <s v="META QED2"/>
    <s v="SWBD-META QED2"/>
    <x v="56"/>
    <x v="44"/>
    <m/>
    <s v="ALT"/>
    <s v="AL"/>
    <x v="293"/>
    <x v="0"/>
    <x v="1"/>
    <s v="ANSI 49"/>
    <s v="NA"/>
    <n v="20"/>
    <d v="2025-09-01T00:00:00"/>
    <d v="2025-09-11T00:00:00"/>
    <d v="2025-09-10T00:00:00"/>
    <b v="0"/>
    <x v="9"/>
    <n v="10"/>
    <n v="9"/>
    <n v="8"/>
    <x v="11"/>
    <s v="ON TIME"/>
    <x v="2"/>
    <x v="0"/>
    <m/>
    <x v="0"/>
    <n v="-12"/>
    <x v="0"/>
    <m/>
    <m/>
    <s v="Closed"/>
    <x v="0"/>
    <s v="NA"/>
    <n v="17"/>
    <d v="2025-09-11T09:58:35"/>
    <n v="1"/>
    <m/>
  </r>
  <r>
    <x v="0"/>
    <s v="0051378345"/>
    <s v="000010"/>
    <s v="0051378345-000010"/>
    <x v="57"/>
    <x v="46"/>
    <m/>
    <s v="HMA"/>
    <s v="HUP"/>
    <x v="294"/>
    <x v="0"/>
    <x v="0"/>
    <s v="ANSI 49"/>
    <d v="2026-04-03T00:00:00"/>
    <n v="40"/>
    <d v="2025-09-01T00:00:00"/>
    <d v="2025-09-08T00:00:00"/>
    <d v="2025-09-22T00:00:00"/>
    <b v="0"/>
    <x v="9"/>
    <n v="10"/>
    <n v="6"/>
    <n v="15"/>
    <x v="17"/>
    <s v="LATE"/>
    <x v="0"/>
    <x v="0"/>
    <m/>
    <x v="0"/>
    <n v="-25"/>
    <x v="0"/>
    <m/>
    <m/>
    <s v="Closed"/>
    <x v="0"/>
    <s v="NA"/>
    <n v="18"/>
    <d v="2025-09-11T02:21:19"/>
    <n v="1"/>
    <m/>
  </r>
  <r>
    <x v="0"/>
    <s v="0051378345"/>
    <s v="000010"/>
    <s v="0051378345-000010"/>
    <x v="58"/>
    <x v="46"/>
    <m/>
    <s v="HMA"/>
    <s v="OAL"/>
    <x v="295"/>
    <x v="0"/>
    <x v="0"/>
    <s v="ANSI 61"/>
    <d v="2026-03-04T00:00:00"/>
    <n v="40"/>
    <d v="2025-09-01T00:00:00"/>
    <d v="2025-09-08T00:00:00"/>
    <d v="2025-09-05T00:00:00"/>
    <b v="0"/>
    <x v="9"/>
    <n v="10"/>
    <n v="6"/>
    <n v="5"/>
    <x v="11"/>
    <s v="ON TIME"/>
    <x v="2"/>
    <x v="0"/>
    <m/>
    <x v="0"/>
    <n v="-35"/>
    <x v="0"/>
    <m/>
    <m/>
    <s v="Closed"/>
    <x v="0"/>
    <s v="NA"/>
    <n v="18"/>
    <d v="2025-09-11T02:21:19"/>
    <n v="1"/>
    <m/>
  </r>
  <r>
    <x v="1"/>
    <s v="SWBD"/>
    <s v="meta rsb #80"/>
    <s v="SWBD-meta rsb #80"/>
    <x v="54"/>
    <x v="44"/>
    <m/>
    <s v="ALT"/>
    <s v="AL"/>
    <x v="296"/>
    <x v="0"/>
    <x v="1"/>
    <s v="ANSI 49"/>
    <s v="NA"/>
    <n v="19"/>
    <d v="2025-09-02T00:00:00"/>
    <d v="2025-09-12T00:00:00"/>
    <d v="2025-09-18T00:00:00"/>
    <b v="0"/>
    <x v="9"/>
    <n v="10"/>
    <n v="9"/>
    <n v="12"/>
    <x v="4"/>
    <s v="LATE"/>
    <x v="0"/>
    <x v="0"/>
    <m/>
    <x v="0"/>
    <n v="-7"/>
    <x v="0"/>
    <m/>
    <m/>
    <s v="Closed"/>
    <x v="0"/>
    <s v="NA"/>
    <n v="17"/>
    <d v="2025-09-12T09:58:35"/>
    <n v="1"/>
    <m/>
  </r>
  <r>
    <x v="0"/>
    <s v="0051004478"/>
    <s v="000010"/>
    <s v="0051004478-000010"/>
    <x v="16"/>
    <x v="47"/>
    <m/>
    <s v="DMA"/>
    <s v="OAL"/>
    <x v="297"/>
    <x v="0"/>
    <x v="1"/>
    <s v="ANSI 49"/>
    <d v="2025-10-09T00:00:00"/>
    <n v="-65"/>
    <d v="2025-09-03T00:00:00"/>
    <d v="2025-09-15T00:00:00"/>
    <d v="2025-09-10T00:00:00"/>
    <b v="0"/>
    <x v="9"/>
    <n v="5"/>
    <n v="9"/>
    <n v="6"/>
    <x v="16"/>
    <s v="ON TIME"/>
    <x v="2"/>
    <x v="1"/>
    <m/>
    <x v="0"/>
    <n v="70"/>
    <x v="1"/>
    <m/>
    <m/>
    <s v="Closed"/>
    <x v="1"/>
    <s v="NA"/>
    <n v="17"/>
    <d v="2025-09-15T09:58:35"/>
    <n v="1"/>
    <m/>
  </r>
  <r>
    <x v="0"/>
    <s v="0051306085"/>
    <s v="000300"/>
    <s v="0051306085-000300"/>
    <x v="32"/>
    <x v="48"/>
    <m/>
    <s v="HMA"/>
    <s v="IGS"/>
    <x v="298"/>
    <x v="0"/>
    <x v="1"/>
    <s v="ANSI 49"/>
    <d v="2025-05-12T00:00:00"/>
    <n v="6"/>
    <d v="2025-09-03T00:00:00"/>
    <d v="2025-09-15T00:00:00"/>
    <d v="2025-09-09T00:00:00"/>
    <b v="0"/>
    <x v="9"/>
    <n v="5"/>
    <n v="9"/>
    <n v="5"/>
    <x v="14"/>
    <s v="ON TIME"/>
    <x v="2"/>
    <x v="0"/>
    <m/>
    <x v="0"/>
    <n v="-2"/>
    <x v="0"/>
    <m/>
    <m/>
    <s v="Closed"/>
    <x v="0"/>
    <s v="NA"/>
    <n v="17"/>
    <d v="2025-09-15T09:58:35"/>
    <n v="1"/>
    <m/>
  </r>
  <r>
    <x v="0"/>
    <s v="0051072452"/>
    <s v="000020"/>
    <s v="0051072452-000020"/>
    <x v="39"/>
    <x v="34"/>
    <m/>
    <s v="DRV"/>
    <s v="VL"/>
    <x v="299"/>
    <x v="0"/>
    <x v="0"/>
    <s v="ANSI 49"/>
    <d v="2025-12-17T00:00:00"/>
    <n v="-4"/>
    <d v="2025-09-03T00:00:00"/>
    <d v="2025-09-10T00:00:00"/>
    <d v="2025-09-15T00:00:00"/>
    <b v="0"/>
    <x v="9"/>
    <n v="5"/>
    <n v="6"/>
    <n v="9"/>
    <x v="4"/>
    <s v="LATE"/>
    <x v="0"/>
    <x v="1"/>
    <m/>
    <x v="0"/>
    <n v="12"/>
    <x v="1"/>
    <m/>
    <s v="Active in plant"/>
    <s v="Closed"/>
    <x v="1"/>
    <s v="NA"/>
    <n v="18"/>
    <d v="2025-09-13T02:21:19"/>
    <n v="1"/>
    <m/>
  </r>
  <r>
    <x v="0"/>
    <s v="0051086218"/>
    <s v="003900"/>
    <s v="0051086218-003900"/>
    <x v="59"/>
    <x v="49"/>
    <m/>
    <s v="JTV"/>
    <m/>
    <x v="300"/>
    <x v="0"/>
    <x v="0"/>
    <s v="ANSI 49"/>
    <d v="2026-01-27T00:00:00"/>
    <n v="32"/>
    <d v="2025-09-03T00:00:00"/>
    <d v="2025-09-10T00:00:00"/>
    <d v="2025-09-15T00:00:00"/>
    <b v="0"/>
    <x v="9"/>
    <n v="10"/>
    <n v="6"/>
    <n v="9"/>
    <x v="4"/>
    <s v="LATE"/>
    <x v="0"/>
    <x v="0"/>
    <m/>
    <x v="0"/>
    <n v="-23"/>
    <x v="0"/>
    <m/>
    <m/>
    <s v="Closed"/>
    <x v="0"/>
    <s v="NA"/>
    <n v="18"/>
    <d v="2025-09-13T02:21:19"/>
    <n v="1"/>
    <m/>
  </r>
  <r>
    <x v="0"/>
    <s v="0051086218"/>
    <s v="003900"/>
    <s v="0051086218-003900"/>
    <x v="59"/>
    <x v="49"/>
    <m/>
    <s v="JTV"/>
    <m/>
    <x v="301"/>
    <x v="0"/>
    <x v="0"/>
    <s v="ANSI 49"/>
    <d v="2026-01-27T00:00:00"/>
    <n v="32"/>
    <d v="2025-09-03T00:00:00"/>
    <d v="2025-09-10T00:00:00"/>
    <d v="2025-09-18T00:00:00"/>
    <b v="0"/>
    <x v="9"/>
    <n v="10"/>
    <n v="6"/>
    <n v="11"/>
    <x v="3"/>
    <s v="LATE"/>
    <x v="0"/>
    <x v="0"/>
    <m/>
    <x v="0"/>
    <n v="-21"/>
    <x v="0"/>
    <m/>
    <m/>
    <s v="Closed"/>
    <x v="0"/>
    <s v="NA"/>
    <n v="18"/>
    <d v="2025-09-13T02:21:19"/>
    <n v="1"/>
    <m/>
  </r>
  <r>
    <x v="0"/>
    <s v="0051086218"/>
    <s v="003900"/>
    <s v="0051086218-003900"/>
    <x v="59"/>
    <x v="49"/>
    <m/>
    <s v="JTV"/>
    <m/>
    <x v="302"/>
    <x v="0"/>
    <x v="0"/>
    <s v="ANSI 49"/>
    <d v="2026-01-27T00:00:00"/>
    <n v="32"/>
    <d v="2025-09-03T00:00:00"/>
    <d v="2025-09-10T00:00:00"/>
    <d v="2025-09-23T00:00:00"/>
    <b v="0"/>
    <x v="9"/>
    <n v="10"/>
    <n v="6"/>
    <n v="14"/>
    <x v="7"/>
    <s v="LATE"/>
    <x v="0"/>
    <x v="0"/>
    <m/>
    <x v="0"/>
    <n v="-18"/>
    <x v="0"/>
    <m/>
    <m/>
    <s v="Closed"/>
    <x v="0"/>
    <s v="NA"/>
    <n v="18"/>
    <d v="2025-09-13T02:21:19"/>
    <n v="1"/>
    <m/>
  </r>
  <r>
    <x v="0"/>
    <s v="0051086218"/>
    <s v="003900"/>
    <s v="0051086218-003900"/>
    <x v="59"/>
    <x v="49"/>
    <m/>
    <s v="JTV"/>
    <m/>
    <x v="303"/>
    <x v="0"/>
    <x v="0"/>
    <s v="ANSI 49"/>
    <d v="2026-01-27T00:00:00"/>
    <n v="32"/>
    <d v="2025-09-03T00:00:00"/>
    <d v="2025-09-10T00:00:00"/>
    <d v="2025-09-23T00:00:00"/>
    <b v="0"/>
    <x v="9"/>
    <n v="10"/>
    <n v="6"/>
    <n v="14"/>
    <x v="7"/>
    <s v="LATE"/>
    <x v="0"/>
    <x v="0"/>
    <m/>
    <x v="0"/>
    <n v="-18"/>
    <x v="0"/>
    <m/>
    <m/>
    <s v="Closed"/>
    <x v="0"/>
    <s v="NA"/>
    <n v="18"/>
    <d v="2025-09-13T02:21:19"/>
    <n v="1"/>
    <m/>
  </r>
  <r>
    <x v="0"/>
    <s v="0051086218"/>
    <s v="003900"/>
    <s v="0051086218-003900"/>
    <x v="59"/>
    <x v="49"/>
    <m/>
    <s v="JTV"/>
    <m/>
    <x v="304"/>
    <x v="0"/>
    <x v="1"/>
    <s v="ANSI 49"/>
    <d v="2026-01-27T00:00:00"/>
    <n v="32"/>
    <d v="2025-09-03T00:00:00"/>
    <d v="2025-09-15T00:00:00"/>
    <d v="2025-09-11T00:00:00"/>
    <b v="0"/>
    <x v="9"/>
    <n v="10"/>
    <n v="9"/>
    <n v="7"/>
    <x v="5"/>
    <s v="ON TIME"/>
    <x v="2"/>
    <x v="0"/>
    <m/>
    <x v="0"/>
    <n v="-25"/>
    <x v="0"/>
    <m/>
    <m/>
    <s v="Closed"/>
    <x v="0"/>
    <s v="NA"/>
    <n v="17"/>
    <d v="2025-09-15T09:58:35"/>
    <n v="1"/>
    <m/>
  </r>
  <r>
    <x v="0"/>
    <s v="0051436816"/>
    <s v="000030"/>
    <s v="0051436816-000030"/>
    <x v="46"/>
    <x v="39"/>
    <d v="2025-12-19T00:00:00"/>
    <s v="DMA"/>
    <s v="KGF"/>
    <x v="305"/>
    <x v="1"/>
    <x v="0"/>
    <s v="RAL9003"/>
    <d v="2026-03-17T00:00:00"/>
    <n v="83"/>
    <d v="2025-09-03T00:00:00"/>
    <d v="2025-09-11T00:00:00"/>
    <d v="2025-09-18T00:00:00"/>
    <b v="0"/>
    <x v="9"/>
    <n v="10"/>
    <n v="7"/>
    <n v="11"/>
    <x v="1"/>
    <s v="LATE"/>
    <x v="0"/>
    <x v="0"/>
    <m/>
    <x v="0"/>
    <n v="-65"/>
    <x v="0"/>
    <m/>
    <m/>
    <s v="Closed"/>
    <x v="0"/>
    <s v="NA"/>
    <n v="18"/>
    <d v="2025-09-14T02:21:19"/>
    <n v="1"/>
    <m/>
  </r>
  <r>
    <x v="0"/>
    <s v="0051536680"/>
    <s v="000150"/>
    <s v="0051536680-000150"/>
    <x v="55"/>
    <x v="45"/>
    <m/>
    <s v="DRV"/>
    <s v="IGS"/>
    <x v="306"/>
    <x v="1"/>
    <x v="1"/>
    <s v="ANSI 49"/>
    <d v="2025-12-17T00:00:00"/>
    <n v="2"/>
    <d v="2025-09-04T00:00:00"/>
    <d v="2025-09-16T00:00:00"/>
    <d v="2025-09-19T00:00:00"/>
    <b v="0"/>
    <x v="9"/>
    <n v="10"/>
    <n v="9"/>
    <n v="11"/>
    <x v="12"/>
    <s v="LATE"/>
    <x v="0"/>
    <x v="1"/>
    <m/>
    <x v="0"/>
    <n v="10"/>
    <x v="1"/>
    <m/>
    <m/>
    <s v="Closed"/>
    <x v="1"/>
    <s v="NA"/>
    <n v="17"/>
    <d v="2025-09-16T09:58:35"/>
    <n v="1"/>
    <m/>
  </r>
  <r>
    <x v="0"/>
    <s v="0051217009"/>
    <s v="000550"/>
    <s v="0051217009-000550"/>
    <x v="42"/>
    <x v="37"/>
    <m/>
    <s v="JAM"/>
    <s v="FRC"/>
    <x v="307"/>
    <x v="1"/>
    <x v="0"/>
    <s v="ANSI 49"/>
    <d v="2025-04-12T00:00:00"/>
    <n v="7"/>
    <d v="2025-09-04T00:00:00"/>
    <d v="2025-09-12T00:00:00"/>
    <d v="2025-09-23T00:00:00"/>
    <b v="0"/>
    <x v="9"/>
    <n v="10"/>
    <n v="7"/>
    <n v="13"/>
    <x v="8"/>
    <s v="LATE"/>
    <x v="0"/>
    <x v="1"/>
    <m/>
    <x v="0"/>
    <n v="7"/>
    <x v="1"/>
    <m/>
    <m/>
    <s v="Closed"/>
    <x v="1"/>
    <s v="NA"/>
    <n v="18"/>
    <d v="2025-09-15T02:21:19"/>
    <n v="1"/>
    <m/>
  </r>
  <r>
    <x v="0"/>
    <s v="0051072452"/>
    <s v="000020"/>
    <s v="0051072452-000020"/>
    <x v="46"/>
    <x v="42"/>
    <m/>
    <s v="DEV"/>
    <s v="VL"/>
    <x v="308"/>
    <x v="1"/>
    <x v="0"/>
    <s v="RAL9003"/>
    <d v="2025-12-17T00:00:00"/>
    <n v="19"/>
    <d v="2025-09-04T00:00:00"/>
    <d v="2025-09-12T00:00:00"/>
    <d v="2025-09-18T00:00:00"/>
    <b v="0"/>
    <x v="9"/>
    <n v="10"/>
    <n v="7"/>
    <n v="10"/>
    <x v="4"/>
    <s v="LATE"/>
    <x v="0"/>
    <x v="0"/>
    <m/>
    <x v="0"/>
    <n v="-9"/>
    <x v="0"/>
    <m/>
    <m/>
    <s v="Closed"/>
    <x v="0"/>
    <s v="NA"/>
    <n v="18"/>
    <d v="2025-09-15T02:21:19"/>
    <n v="1"/>
    <m/>
  </r>
  <r>
    <x v="0"/>
    <s v="0051072452"/>
    <s v="000020"/>
    <s v="0051072452-000020"/>
    <x v="46"/>
    <x v="42"/>
    <m/>
    <s v="DEV"/>
    <s v="VL"/>
    <x v="309"/>
    <x v="1"/>
    <x v="0"/>
    <s v="RAL9003"/>
    <d v="2025-12-17T00:00:00"/>
    <n v="19"/>
    <d v="2025-09-04T00:00:00"/>
    <d v="2025-09-12T00:00:00"/>
    <d v="2025-09-18T00:00:00"/>
    <b v="0"/>
    <x v="9"/>
    <n v="10"/>
    <n v="7"/>
    <n v="10"/>
    <x v="4"/>
    <s v="LATE"/>
    <x v="0"/>
    <x v="0"/>
    <m/>
    <x v="0"/>
    <n v="-9"/>
    <x v="0"/>
    <m/>
    <m/>
    <s v="Closed"/>
    <x v="0"/>
    <s v="NA"/>
    <n v="18"/>
    <d v="2025-09-15T02:21:19"/>
    <n v="1"/>
    <m/>
  </r>
  <r>
    <x v="0"/>
    <s v="0051436816"/>
    <s v="000080"/>
    <s v="0051436816-000080"/>
    <x v="46"/>
    <x v="42"/>
    <m/>
    <s v="DEV"/>
    <s v="VL"/>
    <x v="310"/>
    <x v="1"/>
    <x v="0"/>
    <s v="RAL9003"/>
    <d v="2025-12-30T00:00:00"/>
    <n v="19"/>
    <d v="2025-09-04T00:00:00"/>
    <d v="2025-09-12T00:00:00"/>
    <d v="2025-09-19T00:00:00"/>
    <b v="0"/>
    <x v="9"/>
    <n v="10"/>
    <n v="7"/>
    <n v="11"/>
    <x v="1"/>
    <s v="LATE"/>
    <x v="0"/>
    <x v="0"/>
    <m/>
    <x v="0"/>
    <n v="-8"/>
    <x v="0"/>
    <m/>
    <m/>
    <s v="Closed"/>
    <x v="0"/>
    <s v="NA"/>
    <n v="18"/>
    <d v="2025-09-15T02:21:19"/>
    <n v="1"/>
    <m/>
  </r>
  <r>
    <x v="0"/>
    <s v="0051436816"/>
    <s v="000080"/>
    <s v="0051436816-000080"/>
    <x v="46"/>
    <x v="42"/>
    <m/>
    <s v="DEV"/>
    <s v="VL"/>
    <x v="311"/>
    <x v="1"/>
    <x v="0"/>
    <s v="RAL9003"/>
    <d v="2025-12-30T00:00:00"/>
    <n v="19"/>
    <d v="2025-09-04T00:00:00"/>
    <d v="2025-09-12T00:00:00"/>
    <d v="2025-09-19T00:00:00"/>
    <b v="0"/>
    <x v="9"/>
    <n v="10"/>
    <n v="7"/>
    <n v="11"/>
    <x v="1"/>
    <s v="LATE"/>
    <x v="0"/>
    <x v="0"/>
    <m/>
    <x v="0"/>
    <n v="-8"/>
    <x v="0"/>
    <m/>
    <m/>
    <s v="Closed"/>
    <x v="0"/>
    <s v="NA"/>
    <n v="18"/>
    <d v="2025-09-15T02:21:19"/>
    <n v="1"/>
    <m/>
  </r>
  <r>
    <x v="0"/>
    <s v="0051004478"/>
    <s v="000010"/>
    <s v="0051004478-000010"/>
    <x v="16"/>
    <x v="47"/>
    <m/>
    <s v="DMA"/>
    <s v="OAL"/>
    <x v="312"/>
    <x v="1"/>
    <x v="0"/>
    <s v="ANSI 49"/>
    <d v="2025-10-09T00:00:00"/>
    <n v="-67"/>
    <d v="2025-09-05T00:00:00"/>
    <d v="2025-09-12T00:00:00"/>
    <d v="2025-09-17T00:00:00"/>
    <b v="0"/>
    <x v="9"/>
    <n v="5"/>
    <n v="6"/>
    <n v="8"/>
    <x v="12"/>
    <s v="LATE"/>
    <x v="0"/>
    <x v="1"/>
    <m/>
    <x v="0"/>
    <n v="74"/>
    <x v="1"/>
    <m/>
    <m/>
    <s v="Closed"/>
    <x v="1"/>
    <s v="NA"/>
    <n v="18"/>
    <d v="2025-09-15T02:21:19"/>
    <n v="1"/>
    <m/>
  </r>
  <r>
    <x v="0"/>
    <s v="0051340498"/>
    <s v="000010"/>
    <s v="0051340498-000010"/>
    <x v="53"/>
    <x v="43"/>
    <m/>
    <s v="ASP"/>
    <s v="RCI"/>
    <x v="313"/>
    <x v="1"/>
    <x v="0"/>
    <s v="ANSI 49"/>
    <d v="2025-12-30T00:00:00"/>
    <n v="11"/>
    <d v="2025-09-05T00:00:00"/>
    <d v="2025-09-12T00:00:00"/>
    <d v="2025-09-18T00:00:00"/>
    <b v="0"/>
    <x v="9"/>
    <n v="10"/>
    <n v="6"/>
    <n v="9"/>
    <x v="4"/>
    <s v="LATE"/>
    <x v="0"/>
    <x v="0"/>
    <m/>
    <x v="0"/>
    <n v="-2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14"/>
    <x v="0"/>
    <x v="0"/>
    <s v="ANSI 49"/>
    <s v="NA"/>
    <n v="16"/>
    <d v="2025-09-05T00:00:00"/>
    <d v="2025-09-12T00:00:00"/>
    <d v="2025-09-23T00:00:00"/>
    <b v="0"/>
    <x v="9"/>
    <n v="10"/>
    <n v="6"/>
    <n v="12"/>
    <x v="8"/>
    <s v="LATE"/>
    <x v="0"/>
    <x v="0"/>
    <m/>
    <x v="0"/>
    <n v="-4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15"/>
    <x v="0"/>
    <x v="0"/>
    <s v="ANSI 49"/>
    <s v="NA"/>
    <n v="16"/>
    <d v="2025-09-05T00:00:00"/>
    <d v="2025-09-12T00:00:00"/>
    <d v="2025-09-24T00:00:00"/>
    <b v="0"/>
    <x v="9"/>
    <n v="10"/>
    <n v="6"/>
    <n v="13"/>
    <x v="13"/>
    <s v="LATE"/>
    <x v="0"/>
    <x v="0"/>
    <m/>
    <x v="0"/>
    <n v="-3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16"/>
    <x v="0"/>
    <x v="0"/>
    <s v="ANSI 49"/>
    <s v="NA"/>
    <n v="16"/>
    <d v="2025-09-05T00:00:00"/>
    <d v="2025-09-12T00:00:00"/>
    <d v="2025-09-24T00:00:00"/>
    <b v="0"/>
    <x v="9"/>
    <n v="10"/>
    <n v="6"/>
    <n v="13"/>
    <x v="13"/>
    <s v="LATE"/>
    <x v="0"/>
    <x v="0"/>
    <m/>
    <x v="0"/>
    <n v="-3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17"/>
    <x v="0"/>
    <x v="0"/>
    <s v="ANSI 49"/>
    <s v="NA"/>
    <n v="16"/>
    <d v="2025-09-05T00:00:00"/>
    <d v="2025-09-12T00:00:00"/>
    <d v="2025-09-24T00:00:00"/>
    <b v="0"/>
    <x v="9"/>
    <n v="10"/>
    <n v="6"/>
    <n v="13"/>
    <x v="13"/>
    <s v="LATE"/>
    <x v="0"/>
    <x v="0"/>
    <m/>
    <x v="0"/>
    <n v="-3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18"/>
    <x v="0"/>
    <x v="0"/>
    <s v="ANSI 49"/>
    <s v="NA"/>
    <n v="16"/>
    <d v="2025-09-05T00:00:00"/>
    <d v="2025-09-12T00:00:00"/>
    <d v="2025-09-25T00:00:00"/>
    <b v="0"/>
    <x v="9"/>
    <n v="10"/>
    <n v="6"/>
    <n v="14"/>
    <x v="7"/>
    <s v="LATE"/>
    <x v="0"/>
    <x v="0"/>
    <m/>
    <x v="0"/>
    <n v="-2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19"/>
    <x v="0"/>
    <x v="0"/>
    <s v="ANSI 49"/>
    <s v="NA"/>
    <n v="16"/>
    <d v="2025-09-05T00:00:00"/>
    <d v="2025-09-12T00:00:00"/>
    <d v="2025-09-12T00:00:00"/>
    <b v="0"/>
    <x v="9"/>
    <n v="10"/>
    <n v="6"/>
    <n v="6"/>
    <x v="9"/>
    <s v="ON TIME"/>
    <x v="2"/>
    <x v="0"/>
    <m/>
    <x v="0"/>
    <n v="-10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20"/>
    <x v="0"/>
    <x v="0"/>
    <s v="ANSI 49"/>
    <s v="NA"/>
    <n v="16"/>
    <d v="2025-09-05T00:00:00"/>
    <d v="2025-09-12T00:00:00"/>
    <d v="2025-09-25T00:00:00"/>
    <b v="0"/>
    <x v="9"/>
    <n v="10"/>
    <n v="6"/>
    <n v="14"/>
    <x v="7"/>
    <s v="LATE"/>
    <x v="0"/>
    <x v="0"/>
    <m/>
    <x v="0"/>
    <n v="-2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21"/>
    <x v="0"/>
    <x v="0"/>
    <s v="ANSI 49"/>
    <s v="NA"/>
    <n v="16"/>
    <d v="2025-09-05T00:00:00"/>
    <d v="2025-09-12T00:00:00"/>
    <d v="2025-09-25T00:00:00"/>
    <b v="0"/>
    <x v="9"/>
    <n v="10"/>
    <n v="6"/>
    <n v="14"/>
    <x v="7"/>
    <s v="LATE"/>
    <x v="0"/>
    <x v="0"/>
    <m/>
    <x v="0"/>
    <n v="-2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22"/>
    <x v="0"/>
    <x v="0"/>
    <s v="ANSI 49"/>
    <s v="NA"/>
    <n v="16"/>
    <d v="2025-09-05T00:00:00"/>
    <d v="2025-09-12T00:00:00"/>
    <d v="2025-09-24T00:00:00"/>
    <b v="0"/>
    <x v="9"/>
    <n v="10"/>
    <n v="6"/>
    <n v="13"/>
    <x v="13"/>
    <s v="LATE"/>
    <x v="0"/>
    <x v="0"/>
    <m/>
    <x v="0"/>
    <n v="-3"/>
    <x v="0"/>
    <m/>
    <m/>
    <s v="Closed"/>
    <x v="0"/>
    <s v="NA"/>
    <n v="18"/>
    <d v="2025-09-15T02:21:19"/>
    <n v="1"/>
    <m/>
  </r>
  <r>
    <x v="1"/>
    <s v="SWBD"/>
    <s v="switchboard f2.0"/>
    <s v="SWBD-switchboard f2.0"/>
    <x v="60"/>
    <x v="44"/>
    <m/>
    <s v="ALT"/>
    <s v="AL"/>
    <x v="323"/>
    <x v="0"/>
    <x v="0"/>
    <s v="ANSI 49"/>
    <s v="NA"/>
    <n v="16"/>
    <d v="2025-09-05T00:00:00"/>
    <d v="2025-09-15T00:00:00"/>
    <d v="2025-09-22T00:00:00"/>
    <b v="0"/>
    <x v="9"/>
    <n v="10"/>
    <n v="7"/>
    <n v="11"/>
    <x v="1"/>
    <s v="LATE"/>
    <x v="0"/>
    <x v="0"/>
    <m/>
    <x v="0"/>
    <n v="-5"/>
    <x v="0"/>
    <m/>
    <m/>
    <s v="Closed"/>
    <x v="0"/>
    <s v="NA"/>
    <n v="18"/>
    <d v="2025-09-18T02:21:19"/>
    <n v="1"/>
    <m/>
  </r>
  <r>
    <x v="1"/>
    <s v="SWBD"/>
    <s v="switchboard f2.0"/>
    <s v="SWBD-switchboard f2.0"/>
    <x v="60"/>
    <x v="44"/>
    <m/>
    <s v="ALT"/>
    <s v="AL"/>
    <x v="324"/>
    <x v="0"/>
    <x v="0"/>
    <s v="ANSI 49"/>
    <s v="NA"/>
    <n v="16"/>
    <d v="2025-09-05T00:00:00"/>
    <d v="2025-09-15T00:00:00"/>
    <d v="2025-09-27T00:00:00"/>
    <b v="0"/>
    <x v="9"/>
    <n v="10"/>
    <n v="7"/>
    <n v="15"/>
    <x v="7"/>
    <s v="LATE"/>
    <x v="0"/>
    <x v="0"/>
    <m/>
    <x v="0"/>
    <n v="1"/>
    <x v="1"/>
    <m/>
    <m/>
    <s v="Closed"/>
    <x v="1"/>
    <s v="NA"/>
    <n v="18"/>
    <d v="2025-09-18T02:21:19"/>
    <n v="1"/>
    <m/>
  </r>
  <r>
    <x v="1"/>
    <s v="SWBD"/>
    <s v="switchboard f2.0"/>
    <s v="SWBD-switchboard f2.0"/>
    <x v="60"/>
    <x v="44"/>
    <m/>
    <s v="ALT"/>
    <s v="AL"/>
    <x v="325"/>
    <x v="0"/>
    <x v="0"/>
    <s v="ANSI 49"/>
    <s v="NA"/>
    <n v="16"/>
    <d v="2025-09-05T00:00:00"/>
    <d v="2025-09-15T00:00:00"/>
    <d v="2025-09-25T00:00:00"/>
    <b v="0"/>
    <x v="9"/>
    <n v="10"/>
    <n v="7"/>
    <n v="14"/>
    <x v="13"/>
    <s v="LATE"/>
    <x v="0"/>
    <x v="0"/>
    <m/>
    <x v="0"/>
    <n v="-2"/>
    <x v="0"/>
    <m/>
    <m/>
    <s v="Closed"/>
    <x v="0"/>
    <s v="NA"/>
    <n v="18"/>
    <d v="2025-09-18T02:21:19"/>
    <n v="1"/>
    <m/>
  </r>
  <r>
    <x v="1"/>
    <s v="SWBD"/>
    <s v="meta rsb Proyecto META SWB"/>
    <s v="SWBD-meta rsb Proyecto META SWB"/>
    <x v="61"/>
    <x v="44"/>
    <m/>
    <s v="ALT"/>
    <s v="AL"/>
    <x v="326"/>
    <x v="0"/>
    <x v="1"/>
    <s v="ANSI 49"/>
    <s v="NA"/>
    <n v="16"/>
    <d v="2025-09-05T00:00:00"/>
    <d v="2025-09-17T00:00:00"/>
    <d v="2025-09-25T00:00:00"/>
    <b v="0"/>
    <x v="9"/>
    <n v="10"/>
    <n v="9"/>
    <n v="14"/>
    <x v="3"/>
    <s v="LATE"/>
    <x v="0"/>
    <x v="0"/>
    <m/>
    <x v="0"/>
    <n v="-2"/>
    <x v="0"/>
    <m/>
    <m/>
    <s v="Closed"/>
    <x v="0"/>
    <s v="NA"/>
    <n v="17"/>
    <d v="2025-09-17T09:58:35"/>
    <n v="1"/>
    <m/>
  </r>
  <r>
    <x v="1"/>
    <s v="SWBD"/>
    <s v="meta rsb Proyecto META SWB"/>
    <s v="SWBD-meta rsb Proyecto META SWB"/>
    <x v="61"/>
    <x v="44"/>
    <m/>
    <s v="ALT"/>
    <s v="AL"/>
    <x v="327"/>
    <x v="0"/>
    <x v="1"/>
    <s v="ANSI 49"/>
    <s v="NA"/>
    <n v="16"/>
    <d v="2025-09-05T00:00:00"/>
    <d v="2025-09-17T00:00:00"/>
    <d v="2025-09-23T00:00:00"/>
    <b v="0"/>
    <x v="9"/>
    <n v="10"/>
    <n v="9"/>
    <n v="12"/>
    <x v="4"/>
    <s v="LATE"/>
    <x v="0"/>
    <x v="0"/>
    <m/>
    <x v="0"/>
    <n v="-4"/>
    <x v="0"/>
    <m/>
    <m/>
    <s v="Closed"/>
    <x v="0"/>
    <s v="NA"/>
    <n v="17"/>
    <d v="2025-09-17T09:58:35"/>
    <n v="1"/>
    <m/>
  </r>
  <r>
    <x v="0"/>
    <s v="0051436816"/>
    <s v="000080"/>
    <s v="0051436816-000080"/>
    <x v="46"/>
    <x v="42"/>
    <m/>
    <s v="DEV"/>
    <s v="VL"/>
    <x v="328"/>
    <x v="1"/>
    <x v="0"/>
    <s v="RAL9003"/>
    <d v="2025-12-30T00:00:00"/>
    <n v="18"/>
    <d v="2025-09-05T00:00:00"/>
    <d v="2025-09-12T00:00:00"/>
    <d v="2025-09-19T00:00:00"/>
    <b v="0"/>
    <x v="9"/>
    <n v="10"/>
    <n v="6"/>
    <n v="10"/>
    <x v="1"/>
    <s v="LATE"/>
    <x v="0"/>
    <x v="0"/>
    <m/>
    <x v="0"/>
    <n v="-8"/>
    <x v="0"/>
    <m/>
    <m/>
    <s v="Closed"/>
    <x v="0"/>
    <s v="NA"/>
    <n v="18"/>
    <d v="2025-09-15T02:21:19"/>
    <n v="1"/>
    <m/>
  </r>
  <r>
    <x v="0"/>
    <s v="0051536680"/>
    <s v="000150"/>
    <s v="0051536680-000150"/>
    <x v="55"/>
    <x v="45"/>
    <m/>
    <s v="DRV"/>
    <s v="IGS"/>
    <x v="329"/>
    <x v="1"/>
    <x v="0"/>
    <s v="ANSI 49"/>
    <d v="2025-12-17T00:00:00"/>
    <n v="-3"/>
    <d v="2025-09-09T00:00:00"/>
    <d v="2025-09-16T00:00:00"/>
    <d v="2025-09-20T00:00:00"/>
    <b v="0"/>
    <x v="9"/>
    <n v="10"/>
    <n v="6"/>
    <n v="8"/>
    <x v="12"/>
    <s v="LATE"/>
    <x v="0"/>
    <x v="1"/>
    <m/>
    <x v="0"/>
    <n v="10"/>
    <x v="1"/>
    <m/>
    <m/>
    <s v="Closed"/>
    <x v="1"/>
    <s v="NA"/>
    <n v="18"/>
    <d v="2025-09-19T02:21:19"/>
    <n v="1"/>
    <m/>
  </r>
  <r>
    <x v="0"/>
    <s v="0051472151"/>
    <s v="000010 &amp; 000020"/>
    <s v="0051472151-000010 &amp; 000020"/>
    <x v="43"/>
    <x v="38"/>
    <m/>
    <s v="OAC"/>
    <s v="ODE"/>
    <x v="330"/>
    <x v="0"/>
    <x v="0"/>
    <s v="ANSI 49"/>
    <d v="2025-12-19T00:00:00"/>
    <n v="3"/>
    <d v="2025-09-09T00:00:00"/>
    <d v="2025-09-16T00:00:00"/>
    <d v="2025-09-12T00:00:00"/>
    <b v="0"/>
    <x v="9"/>
    <n v="10"/>
    <n v="6"/>
    <n v="4"/>
    <x v="5"/>
    <s v="ON TIME"/>
    <x v="2"/>
    <x v="1"/>
    <m/>
    <x v="0"/>
    <n v="2"/>
    <x v="1"/>
    <m/>
    <m/>
    <s v="Closed"/>
    <x v="1"/>
    <s v="NA"/>
    <n v="18"/>
    <d v="2025-09-19T02:21:19"/>
    <n v="1"/>
    <m/>
  </r>
  <r>
    <x v="1"/>
    <s v="SWBD"/>
    <s v="switchboard f2.0"/>
    <s v="SWBD-switchboard f2.0"/>
    <x v="60"/>
    <x v="44"/>
    <m/>
    <s v="ALT"/>
    <s v="AL"/>
    <x v="331"/>
    <x v="0"/>
    <x v="0"/>
    <s v="ANSI 49"/>
    <s v="NA"/>
    <n v="14"/>
    <d v="2025-09-09T00:00:00"/>
    <d v="2025-09-16T00:00:00"/>
    <d v="2025-09-27T00:00:00"/>
    <b v="0"/>
    <x v="9"/>
    <n v="10"/>
    <n v="6"/>
    <n v="13"/>
    <x v="13"/>
    <s v="LATE"/>
    <x v="0"/>
    <x v="0"/>
    <m/>
    <x v="0"/>
    <n v="1"/>
    <x v="1"/>
    <m/>
    <m/>
    <s v="Closed"/>
    <x v="1"/>
    <s v="NA"/>
    <n v="18"/>
    <d v="2025-09-19T02:21:19"/>
    <n v="1"/>
    <m/>
  </r>
  <r>
    <x v="1"/>
    <s v="SWBD"/>
    <s v="switchboard f2.0"/>
    <s v="SWBD-switchboard f2.0"/>
    <x v="60"/>
    <x v="44"/>
    <m/>
    <s v="ALT"/>
    <s v="AL"/>
    <x v="332"/>
    <x v="0"/>
    <x v="0"/>
    <s v="ANSI 49"/>
    <s v="NA"/>
    <n v="14"/>
    <d v="2025-09-09T00:00:00"/>
    <d v="2025-09-16T00:00:00"/>
    <d v="2025-09-24T00:00:00"/>
    <b v="0"/>
    <x v="9"/>
    <n v="10"/>
    <n v="6"/>
    <n v="11"/>
    <x v="3"/>
    <s v="LATE"/>
    <x v="0"/>
    <x v="0"/>
    <m/>
    <x v="0"/>
    <n v="-3"/>
    <x v="0"/>
    <m/>
    <m/>
    <s v="Closed"/>
    <x v="0"/>
    <s v="NA"/>
    <n v="18"/>
    <d v="2025-09-19T02:21:19"/>
    <n v="1"/>
    <m/>
  </r>
  <r>
    <x v="1"/>
    <s v="SWBD"/>
    <s v="META 2.0"/>
    <s v="SWBD-META 2.0"/>
    <x v="62"/>
    <x v="44"/>
    <m/>
    <s v="ALT"/>
    <s v="AL"/>
    <x v="333"/>
    <x v="0"/>
    <x v="0"/>
    <s v="ANSI 49"/>
    <s v="NA"/>
    <n v="14"/>
    <d v="2025-09-09T00:00:00"/>
    <d v="2025-09-18T00:00:00"/>
    <d v="2025-09-27T00:00:00"/>
    <b v="0"/>
    <x v="9"/>
    <n v="10"/>
    <n v="8"/>
    <n v="13"/>
    <x v="3"/>
    <s v="LATE"/>
    <x v="0"/>
    <x v="0"/>
    <m/>
    <x v="0"/>
    <n v="1"/>
    <x v="1"/>
    <m/>
    <m/>
    <s v="Closed"/>
    <x v="1"/>
    <s v="NA"/>
    <n v="18"/>
    <d v="2025-09-21T02:21:19"/>
    <n v="1"/>
    <m/>
  </r>
  <r>
    <x v="1"/>
    <s v="SWBD"/>
    <s v="switchboard f2.0"/>
    <s v="SWBD-switchboard f2.0"/>
    <x v="60"/>
    <x v="44"/>
    <m/>
    <s v="ALT"/>
    <s v="AL"/>
    <x v="334"/>
    <x v="0"/>
    <x v="1"/>
    <s v="ANSI 49"/>
    <s v="NA"/>
    <n v="14"/>
    <d v="2025-09-09T00:00:00"/>
    <d v="2025-09-19T00:00:00"/>
    <d v="2025-09-18T00:00:00"/>
    <b v="0"/>
    <x v="9"/>
    <n v="10"/>
    <n v="9"/>
    <n v="7"/>
    <x v="5"/>
    <s v="ON TIME"/>
    <x v="2"/>
    <x v="0"/>
    <m/>
    <x v="0"/>
    <n v="-7"/>
    <x v="0"/>
    <m/>
    <m/>
    <s v="Closed"/>
    <x v="0"/>
    <s v="NA"/>
    <n v="17"/>
    <d v="2025-09-19T09:58:35"/>
    <n v="1"/>
    <m/>
  </r>
  <r>
    <x v="0"/>
    <s v="0051199001"/>
    <s v="000010"/>
    <s v="0051199001-000010"/>
    <x v="38"/>
    <x v="50"/>
    <m/>
    <s v="ASP"/>
    <s v="AL"/>
    <x v="335"/>
    <x v="0"/>
    <x v="1"/>
    <s v="RAL 7035"/>
    <d v="2025-11-26T00:00:00"/>
    <n v="19"/>
    <d v="2025-09-10T00:00:00"/>
    <d v="2025-09-22T00:00:00"/>
    <d v="2025-09-22T00:00:00"/>
    <b v="0"/>
    <x v="9"/>
    <n v="5"/>
    <n v="9"/>
    <n v="8"/>
    <x v="11"/>
    <s v="ON TIME"/>
    <x v="2"/>
    <x v="0"/>
    <m/>
    <x v="0"/>
    <n v="-11"/>
    <x v="0"/>
    <m/>
    <m/>
    <s v="Closed"/>
    <x v="0"/>
    <s v="NA"/>
    <n v="17"/>
    <d v="2025-09-22T09:58:35"/>
    <n v="1"/>
    <m/>
  </r>
  <r>
    <x v="1"/>
    <s v="SWBD"/>
    <s v="meta 2.0"/>
    <s v="SWBD-meta 2.0"/>
    <x v="62"/>
    <x v="44"/>
    <m/>
    <s v="ALT"/>
    <s v="AL"/>
    <x v="336"/>
    <x v="0"/>
    <x v="1"/>
    <s v="ANSI 49"/>
    <s v="NA"/>
    <n v="13"/>
    <d v="2025-09-10T00:00:00"/>
    <d v="2025-09-22T00:00:00"/>
    <d v="2025-09-27T00:00:00"/>
    <b v="0"/>
    <x v="9"/>
    <n v="10"/>
    <n v="9"/>
    <n v="12"/>
    <x v="4"/>
    <s v="LATE"/>
    <x v="0"/>
    <x v="0"/>
    <m/>
    <x v="0"/>
    <n v="1"/>
    <x v="1"/>
    <m/>
    <m/>
    <s v="Closed"/>
    <x v="1"/>
    <s v="NA"/>
    <n v="17"/>
    <d v="2025-09-22T09:58:35"/>
    <n v="1"/>
    <m/>
  </r>
  <r>
    <x v="0"/>
    <s v="0050754152"/>
    <s v="000090"/>
    <s v="0050754152-000090"/>
    <x v="1"/>
    <x v="51"/>
    <m/>
    <s v="DMA"/>
    <s v="LDT"/>
    <x v="337"/>
    <x v="1"/>
    <x v="0"/>
    <s v="ANSI 49"/>
    <d v="2025-09-22T00:00:00"/>
    <n v="-53"/>
    <d v="2025-09-11T00:00:00"/>
    <d v="2025-09-19T00:00:00"/>
    <d v="2025-09-15T00:00:00"/>
    <b v="0"/>
    <x v="9"/>
    <n v="5"/>
    <n v="7"/>
    <n v="3"/>
    <x v="14"/>
    <s v="ON TIME"/>
    <x v="2"/>
    <x v="1"/>
    <m/>
    <x v="0"/>
    <n v="55"/>
    <x v="1"/>
    <m/>
    <m/>
    <s v="Closed"/>
    <x v="1"/>
    <s v="NA"/>
    <n v="18"/>
    <d v="2025-09-22T02:21:19"/>
    <n v="1"/>
    <m/>
  </r>
  <r>
    <x v="0"/>
    <s v="0051199001"/>
    <s v="000010"/>
    <s v="0051199001-000010"/>
    <x v="38"/>
    <x v="50"/>
    <m/>
    <s v="ASP"/>
    <s v="AL"/>
    <x v="338"/>
    <x v="0"/>
    <x v="1"/>
    <s v="RAL 7035"/>
    <d v="2025-11-26T00:00:00"/>
    <n v="17"/>
    <d v="2025-09-12T00:00:00"/>
    <d v="2025-09-26T00:00:00"/>
    <d v="2025-10-01T00:00:00"/>
    <b v="0"/>
    <x v="9"/>
    <n v="5"/>
    <n v="11"/>
    <n v="13"/>
    <x v="12"/>
    <s v="LATE"/>
    <x v="0"/>
    <x v="0"/>
    <s v="Supply asked for a spare"/>
    <x v="0"/>
    <n v="-4"/>
    <x v="0"/>
    <m/>
    <m/>
    <s v="Closed"/>
    <x v="0"/>
    <s v="NA"/>
    <n v="17"/>
    <d v="2025-09-26T09:58:35"/>
    <n v="1"/>
    <m/>
  </r>
  <r>
    <x v="0"/>
    <s v="0051306085"/>
    <s v="000300"/>
    <s v="0051306085-000300"/>
    <x v="32"/>
    <x v="48"/>
    <m/>
    <s v="HMA"/>
    <s v="IGS"/>
    <x v="339"/>
    <x v="0"/>
    <x v="1"/>
    <s v="ANSI 49"/>
    <d v="2025-05-12T00:00:00"/>
    <n v="-3"/>
    <d v="2025-09-12T00:00:00"/>
    <d v="2025-09-25T00:00:00"/>
    <d v="2025-09-25T00:00:00"/>
    <b v="0"/>
    <x v="9"/>
    <n v="5"/>
    <n v="10"/>
    <n v="9"/>
    <x v="11"/>
    <s v="ON TIME"/>
    <x v="2"/>
    <x v="1"/>
    <m/>
    <x v="0"/>
    <n v="11"/>
    <x v="1"/>
    <m/>
    <m/>
    <s v="Closed"/>
    <x v="1"/>
    <s v="NA"/>
    <n v="17"/>
    <d v="2025-09-25T09:58:35"/>
    <n v="1"/>
    <m/>
  </r>
  <r>
    <x v="1"/>
    <s v="SWBD"/>
    <s v="meta 2.0"/>
    <s v="SWBD-meta 2.0"/>
    <x v="62"/>
    <x v="44"/>
    <m/>
    <s v="ALT"/>
    <s v="AL"/>
    <x v="340"/>
    <x v="0"/>
    <x v="0"/>
    <s v="ANSI 49"/>
    <s v="NA"/>
    <n v="11"/>
    <d v="2025-09-12T00:00:00"/>
    <d v="2025-09-22T00:00:00"/>
    <d v="2025-09-19T00:00:00"/>
    <b v="0"/>
    <x v="9"/>
    <n v="10"/>
    <n v="7"/>
    <n v="5"/>
    <x v="5"/>
    <s v="ON TIME"/>
    <x v="2"/>
    <x v="0"/>
    <m/>
    <x v="0"/>
    <n v="-6"/>
    <x v="0"/>
    <m/>
    <m/>
    <s v="Closed"/>
    <x v="0"/>
    <s v="NA"/>
    <n v="18"/>
    <d v="2025-09-25T02:21:19"/>
    <n v="1"/>
    <m/>
  </r>
  <r>
    <x v="0"/>
    <s v="0051442285"/>
    <s v="000110"/>
    <s v="0051442285-000110"/>
    <x v="63"/>
    <x v="36"/>
    <m/>
    <s v="DMA"/>
    <s v="KGF"/>
    <x v="341"/>
    <x v="1"/>
    <x v="0"/>
    <s v="RAL9003"/>
    <d v="2025-12-17T00:00:00"/>
    <n v="24"/>
    <d v="2025-09-12T00:00:00"/>
    <d v="2025-09-22T00:00:00"/>
    <d v="2025-09-19T00:00:00"/>
    <b v="0"/>
    <x v="9"/>
    <n v="10"/>
    <n v="7"/>
    <n v="5"/>
    <x v="5"/>
    <s v="ON TIME"/>
    <x v="2"/>
    <x v="0"/>
    <m/>
    <x v="0"/>
    <n v="-19"/>
    <x v="0"/>
    <m/>
    <m/>
    <s v="Closed"/>
    <x v="0"/>
    <s v="NA"/>
    <n v="18"/>
    <d v="2025-09-25T02:21:19"/>
    <n v="1"/>
    <m/>
  </r>
  <r>
    <x v="0"/>
    <s v="0051424832"/>
    <s v="000020"/>
    <s v="0051424832-000020"/>
    <x v="52"/>
    <x v="42"/>
    <m/>
    <s v="JTV"/>
    <s v="CML"/>
    <x v="342"/>
    <x v="0"/>
    <x v="0"/>
    <s v="ANSI 49"/>
    <d v="2026-01-15T00:00:00"/>
    <n v="10"/>
    <d v="2025-09-17T00:00:00"/>
    <d v="2025-09-24T00:00:00"/>
    <d v="2025-09-24T00:00:00"/>
    <b v="0"/>
    <x v="9"/>
    <n v="10"/>
    <n v="6"/>
    <n v="6"/>
    <x v="9"/>
    <s v="ON TIME"/>
    <x v="2"/>
    <x v="0"/>
    <m/>
    <x v="0"/>
    <n v="-5"/>
    <x v="0"/>
    <m/>
    <m/>
    <s v="Closed"/>
    <x v="0"/>
    <s v="NA"/>
    <n v="18"/>
    <d v="2025-09-27T02:21:19"/>
    <n v="1"/>
    <m/>
  </r>
  <r>
    <x v="0"/>
    <s v="0051424832"/>
    <s v="000020"/>
    <s v="0051424832-000020"/>
    <x v="52"/>
    <x v="42"/>
    <m/>
    <s v="JTV"/>
    <s v="CML"/>
    <x v="343"/>
    <x v="0"/>
    <x v="0"/>
    <s v="ANSI 49"/>
    <d v="2026-01-15T00:00:00"/>
    <n v="10"/>
    <d v="2025-09-17T00:00:00"/>
    <d v="2025-09-24T00:00:00"/>
    <d v="2025-09-23T00:00:00"/>
    <b v="0"/>
    <x v="9"/>
    <n v="10"/>
    <n v="6"/>
    <n v="5"/>
    <x v="11"/>
    <s v="ON TIME"/>
    <x v="2"/>
    <x v="0"/>
    <m/>
    <x v="0"/>
    <n v="-6"/>
    <x v="0"/>
    <m/>
    <m/>
    <s v="Closed"/>
    <x v="0"/>
    <s v="NA"/>
    <n v="18"/>
    <d v="2025-09-27T02:21:19"/>
    <n v="1"/>
    <m/>
  </r>
  <r>
    <x v="0"/>
    <s v="0051086218"/>
    <s v="003900"/>
    <s v="0051086218-003900"/>
    <x v="59"/>
    <x v="49"/>
    <m/>
    <s v="JTV"/>
    <m/>
    <x v="344"/>
    <x v="0"/>
    <x v="0"/>
    <s v="ANSI 49"/>
    <s v="ON-HOLD"/>
    <n v="22"/>
    <d v="2025-09-17T00:00:00"/>
    <d v="2025-09-24T00:00:00"/>
    <d v="2025-09-27T00:00:00"/>
    <b v="0"/>
    <x v="9"/>
    <n v="10"/>
    <n v="6"/>
    <n v="8"/>
    <x v="12"/>
    <s v="LATE"/>
    <x v="0"/>
    <x v="0"/>
    <m/>
    <x v="0"/>
    <n v="-14"/>
    <x v="0"/>
    <m/>
    <m/>
    <s v="Closed"/>
    <x v="0"/>
    <s v="NA"/>
    <n v="18"/>
    <d v="2025-09-27T02:21:19"/>
    <n v="1"/>
    <m/>
  </r>
  <r>
    <x v="0"/>
    <s v="051576246"/>
    <s v="000020&amp;30&amp;40&amp;50&amp;60"/>
    <s v="051576246-000020&amp;30&amp;40&amp;50&amp;60"/>
    <x v="64"/>
    <x v="46"/>
    <m/>
    <s v="JAM"/>
    <s v="IGS"/>
    <x v="345"/>
    <x v="0"/>
    <x v="1"/>
    <s v="ANSI 49"/>
    <d v="2026-01-30T00:00:00"/>
    <n v="28"/>
    <d v="2025-09-17T00:00:00"/>
    <d v="2025-09-29T00:00:00"/>
    <d v="2025-10-02T00:00:00"/>
    <b v="0"/>
    <x v="9"/>
    <n v="10"/>
    <n v="9"/>
    <n v="12"/>
    <x v="4"/>
    <s v="LATE"/>
    <x v="0"/>
    <x v="0"/>
    <m/>
    <x v="0"/>
    <n v="-17"/>
    <x v="0"/>
    <m/>
    <m/>
    <s v="Closed"/>
    <x v="0"/>
    <s v="NA"/>
    <n v="17"/>
    <d v="2025-09-29T09:58:35"/>
    <n v="1"/>
    <m/>
  </r>
  <r>
    <x v="0"/>
    <s v="0051576246"/>
    <s v="000020&amp;30&amp;40&amp;50&amp;60"/>
    <s v="0051576246-000020&amp;30&amp;40&amp;50&amp;60"/>
    <x v="64"/>
    <x v="46"/>
    <m/>
    <s v="JAM"/>
    <s v="IGS"/>
    <x v="346"/>
    <x v="0"/>
    <x v="1"/>
    <s v="ANSI 49"/>
    <d v="2026-01-30T00:00:00"/>
    <n v="28"/>
    <d v="2025-09-17T00:00:00"/>
    <d v="2025-09-29T00:00:00"/>
    <d v="2025-09-18T00:00:00"/>
    <b v="0"/>
    <x v="9"/>
    <n v="10"/>
    <n v="9"/>
    <n v="2"/>
    <x v="25"/>
    <s v="ON TIME"/>
    <x v="2"/>
    <x v="0"/>
    <m/>
    <x v="1"/>
    <n v="-27"/>
    <x v="0"/>
    <m/>
    <s v="PN IN OTHER WF"/>
    <s v="Cancelled"/>
    <x v="0"/>
    <s v="NA"/>
    <n v="0"/>
    <d v="2025-09-29T09:58:35"/>
    <n v="0"/>
    <m/>
  </r>
  <r>
    <x v="0"/>
    <s v="0051576246"/>
    <s v="000020&amp;30&amp;40&amp;50&amp;60"/>
    <s v="0051576246-000020&amp;30&amp;40&amp;50&amp;60"/>
    <x v="64"/>
    <x v="46"/>
    <m/>
    <s v="JAM"/>
    <s v="IGS"/>
    <x v="347"/>
    <x v="0"/>
    <x v="1"/>
    <s v="ANSI 49"/>
    <d v="2026-01-30T00:00:00"/>
    <n v="28"/>
    <d v="2025-09-17T00:00:00"/>
    <d v="2025-09-29T00:00:00"/>
    <d v="2025-09-18T00:00:00"/>
    <b v="0"/>
    <x v="9"/>
    <n v="5"/>
    <n v="9"/>
    <n v="2"/>
    <x v="25"/>
    <s v="ON TIME"/>
    <x v="2"/>
    <x v="0"/>
    <m/>
    <x v="1"/>
    <n v="-27"/>
    <x v="0"/>
    <m/>
    <s v="Wrong template"/>
    <s v="Cancelled"/>
    <x v="0"/>
    <s v="NA"/>
    <n v="0"/>
    <d v="2025-09-29T09:58:35"/>
    <n v="0"/>
    <m/>
  </r>
  <r>
    <x v="0"/>
    <s v="0051576246"/>
    <s v="000020&amp;30&amp;40&amp;50&amp;60"/>
    <s v="0051576246-000020&amp;30&amp;40&amp;50&amp;60"/>
    <x v="64"/>
    <x v="46"/>
    <m/>
    <s v="JAM"/>
    <s v="IGS"/>
    <x v="348"/>
    <x v="0"/>
    <x v="1"/>
    <s v="ANSI 49"/>
    <d v="2026-01-30T00:00:00"/>
    <n v="28"/>
    <d v="2025-09-17T00:00:00"/>
    <d v="2025-09-29T00:00:00"/>
    <d v="2025-09-18T00:00:00"/>
    <b v="0"/>
    <x v="9"/>
    <n v="5"/>
    <n v="9"/>
    <n v="2"/>
    <x v="25"/>
    <s v="ON TIME"/>
    <x v="2"/>
    <x v="0"/>
    <m/>
    <x v="1"/>
    <n v="-27"/>
    <x v="0"/>
    <m/>
    <s v="Wrong template"/>
    <s v="Cancelled"/>
    <x v="0"/>
    <s v="NA"/>
    <n v="0"/>
    <d v="2025-09-29T09:58:35"/>
    <n v="0"/>
    <m/>
  </r>
  <r>
    <x v="1"/>
    <s v="SWBD"/>
    <s v="meta rsb #80"/>
    <s v="SWBD-meta rsb #80"/>
    <x v="54"/>
    <x v="44"/>
    <m/>
    <s v="ALT"/>
    <s v="AL"/>
    <x v="349"/>
    <x v="0"/>
    <x v="1"/>
    <s v="ANSI 49"/>
    <s v="NA"/>
    <n v="7"/>
    <d v="2025-09-18T00:00:00"/>
    <d v="2025-09-30T00:00:00"/>
    <d v="2025-09-27T00:00:00"/>
    <b v="0"/>
    <x v="9"/>
    <n v="10"/>
    <n v="9"/>
    <n v="7"/>
    <x v="5"/>
    <s v="ON TIME"/>
    <x v="2"/>
    <x v="1"/>
    <m/>
    <x v="0"/>
    <n v="1"/>
    <x v="1"/>
    <m/>
    <m/>
    <s v="Closed"/>
    <x v="1"/>
    <s v="NA"/>
    <n v="17"/>
    <d v="2025-09-30T09:58:35"/>
    <n v="1"/>
    <m/>
  </r>
  <r>
    <x v="1"/>
    <s v="SWBD"/>
    <s v="meta rsb #80"/>
    <s v="SWBD-meta rsb #80"/>
    <x v="54"/>
    <x v="44"/>
    <m/>
    <s v="ALT"/>
    <s v="AL"/>
    <x v="350"/>
    <x v="0"/>
    <x v="1"/>
    <s v="ANSI 49"/>
    <s v="NA"/>
    <n v="7"/>
    <d v="2025-09-18T00:00:00"/>
    <d v="2025-09-30T00:00:00"/>
    <d v="2025-09-27T00:00:00"/>
    <b v="0"/>
    <x v="9"/>
    <n v="10"/>
    <n v="9"/>
    <n v="7"/>
    <x v="5"/>
    <s v="ON TIME"/>
    <x v="2"/>
    <x v="1"/>
    <m/>
    <x v="0"/>
    <n v="1"/>
    <x v="1"/>
    <m/>
    <m/>
    <s v="Closed"/>
    <x v="1"/>
    <s v="NA"/>
    <n v="17"/>
    <d v="2025-09-30T09:58:35"/>
    <n v="1"/>
    <m/>
  </r>
  <r>
    <x v="1"/>
    <s v="SWBD"/>
    <s v="meta rsb #80"/>
    <s v="SWBD-meta rsb #80"/>
    <x v="54"/>
    <x v="44"/>
    <m/>
    <s v="ALT"/>
    <s v="AL"/>
    <x v="351"/>
    <x v="0"/>
    <x v="1"/>
    <s v="ANSI 49"/>
    <s v="NA"/>
    <n v="7"/>
    <d v="2025-09-18T00:00:00"/>
    <d v="2025-09-30T00:00:00"/>
    <d v="2025-09-24T00:00:00"/>
    <b v="0"/>
    <x v="9"/>
    <n v="10"/>
    <n v="9"/>
    <n v="5"/>
    <x v="14"/>
    <s v="ON TIME"/>
    <x v="2"/>
    <x v="1"/>
    <m/>
    <x v="0"/>
    <n v="-3"/>
    <x v="0"/>
    <m/>
    <m/>
    <s v="Closed"/>
    <x v="0"/>
    <s v="NA"/>
    <n v="17"/>
    <d v="2025-09-30T09:58:35"/>
    <n v="1"/>
    <m/>
  </r>
  <r>
    <x v="0"/>
    <s v="0051442285"/>
    <s v="000070"/>
    <s v="0051442285-000070"/>
    <x v="63"/>
    <x v="36"/>
    <m/>
    <s v="DEV"/>
    <s v="KGF"/>
    <x v="352"/>
    <x v="1"/>
    <x v="0"/>
    <s v="RAL9003"/>
    <d v="2025-12-17T00:00:00"/>
    <n v="20"/>
    <d v="2025-09-18T00:00:00"/>
    <d v="2025-09-25T00:00:00"/>
    <d v="2025-10-03T00:00:00"/>
    <b v="0"/>
    <x v="9"/>
    <n v="10"/>
    <n v="6"/>
    <n v="12"/>
    <x v="8"/>
    <s v="LATE"/>
    <x v="0"/>
    <x v="0"/>
    <m/>
    <x v="0"/>
    <n v="-9"/>
    <x v="0"/>
    <m/>
    <m/>
    <s v="Closed"/>
    <x v="0"/>
    <s v="NA"/>
    <n v="18"/>
    <d v="2025-09-28T02:21:19"/>
    <n v="1"/>
    <m/>
  </r>
  <r>
    <x v="0"/>
    <s v="0051442285"/>
    <s v="000070"/>
    <s v="0051442285-000070"/>
    <x v="63"/>
    <x v="36"/>
    <m/>
    <s v="DEV"/>
    <s v="KGF"/>
    <x v="353"/>
    <x v="1"/>
    <x v="0"/>
    <s v="RAL9003"/>
    <d v="2025-12-17T00:00:00"/>
    <n v="20"/>
    <d v="2025-09-18T00:00:00"/>
    <d v="2025-09-25T00:00:00"/>
    <d v="2025-10-08T00:00:00"/>
    <b v="0"/>
    <x v="9"/>
    <n v="10"/>
    <n v="6"/>
    <n v="15"/>
    <x v="17"/>
    <s v="LATE"/>
    <x v="0"/>
    <x v="0"/>
    <m/>
    <x v="0"/>
    <n v="-6"/>
    <x v="0"/>
    <m/>
    <m/>
    <s v="Closed"/>
    <x v="0"/>
    <s v="NA"/>
    <n v="18"/>
    <d v="2025-09-28T02:21:19"/>
    <n v="1"/>
    <m/>
  </r>
  <r>
    <x v="0"/>
    <s v="0051442285"/>
    <s v="000070"/>
    <s v="0051442285-000070"/>
    <x v="63"/>
    <x v="36"/>
    <m/>
    <s v="DEV"/>
    <s v="KGF"/>
    <x v="354"/>
    <x v="1"/>
    <x v="1"/>
    <s v="RAL9003"/>
    <d v="2025-12-17T00:00:00"/>
    <n v="20"/>
    <d v="2025-09-18T00:00:00"/>
    <d v="2025-09-25T00:00:00"/>
    <d v="2025-10-02T00:00:00"/>
    <b v="0"/>
    <x v="9"/>
    <n v="10"/>
    <n v="6"/>
    <n v="11"/>
    <x v="3"/>
    <s v="LATE"/>
    <x v="0"/>
    <x v="0"/>
    <m/>
    <x v="0"/>
    <n v="-10"/>
    <x v="0"/>
    <m/>
    <m/>
    <s v="Closed"/>
    <x v="0"/>
    <s v="NA"/>
    <n v="17"/>
    <d v="2025-09-25T09:58:35"/>
    <n v="1"/>
    <m/>
  </r>
  <r>
    <x v="0"/>
    <s v="0051442285"/>
    <s v="000070"/>
    <s v="0051442285-000070"/>
    <x v="63"/>
    <x v="36"/>
    <m/>
    <s v="DEV"/>
    <s v="KGF"/>
    <x v="355"/>
    <x v="1"/>
    <x v="0"/>
    <s v="RAL9003"/>
    <d v="2025-12-17T00:00:00"/>
    <n v="19"/>
    <d v="2025-09-19T00:00:00"/>
    <d v="2025-09-26T00:00:00"/>
    <d v="2025-09-29T00:00:00"/>
    <b v="0"/>
    <x v="9"/>
    <n v="10"/>
    <n v="6"/>
    <n v="7"/>
    <x v="6"/>
    <s v="LATE"/>
    <x v="0"/>
    <x v="0"/>
    <m/>
    <x v="0"/>
    <n v="-13"/>
    <x v="0"/>
    <m/>
    <m/>
    <s v="Closed"/>
    <x v="0"/>
    <s v="NA"/>
    <n v="18"/>
    <d v="2025-09-29T02:21:19"/>
    <n v="1"/>
    <m/>
  </r>
  <r>
    <x v="0"/>
    <s v="0051442285"/>
    <s v="000070"/>
    <s v="0051442285-000070"/>
    <x v="63"/>
    <x v="36"/>
    <m/>
    <s v="DEV"/>
    <s v="KGF"/>
    <x v="356"/>
    <x v="1"/>
    <x v="0"/>
    <s v="RAL9003"/>
    <d v="2025-12-17T00:00:00"/>
    <n v="19"/>
    <d v="2025-09-19T00:00:00"/>
    <d v="2025-09-26T00:00:00"/>
    <d v="2025-10-13T00:00:00"/>
    <b v="0"/>
    <x v="9"/>
    <n v="10"/>
    <n v="6"/>
    <n v="17"/>
    <x v="21"/>
    <s v="LATE"/>
    <x v="0"/>
    <x v="0"/>
    <m/>
    <x v="0"/>
    <n v="-3"/>
    <x v="0"/>
    <m/>
    <m/>
    <s v="Closed"/>
    <x v="0"/>
    <s v="NA"/>
    <n v="18"/>
    <d v="2025-09-29T02:21:19"/>
    <n v="1"/>
    <m/>
  </r>
  <r>
    <x v="0"/>
    <s v="0051442285"/>
    <s v="000070"/>
    <s v="0051442285-000070"/>
    <x v="63"/>
    <x v="36"/>
    <m/>
    <s v="DEV"/>
    <s v="KGF"/>
    <x v="357"/>
    <x v="1"/>
    <x v="0"/>
    <s v="RAL9003"/>
    <d v="2025-12-17T00:00:00"/>
    <n v="19"/>
    <d v="2025-09-19T00:00:00"/>
    <d v="2025-09-26T00:00:00"/>
    <d v="2025-10-15T00:00:00"/>
    <b v="0"/>
    <x v="9"/>
    <n v="10"/>
    <n v="6"/>
    <n v="19"/>
    <x v="22"/>
    <s v="LATE"/>
    <x v="0"/>
    <x v="0"/>
    <m/>
    <x v="0"/>
    <n v="1"/>
    <x v="1"/>
    <m/>
    <m/>
    <s v="Closed"/>
    <x v="1"/>
    <s v="NA"/>
    <n v="18"/>
    <d v="2025-09-29T02:21:19"/>
    <n v="1"/>
    <m/>
  </r>
  <r>
    <x v="0"/>
    <s v="0051442285"/>
    <s v="000080"/>
    <s v="0051442285-000080"/>
    <x v="63"/>
    <x v="36"/>
    <m/>
    <s v="DEV"/>
    <s v="KGF"/>
    <x v="358"/>
    <x v="1"/>
    <x v="0"/>
    <s v="RAL9003"/>
    <d v="2025-12-17T00:00:00"/>
    <n v="19"/>
    <d v="2025-09-19T00:00:00"/>
    <d v="2025-09-26T00:00:00"/>
    <d v="2025-10-15T00:00:00"/>
    <b v="0"/>
    <x v="9"/>
    <n v="10"/>
    <n v="6"/>
    <n v="19"/>
    <x v="22"/>
    <s v="LATE"/>
    <x v="0"/>
    <x v="0"/>
    <m/>
    <x v="0"/>
    <n v="1"/>
    <x v="1"/>
    <m/>
    <m/>
    <s v="Closed"/>
    <x v="1"/>
    <s v="NA"/>
    <n v="18"/>
    <d v="2025-09-29T02:21:19"/>
    <n v="1"/>
    <m/>
  </r>
  <r>
    <x v="0"/>
    <s v="0051442285"/>
    <s v="000070"/>
    <s v="0051442285-000070"/>
    <x v="63"/>
    <x v="36"/>
    <m/>
    <s v="DEV"/>
    <s v="KGF"/>
    <x v="359"/>
    <x v="1"/>
    <x v="0"/>
    <s v="RAL9003"/>
    <d v="2025-12-17T00:00:00"/>
    <n v="19"/>
    <d v="2025-09-19T00:00:00"/>
    <d v="2025-09-29T00:00:00"/>
    <d v="2025-10-13T00:00:00"/>
    <b v="0"/>
    <x v="9"/>
    <n v="10"/>
    <n v="7"/>
    <n v="17"/>
    <x v="0"/>
    <s v="LATE"/>
    <x v="0"/>
    <x v="0"/>
    <m/>
    <x v="0"/>
    <n v="-3"/>
    <x v="0"/>
    <m/>
    <m/>
    <s v="Closed"/>
    <x v="0"/>
    <s v="NA"/>
    <n v="18"/>
    <d v="2025-10-02T02:21:19"/>
    <n v="1"/>
    <m/>
  </r>
  <r>
    <x v="0"/>
    <s v="0051442285"/>
    <s v="000070"/>
    <s v="0051442285-000070"/>
    <x v="63"/>
    <x v="36"/>
    <m/>
    <s v="DEV"/>
    <s v="KGF"/>
    <x v="360"/>
    <x v="1"/>
    <x v="0"/>
    <s v="RAL9003"/>
    <d v="2025-12-17T00:00:00"/>
    <n v="19"/>
    <d v="2025-09-19T00:00:00"/>
    <d v="2025-09-29T00:00:00"/>
    <d v="2025-10-13T00:00:00"/>
    <b v="0"/>
    <x v="9"/>
    <n v="10"/>
    <n v="7"/>
    <n v="17"/>
    <x v="0"/>
    <s v="LATE"/>
    <x v="0"/>
    <x v="0"/>
    <m/>
    <x v="0"/>
    <n v="-3"/>
    <x v="0"/>
    <m/>
    <m/>
    <s v="Closed"/>
    <x v="0"/>
    <s v="NA"/>
    <n v="18"/>
    <d v="2025-10-02T02:21:19"/>
    <n v="1"/>
    <m/>
  </r>
  <r>
    <x v="0"/>
    <s v="0051442285"/>
    <s v="000070"/>
    <s v="0051442285-000070"/>
    <x v="63"/>
    <x v="36"/>
    <m/>
    <s v="DEV"/>
    <s v="KGF"/>
    <x v="361"/>
    <x v="1"/>
    <x v="1"/>
    <s v="RAL9003"/>
    <d v="2025-12-17T00:00:00"/>
    <n v="19"/>
    <d v="2025-09-19T00:00:00"/>
    <d v="2025-10-01T00:00:00"/>
    <d v="2025-10-02T00:00:00"/>
    <b v="0"/>
    <x v="9"/>
    <n v="10"/>
    <n v="9"/>
    <n v="10"/>
    <x v="6"/>
    <s v="LATE"/>
    <x v="0"/>
    <x v="0"/>
    <m/>
    <x v="0"/>
    <n v="-10"/>
    <x v="0"/>
    <m/>
    <m/>
    <s v="Closed"/>
    <x v="0"/>
    <s v="NA"/>
    <n v="17"/>
    <d v="2025-10-01T09:58:35"/>
    <n v="1"/>
    <m/>
  </r>
  <r>
    <x v="0"/>
    <s v="0051576246"/>
    <s v="000020&amp;30&amp;40&amp;50&amp;60"/>
    <s v="0051576246-000020&amp;30&amp;40&amp;50&amp;60"/>
    <x v="64"/>
    <x v="46"/>
    <m/>
    <s v="JAM"/>
    <s v="IGS"/>
    <x v="362"/>
    <x v="0"/>
    <x v="0"/>
    <s v="ANSI 49"/>
    <d v="2026-01-30T00:00:00"/>
    <n v="26"/>
    <d v="2025-09-19T00:00:00"/>
    <d v="2025-09-29T00:00:00"/>
    <d v="2025-10-20T00:00:00"/>
    <b v="0"/>
    <x v="9"/>
    <n v="10"/>
    <n v="7"/>
    <n v="22"/>
    <x v="27"/>
    <s v="LATE"/>
    <x v="1"/>
    <x v="0"/>
    <m/>
    <x v="0"/>
    <n v="-5"/>
    <x v="0"/>
    <m/>
    <m/>
    <s v="Closed"/>
    <x v="0"/>
    <s v="NA"/>
    <n v="18"/>
    <d v="2025-10-02T02:21:19"/>
    <n v="1"/>
    <m/>
  </r>
  <r>
    <x v="0"/>
    <s v="051576246"/>
    <s v="000020&amp;30&amp;40&amp;50&amp;60"/>
    <s v="051576246-000020&amp;30&amp;40&amp;50&amp;60"/>
    <x v="64"/>
    <x v="46"/>
    <m/>
    <s v="JAM"/>
    <s v="IGS"/>
    <x v="363"/>
    <x v="0"/>
    <x v="0"/>
    <s v="ANSI 49"/>
    <d v="2026-01-08T00:00:00"/>
    <n v="26"/>
    <d v="2025-09-19T00:00:00"/>
    <d v="2025-09-29T00:00:00"/>
    <d v="2025-10-24T00:00:00"/>
    <b v="0"/>
    <x v="9"/>
    <n v="10"/>
    <n v="7"/>
    <n v="26"/>
    <x v="28"/>
    <s v="LATE"/>
    <x v="1"/>
    <x v="0"/>
    <m/>
    <x v="0"/>
    <n v="1"/>
    <x v="1"/>
    <m/>
    <m/>
    <s v="Closed"/>
    <x v="1"/>
    <s v="NA"/>
    <n v="18"/>
    <d v="2025-10-02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64"/>
    <x v="0"/>
    <x v="0"/>
    <s v="ANSI 49"/>
    <d v="2026-01-30T00:00:00"/>
    <n v="26"/>
    <d v="2025-09-19T00:00:00"/>
    <d v="2025-09-30T00:00:00"/>
    <d v="2025-10-20T00:00:00"/>
    <b v="0"/>
    <x v="9"/>
    <n v="10"/>
    <n v="8"/>
    <n v="22"/>
    <x v="20"/>
    <s v="LATE"/>
    <x v="0"/>
    <x v="0"/>
    <m/>
    <x v="0"/>
    <n v="-5"/>
    <x v="0"/>
    <m/>
    <m/>
    <s v="Closed"/>
    <x v="0"/>
    <s v="NA"/>
    <n v="18"/>
    <d v="2025-10-03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65"/>
    <x v="0"/>
    <x v="1"/>
    <s v="ANSI 49"/>
    <d v="2026-01-30T00:00:00"/>
    <n v="26"/>
    <d v="2025-09-19T00:00:00"/>
    <d v="2025-10-01T00:00:00"/>
    <d v="2025-10-13T00:00:00"/>
    <b v="0"/>
    <x v="9"/>
    <n v="10"/>
    <n v="9"/>
    <n v="17"/>
    <x v="7"/>
    <s v="LATE"/>
    <x v="0"/>
    <x v="0"/>
    <m/>
    <x v="0"/>
    <n v="-10"/>
    <x v="0"/>
    <m/>
    <m/>
    <s v="Closed"/>
    <x v="0"/>
    <s v="NA"/>
    <n v="17"/>
    <d v="2025-10-01T09:58:35"/>
    <n v="1"/>
    <m/>
  </r>
  <r>
    <x v="0"/>
    <s v="0051576246"/>
    <s v="000020&amp;30&amp;40&amp;50&amp;60"/>
    <s v="0051576246-000020&amp;30&amp;40&amp;50&amp;60"/>
    <x v="64"/>
    <x v="46"/>
    <m/>
    <s v="JAM"/>
    <s v="IGS"/>
    <x v="366"/>
    <x v="0"/>
    <x v="0"/>
    <s v="ANSI 49"/>
    <d v="2026-01-30T00:00:00"/>
    <n v="26"/>
    <d v="2025-09-19T00:00:00"/>
    <d v="2025-10-01T00:00:00"/>
    <d v="2025-10-21T00:00:00"/>
    <b v="0"/>
    <x v="9"/>
    <n v="10"/>
    <n v="9"/>
    <n v="23"/>
    <x v="20"/>
    <s v="LATE"/>
    <x v="0"/>
    <x v="0"/>
    <m/>
    <x v="0"/>
    <n v="-4"/>
    <x v="0"/>
    <m/>
    <m/>
    <s v="Closed"/>
    <x v="0"/>
    <s v="NA"/>
    <n v="18"/>
    <d v="2025-10-04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67"/>
    <x v="0"/>
    <x v="0"/>
    <s v="ANSI 49"/>
    <d v="2026-01-30T00:00:00"/>
    <n v="26"/>
    <d v="2025-09-19T00:00:00"/>
    <d v="2025-10-03T00:00:00"/>
    <d v="2025-10-22T00:00:00"/>
    <b v="0"/>
    <x v="9"/>
    <n v="10"/>
    <n v="11"/>
    <n v="24"/>
    <x v="22"/>
    <s v="LATE"/>
    <x v="0"/>
    <x v="0"/>
    <m/>
    <x v="0"/>
    <n v="-3"/>
    <x v="0"/>
    <m/>
    <m/>
    <s v="Closed"/>
    <x v="0"/>
    <s v="NA"/>
    <n v="18"/>
    <d v="2025-10-06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68"/>
    <x v="0"/>
    <x v="0"/>
    <s v="ANSI 49"/>
    <d v="2026-01-30T00:00:00"/>
    <n v="26"/>
    <d v="2025-09-19T00:00:00"/>
    <d v="2025-10-04T00:00:00"/>
    <d v="2025-10-22T00:00:00"/>
    <b v="0"/>
    <x v="9"/>
    <n v="10"/>
    <n v="11"/>
    <n v="24"/>
    <x v="22"/>
    <s v="LATE"/>
    <x v="0"/>
    <x v="0"/>
    <m/>
    <x v="0"/>
    <n v="-3"/>
    <x v="0"/>
    <m/>
    <m/>
    <s v="Closed"/>
    <x v="0"/>
    <s v="NA"/>
    <n v="18"/>
    <d v="2025-10-07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69"/>
    <x v="0"/>
    <x v="0"/>
    <s v="ANSI 49"/>
    <d v="2026-01-30T00:00:00"/>
    <n v="26"/>
    <d v="2025-09-19T00:00:00"/>
    <d v="2025-10-05T00:00:00"/>
    <d v="2025-10-23T00:00:00"/>
    <b v="0"/>
    <x v="9"/>
    <n v="10"/>
    <n v="11"/>
    <n v="25"/>
    <x v="20"/>
    <s v="LATE"/>
    <x v="0"/>
    <x v="0"/>
    <m/>
    <x v="0"/>
    <n v="-2"/>
    <x v="0"/>
    <m/>
    <m/>
    <s v="Closed"/>
    <x v="0"/>
    <s v="NA"/>
    <n v="18"/>
    <d v="2025-10-08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70"/>
    <x v="0"/>
    <x v="0"/>
    <s v="ANSI 49"/>
    <d v="2026-01-30T00:00:00"/>
    <n v="26"/>
    <d v="2025-09-19T00:00:00"/>
    <d v="2025-10-06T00:00:00"/>
    <d v="2025-10-23T00:00:00"/>
    <b v="0"/>
    <x v="9"/>
    <n v="10"/>
    <n v="12"/>
    <n v="25"/>
    <x v="22"/>
    <s v="LATE"/>
    <x v="0"/>
    <x v="0"/>
    <m/>
    <x v="0"/>
    <n v="-2"/>
    <x v="0"/>
    <m/>
    <m/>
    <s v="Closed"/>
    <x v="0"/>
    <s v="NA"/>
    <n v="18"/>
    <d v="2025-10-09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71"/>
    <x v="0"/>
    <x v="1"/>
    <s v="ANSI 49"/>
    <d v="2026-01-30T00:00:00"/>
    <n v="26"/>
    <d v="2025-09-19T00:00:00"/>
    <d v="2025-10-07T00:00:00"/>
    <d v="2025-10-22T00:00:00"/>
    <b v="0"/>
    <x v="9"/>
    <n v="10"/>
    <n v="13"/>
    <n v="24"/>
    <x v="21"/>
    <s v="LATE"/>
    <x v="0"/>
    <x v="0"/>
    <m/>
    <x v="0"/>
    <n v="-3"/>
    <x v="0"/>
    <m/>
    <m/>
    <s v="Closed"/>
    <x v="0"/>
    <s v="NA"/>
    <n v="17"/>
    <d v="2025-10-07T09:58:35"/>
    <n v="1"/>
    <m/>
  </r>
  <r>
    <x v="0"/>
    <s v="0051576246"/>
    <s v="000020&amp;30&amp;40&amp;50&amp;60"/>
    <s v="0051576246-000020&amp;30&amp;40&amp;50&amp;60"/>
    <x v="64"/>
    <x v="46"/>
    <m/>
    <s v="JAM"/>
    <s v="IGS"/>
    <x v="372"/>
    <x v="0"/>
    <x v="0"/>
    <s v="ANSI 49"/>
    <d v="2026-01-30T00:00:00"/>
    <n v="26"/>
    <d v="2025-09-19T00:00:00"/>
    <d v="2025-10-08T00:00:00"/>
    <d v="2025-10-02T00:00:00"/>
    <b v="0"/>
    <x v="9"/>
    <n v="10"/>
    <n v="14"/>
    <n v="10"/>
    <x v="14"/>
    <s v="ON TIME"/>
    <x v="2"/>
    <x v="0"/>
    <m/>
    <x v="0"/>
    <n v="-17"/>
    <x v="0"/>
    <m/>
    <m/>
    <s v="Closed"/>
    <x v="0"/>
    <s v="NA"/>
    <n v="18"/>
    <d v="2025-10-11T02:21:19"/>
    <n v="1"/>
    <m/>
  </r>
  <r>
    <x v="0"/>
    <s v="0051536680"/>
    <s v="000030&amp;90"/>
    <s v="0051536680-000030&amp;90"/>
    <x v="55"/>
    <x v="52"/>
    <m/>
    <s v="DRV"/>
    <m/>
    <x v="373"/>
    <x v="0"/>
    <x v="0"/>
    <s v="ANSI 49"/>
    <d v="2026-05-06T00:00:00"/>
    <n v="41"/>
    <d v="2025-09-19T00:00:00"/>
    <d v="2025-10-09T00:00:00"/>
    <d v="2025-10-16T00:00:00"/>
    <b v="0"/>
    <x v="9"/>
    <n v="10"/>
    <n v="15"/>
    <n v="20"/>
    <x v="3"/>
    <s v="LATE"/>
    <x v="0"/>
    <x v="0"/>
    <m/>
    <x v="0"/>
    <n v="-21"/>
    <x v="0"/>
    <m/>
    <m/>
    <s v="Closed"/>
    <x v="0"/>
    <s v="NA"/>
    <n v="18"/>
    <d v="2025-10-12T02:21:19"/>
    <n v="1"/>
    <m/>
  </r>
  <r>
    <x v="0"/>
    <s v="0051536680"/>
    <s v="000030&amp;90"/>
    <s v="0051536680-000030&amp;90"/>
    <x v="55"/>
    <x v="52"/>
    <m/>
    <s v="DRV"/>
    <m/>
    <x v="374"/>
    <x v="0"/>
    <x v="0"/>
    <s v="ANSI 49"/>
    <d v="2026-05-06T00:00:00"/>
    <n v="41"/>
    <d v="2025-09-19T00:00:00"/>
    <d v="2025-10-10T00:00:00"/>
    <d v="2025-09-26T00:00:00"/>
    <b v="0"/>
    <x v="9"/>
    <n v="10"/>
    <n v="16"/>
    <n v="6"/>
    <x v="29"/>
    <s v="ON TIME"/>
    <x v="2"/>
    <x v="0"/>
    <m/>
    <x v="0"/>
    <n v="-35"/>
    <x v="0"/>
    <m/>
    <m/>
    <s v="Closed"/>
    <x v="0"/>
    <s v="NA"/>
    <n v="18"/>
    <d v="2025-10-13T02:21:19"/>
    <n v="1"/>
    <m/>
  </r>
  <r>
    <x v="0"/>
    <s v="0051442285"/>
    <s v="000080"/>
    <s v="0051442285-000080"/>
    <x v="63"/>
    <x v="36"/>
    <m/>
    <s v="DEV"/>
    <s v="KGF"/>
    <x v="375"/>
    <x v="1"/>
    <x v="0"/>
    <s v="RAL9003"/>
    <d v="2025-12-17T00:00:00"/>
    <n v="18"/>
    <d v="2025-09-22T00:00:00"/>
    <d v="2025-09-29T00:00:00"/>
    <d v="2025-10-13T00:00:00"/>
    <b v="0"/>
    <x v="9"/>
    <n v="10"/>
    <n v="6"/>
    <n v="16"/>
    <x v="0"/>
    <s v="LATE"/>
    <x v="0"/>
    <x v="0"/>
    <m/>
    <x v="0"/>
    <n v="-3"/>
    <x v="0"/>
    <m/>
    <m/>
    <s v="Closed"/>
    <x v="0"/>
    <s v="NA"/>
    <n v="18"/>
    <d v="2025-10-02T02:21:19"/>
    <n v="1"/>
    <m/>
  </r>
  <r>
    <x v="0"/>
    <s v="0051442285"/>
    <s v="000080"/>
    <s v="0051442285-000080"/>
    <x v="63"/>
    <x v="36"/>
    <m/>
    <s v="DEV"/>
    <s v="KGF"/>
    <x v="376"/>
    <x v="1"/>
    <x v="0"/>
    <s v="RAL9003"/>
    <d v="2025-12-17T00:00:00"/>
    <n v="18"/>
    <d v="2025-09-22T00:00:00"/>
    <d v="2025-09-29T00:00:00"/>
    <d v="2025-10-04T00:00:00"/>
    <b v="0"/>
    <x v="9"/>
    <n v="10"/>
    <n v="6"/>
    <n v="10"/>
    <x v="1"/>
    <s v="LATE"/>
    <x v="0"/>
    <x v="0"/>
    <m/>
    <x v="0"/>
    <n v="-8"/>
    <x v="0"/>
    <m/>
    <m/>
    <s v="Closed"/>
    <x v="0"/>
    <s v="NA"/>
    <n v="18"/>
    <d v="2025-10-02T02:21:19"/>
    <n v="1"/>
    <m/>
  </r>
  <r>
    <x v="0"/>
    <s v="0051442285"/>
    <s v="000080"/>
    <s v="0051442285-000080"/>
    <x v="63"/>
    <x v="36"/>
    <m/>
    <s v="DEV"/>
    <s v="KGF"/>
    <x v="377"/>
    <x v="1"/>
    <x v="0"/>
    <s v="RAL9003"/>
    <d v="2025-12-17T00:00:00"/>
    <n v="18"/>
    <d v="2025-09-22T00:00:00"/>
    <d v="2025-09-29T00:00:00"/>
    <d v="2025-10-15T00:00:00"/>
    <b v="0"/>
    <x v="9"/>
    <n v="10"/>
    <n v="6"/>
    <n v="18"/>
    <x v="26"/>
    <s v="LATE"/>
    <x v="0"/>
    <x v="0"/>
    <m/>
    <x v="0"/>
    <n v="1"/>
    <x v="1"/>
    <m/>
    <m/>
    <s v="Closed"/>
    <x v="1"/>
    <s v="NA"/>
    <n v="18"/>
    <d v="2025-10-02T02:21:19"/>
    <n v="1"/>
    <m/>
  </r>
  <r>
    <x v="0"/>
    <s v="0051449809"/>
    <s v="000010"/>
    <s v="0051449809-000010"/>
    <x v="65"/>
    <x v="36"/>
    <m/>
    <s v="JAV"/>
    <m/>
    <x v="378"/>
    <x v="0"/>
    <x v="0"/>
    <s v="ANSI 49"/>
    <d v="2026-03-27T00:00:00"/>
    <n v="18"/>
    <d v="2025-09-22T00:00:00"/>
    <d v="2025-09-30T00:00:00"/>
    <d v="2025-09-26T00:00:00"/>
    <b v="0"/>
    <x v="9"/>
    <n v="10"/>
    <n v="7"/>
    <n v="5"/>
    <x v="5"/>
    <s v="ON TIME"/>
    <x v="2"/>
    <x v="0"/>
    <m/>
    <x v="0"/>
    <n v="-14"/>
    <x v="0"/>
    <m/>
    <m/>
    <s v="Closed"/>
    <x v="0"/>
    <s v="NA"/>
    <n v="18"/>
    <d v="2025-10-03T02:21:19"/>
    <n v="1"/>
    <m/>
  </r>
  <r>
    <x v="0"/>
    <s v="0051442285"/>
    <s v="000080"/>
    <s v="0051442285-000080"/>
    <x v="63"/>
    <x v="36"/>
    <m/>
    <s v="DEV"/>
    <s v="KGF"/>
    <x v="379"/>
    <x v="1"/>
    <x v="1"/>
    <s v="RAL9003"/>
    <d v="2025-12-17T00:00:00"/>
    <n v="18"/>
    <d v="2025-09-22T00:00:00"/>
    <d v="2025-10-02T00:00:00"/>
    <d v="2025-10-13T00:00:00"/>
    <b v="0"/>
    <x v="9"/>
    <n v="10"/>
    <n v="9"/>
    <n v="16"/>
    <x v="13"/>
    <s v="LATE"/>
    <x v="0"/>
    <x v="0"/>
    <m/>
    <x v="0"/>
    <n v="-3"/>
    <x v="0"/>
    <m/>
    <m/>
    <s v="Closed"/>
    <x v="0"/>
    <s v="NA"/>
    <n v="17"/>
    <d v="2025-10-02T09:58:35"/>
    <n v="1"/>
    <m/>
  </r>
  <r>
    <x v="0"/>
    <s v="0051442285"/>
    <s v="000070"/>
    <s v="0051442285-000070"/>
    <x v="63"/>
    <x v="36"/>
    <m/>
    <s v="DEV"/>
    <s v="KGF"/>
    <x v="380"/>
    <x v="0"/>
    <x v="1"/>
    <s v="RAL9003"/>
    <d v="2025-12-17T00:00:00"/>
    <n v="18"/>
    <d v="2025-09-22T00:00:00"/>
    <d v="2025-10-02T00:00:00"/>
    <d v="2025-10-03T00:00:00"/>
    <b v="0"/>
    <x v="9"/>
    <n v="10"/>
    <n v="9"/>
    <n v="10"/>
    <x v="6"/>
    <s v="LATE"/>
    <x v="0"/>
    <x v="0"/>
    <m/>
    <x v="0"/>
    <n v="-9"/>
    <x v="0"/>
    <m/>
    <m/>
    <s v="Closed"/>
    <x v="0"/>
    <s v="NA"/>
    <n v="17"/>
    <d v="2025-10-02T09:58:35"/>
    <n v="1"/>
    <m/>
  </r>
  <r>
    <x v="0"/>
    <s v="0051442285"/>
    <s v="000070"/>
    <s v="0051442285-000070"/>
    <x v="63"/>
    <x v="36"/>
    <m/>
    <s v="DEV"/>
    <s v="KGF"/>
    <x v="381"/>
    <x v="1"/>
    <x v="0"/>
    <s v="RAL9003"/>
    <d v="2025-12-17T00:00:00"/>
    <n v="18"/>
    <d v="2025-09-22T00:00:00"/>
    <d v="2025-10-02T00:00:00"/>
    <d v="2025-10-15T00:00:00"/>
    <b v="0"/>
    <x v="9"/>
    <n v="10"/>
    <n v="9"/>
    <n v="18"/>
    <x v="17"/>
    <s v="LATE"/>
    <x v="0"/>
    <x v="0"/>
    <m/>
    <x v="0"/>
    <n v="1"/>
    <x v="1"/>
    <m/>
    <m/>
    <s v="Closed"/>
    <x v="1"/>
    <s v="NA"/>
    <n v="18"/>
    <d v="2025-10-05T02:21:19"/>
    <n v="1"/>
    <m/>
  </r>
  <r>
    <x v="0"/>
    <s v="0050988425"/>
    <s v="001260"/>
    <s v="0050988425-001260"/>
    <x v="21"/>
    <x v="37"/>
    <m/>
    <s v="KYC"/>
    <s v="OAL"/>
    <x v="382"/>
    <x v="1"/>
    <x v="0"/>
    <s v="ANSI 49"/>
    <d v="2025-11-18T00:00:00"/>
    <n v="-9"/>
    <d v="2025-09-24T00:00:00"/>
    <d v="2025-10-02T00:00:00"/>
    <d v="2025-10-02T00:00:00"/>
    <b v="0"/>
    <x v="9"/>
    <n v="10"/>
    <n v="7"/>
    <n v="7"/>
    <x v="9"/>
    <s v="ON TIME"/>
    <x v="2"/>
    <x v="1"/>
    <s v="OCN"/>
    <x v="0"/>
    <n v="14"/>
    <x v="1"/>
    <m/>
    <m/>
    <s v="Closed"/>
    <x v="1"/>
    <s v="NA"/>
    <n v="18"/>
    <d v="2025-10-05T02:21:19"/>
    <n v="1"/>
    <m/>
  </r>
  <r>
    <x v="0"/>
    <s v="0051449809"/>
    <s v="000010"/>
    <s v="0051449809-000010"/>
    <x v="65"/>
    <x v="36"/>
    <m/>
    <s v="JAV"/>
    <s v="RCI"/>
    <x v="383"/>
    <x v="1"/>
    <x v="0"/>
    <s v="ANSI 49"/>
    <d v="2026-01-30T00:00:00"/>
    <n v="15"/>
    <d v="2025-09-25T00:00:00"/>
    <d v="2025-10-03T00:00:00"/>
    <d v="2025-10-03T00:00:00"/>
    <b v="0"/>
    <x v="9"/>
    <n v="10"/>
    <n v="7"/>
    <n v="7"/>
    <x v="9"/>
    <s v="ON TIME"/>
    <x v="2"/>
    <x v="0"/>
    <m/>
    <x v="0"/>
    <n v="-9"/>
    <x v="0"/>
    <m/>
    <m/>
    <s v="Closed"/>
    <x v="0"/>
    <s v="NA"/>
    <n v="18"/>
    <d v="2025-10-06T02:21:19"/>
    <n v="1"/>
    <m/>
  </r>
  <r>
    <x v="0"/>
    <s v="0051442285"/>
    <s v="000080"/>
    <s v="0051442285-000080"/>
    <x v="63"/>
    <x v="36"/>
    <m/>
    <s v="DEV"/>
    <s v="KGF"/>
    <x v="384"/>
    <x v="1"/>
    <x v="0"/>
    <s v="RAL9003"/>
    <d v="2025-12-17T00:00:00"/>
    <n v="13"/>
    <d v="2025-09-29T00:00:00"/>
    <d v="2025-10-06T00:00:00"/>
    <d v="2025-10-15T00:00:00"/>
    <b v="0"/>
    <x v="9"/>
    <n v="10"/>
    <n v="6"/>
    <n v="13"/>
    <x v="13"/>
    <s v="LATE"/>
    <x v="0"/>
    <x v="0"/>
    <m/>
    <x v="0"/>
    <n v="1"/>
    <x v="1"/>
    <m/>
    <m/>
    <s v="Closed"/>
    <x v="1"/>
    <s v="NA"/>
    <n v="18"/>
    <d v="2025-10-09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85"/>
    <x v="0"/>
    <x v="0"/>
    <s v="ANSI 49"/>
    <d v="2026-01-08T00:00:00"/>
    <n v="20"/>
    <d v="2025-09-29T00:00:00"/>
    <d v="2025-10-06T00:00:00"/>
    <d v="2025-10-16T00:00:00"/>
    <b v="0"/>
    <x v="9"/>
    <n v="10"/>
    <n v="6"/>
    <n v="14"/>
    <x v="7"/>
    <s v="LATE"/>
    <x v="0"/>
    <x v="0"/>
    <m/>
    <x v="0"/>
    <n v="-7"/>
    <x v="0"/>
    <m/>
    <m/>
    <s v="Closed"/>
    <x v="0"/>
    <s v="NA"/>
    <n v="18"/>
    <d v="2025-10-09T02:21:19"/>
    <n v="1"/>
    <m/>
  </r>
  <r>
    <x v="0"/>
    <s v="0051096008"/>
    <s v="000080"/>
    <s v="0051096008-000080"/>
    <x v="28"/>
    <x v="53"/>
    <m/>
    <s v="DRV"/>
    <s v="CML"/>
    <x v="386"/>
    <x v="1"/>
    <x v="0"/>
    <s v="ANSI 61"/>
    <d v="2025-09-23T00:00:00"/>
    <n v="-46"/>
    <d v="2025-09-30T00:00:00"/>
    <d v="2025-10-07T00:00:00"/>
    <d v="2025-10-02T00:00:00"/>
    <b v="0"/>
    <x v="9"/>
    <n v="10"/>
    <n v="6"/>
    <n v="3"/>
    <x v="16"/>
    <s v="ON TIME"/>
    <x v="2"/>
    <x v="1"/>
    <s v="Packout asked for covers caused by late arrival material "/>
    <x v="0"/>
    <n v="48"/>
    <x v="1"/>
    <m/>
    <m/>
    <s v="Closed"/>
    <x v="1"/>
    <s v="NA"/>
    <n v="18"/>
    <d v="2025-10-10T02:21:19"/>
    <n v="1"/>
    <m/>
  </r>
  <r>
    <x v="0"/>
    <s v="0051378342"/>
    <s v="000010"/>
    <s v="0051378342-000010"/>
    <x v="66"/>
    <x v="54"/>
    <m/>
    <s v="DEV"/>
    <s v="VL"/>
    <x v="387"/>
    <x v="1"/>
    <x v="0"/>
    <s v="ANSI 61"/>
    <d v="2026-04-02T00:00:00"/>
    <n v="20"/>
    <d v="2025-09-30T00:00:00"/>
    <d v="2025-10-09T00:00:00"/>
    <d v="2025-10-23T00:00:00"/>
    <b v="0"/>
    <x v="9"/>
    <n v="10"/>
    <n v="8"/>
    <n v="18"/>
    <x v="0"/>
    <s v="LATE"/>
    <x v="0"/>
    <x v="0"/>
    <m/>
    <x v="0"/>
    <n v="-3"/>
    <x v="0"/>
    <m/>
    <m/>
    <s v="Closed"/>
    <x v="0"/>
    <s v="NA"/>
    <n v="18"/>
    <d v="2025-10-12T02:21:19"/>
    <n v="1"/>
    <m/>
  </r>
  <r>
    <x v="0"/>
    <s v="0050839092"/>
    <s v="002030"/>
    <s v="0050839092-002030"/>
    <x v="67"/>
    <x v="55"/>
    <m/>
    <s v="OAC"/>
    <s v="KGF"/>
    <x v="388"/>
    <x v="1"/>
    <x v="0"/>
    <s v="ANSI 49"/>
    <d v="2025-11-10T00:00:00"/>
    <n v="8"/>
    <d v="2025-10-01T00:00:00"/>
    <d v="2025-10-09T00:00:00"/>
    <d v="2025-10-10T00:00:00"/>
    <b v="0"/>
    <x v="10"/>
    <n v="10"/>
    <n v="7"/>
    <n v="8"/>
    <x v="6"/>
    <s v="LATE"/>
    <x v="0"/>
    <x v="1"/>
    <m/>
    <x v="0"/>
    <n v="1"/>
    <x v="1"/>
    <m/>
    <m/>
    <s v="Closed"/>
    <x v="1"/>
    <s v="NA"/>
    <n v="18"/>
    <d v="2025-10-12T02:21:19"/>
    <n v="1"/>
    <m/>
  </r>
  <r>
    <x v="0"/>
    <s v="0050839092"/>
    <s v="002030"/>
    <s v="0050839092-002030"/>
    <x v="67"/>
    <x v="55"/>
    <m/>
    <s v="OAC"/>
    <s v="KGF"/>
    <x v="389"/>
    <x v="1"/>
    <x v="0"/>
    <s v="ANSI 49"/>
    <d v="2025-11-10T00:00:00"/>
    <n v="8"/>
    <d v="2025-10-01T00:00:00"/>
    <d v="2025-10-09T00:00:00"/>
    <d v="2025-10-10T00:00:00"/>
    <b v="0"/>
    <x v="10"/>
    <n v="10"/>
    <n v="7"/>
    <n v="8"/>
    <x v="6"/>
    <s v="LATE"/>
    <x v="0"/>
    <x v="1"/>
    <m/>
    <x v="0"/>
    <n v="1"/>
    <x v="1"/>
    <m/>
    <m/>
    <s v="Closed"/>
    <x v="1"/>
    <s v="NA"/>
    <n v="18"/>
    <d v="2025-10-12T02:21:19"/>
    <n v="1"/>
    <m/>
  </r>
  <r>
    <x v="0"/>
    <s v="0050839092"/>
    <s v="002030"/>
    <s v="0050839092-002030"/>
    <x v="67"/>
    <x v="55"/>
    <m/>
    <s v="OAC"/>
    <s v="KGF"/>
    <x v="390"/>
    <x v="1"/>
    <x v="0"/>
    <s v="ANSI 49"/>
    <d v="2025-11-10T00:00:00"/>
    <n v="8"/>
    <d v="2025-10-01T00:00:00"/>
    <d v="2025-10-09T00:00:00"/>
    <d v="2025-10-10T00:00:00"/>
    <b v="0"/>
    <x v="10"/>
    <n v="10"/>
    <n v="7"/>
    <n v="8"/>
    <x v="6"/>
    <s v="LATE"/>
    <x v="0"/>
    <x v="1"/>
    <m/>
    <x v="0"/>
    <n v="1"/>
    <x v="1"/>
    <m/>
    <m/>
    <s v="Closed"/>
    <x v="1"/>
    <s v="NA"/>
    <n v="18"/>
    <d v="2025-10-12T02:21:19"/>
    <n v="1"/>
    <m/>
  </r>
  <r>
    <x v="0"/>
    <s v="0050839092"/>
    <s v="002030"/>
    <s v="0050839092-002030"/>
    <x v="67"/>
    <x v="55"/>
    <m/>
    <s v="OAC"/>
    <s v="KGF"/>
    <x v="391"/>
    <x v="1"/>
    <x v="1"/>
    <s v="ANSI 49"/>
    <d v="2025-11-10T00:00:00"/>
    <n v="8"/>
    <d v="2025-10-01T00:00:00"/>
    <d v="2025-10-13T00:00:00"/>
    <d v="2025-10-10T00:00:00"/>
    <b v="0"/>
    <x v="10"/>
    <n v="10"/>
    <n v="9"/>
    <n v="8"/>
    <x v="11"/>
    <s v="ON TIME"/>
    <x v="2"/>
    <x v="1"/>
    <m/>
    <x v="0"/>
    <n v="1"/>
    <x v="1"/>
    <m/>
    <m/>
    <s v="Closed"/>
    <x v="1"/>
    <s v="NA"/>
    <n v="17"/>
    <d v="2025-10-13T09:58:35"/>
    <n v="1"/>
    <m/>
  </r>
  <r>
    <x v="0"/>
    <s v="0050839092"/>
    <s v="002030"/>
    <s v="0050839092-002030"/>
    <x v="67"/>
    <x v="55"/>
    <m/>
    <s v="OAC"/>
    <s v="KGF"/>
    <x v="392"/>
    <x v="1"/>
    <x v="1"/>
    <s v="ANSI 49"/>
    <d v="2025-11-10T00:00:00"/>
    <n v="8"/>
    <d v="2025-10-01T00:00:00"/>
    <d v="2025-10-13T00:00:00"/>
    <d v="2025-10-11T00:00:00"/>
    <b v="0"/>
    <x v="10"/>
    <n v="10"/>
    <n v="9"/>
    <n v="8"/>
    <x v="11"/>
    <s v="ON TIME"/>
    <x v="2"/>
    <x v="1"/>
    <m/>
    <x v="0"/>
    <n v="1"/>
    <x v="1"/>
    <m/>
    <m/>
    <s v="Closed"/>
    <x v="1"/>
    <s v="NA"/>
    <n v="17"/>
    <d v="2025-10-13T09:58:35"/>
    <n v="1"/>
    <m/>
  </r>
  <r>
    <x v="0"/>
    <s v="0050839092"/>
    <s v="002030"/>
    <s v="0050839092-002030"/>
    <x v="67"/>
    <x v="55"/>
    <m/>
    <s v="OAC"/>
    <s v="KGF"/>
    <x v="393"/>
    <x v="1"/>
    <x v="1"/>
    <s v="ANSI 49"/>
    <d v="2025-11-10T00:00:00"/>
    <n v="8"/>
    <d v="2025-10-01T00:00:00"/>
    <d v="2025-10-13T00:00:00"/>
    <d v="2025-10-09T00:00:00"/>
    <b v="0"/>
    <x v="10"/>
    <n v="10"/>
    <n v="9"/>
    <n v="7"/>
    <x v="5"/>
    <s v="ON TIME"/>
    <x v="2"/>
    <x v="1"/>
    <m/>
    <x v="0"/>
    <n v="-2"/>
    <x v="0"/>
    <m/>
    <m/>
    <s v="Closed"/>
    <x v="0"/>
    <s v="NA"/>
    <n v="17"/>
    <d v="2025-10-13T09:58:35"/>
    <n v="1"/>
    <m/>
  </r>
  <r>
    <x v="0"/>
    <s v="0051378342"/>
    <s v="000010"/>
    <s v="0051378342-000010"/>
    <x v="66"/>
    <x v="54"/>
    <m/>
    <s v="DEV"/>
    <s v="VL"/>
    <x v="394"/>
    <x v="1"/>
    <x v="0"/>
    <s v="ANSI 49"/>
    <d v="2026-04-02T00:00:00"/>
    <n v="19"/>
    <d v="2025-10-01T00:00:00"/>
    <d v="2025-10-08T00:00:00"/>
    <d v="2025-10-14T00:00:00"/>
    <b v="0"/>
    <x v="10"/>
    <n v="10"/>
    <n v="6"/>
    <n v="10"/>
    <x v="1"/>
    <s v="LATE"/>
    <x v="0"/>
    <x v="0"/>
    <m/>
    <x v="0"/>
    <n v="-10"/>
    <x v="0"/>
    <m/>
    <m/>
    <s v="Closed"/>
    <x v="0"/>
    <s v="NA"/>
    <n v="18"/>
    <d v="2025-10-11T02:21:19"/>
    <n v="1"/>
    <m/>
  </r>
  <r>
    <x v="0"/>
    <s v="0050839092"/>
    <s v="002030"/>
    <s v="0050839092-002030"/>
    <x v="67"/>
    <x v="55"/>
    <m/>
    <s v="OAC"/>
    <s v="KGF"/>
    <x v="395"/>
    <x v="1"/>
    <x v="0"/>
    <s v="ANSI 49"/>
    <d v="2025-11-10T00:00:00"/>
    <n v="7"/>
    <d v="2025-10-02T00:00:00"/>
    <d v="2025-10-09T00:00:00"/>
    <d v="2025-10-07T00:00:00"/>
    <b v="0"/>
    <x v="10"/>
    <n v="10"/>
    <n v="6"/>
    <n v="4"/>
    <x v="5"/>
    <s v="ON TIME"/>
    <x v="2"/>
    <x v="1"/>
    <m/>
    <x v="0"/>
    <n v="-4"/>
    <x v="0"/>
    <m/>
    <m/>
    <s v="Closed"/>
    <x v="0"/>
    <s v="NA"/>
    <n v="18"/>
    <d v="2025-10-12T02:21:19"/>
    <n v="1"/>
    <m/>
  </r>
  <r>
    <x v="0"/>
    <s v="0050442535"/>
    <s v="000170"/>
    <s v="0050442535-000170"/>
    <x v="41"/>
    <x v="36"/>
    <m/>
    <s v="ATA"/>
    <s v="CML"/>
    <x v="396"/>
    <x v="1"/>
    <x v="0"/>
    <s v="ANSI 49"/>
    <d v="2026-01-13T00:00:00"/>
    <n v="10"/>
    <d v="2025-10-02T00:00:00"/>
    <d v="2025-10-09T00:00:00"/>
    <d v="2025-10-15T00:00:00"/>
    <b v="0"/>
    <x v="10"/>
    <n v="10"/>
    <n v="6"/>
    <n v="10"/>
    <x v="1"/>
    <s v="LATE"/>
    <x v="0"/>
    <x v="0"/>
    <m/>
    <x v="0"/>
    <n v="1"/>
    <x v="1"/>
    <m/>
    <m/>
    <s v="Closed"/>
    <x v="1"/>
    <s v="NA"/>
    <n v="18"/>
    <d v="2025-10-12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97"/>
    <x v="1"/>
    <x v="0"/>
    <s v="ANSI 49"/>
    <d v="2026-01-30T00:00:00"/>
    <n v="17"/>
    <d v="2025-10-02T00:00:00"/>
    <d v="2025-10-09T00:00:00"/>
    <d v="2025-10-21T00:00:00"/>
    <b v="0"/>
    <x v="10"/>
    <n v="10"/>
    <n v="6"/>
    <n v="14"/>
    <x v="7"/>
    <s v="LATE"/>
    <x v="0"/>
    <x v="0"/>
    <m/>
    <x v="0"/>
    <n v="-4"/>
    <x v="0"/>
    <m/>
    <m/>
    <s v="Closed"/>
    <x v="0"/>
    <s v="NA"/>
    <n v="18"/>
    <d v="2025-10-12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98"/>
    <x v="1"/>
    <x v="0"/>
    <s v="ANSI 49"/>
    <d v="2026-01-30T00:00:00"/>
    <n v="17"/>
    <d v="2025-10-02T00:00:00"/>
    <d v="2025-10-09T00:00:00"/>
    <d v="2025-10-21T00:00:00"/>
    <b v="0"/>
    <x v="10"/>
    <n v="10"/>
    <n v="6"/>
    <n v="14"/>
    <x v="7"/>
    <s v="LATE"/>
    <x v="0"/>
    <x v="0"/>
    <m/>
    <x v="0"/>
    <n v="-4"/>
    <x v="0"/>
    <m/>
    <m/>
    <s v="Closed"/>
    <x v="0"/>
    <s v="NA"/>
    <n v="18"/>
    <d v="2025-10-12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399"/>
    <x v="1"/>
    <x v="1"/>
    <s v="ANSI 49"/>
    <d v="2026-01-30T00:00:00"/>
    <n v="17"/>
    <d v="2025-10-02T00:00:00"/>
    <d v="2025-10-14T00:00:00"/>
    <d v="2025-10-13T00:00:00"/>
    <b v="0"/>
    <x v="10"/>
    <n v="10"/>
    <n v="9"/>
    <n v="8"/>
    <x v="11"/>
    <s v="ON TIME"/>
    <x v="2"/>
    <x v="0"/>
    <m/>
    <x v="0"/>
    <n v="-10"/>
    <x v="0"/>
    <m/>
    <m/>
    <s v="Closed"/>
    <x v="0"/>
    <s v="NA"/>
    <n v="17"/>
    <d v="2025-10-14T09:58:35"/>
    <n v="1"/>
    <m/>
  </r>
  <r>
    <x v="0"/>
    <s v="0051378342"/>
    <s v="000010"/>
    <s v="0051378342-000010"/>
    <x v="66"/>
    <x v="54"/>
    <m/>
    <s v="DEV"/>
    <s v="VL"/>
    <x v="400"/>
    <x v="1"/>
    <x v="0"/>
    <s v="ANSI 61"/>
    <d v="2026-04-02T00:00:00"/>
    <n v="18"/>
    <d v="2025-10-02T00:00:00"/>
    <d v="2025-10-09T00:00:00"/>
    <d v="2025-10-24T00:00:00"/>
    <b v="0"/>
    <x v="10"/>
    <n v="10"/>
    <n v="6"/>
    <n v="17"/>
    <x v="21"/>
    <s v="LATE"/>
    <x v="0"/>
    <x v="0"/>
    <m/>
    <x v="0"/>
    <n v="-2"/>
    <x v="0"/>
    <m/>
    <m/>
    <s v="Closed"/>
    <x v="0"/>
    <s v="NA"/>
    <n v="18"/>
    <d v="2025-10-12T02:21:19"/>
    <n v="1"/>
    <m/>
  </r>
  <r>
    <x v="0"/>
    <s v="0050839092"/>
    <s v="002030"/>
    <s v="0050839092-002030"/>
    <x v="67"/>
    <x v="55"/>
    <m/>
    <s v="OAC"/>
    <s v="KGF"/>
    <x v="401"/>
    <x v="1"/>
    <x v="0"/>
    <s v="ANSI 49"/>
    <d v="2025-11-10T00:00:00"/>
    <n v="6"/>
    <d v="2025-10-03T00:00:00"/>
    <d v="2025-10-10T00:00:00"/>
    <d v="2025-10-10T00:00:00"/>
    <b v="0"/>
    <x v="10"/>
    <n v="10"/>
    <n v="6"/>
    <n v="6"/>
    <x v="9"/>
    <s v="ON TIME"/>
    <x v="2"/>
    <x v="1"/>
    <m/>
    <x v="0"/>
    <n v="1"/>
    <x v="1"/>
    <m/>
    <m/>
    <s v="Closed"/>
    <x v="1"/>
    <s v="NA"/>
    <n v="18"/>
    <d v="2025-10-13T02:21:19"/>
    <n v="1"/>
    <m/>
  </r>
  <r>
    <x v="0"/>
    <s v="0050839092"/>
    <s v="002030"/>
    <s v="0050839092-002030"/>
    <x v="67"/>
    <x v="55"/>
    <m/>
    <s v="OAC"/>
    <s v="KGF"/>
    <x v="402"/>
    <x v="1"/>
    <x v="1"/>
    <s v="ANSI 49"/>
    <d v="2025-11-10T00:00:00"/>
    <n v="6"/>
    <d v="2025-10-03T00:00:00"/>
    <d v="2025-10-15T00:00:00"/>
    <d v="2025-10-11T00:00:00"/>
    <b v="0"/>
    <x v="10"/>
    <n v="10"/>
    <n v="9"/>
    <n v="6"/>
    <x v="16"/>
    <s v="ON TIME"/>
    <x v="2"/>
    <x v="1"/>
    <m/>
    <x v="0"/>
    <n v="1"/>
    <x v="1"/>
    <m/>
    <m/>
    <s v="Closed"/>
    <x v="1"/>
    <s v="NA"/>
    <n v="17"/>
    <d v="2025-10-15T09:58:35"/>
    <n v="1"/>
    <m/>
  </r>
  <r>
    <x v="0"/>
    <s v="0050442535"/>
    <s v="000170"/>
    <s v="0050442535-000170"/>
    <x v="41"/>
    <x v="36"/>
    <m/>
    <s v="ATA"/>
    <s v="CML"/>
    <x v="403"/>
    <x v="0"/>
    <x v="0"/>
    <s v="ANSI 49"/>
    <d v="2026-01-13T00:00:00"/>
    <n v="9"/>
    <d v="2025-10-03T00:00:00"/>
    <d v="2025-10-10T00:00:00"/>
    <d v="2025-10-13T00:00:00"/>
    <b v="0"/>
    <x v="10"/>
    <n v="10"/>
    <n v="6"/>
    <n v="7"/>
    <x v="6"/>
    <s v="LATE"/>
    <x v="0"/>
    <x v="1"/>
    <m/>
    <x v="0"/>
    <n v="-3"/>
    <x v="0"/>
    <m/>
    <m/>
    <s v="Closed"/>
    <x v="0"/>
    <s v="NA"/>
    <n v="18"/>
    <d v="2025-10-13T02:21:19"/>
    <n v="1"/>
    <m/>
  </r>
  <r>
    <x v="0"/>
    <s v="0051442285"/>
    <s v="000070"/>
    <s v="0051442285-000070"/>
    <x v="63"/>
    <x v="36"/>
    <m/>
    <s v="DEV"/>
    <s v="KGF"/>
    <x v="404"/>
    <x v="0"/>
    <x v="1"/>
    <s v="RAL9003"/>
    <d v="2025-12-17T00:00:00"/>
    <n v="9"/>
    <d v="2025-10-03T00:00:00"/>
    <d v="2025-10-16T00:00:00"/>
    <d v="2025-10-14T00:00:00"/>
    <b v="0"/>
    <x v="10"/>
    <n v="10"/>
    <n v="10"/>
    <n v="8"/>
    <x v="5"/>
    <s v="ON TIME"/>
    <x v="2"/>
    <x v="1"/>
    <m/>
    <x v="0"/>
    <n v="-2"/>
    <x v="0"/>
    <m/>
    <m/>
    <s v="Closed"/>
    <x v="0"/>
    <s v="NA"/>
    <n v="17"/>
    <d v="2025-10-16T09:58:35"/>
    <n v="1"/>
    <m/>
  </r>
  <r>
    <x v="0"/>
    <s v="051576246"/>
    <s v="000020&amp;30&amp;40&amp;50&amp;60"/>
    <s v="051576246-000020&amp;30&amp;40&amp;50&amp;60"/>
    <x v="64"/>
    <x v="46"/>
    <m/>
    <s v="JAM"/>
    <s v="IGS"/>
    <x v="405"/>
    <x v="1"/>
    <x v="0"/>
    <s v="ANSI 49"/>
    <d v="2026-01-08T00:00:00"/>
    <n v="16"/>
    <d v="2025-10-03T00:00:00"/>
    <d v="2025-10-10T00:00:00"/>
    <d v="2025-10-23T00:00:00"/>
    <b v="0"/>
    <x v="10"/>
    <n v="10"/>
    <n v="6"/>
    <n v="15"/>
    <x v="17"/>
    <s v="LATE"/>
    <x v="0"/>
    <x v="0"/>
    <m/>
    <x v="0"/>
    <n v="-2"/>
    <x v="0"/>
    <m/>
    <m/>
    <s v="Closed"/>
    <x v="0"/>
    <s v="NA"/>
    <n v="18"/>
    <d v="2025-10-13T02:21:19"/>
    <n v="1"/>
    <m/>
  </r>
  <r>
    <x v="0"/>
    <s v="051576246"/>
    <s v="000020&amp;30&amp;40&amp;50&amp;60"/>
    <s v="051576246-000020&amp;30&amp;40&amp;50&amp;60"/>
    <x v="64"/>
    <x v="46"/>
    <m/>
    <s v="JAM"/>
    <s v="IGS"/>
    <x v="406"/>
    <x v="1"/>
    <x v="1"/>
    <s v="ANSI 49"/>
    <d v="2026-01-08T00:00:00"/>
    <n v="16"/>
    <d v="2025-10-03T00:00:00"/>
    <d v="2025-10-15T00:00:00"/>
    <d v="2025-10-07T00:00:00"/>
    <b v="0"/>
    <x v="10"/>
    <n v="10"/>
    <n v="9"/>
    <n v="3"/>
    <x v="24"/>
    <s v="ON TIME"/>
    <x v="2"/>
    <x v="0"/>
    <m/>
    <x v="1"/>
    <n v="-14"/>
    <x v="0"/>
    <m/>
    <s v="WF ACTIVE IN OTHER WF"/>
    <s v="Cancelled"/>
    <x v="0"/>
    <s v="NA"/>
    <n v="0"/>
    <d v="2025-10-15T09:58:35"/>
    <n v="0"/>
    <m/>
  </r>
  <r>
    <x v="0"/>
    <s v="051576246"/>
    <s v="000020&amp;30&amp;40&amp;50&amp;60"/>
    <s v="051576246-000020&amp;30&amp;40&amp;50&amp;60"/>
    <x v="64"/>
    <x v="46"/>
    <m/>
    <s v="JAM"/>
    <s v="IGS"/>
    <x v="407"/>
    <x v="1"/>
    <x v="1"/>
    <s v="ANSI 49"/>
    <d v="2026-01-08T00:00:00"/>
    <n v="16"/>
    <d v="2025-10-03T00:00:00"/>
    <d v="2025-10-15T00:00:00"/>
    <d v="2025-10-11T00:00:00"/>
    <b v="0"/>
    <x v="10"/>
    <n v="10"/>
    <n v="9"/>
    <n v="6"/>
    <x v="16"/>
    <s v="ON TIME"/>
    <x v="2"/>
    <x v="0"/>
    <m/>
    <x v="0"/>
    <n v="-10"/>
    <x v="0"/>
    <m/>
    <m/>
    <s v="Closed"/>
    <x v="0"/>
    <s v="NA"/>
    <n v="17"/>
    <d v="2025-10-15T09:58:35"/>
    <n v="1"/>
    <m/>
  </r>
  <r>
    <x v="0"/>
    <s v="051576246"/>
    <s v="000020&amp;30&amp;40&amp;50&amp;60"/>
    <s v="051576246-000020&amp;30&amp;40&amp;50&amp;60"/>
    <x v="64"/>
    <x v="46"/>
    <m/>
    <s v="JAM"/>
    <s v="IGS"/>
    <x v="408"/>
    <x v="1"/>
    <x v="0"/>
    <s v="ANSI 49"/>
    <d v="2026-01-08T00:00:00"/>
    <n v="16"/>
    <d v="2025-10-03T00:00:00"/>
    <d v="2025-10-15T00:00:00"/>
    <d v="2025-10-21T00:00:00"/>
    <b v="0"/>
    <x v="10"/>
    <n v="10"/>
    <n v="9"/>
    <n v="13"/>
    <x v="1"/>
    <s v="LATE"/>
    <x v="0"/>
    <x v="0"/>
    <m/>
    <x v="0"/>
    <n v="-4"/>
    <x v="0"/>
    <m/>
    <m/>
    <s v="Closed"/>
    <x v="0"/>
    <s v="NA"/>
    <n v="18"/>
    <d v="2025-10-18T02:21:19"/>
    <n v="1"/>
    <m/>
  </r>
  <r>
    <x v="0"/>
    <s v="0051378342"/>
    <s v="000010"/>
    <s v="0051378342-000010"/>
    <x v="66"/>
    <x v="54"/>
    <m/>
    <s v="DEV"/>
    <s v="VL"/>
    <x v="409"/>
    <x v="0"/>
    <x v="1"/>
    <s v="ANSI 49"/>
    <d v="2026-04-02T00:00:00"/>
    <n v="17"/>
    <d v="2025-10-03T00:00:00"/>
    <d v="2025-10-10T00:00:00"/>
    <d v="2025-10-16T00:00:00"/>
    <b v="0"/>
    <x v="10"/>
    <n v="10"/>
    <n v="6"/>
    <n v="10"/>
    <x v="1"/>
    <s v="LATE"/>
    <x v="0"/>
    <x v="0"/>
    <m/>
    <x v="0"/>
    <n v="-8"/>
    <x v="0"/>
    <m/>
    <m/>
    <s v="Closed"/>
    <x v="0"/>
    <s v="NA"/>
    <n v="17"/>
    <d v="2025-10-10T09:58:35"/>
    <n v="1"/>
    <m/>
  </r>
  <r>
    <x v="0"/>
    <s v="0051378342"/>
    <s v="000010"/>
    <s v="0051378342-000010"/>
    <x v="66"/>
    <x v="54"/>
    <m/>
    <s v="DEV"/>
    <s v="VL"/>
    <x v="410"/>
    <x v="1"/>
    <x v="0"/>
    <s v="ANSI 61"/>
    <d v="2026-04-02T00:00:00"/>
    <n v="17"/>
    <d v="2025-10-03T00:00:00"/>
    <d v="2025-10-10T00:00:00"/>
    <d v="2025-10-21T00:00:00"/>
    <b v="0"/>
    <x v="10"/>
    <n v="10"/>
    <n v="6"/>
    <n v="13"/>
    <x v="13"/>
    <s v="LATE"/>
    <x v="0"/>
    <x v="0"/>
    <m/>
    <x v="0"/>
    <n v="-5"/>
    <x v="0"/>
    <m/>
    <m/>
    <s v="Closed"/>
    <x v="0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1"/>
    <x v="0"/>
    <x v="0"/>
    <s v="ANSI 61"/>
    <d v="2026-04-02T00:00:00"/>
    <n v="17"/>
    <d v="2025-10-03T00:00:00"/>
    <d v="2025-10-10T00:00:00"/>
    <d v="2025-10-21T00:00:00"/>
    <b v="0"/>
    <x v="10"/>
    <n v="10"/>
    <n v="6"/>
    <n v="13"/>
    <x v="13"/>
    <s v="LATE"/>
    <x v="0"/>
    <x v="0"/>
    <m/>
    <x v="0"/>
    <n v="-5"/>
    <x v="0"/>
    <m/>
    <m/>
    <s v="Closed"/>
    <x v="0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2"/>
    <x v="0"/>
    <x v="0"/>
    <s v="ANSI 61"/>
    <d v="2026-04-02T00:00:00"/>
    <n v="17"/>
    <d v="2025-10-03T00:00:00"/>
    <d v="2025-10-10T00:00:00"/>
    <d v="2025-10-28T00:00:00"/>
    <b v="0"/>
    <x v="10"/>
    <n v="10"/>
    <n v="6"/>
    <n v="18"/>
    <x v="26"/>
    <s v="LATE"/>
    <x v="0"/>
    <x v="0"/>
    <m/>
    <x v="0"/>
    <n v="2"/>
    <x v="1"/>
    <m/>
    <m/>
    <s v="Closed"/>
    <x v="1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3"/>
    <x v="1"/>
    <x v="0"/>
    <s v="ANSI 61"/>
    <d v="2026-04-02T00:00:00"/>
    <n v="17"/>
    <d v="2025-10-03T00:00:00"/>
    <d v="2025-10-10T00:00:00"/>
    <d v="2025-10-27T00:00:00"/>
    <b v="0"/>
    <x v="10"/>
    <n v="10"/>
    <n v="6"/>
    <n v="17"/>
    <x v="21"/>
    <s v="LATE"/>
    <x v="0"/>
    <x v="0"/>
    <m/>
    <x v="0"/>
    <n v="1"/>
    <x v="1"/>
    <m/>
    <m/>
    <s v="Closed"/>
    <x v="1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4"/>
    <x v="0"/>
    <x v="0"/>
    <s v="ANSI 61"/>
    <d v="2026-04-02T00:00:00"/>
    <n v="17"/>
    <d v="2025-10-03T00:00:00"/>
    <d v="2025-10-10T00:00:00"/>
    <d v="2025-10-28T00:00:00"/>
    <b v="0"/>
    <x v="10"/>
    <n v="10"/>
    <n v="6"/>
    <n v="18"/>
    <x v="26"/>
    <s v="LATE"/>
    <x v="0"/>
    <x v="0"/>
    <m/>
    <x v="0"/>
    <n v="2"/>
    <x v="1"/>
    <m/>
    <m/>
    <s v="Closed"/>
    <x v="1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5"/>
    <x v="0"/>
    <x v="0"/>
    <s v="ANSI 61"/>
    <d v="2026-04-02T00:00:00"/>
    <n v="17"/>
    <d v="2025-10-03T00:00:00"/>
    <d v="2025-10-10T00:00:00"/>
    <d v="2025-10-27T00:00:00"/>
    <b v="0"/>
    <x v="10"/>
    <n v="10"/>
    <n v="6"/>
    <n v="17"/>
    <x v="21"/>
    <s v="LATE"/>
    <x v="0"/>
    <x v="0"/>
    <m/>
    <x v="0"/>
    <n v="1"/>
    <x v="1"/>
    <m/>
    <m/>
    <s v="Closed"/>
    <x v="1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6"/>
    <x v="0"/>
    <x v="0"/>
    <s v="ANSI 61"/>
    <d v="2026-04-02T00:00:00"/>
    <n v="17"/>
    <d v="2025-10-03T00:00:00"/>
    <d v="2025-10-10T00:00:00"/>
    <d v="2025-10-28T00:00:00"/>
    <b v="0"/>
    <x v="10"/>
    <n v="10"/>
    <n v="6"/>
    <n v="18"/>
    <x v="26"/>
    <s v="LATE"/>
    <x v="0"/>
    <x v="0"/>
    <m/>
    <x v="0"/>
    <n v="2"/>
    <x v="1"/>
    <m/>
    <m/>
    <s v="Closed"/>
    <x v="1"/>
    <s v="NA"/>
    <n v="18"/>
    <d v="2025-10-13T02:21:19"/>
    <n v="1"/>
    <m/>
  </r>
  <r>
    <x v="0"/>
    <s v="0051378342"/>
    <s v="000010"/>
    <s v="0051378342-000010"/>
    <x v="66"/>
    <x v="54"/>
    <m/>
    <s v="DEV"/>
    <s v="VL"/>
    <x v="417"/>
    <x v="0"/>
    <x v="0"/>
    <s v="ANSI 61"/>
    <d v="2026-04-02T00:00:00"/>
    <n v="17"/>
    <d v="2025-10-03T00:00:00"/>
    <d v="2025-10-13T00:00:00"/>
    <d v="2025-10-21T00:00:00"/>
    <b v="0"/>
    <x v="10"/>
    <n v="10"/>
    <n v="7"/>
    <n v="13"/>
    <x v="8"/>
    <s v="LATE"/>
    <x v="0"/>
    <x v="0"/>
    <m/>
    <x v="0"/>
    <n v="-5"/>
    <x v="0"/>
    <m/>
    <m/>
    <s v="Closed"/>
    <x v="0"/>
    <s v="NA"/>
    <n v="18"/>
    <d v="2025-10-16T02:21:19"/>
    <n v="1"/>
    <m/>
  </r>
  <r>
    <x v="0"/>
    <s v="0051378342"/>
    <s v="000010"/>
    <s v="0051378342-000010"/>
    <x v="66"/>
    <x v="54"/>
    <m/>
    <s v="DEV"/>
    <s v="VL"/>
    <x v="418"/>
    <x v="0"/>
    <x v="0"/>
    <s v="ANSI 61"/>
    <d v="2026-04-02T00:00:00"/>
    <n v="17"/>
    <d v="2025-10-03T00:00:00"/>
    <d v="2025-10-13T00:00:00"/>
    <d v="2025-10-24T00:00:00"/>
    <b v="0"/>
    <x v="10"/>
    <n v="10"/>
    <n v="7"/>
    <n v="16"/>
    <x v="17"/>
    <s v="LATE"/>
    <x v="0"/>
    <x v="0"/>
    <m/>
    <x v="0"/>
    <n v="-2"/>
    <x v="0"/>
    <m/>
    <m/>
    <s v="Closed"/>
    <x v="0"/>
    <s v="NA"/>
    <n v="18"/>
    <d v="2025-10-16T02:21:19"/>
    <n v="1"/>
    <m/>
  </r>
  <r>
    <x v="0"/>
    <s v="0051378342"/>
    <s v="000010"/>
    <s v="0051378342-000010"/>
    <x v="66"/>
    <x v="54"/>
    <m/>
    <s v="DEV"/>
    <s v="VL"/>
    <x v="419"/>
    <x v="0"/>
    <x v="0"/>
    <s v="ANSI 61"/>
    <d v="2026-04-02T00:00:00"/>
    <n v="17"/>
    <d v="2025-10-03T00:00:00"/>
    <d v="2025-10-13T00:00:00"/>
    <d v="2025-10-28T00:00:00"/>
    <b v="0"/>
    <x v="10"/>
    <n v="10"/>
    <n v="7"/>
    <n v="18"/>
    <x v="21"/>
    <s v="LATE"/>
    <x v="0"/>
    <x v="0"/>
    <m/>
    <x v="0"/>
    <n v="2"/>
    <x v="1"/>
    <m/>
    <m/>
    <s v="Closed"/>
    <x v="1"/>
    <s v="NA"/>
    <n v="18"/>
    <d v="2025-10-16T02:21:19"/>
    <n v="1"/>
    <m/>
  </r>
  <r>
    <x v="0"/>
    <s v="0051378342"/>
    <s v="000010"/>
    <s v="0051378342-000010"/>
    <x v="66"/>
    <x v="54"/>
    <m/>
    <s v="DEV"/>
    <s v="VL"/>
    <x v="420"/>
    <x v="0"/>
    <x v="0"/>
    <s v="ANSI 61"/>
    <d v="2026-04-02T00:00:00"/>
    <n v="17"/>
    <d v="2025-10-03T00:00:00"/>
    <d v="2025-10-13T00:00:00"/>
    <d v="2025-10-28T00:00:00"/>
    <b v="0"/>
    <x v="10"/>
    <n v="10"/>
    <n v="7"/>
    <n v="18"/>
    <x v="21"/>
    <s v="LATE"/>
    <x v="0"/>
    <x v="0"/>
    <m/>
    <x v="0"/>
    <n v="2"/>
    <x v="1"/>
    <m/>
    <m/>
    <s v="Closed"/>
    <x v="1"/>
    <s v="NA"/>
    <n v="18"/>
    <d v="2025-10-16T02:21:19"/>
    <n v="1"/>
    <m/>
  </r>
  <r>
    <x v="0"/>
    <s v="0051378342"/>
    <s v="000010"/>
    <s v="0051378342-000010"/>
    <x v="66"/>
    <x v="54"/>
    <m/>
    <s v="DEV"/>
    <s v="VL"/>
    <x v="421"/>
    <x v="1"/>
    <x v="1"/>
    <s v="ANSI 61"/>
    <d v="2026-04-02T00:00:00"/>
    <n v="17"/>
    <d v="2025-10-03T00:00:00"/>
    <d v="2025-10-15T00:00:00"/>
    <d v="2025-10-21T00:00:00"/>
    <b v="0"/>
    <x v="10"/>
    <n v="10"/>
    <n v="9"/>
    <n v="13"/>
    <x v="1"/>
    <s v="LATE"/>
    <x v="0"/>
    <x v="0"/>
    <m/>
    <x v="0"/>
    <n v="-5"/>
    <x v="0"/>
    <m/>
    <m/>
    <s v="Closed"/>
    <x v="0"/>
    <s v="NA"/>
    <n v="17"/>
    <d v="2025-10-15T09:58:35"/>
    <n v="1"/>
    <m/>
  </r>
  <r>
    <x v="0"/>
    <s v="051576246"/>
    <s v="000020&amp;30&amp;40&amp;50&amp;60"/>
    <s v="051576246-000020&amp;30&amp;40&amp;50&amp;60"/>
    <x v="64"/>
    <x v="46"/>
    <m/>
    <s v="JAM"/>
    <s v="IGS"/>
    <x v="422"/>
    <x v="1"/>
    <x v="0"/>
    <s v="ANSI 49"/>
    <d v="2026-01-08T00:00:00"/>
    <n v="14"/>
    <d v="2025-10-07T00:00:00"/>
    <d v="2025-10-14T00:00:00"/>
    <d v="2025-10-20T00:00:00"/>
    <b v="0"/>
    <x v="10"/>
    <n v="10"/>
    <n v="6"/>
    <n v="10"/>
    <x v="1"/>
    <s v="LATE"/>
    <x v="0"/>
    <x v="0"/>
    <m/>
    <x v="0"/>
    <n v="-5"/>
    <x v="0"/>
    <m/>
    <m/>
    <s v="Closed"/>
    <x v="0"/>
    <s v="NA"/>
    <n v="18"/>
    <d v="2025-10-17T02:21:19"/>
    <n v="1"/>
    <m/>
  </r>
  <r>
    <x v="0"/>
    <s v="0051378342"/>
    <s v="000010"/>
    <s v="0051378342-000010"/>
    <x v="66"/>
    <x v="54"/>
    <m/>
    <s v="DEV"/>
    <s v="VL"/>
    <x v="423"/>
    <x v="0"/>
    <x v="0"/>
    <s v="ANSI 61"/>
    <d v="2026-04-02T00:00:00"/>
    <n v="15"/>
    <d v="2025-10-07T00:00:00"/>
    <d v="2025-10-15T00:00:00"/>
    <d v="2025-10-21T00:00:00"/>
    <b v="0"/>
    <x v="10"/>
    <n v="10"/>
    <n v="7"/>
    <n v="11"/>
    <x v="1"/>
    <s v="LATE"/>
    <x v="0"/>
    <x v="0"/>
    <m/>
    <x v="0"/>
    <n v="-5"/>
    <x v="0"/>
    <m/>
    <m/>
    <s v="Closed"/>
    <x v="0"/>
    <s v="NA"/>
    <n v="18"/>
    <d v="2025-10-18T02:21:19"/>
    <n v="1"/>
    <m/>
  </r>
  <r>
    <x v="0"/>
    <s v="0050442535"/>
    <s v="000170"/>
    <s v="0050442535-000170"/>
    <x v="41"/>
    <x v="36"/>
    <m/>
    <s v="ATA"/>
    <s v="CML"/>
    <x v="424"/>
    <x v="1"/>
    <x v="1"/>
    <s v="ANSI 49"/>
    <d v="2026-01-13T00:00:00"/>
    <n v="6"/>
    <d v="2025-10-08T00:00:00"/>
    <d v="2025-10-20T00:00:00"/>
    <d v="2025-10-15T00:00:00"/>
    <b v="0"/>
    <x v="10"/>
    <n v="10"/>
    <n v="9"/>
    <n v="6"/>
    <x v="16"/>
    <s v="ON TIME"/>
    <x v="2"/>
    <x v="1"/>
    <m/>
    <x v="0"/>
    <n v="1"/>
    <x v="1"/>
    <m/>
    <m/>
    <s v="Closed"/>
    <x v="1"/>
    <s v="NA"/>
    <n v="17"/>
    <d v="2025-10-20T09:58:35"/>
    <n v="1"/>
    <m/>
  </r>
  <r>
    <x v="0"/>
    <s v="0051378342"/>
    <s v="000010"/>
    <s v="0051378342-000010"/>
    <x v="66"/>
    <x v="54"/>
    <m/>
    <s v="DEV"/>
    <s v="VL"/>
    <x v="425"/>
    <x v="0"/>
    <x v="0"/>
    <s v="ANSI 61"/>
    <d v="2026-04-02T00:00:00"/>
    <n v="14"/>
    <d v="2025-10-08T00:00:00"/>
    <d v="2025-10-16T00:00:00"/>
    <d v="2025-10-28T00:00:00"/>
    <b v="0"/>
    <x v="10"/>
    <n v="10"/>
    <n v="7"/>
    <n v="15"/>
    <x v="7"/>
    <s v="LATE"/>
    <x v="0"/>
    <x v="0"/>
    <m/>
    <x v="0"/>
    <n v="2"/>
    <x v="1"/>
    <m/>
    <m/>
    <s v="Closed"/>
    <x v="1"/>
    <s v="NA"/>
    <n v="18"/>
    <d v="2025-10-19T02:21:19"/>
    <n v="1"/>
    <m/>
  </r>
  <r>
    <x v="0"/>
    <s v="0051378342"/>
    <s v="000010"/>
    <s v="0051378342-000010"/>
    <x v="66"/>
    <x v="54"/>
    <m/>
    <s v="DEV"/>
    <s v="VL"/>
    <x v="426"/>
    <x v="0"/>
    <x v="1"/>
    <s v="ANSI 61"/>
    <d v="2026-04-02T00:00:00"/>
    <n v="14"/>
    <d v="2025-10-08T00:00:00"/>
    <d v="2025-10-20T00:00:00"/>
    <d v="2025-10-24T00:00:00"/>
    <b v="0"/>
    <x v="10"/>
    <n v="10"/>
    <n v="9"/>
    <n v="13"/>
    <x v="1"/>
    <s v="LATE"/>
    <x v="0"/>
    <x v="0"/>
    <m/>
    <x v="0"/>
    <n v="-2"/>
    <x v="0"/>
    <m/>
    <m/>
    <s v="Closed"/>
    <x v="0"/>
    <s v="NA"/>
    <n v="17"/>
    <d v="2025-10-20T09:58:35"/>
    <n v="1"/>
    <m/>
  </r>
  <r>
    <x v="0"/>
    <s v="0051378342"/>
    <s v="000010"/>
    <s v="0051378342-000010"/>
    <x v="66"/>
    <x v="54"/>
    <m/>
    <s v="DEV"/>
    <s v="VL"/>
    <x v="427"/>
    <x v="0"/>
    <x v="1"/>
    <s v="ANSI 61"/>
    <d v="2026-04-02T00:00:00"/>
    <n v="14"/>
    <d v="2025-10-08T00:00:00"/>
    <d v="2025-10-20T00:00:00"/>
    <d v="2025-10-24T00:00:00"/>
    <b v="0"/>
    <x v="10"/>
    <n v="10"/>
    <n v="9"/>
    <n v="13"/>
    <x v="1"/>
    <s v="LATE"/>
    <x v="0"/>
    <x v="0"/>
    <m/>
    <x v="0"/>
    <n v="-2"/>
    <x v="0"/>
    <m/>
    <m/>
    <s v="Closed"/>
    <x v="0"/>
    <s v="NA"/>
    <n v="17"/>
    <d v="2025-10-20T09:58:35"/>
    <n v="1"/>
    <m/>
  </r>
  <r>
    <x v="0"/>
    <s v="0051378345"/>
    <s v="000010"/>
    <s v="0051378345-000010"/>
    <x v="58"/>
    <x v="46"/>
    <m/>
    <s v="HMA"/>
    <s v="OAL"/>
    <x v="428"/>
    <x v="1"/>
    <x v="0"/>
    <s v="ANSI 61"/>
    <d v="2026-03-04T00:00:00"/>
    <n v="12"/>
    <d v="2025-10-09T00:00:00"/>
    <d v="2025-10-16T00:00:00"/>
    <d v="2025-10-27T00:00:00"/>
    <b v="0"/>
    <x v="10"/>
    <n v="10"/>
    <n v="6"/>
    <n v="13"/>
    <x v="13"/>
    <s v="LATE"/>
    <x v="0"/>
    <x v="0"/>
    <m/>
    <x v="0"/>
    <n v="2"/>
    <x v="1"/>
    <m/>
    <m/>
    <s v="Closed"/>
    <x v="1"/>
    <s v="NA"/>
    <n v="18"/>
    <d v="2025-10-19T02:21:19"/>
    <n v="1"/>
    <m/>
  </r>
  <r>
    <x v="0"/>
    <s v="0051378345"/>
    <s v="000010"/>
    <s v="0051378345-000010"/>
    <x v="58"/>
    <x v="46"/>
    <m/>
    <s v="HMA"/>
    <s v="OAL"/>
    <x v="429"/>
    <x v="1"/>
    <x v="0"/>
    <s v="ANSI 61"/>
    <d v="2026-03-04T00:00:00"/>
    <n v="12"/>
    <d v="2025-10-09T00:00:00"/>
    <d v="2025-10-16T00:00:00"/>
    <d v="2025-10-24T00:00:00"/>
    <b v="0"/>
    <x v="10"/>
    <n v="10"/>
    <n v="6"/>
    <n v="12"/>
    <x v="8"/>
    <s v="LATE"/>
    <x v="0"/>
    <x v="0"/>
    <m/>
    <x v="0"/>
    <n v="1"/>
    <x v="1"/>
    <m/>
    <m/>
    <s v="Closed"/>
    <x v="1"/>
    <s v="NA"/>
    <n v="18"/>
    <d v="2025-10-19T02:21:19"/>
    <n v="1"/>
    <m/>
  </r>
  <r>
    <x v="0"/>
    <s v="0051378345"/>
    <s v="000010"/>
    <s v="0051378345-000010"/>
    <x v="58"/>
    <x v="46"/>
    <m/>
    <s v="HMA"/>
    <s v="OAL"/>
    <x v="430"/>
    <x v="1"/>
    <x v="0"/>
    <s v="ANSI 61"/>
    <d v="2026-03-04T00:00:00"/>
    <n v="12"/>
    <d v="2025-10-09T00:00:00"/>
    <d v="2025-10-16T00:00:00"/>
    <d v="2025-10-23T00:00:00"/>
    <b v="0"/>
    <x v="10"/>
    <n v="10"/>
    <n v="6"/>
    <n v="11"/>
    <x v="3"/>
    <s v="LATE"/>
    <x v="0"/>
    <x v="0"/>
    <m/>
    <x v="0"/>
    <n v="-2"/>
    <x v="0"/>
    <m/>
    <m/>
    <s v="Closed"/>
    <x v="0"/>
    <s v="NA"/>
    <n v="18"/>
    <d v="2025-10-19T02:21:19"/>
    <n v="1"/>
    <m/>
  </r>
  <r>
    <x v="0"/>
    <s v="051576246"/>
    <s v="000020&amp;30&amp;40&amp;50&amp;60"/>
    <s v="051576246-000020&amp;30&amp;40&amp;50&amp;60"/>
    <x v="64"/>
    <x v="46"/>
    <m/>
    <s v="JAM"/>
    <s v="IGS"/>
    <x v="431"/>
    <x v="0"/>
    <x v="0"/>
    <s v="ANSI 49"/>
    <d v="2026-01-08T00:00:00"/>
    <n v="12"/>
    <d v="2025-10-09T00:00:00"/>
    <d v="2025-10-17T00:00:00"/>
    <d v="2025-10-24T00:00:00"/>
    <b v="0"/>
    <x v="10"/>
    <n v="10"/>
    <n v="7"/>
    <n v="12"/>
    <x v="3"/>
    <s v="LATE"/>
    <x v="0"/>
    <x v="0"/>
    <m/>
    <x v="0"/>
    <n v="1"/>
    <x v="1"/>
    <m/>
    <m/>
    <s v="Closed"/>
    <x v="1"/>
    <s v="NA"/>
    <n v="18"/>
    <d v="2025-10-20T02:21:19"/>
    <n v="1"/>
    <m/>
  </r>
  <r>
    <x v="0"/>
    <s v="051576246"/>
    <s v="000020&amp;30&amp;40&amp;50&amp;60"/>
    <s v="051576246-000020&amp;30&amp;40&amp;50&amp;60"/>
    <x v="64"/>
    <x v="46"/>
    <m/>
    <s v="JAM"/>
    <s v="IGS"/>
    <x v="432"/>
    <x v="0"/>
    <x v="0"/>
    <s v="ANSI 49"/>
    <d v="2026-01-08T00:00:00"/>
    <n v="12"/>
    <d v="2025-10-09T00:00:00"/>
    <d v="2025-10-17T00:00:00"/>
    <d v="2025-10-17T00:00:00"/>
    <b v="0"/>
    <x v="10"/>
    <n v="10"/>
    <n v="7"/>
    <n v="7"/>
    <x v="9"/>
    <s v="ON TIME"/>
    <x v="2"/>
    <x v="0"/>
    <m/>
    <x v="0"/>
    <n v="-6"/>
    <x v="0"/>
    <m/>
    <m/>
    <s v="Closed"/>
    <x v="0"/>
    <s v="NA"/>
    <n v="18"/>
    <d v="2025-10-20T02:21:19"/>
    <n v="1"/>
    <m/>
  </r>
  <r>
    <x v="0"/>
    <s v="0051378345"/>
    <s v="000010"/>
    <s v="0051378345-000010"/>
    <x v="58"/>
    <x v="46"/>
    <m/>
    <s v="HMA"/>
    <s v="OAL"/>
    <x v="433"/>
    <x v="1"/>
    <x v="1"/>
    <s v="ANSI 61"/>
    <d v="2026-03-04T00:00:00"/>
    <n v="12"/>
    <d v="2025-10-09T00:00:00"/>
    <d v="2025-10-21T00:00:00"/>
    <d v="2025-10-21T00:00:00"/>
    <b v="0"/>
    <x v="10"/>
    <n v="10"/>
    <n v="9"/>
    <n v="9"/>
    <x v="9"/>
    <s v="ON TIME"/>
    <x v="2"/>
    <x v="0"/>
    <m/>
    <x v="0"/>
    <n v="-4"/>
    <x v="0"/>
    <m/>
    <m/>
    <s v="Closed"/>
    <x v="0"/>
    <s v="NA"/>
    <n v="17"/>
    <d v="2025-10-21T09:58:35"/>
    <n v="1"/>
    <m/>
  </r>
  <r>
    <x v="0"/>
    <s v="0051378342"/>
    <s v="000010"/>
    <s v="0051378342-000010"/>
    <x v="66"/>
    <x v="54"/>
    <m/>
    <s v="DEV"/>
    <s v="VL"/>
    <x v="434"/>
    <x v="1"/>
    <x v="1"/>
    <s v="ANSI 49"/>
    <d v="2026-04-02T00:00:00"/>
    <n v="13"/>
    <d v="2025-10-09T00:00:00"/>
    <d v="2025-10-21T00:00:00"/>
    <d v="2025-10-17T00:00:00"/>
    <b v="0"/>
    <x v="10"/>
    <n v="10"/>
    <n v="9"/>
    <n v="7"/>
    <x v="5"/>
    <s v="ON TIME"/>
    <x v="2"/>
    <x v="0"/>
    <m/>
    <x v="0"/>
    <n v="-7"/>
    <x v="0"/>
    <m/>
    <m/>
    <s v="Closed"/>
    <x v="0"/>
    <s v="NA"/>
    <n v="17"/>
    <d v="2025-10-21T09:58:35"/>
    <n v="1"/>
    <m/>
  </r>
  <r>
    <x v="0"/>
    <s v="0051378345"/>
    <s v="000010"/>
    <s v="0051378345-000010"/>
    <x v="58"/>
    <x v="46"/>
    <m/>
    <s v="HMA"/>
    <s v="OAL"/>
    <x v="435"/>
    <x v="1"/>
    <x v="0"/>
    <s v="ANSI 61"/>
    <d v="2026-03-04T00:00:00"/>
    <n v="11"/>
    <d v="2025-10-10T00:00:00"/>
    <d v="2025-10-17T00:00:00"/>
    <d v="2025-10-23T00:00:00"/>
    <b v="0"/>
    <x v="10"/>
    <n v="10"/>
    <n v="6"/>
    <n v="10"/>
    <x v="1"/>
    <s v="LATE"/>
    <x v="0"/>
    <x v="0"/>
    <m/>
    <x v="0"/>
    <n v="-2"/>
    <x v="0"/>
    <m/>
    <m/>
    <s v="Closed"/>
    <x v="0"/>
    <s v="NA"/>
    <n v="18"/>
    <d v="2025-10-20T02:21:19"/>
    <n v="1"/>
    <m/>
  </r>
  <r>
    <x v="0"/>
    <s v="0051306085"/>
    <s v="000310"/>
    <s v="0051306085-000310"/>
    <x v="32"/>
    <x v="48"/>
    <m/>
    <s v="HMA"/>
    <s v="IGS"/>
    <x v="436"/>
    <x v="1"/>
    <x v="0"/>
    <s v="ANSI 49"/>
    <d v="2025-05-12T00:00:00"/>
    <n v="-24"/>
    <d v="2025-10-13T00:00:00"/>
    <d v="2025-10-21T00:00:00"/>
    <d v="2025-10-16T00:00:00"/>
    <b v="0"/>
    <x v="10"/>
    <n v="10"/>
    <n v="7"/>
    <n v="4"/>
    <x v="16"/>
    <s v="ON TIME"/>
    <x v="2"/>
    <x v="1"/>
    <s v="Supply asked for a spare CT"/>
    <x v="0"/>
    <n v="26"/>
    <x v="1"/>
    <m/>
    <m/>
    <s v="Closed"/>
    <x v="1"/>
    <s v="NA"/>
    <n v="18"/>
    <d v="2025-10-24T02:21:19"/>
    <n v="1"/>
    <m/>
  </r>
  <r>
    <x v="0"/>
    <s v="0051306085"/>
    <s v="000310"/>
    <s v="0051306085-000310"/>
    <x v="32"/>
    <x v="48"/>
    <m/>
    <s v="HMA"/>
    <s v="IGS"/>
    <x v="437"/>
    <x v="1"/>
    <x v="1"/>
    <s v="ANSI 49"/>
    <d v="2025-05-12T00:00:00"/>
    <n v="-24"/>
    <d v="2025-10-13T00:00:00"/>
    <d v="2025-10-23T00:00:00"/>
    <d v="2025-10-16T00:00:00"/>
    <b v="0"/>
    <x v="10"/>
    <n v="10"/>
    <n v="9"/>
    <n v="4"/>
    <x v="23"/>
    <s v="ON TIME"/>
    <x v="2"/>
    <x v="1"/>
    <s v="Supply asked for a spare CT"/>
    <x v="0"/>
    <n v="26"/>
    <x v="1"/>
    <m/>
    <m/>
    <s v="Closed"/>
    <x v="1"/>
    <s v="NA"/>
    <n v="17"/>
    <d v="2025-10-23T09:58:35"/>
    <n v="1"/>
    <m/>
  </r>
  <r>
    <x v="0"/>
    <s v="0051306085"/>
    <s v="000310"/>
    <s v="0051306085-000310"/>
    <x v="32"/>
    <x v="48"/>
    <m/>
    <s v="HMA"/>
    <s v="IGS"/>
    <x v="438"/>
    <x v="1"/>
    <x v="1"/>
    <s v="ANSI 49"/>
    <d v="2025-05-12T00:00:00"/>
    <n v="-24"/>
    <d v="2025-10-13T00:00:00"/>
    <d v="2025-10-23T00:00:00"/>
    <d v="2025-10-16T00:00:00"/>
    <b v="0"/>
    <x v="10"/>
    <n v="10"/>
    <n v="9"/>
    <n v="4"/>
    <x v="23"/>
    <s v="ON TIME"/>
    <x v="2"/>
    <x v="1"/>
    <s v="Supply asked for a spare CT"/>
    <x v="0"/>
    <n v="26"/>
    <x v="1"/>
    <m/>
    <m/>
    <s v="Closed"/>
    <x v="1"/>
    <s v="NA"/>
    <n v="17"/>
    <d v="2025-10-23T09:58:35"/>
    <n v="1"/>
    <m/>
  </r>
  <r>
    <x v="0"/>
    <s v="0051608932"/>
    <s v="000010"/>
    <s v="0051608932-000010"/>
    <x v="68"/>
    <x v="56"/>
    <m/>
    <s v="JAT"/>
    <s v="HUP"/>
    <x v="439"/>
    <x v="1"/>
    <x v="0"/>
    <s v="ANSI 49"/>
    <d v="2025-08-12T00:00:00"/>
    <n v="9"/>
    <d v="2025-10-13T00:00:00"/>
    <d v="2025-10-20T00:00:00"/>
    <d v="2025-10-22T00:00:00"/>
    <b v="0"/>
    <x v="10"/>
    <n v="10"/>
    <n v="6"/>
    <n v="8"/>
    <x v="12"/>
    <s v="LATE"/>
    <x v="0"/>
    <x v="1"/>
    <s v="RM HUPshed ahead of schedule"/>
    <x v="0"/>
    <n v="-2"/>
    <x v="0"/>
    <m/>
    <m/>
    <s v="Closed"/>
    <x v="0"/>
    <s v="NA"/>
    <n v="18"/>
    <d v="2025-10-23T02:21:19"/>
    <n v="1"/>
    <m/>
  </r>
  <r>
    <x v="0"/>
    <s v="051576246"/>
    <s v="000020&amp;30&amp;40&amp;50&amp;60"/>
    <s v="051576246-000020&amp;30&amp;40&amp;50&amp;60"/>
    <x v="64"/>
    <x v="46"/>
    <m/>
    <s v="JAM"/>
    <s v="IGS"/>
    <x v="440"/>
    <x v="0"/>
    <x v="0"/>
    <s v="ANSI 49"/>
    <d v="2026-01-08T00:00:00"/>
    <n v="10"/>
    <d v="2025-10-13T00:00:00"/>
    <d v="2025-10-21T00:00:00"/>
    <d v="2025-10-23T00:00:00"/>
    <b v="0"/>
    <x v="10"/>
    <n v="10"/>
    <n v="7"/>
    <n v="9"/>
    <x v="12"/>
    <s v="LATE"/>
    <x v="0"/>
    <x v="0"/>
    <m/>
    <x v="0"/>
    <n v="-2"/>
    <x v="0"/>
    <m/>
    <m/>
    <s v="Closed"/>
    <x v="0"/>
    <s v="NA"/>
    <n v="18"/>
    <d v="2025-10-24T02:21:19"/>
    <n v="1"/>
    <m/>
  </r>
  <r>
    <x v="0"/>
    <s v="0051378342"/>
    <s v="000010"/>
    <s v="0051378342-000010"/>
    <x v="66"/>
    <x v="54"/>
    <m/>
    <s v="DEV"/>
    <s v="VL"/>
    <x v="441"/>
    <x v="1"/>
    <x v="1"/>
    <s v="ANSI 61"/>
    <d v="2026-04-02T00:00:00"/>
    <n v="11"/>
    <d v="2025-10-13T00:00:00"/>
    <d v="2025-10-23T00:00:00"/>
    <d v="2025-10-22T00:00:00"/>
    <b v="0"/>
    <x v="10"/>
    <n v="10"/>
    <n v="9"/>
    <n v="8"/>
    <x v="11"/>
    <s v="ON TIME"/>
    <x v="2"/>
    <x v="0"/>
    <m/>
    <x v="0"/>
    <n v="-4"/>
    <x v="0"/>
    <m/>
    <m/>
    <s v="Closed"/>
    <x v="0"/>
    <s v="NA"/>
    <n v="17"/>
    <d v="2025-10-23T09:58:35"/>
    <n v="1"/>
    <m/>
  </r>
  <r>
    <x v="0"/>
    <s v="0050384250"/>
    <s v="001230"/>
    <s v="0050384250-001230"/>
    <x v="69"/>
    <x v="57"/>
    <m/>
    <s v="HMA"/>
    <m/>
    <x v="442"/>
    <x v="0"/>
    <x v="0"/>
    <s v="ANSI 49"/>
    <d v="2026-09-06T00:00:00"/>
    <n v="43"/>
    <d v="2025-10-13T00:00:00"/>
    <d v="2025-10-21T00:00:00"/>
    <d v="2025-10-28T00:00:00"/>
    <b v="0"/>
    <x v="10"/>
    <n v="10"/>
    <n v="7"/>
    <n v="12"/>
    <x v="3"/>
    <s v="LATE"/>
    <x v="0"/>
    <x v="0"/>
    <m/>
    <x v="0"/>
    <n v="-28"/>
    <x v="0"/>
    <m/>
    <m/>
    <s v="Closed"/>
    <x v="0"/>
    <s v="NA"/>
    <n v="18"/>
    <d v="2025-10-24T02:21:19"/>
    <n v="1"/>
    <m/>
  </r>
  <r>
    <x v="0"/>
    <s v="0051199001"/>
    <s v="000010"/>
    <s v="0051199001-000010"/>
    <x v="38"/>
    <x v="50"/>
    <m/>
    <s v="ASP"/>
    <s v="AL"/>
    <x v="443"/>
    <x v="1"/>
    <x v="0"/>
    <s v="RAL 7035"/>
    <d v="2025-11-26T00:00:00"/>
    <n v="-7"/>
    <d v="2025-10-14T00:00:00"/>
    <d v="2025-10-23T00:00:00"/>
    <d v="2025-10-16T00:00:00"/>
    <b v="0"/>
    <x v="10"/>
    <n v="10"/>
    <n v="8"/>
    <n v="3"/>
    <x v="23"/>
    <s v="ON TIME"/>
    <x v="2"/>
    <x v="1"/>
    <s v="Correction in doors layout"/>
    <x v="0"/>
    <n v="9"/>
    <x v="1"/>
    <m/>
    <m/>
    <s v="Closed"/>
    <x v="1"/>
    <s v="NA"/>
    <n v="18"/>
    <d v="2025-10-26T02:21:19"/>
    <n v="1"/>
    <m/>
  </r>
  <r>
    <x v="0"/>
    <s v="0051306085"/>
    <s v="000310"/>
    <s v="0051306085-000310"/>
    <x v="32"/>
    <x v="48"/>
    <m/>
    <s v="HMA"/>
    <s v="IGS"/>
    <x v="444"/>
    <x v="0"/>
    <x v="1"/>
    <s v="ANSI 49"/>
    <d v="2025-05-12T00:00:00"/>
    <n v="-25"/>
    <d v="2025-10-14T00:00:00"/>
    <d v="2025-10-24T00:00:00"/>
    <d v="2025-10-16T00:00:00"/>
    <b v="0"/>
    <x v="10"/>
    <n v="10"/>
    <n v="9"/>
    <n v="3"/>
    <x v="24"/>
    <s v="ON TIME"/>
    <x v="2"/>
    <x v="1"/>
    <s v="Supply asked for a spare CT"/>
    <x v="0"/>
    <n v="26"/>
    <x v="1"/>
    <m/>
    <m/>
    <s v="Closed"/>
    <x v="1"/>
    <s v="NA"/>
    <n v="17"/>
    <d v="2025-10-24T09:58:35"/>
    <n v="1"/>
    <m/>
  </r>
  <r>
    <x v="1"/>
    <s v="SWBD"/>
    <s v="SWBD 2.0 BREAKERS"/>
    <s v="SWBD-SWBD 2.0 BREAKERS"/>
    <x v="70"/>
    <x v="44"/>
    <m/>
    <s v="ALT"/>
    <s v="AL"/>
    <x v="445"/>
    <x v="0"/>
    <x v="1"/>
    <s v="ANSI 49"/>
    <s v="NA"/>
    <n v="-13"/>
    <d v="2025-10-14T00:00:00"/>
    <d v="2025-10-24T00:00:00"/>
    <d v="2025-10-16T00:00:00"/>
    <b v="0"/>
    <x v="10"/>
    <n v="10"/>
    <n v="9"/>
    <n v="3"/>
    <x v="24"/>
    <s v="ON TIME"/>
    <x v="2"/>
    <x v="1"/>
    <m/>
    <x v="0"/>
    <n v="15"/>
    <x v="1"/>
    <m/>
    <m/>
    <s v="Closed"/>
    <x v="1"/>
    <s v="NA"/>
    <n v="17"/>
    <d v="2025-10-24T09:58:35"/>
    <n v="1"/>
    <m/>
  </r>
  <r>
    <x v="0"/>
    <s v="0051422641"/>
    <s v="000010"/>
    <s v="0051422641-000010"/>
    <x v="71"/>
    <x v="58"/>
    <m/>
    <s v="ALT"/>
    <s v="VL"/>
    <x v="446"/>
    <x v="1"/>
    <x v="0"/>
    <s v="ANSI 61"/>
    <d v="2025-11-10T00:00:00"/>
    <n v="20"/>
    <d v="2025-10-14T00:00:00"/>
    <d v="2025-10-22T00:00:00"/>
    <d v="2025-10-21T00:00:00"/>
    <b v="0"/>
    <x v="10"/>
    <n v="10"/>
    <n v="7"/>
    <n v="6"/>
    <x v="11"/>
    <s v="ON TIME"/>
    <x v="2"/>
    <x v="0"/>
    <m/>
    <x v="0"/>
    <n v="-14"/>
    <x v="0"/>
    <m/>
    <m/>
    <s v="Closed"/>
    <x v="0"/>
    <s v="NA"/>
    <n v="18"/>
    <d v="2025-10-25T02:21:19"/>
    <n v="1"/>
    <m/>
  </r>
  <r>
    <x v="0"/>
    <s v="0051422641"/>
    <s v="000010"/>
    <s v="0051422641-000010"/>
    <x v="71"/>
    <x v="58"/>
    <m/>
    <s v="ALT"/>
    <s v="VL"/>
    <x v="447"/>
    <x v="1"/>
    <x v="0"/>
    <s v="ANSI 61"/>
    <d v="2025-11-10T00:00:00"/>
    <n v="20"/>
    <d v="2025-10-14T00:00:00"/>
    <d v="2025-10-22T00:00:00"/>
    <d v="2025-10-21T00:00:00"/>
    <b v="0"/>
    <x v="10"/>
    <n v="10"/>
    <n v="7"/>
    <n v="6"/>
    <x v="11"/>
    <s v="ON TIME"/>
    <x v="2"/>
    <x v="0"/>
    <m/>
    <x v="0"/>
    <n v="-14"/>
    <x v="0"/>
    <m/>
    <m/>
    <s v="Closed"/>
    <x v="0"/>
    <s v="NA"/>
    <n v="18"/>
    <d v="2025-10-25T02:21:19"/>
    <n v="1"/>
    <m/>
  </r>
  <r>
    <x v="0"/>
    <s v="0051422641"/>
    <s v="000010"/>
    <s v="0051422641-000010"/>
    <x v="71"/>
    <x v="58"/>
    <m/>
    <s v="ALT"/>
    <s v="VL"/>
    <x v="448"/>
    <x v="1"/>
    <x v="1"/>
    <s v="ANSI 61"/>
    <d v="2025-11-10T00:00:00"/>
    <n v="20"/>
    <d v="2025-10-14T00:00:00"/>
    <d v="2025-10-24T00:00:00"/>
    <d v="2025-10-23T00:00:00"/>
    <b v="0"/>
    <x v="10"/>
    <n v="10"/>
    <n v="9"/>
    <n v="8"/>
    <x v="11"/>
    <s v="ON TIME"/>
    <x v="2"/>
    <x v="0"/>
    <m/>
    <x v="1"/>
    <n v="-12"/>
    <x v="0"/>
    <m/>
    <s v="Wrong template"/>
    <s v="Cancelled"/>
    <x v="0"/>
    <s v="NA"/>
    <n v="2"/>
    <d v="2025-10-24T09:58:35"/>
    <n v="0.11764705882352941"/>
    <m/>
  </r>
  <r>
    <x v="0"/>
    <s v="0051095105"/>
    <s v="000410"/>
    <s v="0051095105-000410"/>
    <x v="72"/>
    <x v="59"/>
    <m/>
    <s v="JAM"/>
    <m/>
    <x v="449"/>
    <x v="0"/>
    <x v="0"/>
    <s v="ANSI 49"/>
    <d v="2026-05-15T00:00:00"/>
    <n v="39"/>
    <d v="2025-10-14T00:00:00"/>
    <d v="2025-10-21T00:00:00"/>
    <d v="2025-10-16T00:00:00"/>
    <b v="0"/>
    <x v="10"/>
    <n v="10"/>
    <n v="6"/>
    <n v="3"/>
    <x v="16"/>
    <s v="ON TIME"/>
    <x v="2"/>
    <x v="0"/>
    <m/>
    <x v="1"/>
    <n v="-33"/>
    <x v="0"/>
    <m/>
    <m/>
    <s v="Cancelled"/>
    <x v="0"/>
    <s v="NA"/>
    <n v="0"/>
    <d v="2025-10-24T02:21:19"/>
    <n v="0"/>
    <m/>
  </r>
  <r>
    <x v="0"/>
    <s v="0051095105"/>
    <s v="000410"/>
    <s v="0051095105-000410"/>
    <x v="72"/>
    <x v="59"/>
    <m/>
    <s v="JAM"/>
    <m/>
    <x v="450"/>
    <x v="0"/>
    <x v="1"/>
    <s v="ANSI 49"/>
    <d v="2026-05-15T00:00:00"/>
    <n v="39"/>
    <d v="2025-10-14T00:00:00"/>
    <d v="2025-10-24T00:00:00"/>
    <d v="2025-10-16T00:00:00"/>
    <b v="0"/>
    <x v="10"/>
    <n v="10"/>
    <n v="9"/>
    <n v="3"/>
    <x v="24"/>
    <s v="ON TIME"/>
    <x v="2"/>
    <x v="0"/>
    <m/>
    <x v="0"/>
    <n v="-33"/>
    <x v="0"/>
    <m/>
    <s v="Active US23"/>
    <s v="Closed"/>
    <x v="0"/>
    <s v="NA"/>
    <n v="17"/>
    <d v="2025-10-24T09:58:35"/>
    <n v="1"/>
    <m/>
  </r>
  <r>
    <x v="0"/>
    <s v="0050384250"/>
    <s v="001230"/>
    <s v="0050384250-001230"/>
    <x v="69"/>
    <x v="57"/>
    <m/>
    <s v="HMA"/>
    <m/>
    <x v="451"/>
    <x v="0"/>
    <x v="0"/>
    <s v="ANSI 49"/>
    <d v="2026-09-06T00:00:00"/>
    <n v="42"/>
    <d v="2025-10-14T00:00:00"/>
    <d v="2025-10-22T00:00:00"/>
    <d v="2025-10-28T00:00:00"/>
    <b v="0"/>
    <x v="10"/>
    <n v="10"/>
    <n v="7"/>
    <n v="11"/>
    <x v="1"/>
    <s v="LATE"/>
    <x v="0"/>
    <x v="0"/>
    <m/>
    <x v="0"/>
    <n v="-28"/>
    <x v="0"/>
    <m/>
    <m/>
    <s v="Closed"/>
    <x v="0"/>
    <s v="NA"/>
    <n v="18"/>
    <d v="2025-10-25T02:21:19"/>
    <n v="1"/>
    <m/>
  </r>
  <r>
    <x v="0"/>
    <s v="0050384250"/>
    <s v="001260"/>
    <s v="0050384250-001260"/>
    <x v="69"/>
    <x v="57"/>
    <m/>
    <s v="HMA"/>
    <m/>
    <x v="452"/>
    <x v="0"/>
    <x v="0"/>
    <s v="ANSI 49"/>
    <d v="2026-03-07T00:00:00"/>
    <n v="42"/>
    <d v="2025-10-14T00:00:00"/>
    <d v="2025-10-23T00:00:00"/>
    <d v="2025-10-28T00:00:00"/>
    <b v="0"/>
    <x v="10"/>
    <n v="10"/>
    <n v="8"/>
    <n v="11"/>
    <x v="4"/>
    <s v="LATE"/>
    <x v="0"/>
    <x v="0"/>
    <m/>
    <x v="0"/>
    <n v="-28"/>
    <x v="0"/>
    <m/>
    <m/>
    <s v="Closed"/>
    <x v="0"/>
    <s v="NA"/>
    <n v="18"/>
    <d v="2025-10-26T02:21:19"/>
    <n v="1"/>
    <m/>
  </r>
  <r>
    <x v="0"/>
    <s v="0051199001"/>
    <s v="000010"/>
    <s v="0051199001-000010"/>
    <x v="38"/>
    <x v="50"/>
    <m/>
    <s v="ASP"/>
    <s v="AL"/>
    <x v="453"/>
    <x v="2"/>
    <x v="1"/>
    <s v="ANSI 49"/>
    <d v="2025-11-26T00:00:00"/>
    <n v="-8"/>
    <d v="2025-10-15T00:00:00"/>
    <d v="2025-10-27T00:00:00"/>
    <d v="2025-10-20T00:00:00"/>
    <b v="0"/>
    <x v="10"/>
    <n v="10"/>
    <n v="9"/>
    <n v="4"/>
    <x v="23"/>
    <s v="ON TIME"/>
    <x v="2"/>
    <x v="1"/>
    <m/>
    <x v="1"/>
    <n v="11"/>
    <x v="1"/>
    <m/>
    <s v="Obsolete PN"/>
    <s v="Cancelled"/>
    <x v="1"/>
    <s v="NA"/>
    <n v="0"/>
    <d v="2025-10-27T09:58:35"/>
    <n v="0"/>
    <m/>
  </r>
  <r>
    <x v="0"/>
    <s v="0051442285"/>
    <s v="000070"/>
    <s v="0051442285-000070"/>
    <x v="63"/>
    <x v="36"/>
    <m/>
    <s v="DEV"/>
    <s v="KGF"/>
    <x v="454"/>
    <x v="1"/>
    <x v="0"/>
    <s v="RAL9003"/>
    <d v="2025-12-17T00:00:00"/>
    <n v="1"/>
    <d v="2025-10-15T00:00:00"/>
    <d v="2025-10-22T00:00:00"/>
    <d v="2025-10-16T00:00:00"/>
    <b v="0"/>
    <x v="10"/>
    <n v="10"/>
    <n v="6"/>
    <n v="2"/>
    <x v="14"/>
    <s v="ON TIME"/>
    <x v="2"/>
    <x v="1"/>
    <s v="Request by mech team"/>
    <x v="0"/>
    <n v="2"/>
    <x v="1"/>
    <m/>
    <m/>
    <s v="Closed"/>
    <x v="1"/>
    <s v="NA"/>
    <n v="18"/>
    <d v="2025-10-25T02:21:19"/>
    <n v="1"/>
    <m/>
  </r>
  <r>
    <x v="0"/>
    <s v="0051576246"/>
    <s v="000020&amp;30&amp;40&amp;50&amp;60"/>
    <s v="0051576246-000020&amp;30&amp;40&amp;50&amp;60"/>
    <x v="64"/>
    <x v="46"/>
    <m/>
    <s v="JAM"/>
    <s v="IGS"/>
    <x v="455"/>
    <x v="0"/>
    <x v="0"/>
    <s v="ANSI 49"/>
    <d v="2026-01-08T00:00:00"/>
    <n v="8"/>
    <d v="2025-10-15T00:00:00"/>
    <d v="2025-10-22T00:00:00"/>
    <d v="2025-10-20T00:00:00"/>
    <b v="0"/>
    <x v="10"/>
    <n v="10"/>
    <n v="6"/>
    <n v="4"/>
    <x v="5"/>
    <s v="ON TIME"/>
    <x v="2"/>
    <x v="1"/>
    <s v="Missing part in related WF"/>
    <x v="0"/>
    <n v="-5"/>
    <x v="0"/>
    <m/>
    <m/>
    <s v="Closed"/>
    <x v="0"/>
    <s v="NA"/>
    <n v="18"/>
    <d v="2025-10-25T02:21:19"/>
    <n v="1"/>
    <m/>
  </r>
  <r>
    <x v="0"/>
    <s v="0051354978"/>
    <s v="000080"/>
    <s v="0051354978-000080"/>
    <x v="73"/>
    <x v="60"/>
    <m/>
    <s v="RAS"/>
    <s v="RCI"/>
    <x v="456"/>
    <x v="1"/>
    <x v="0"/>
    <s v="ANSI 49"/>
    <d v="2026-01-30T00:00:00"/>
    <n v="27"/>
    <d v="2025-10-15T00:00:00"/>
    <d v="2025-10-23T00:00:00"/>
    <d v="2025-11-05T00:00:00"/>
    <b v="0"/>
    <x v="10"/>
    <n v="10"/>
    <n v="7"/>
    <n v="15"/>
    <x v="7"/>
    <s v="LATE"/>
    <x v="0"/>
    <x v="0"/>
    <m/>
    <x v="0"/>
    <n v="-9"/>
    <x v="0"/>
    <m/>
    <m/>
    <s v="Closed"/>
    <x v="0"/>
    <s v="NA"/>
    <n v="18"/>
    <d v="2025-10-26T02:21:19"/>
    <n v="1"/>
    <m/>
  </r>
  <r>
    <x v="0"/>
    <s v="0051306085"/>
    <s v="000310"/>
    <s v="0051306085-000310"/>
    <x v="32"/>
    <x v="48"/>
    <m/>
    <s v="HMA"/>
    <s v="IGS"/>
    <x v="457"/>
    <x v="1"/>
    <x v="0"/>
    <s v="ANSI 49"/>
    <d v="2025-05-12T00:00:00"/>
    <n v="-27"/>
    <d v="2025-10-16T00:00:00"/>
    <d v="2025-10-23T00:00:00"/>
    <d v="2025-10-22T00:00:00"/>
    <b v="0"/>
    <x v="10"/>
    <n v="10"/>
    <n v="6"/>
    <n v="5"/>
    <x v="11"/>
    <s v="ON TIME"/>
    <x v="2"/>
    <x v="1"/>
    <m/>
    <x v="0"/>
    <n v="30"/>
    <x v="1"/>
    <m/>
    <m/>
    <s v="Closed"/>
    <x v="1"/>
    <s v="NA"/>
    <n v="18"/>
    <d v="2025-10-26T02:21:19"/>
    <n v="1"/>
    <m/>
  </r>
  <r>
    <x v="0"/>
    <s v="0051306085"/>
    <s v="000310"/>
    <s v="0051306085-000310"/>
    <x v="32"/>
    <x v="48"/>
    <m/>
    <s v="HMA"/>
    <s v="IGS"/>
    <x v="458"/>
    <x v="1"/>
    <x v="0"/>
    <s v="ANSI 49"/>
    <d v="2025-05-12T00:00:00"/>
    <n v="-27"/>
    <d v="2025-10-16T00:00:00"/>
    <d v="2025-10-23T00:00:00"/>
    <d v="2025-10-22T00:00:00"/>
    <b v="0"/>
    <x v="10"/>
    <n v="10"/>
    <n v="6"/>
    <n v="5"/>
    <x v="11"/>
    <s v="ON TIME"/>
    <x v="2"/>
    <x v="1"/>
    <m/>
    <x v="0"/>
    <n v="30"/>
    <x v="1"/>
    <m/>
    <m/>
    <s v="Closed"/>
    <x v="1"/>
    <s v="NA"/>
    <n v="18"/>
    <d v="2025-10-26T02:21:19"/>
    <n v="1"/>
    <m/>
  </r>
  <r>
    <x v="0"/>
    <s v="0051306085"/>
    <s v="000310"/>
    <s v="0051306085-000310"/>
    <x v="32"/>
    <x v="48"/>
    <m/>
    <s v="HMA"/>
    <s v="IGS"/>
    <x v="459"/>
    <x v="1"/>
    <x v="0"/>
    <s v="ANSI 49"/>
    <d v="2025-05-12T00:00:00"/>
    <n v="-27"/>
    <d v="2025-10-16T00:00:00"/>
    <d v="2025-10-23T00:00:00"/>
    <d v="2025-10-22T00:00:00"/>
    <b v="0"/>
    <x v="10"/>
    <n v="10"/>
    <n v="6"/>
    <n v="5"/>
    <x v="11"/>
    <s v="ON TIME"/>
    <x v="2"/>
    <x v="1"/>
    <m/>
    <x v="0"/>
    <n v="30"/>
    <x v="1"/>
    <m/>
    <m/>
    <s v="Closed"/>
    <x v="1"/>
    <s v="NA"/>
    <n v="18"/>
    <d v="2025-10-26T02:21:19"/>
    <n v="1"/>
    <m/>
  </r>
  <r>
    <x v="1"/>
    <s v="SWBD"/>
    <s v="swbd"/>
    <s v="SWBD-swbd"/>
    <x v="74"/>
    <x v="44"/>
    <m/>
    <s v="ALT"/>
    <s v="AL"/>
    <x v="460"/>
    <x v="0"/>
    <x v="0"/>
    <s v="ANSI 49"/>
    <s v="NA"/>
    <n v="-15"/>
    <d v="2025-10-16T00:00:00"/>
    <d v="2025-10-24T00:00:00"/>
    <d v="2025-10-22T00:00:00"/>
    <b v="0"/>
    <x v="10"/>
    <n v="10"/>
    <n v="7"/>
    <n v="5"/>
    <x v="5"/>
    <s v="ON TIME"/>
    <x v="2"/>
    <x v="1"/>
    <m/>
    <x v="0"/>
    <n v="19"/>
    <x v="1"/>
    <m/>
    <m/>
    <s v="Closed"/>
    <x v="1"/>
    <s v="NA"/>
    <n v="18"/>
    <d v="2025-10-27T02:21:19"/>
    <n v="1"/>
    <m/>
  </r>
  <r>
    <x v="0"/>
    <s v="0051422641"/>
    <s v="000010"/>
    <s v="0051422641-000010"/>
    <x v="71"/>
    <x v="58"/>
    <m/>
    <s v="ALT"/>
    <s v="VL"/>
    <x v="461"/>
    <x v="1"/>
    <x v="0"/>
    <s v="ANSI 49"/>
    <d v="2025-11-10T00:00:00"/>
    <n v="18"/>
    <d v="2025-10-16T00:00:00"/>
    <d v="2025-10-27T00:00:00"/>
    <d v="2025-10-28T00:00:00"/>
    <b v="0"/>
    <x v="10"/>
    <n v="10"/>
    <n v="8"/>
    <n v="9"/>
    <x v="6"/>
    <s v="LATE"/>
    <x v="0"/>
    <x v="0"/>
    <m/>
    <x v="0"/>
    <n v="-9"/>
    <x v="0"/>
    <m/>
    <m/>
    <s v="Closed"/>
    <x v="0"/>
    <s v="NA"/>
    <n v="18"/>
    <d v="2025-10-30T02:21:19"/>
    <n v="1"/>
    <m/>
  </r>
  <r>
    <x v="0"/>
    <s v="0051422641"/>
    <s v="000010"/>
    <s v="0051422641-000010"/>
    <x v="71"/>
    <x v="58"/>
    <m/>
    <s v="ALT"/>
    <s v="VL"/>
    <x v="462"/>
    <x v="1"/>
    <x v="0"/>
    <s v="ANSI 49"/>
    <d v="2025-11-10T00:00:00"/>
    <n v="18"/>
    <d v="2025-10-16T00:00:00"/>
    <d v="2025-10-27T00:00:00"/>
    <d v="2025-10-28T00:00:00"/>
    <b v="0"/>
    <x v="10"/>
    <n v="10"/>
    <n v="8"/>
    <n v="9"/>
    <x v="6"/>
    <s v="LATE"/>
    <x v="0"/>
    <x v="0"/>
    <m/>
    <x v="0"/>
    <n v="-9"/>
    <x v="0"/>
    <m/>
    <m/>
    <s v="Closed"/>
    <x v="0"/>
    <s v="NA"/>
    <n v="18"/>
    <d v="2025-10-30T02:21:19"/>
    <n v="1"/>
    <m/>
  </r>
  <r>
    <x v="0"/>
    <s v="0051422641"/>
    <s v="000010"/>
    <s v="0051422641-000010"/>
    <x v="71"/>
    <x v="58"/>
    <m/>
    <s v="ALT"/>
    <s v="VL"/>
    <x v="463"/>
    <x v="1"/>
    <x v="1"/>
    <s v="ANSI 61"/>
    <d v="2025-11-10T00:00:00"/>
    <n v="18"/>
    <d v="2025-10-16T00:00:00"/>
    <d v="2025-10-30T00:00:00"/>
    <d v="2025-10-28T00:00:00"/>
    <b v="0"/>
    <x v="10"/>
    <n v="10"/>
    <n v="11"/>
    <n v="9"/>
    <x v="5"/>
    <s v="ON TIME"/>
    <x v="2"/>
    <x v="0"/>
    <m/>
    <x v="0"/>
    <n v="-9"/>
    <x v="0"/>
    <m/>
    <m/>
    <s v="Closed"/>
    <x v="0"/>
    <s v="NA"/>
    <n v="17"/>
    <d v="2025-10-30T09:58:35"/>
    <n v="1"/>
    <m/>
  </r>
  <r>
    <x v="0"/>
    <s v="JIRA"/>
    <s v="COUNTERMEASURE"/>
    <s v="JIRA-COUNTERMEASURE"/>
    <x v="75"/>
    <x v="61"/>
    <m/>
    <s v="MGL"/>
    <m/>
    <x v="464"/>
    <x v="0"/>
    <x v="0"/>
    <s v="NA"/>
    <s v="NA"/>
    <n v="9"/>
    <d v="2025-10-17T00:00:00"/>
    <d v="2025-10-24T00:00:00"/>
    <d v="2025-11-05T00:00:00"/>
    <b v="0"/>
    <x v="10"/>
    <n v="10"/>
    <n v="6"/>
    <n v="13"/>
    <x v="13"/>
    <s v="LATE"/>
    <x v="0"/>
    <x v="1"/>
    <s v="JIRA"/>
    <x v="0"/>
    <n v="5"/>
    <x v="1"/>
    <m/>
    <m/>
    <s v="Closed"/>
    <x v="1"/>
    <s v="NA"/>
    <n v="18"/>
    <d v="2025-10-27T02:21:19"/>
    <n v="1"/>
    <m/>
  </r>
  <r>
    <x v="0"/>
    <s v="JIRA"/>
    <s v="COUNTERMEASURE"/>
    <s v="JIRA-COUNTERMEASURE"/>
    <x v="75"/>
    <x v="61"/>
    <m/>
    <s v="MGL"/>
    <m/>
    <x v="465"/>
    <x v="0"/>
    <x v="1"/>
    <s v="NA"/>
    <s v="NA"/>
    <n v="9"/>
    <d v="2025-10-17T00:00:00"/>
    <d v="2025-10-29T00:00:00"/>
    <d v="2025-10-29T00:00:00"/>
    <b v="0"/>
    <x v="10"/>
    <n v="10"/>
    <n v="9"/>
    <n v="9"/>
    <x v="9"/>
    <s v="ON TIME"/>
    <x v="2"/>
    <x v="1"/>
    <s v="JIRA"/>
    <x v="0"/>
    <n v="1"/>
    <x v="1"/>
    <m/>
    <m/>
    <s v="Closed"/>
    <x v="1"/>
    <s v="NA"/>
    <n v="17"/>
    <d v="2025-10-29T09:58:35"/>
    <n v="1"/>
    <m/>
  </r>
  <r>
    <x v="0"/>
    <s v="0051422641"/>
    <s v="000010"/>
    <s v="0051422641-000010"/>
    <x v="71"/>
    <x v="58"/>
    <m/>
    <s v="ALT"/>
    <s v="VL"/>
    <x v="466"/>
    <x v="1"/>
    <x v="0"/>
    <s v="ANSI 61"/>
    <d v="2025-11-10T00:00:00"/>
    <n v="17"/>
    <d v="2025-10-17T00:00:00"/>
    <d v="2025-10-24T00:00:00"/>
    <d v="2025-10-28T00:00:00"/>
    <b v="0"/>
    <x v="10"/>
    <n v="10"/>
    <n v="6"/>
    <n v="8"/>
    <x v="12"/>
    <s v="LATE"/>
    <x v="0"/>
    <x v="0"/>
    <m/>
    <x v="0"/>
    <n v="-9"/>
    <x v="0"/>
    <m/>
    <m/>
    <s v="Closed"/>
    <x v="0"/>
    <s v="NA"/>
    <n v="18"/>
    <d v="2025-10-27T02:21:19"/>
    <n v="1"/>
    <m/>
  </r>
  <r>
    <x v="0"/>
    <s v="0050728484"/>
    <s v="018570"/>
    <s v="0050728484-018570"/>
    <x v="37"/>
    <x v="62"/>
    <m/>
    <s v="KYC"/>
    <s v="KGF"/>
    <x v="467"/>
    <x v="1"/>
    <x v="0"/>
    <s v="ANSI 49"/>
    <d v="2025-11-25T00:00:00"/>
    <n v="13"/>
    <d v="2025-10-20T00:00:00"/>
    <d v="2025-10-27T00:00:00"/>
    <d v="2025-10-22T00:00:00"/>
    <b v="0"/>
    <x v="10"/>
    <n v="10"/>
    <n v="6"/>
    <n v="3"/>
    <x v="16"/>
    <s v="ON TIME"/>
    <x v="2"/>
    <x v="0"/>
    <m/>
    <x v="0"/>
    <n v="-10"/>
    <x v="0"/>
    <m/>
    <m/>
    <s v="Closed"/>
    <x v="0"/>
    <s v="NA"/>
    <n v="18"/>
    <d v="2025-10-30T02:21:19"/>
    <n v="1"/>
    <m/>
  </r>
  <r>
    <x v="1"/>
    <s v="SWBD"/>
    <s v="meta f2.0"/>
    <s v="SWBD-meta f2.0"/>
    <x v="76"/>
    <x v="44"/>
    <m/>
    <s v="ALT"/>
    <s v="AL"/>
    <x v="468"/>
    <x v="0"/>
    <x v="0"/>
    <s v="ANSI 49"/>
    <s v="NA"/>
    <n v="-17"/>
    <d v="2025-10-20T00:00:00"/>
    <d v="2025-10-28T00:00:00"/>
    <d v="2025-10-22T00:00:00"/>
    <b v="0"/>
    <x v="10"/>
    <n v="10"/>
    <n v="7"/>
    <n v="3"/>
    <x v="14"/>
    <s v="ON TIME"/>
    <x v="2"/>
    <x v="1"/>
    <m/>
    <x v="0"/>
    <n v="19"/>
    <x v="1"/>
    <m/>
    <m/>
    <s v="Closed"/>
    <x v="1"/>
    <s v="NA"/>
    <n v="18"/>
    <d v="2025-10-31T02:21:19"/>
    <n v="1"/>
    <m/>
  </r>
  <r>
    <x v="0"/>
    <s v="0051608932"/>
    <s v="000010"/>
    <s v="0051608932-000010"/>
    <x v="68"/>
    <x v="56"/>
    <m/>
    <s v="JAT"/>
    <s v="HUP"/>
    <x v="469"/>
    <x v="1"/>
    <x v="0"/>
    <s v="ANSI 49"/>
    <d v="2025-08-12T00:00:00"/>
    <n v="4"/>
    <d v="2025-10-20T00:00:00"/>
    <d v="2025-10-27T00:00:00"/>
    <d v="2025-10-20T00:00:00"/>
    <b v="0"/>
    <x v="10"/>
    <n v="10"/>
    <n v="6"/>
    <n v="1"/>
    <x v="23"/>
    <s v="ON TIME"/>
    <x v="2"/>
    <x v="1"/>
    <m/>
    <x v="1"/>
    <n v="-4"/>
    <x v="0"/>
    <m/>
    <m/>
    <s v="Cancelled"/>
    <x v="0"/>
    <s v="NA"/>
    <n v="0"/>
    <d v="2025-10-30T02:21:19"/>
    <n v="0"/>
    <m/>
  </r>
  <r>
    <x v="0"/>
    <s v="051576246"/>
    <s v="000020&amp;30&amp;40&amp;50&amp;60"/>
    <s v="051576246-000020&amp;30&amp;40&amp;50&amp;60"/>
    <x v="64"/>
    <x v="46"/>
    <m/>
    <s v="JAM"/>
    <s v="IGS"/>
    <x v="470"/>
    <x v="1"/>
    <x v="0"/>
    <s v="ANSI 49"/>
    <d v="2026-01-08T00:00:00"/>
    <n v="5"/>
    <d v="2025-10-20T00:00:00"/>
    <d v="2025-10-27T00:00:00"/>
    <d v="2025-10-20T00:00:00"/>
    <b v="0"/>
    <x v="10"/>
    <n v="10"/>
    <n v="6"/>
    <n v="1"/>
    <x v="23"/>
    <s v="ON TIME"/>
    <x v="2"/>
    <x v="1"/>
    <s v="Customer Change Order"/>
    <x v="1"/>
    <n v="-5"/>
    <x v="0"/>
    <m/>
    <s v="Active in other WF"/>
    <s v="Cancelled"/>
    <x v="0"/>
    <s v="NA"/>
    <n v="0"/>
    <d v="2025-10-30T02:21:19"/>
    <n v="0"/>
    <m/>
  </r>
  <r>
    <x v="0"/>
    <s v="0051422641"/>
    <s v="000010"/>
    <s v="0051422641-000010"/>
    <x v="71"/>
    <x v="58"/>
    <m/>
    <s v="ALT"/>
    <s v="VL"/>
    <x v="471"/>
    <x v="1"/>
    <x v="0"/>
    <s v="ANSI 61"/>
    <d v="2025-11-10T00:00:00"/>
    <n v="16"/>
    <d v="2025-10-20T00:00:00"/>
    <d v="2025-10-27T00:00:00"/>
    <d v="2025-10-23T00:00:00"/>
    <b v="0"/>
    <x v="10"/>
    <n v="10"/>
    <n v="6"/>
    <n v="4"/>
    <x v="5"/>
    <s v="ON TIME"/>
    <x v="2"/>
    <x v="0"/>
    <m/>
    <x v="0"/>
    <n v="-12"/>
    <x v="0"/>
    <m/>
    <m/>
    <s v="Closed"/>
    <x v="0"/>
    <s v="NA"/>
    <n v="18"/>
    <d v="2025-10-30T02:21:19"/>
    <n v="1"/>
    <m/>
  </r>
  <r>
    <x v="0"/>
    <s v="0051354978"/>
    <s v="000080"/>
    <s v="0051354978-000080"/>
    <x v="73"/>
    <x v="60"/>
    <m/>
    <s v="RAS"/>
    <s v="RCI"/>
    <x v="472"/>
    <x v="1"/>
    <x v="0"/>
    <s v="ANSI 49"/>
    <d v="2026-01-30T00:00:00"/>
    <n v="24"/>
    <d v="2025-10-20T00:00:00"/>
    <d v="2025-10-28T00:00:00"/>
    <d v="2025-11-05T00:00:00"/>
    <b v="0"/>
    <x v="10"/>
    <n v="10"/>
    <n v="7"/>
    <n v="12"/>
    <x v="3"/>
    <s v="LATE"/>
    <x v="0"/>
    <x v="0"/>
    <m/>
    <x v="0"/>
    <n v="-9"/>
    <x v="0"/>
    <m/>
    <m/>
    <s v="Closed"/>
    <x v="0"/>
    <s v="NA"/>
    <n v="18"/>
    <d v="2025-10-31T02:21:19"/>
    <n v="1"/>
    <m/>
  </r>
  <r>
    <x v="0"/>
    <s v="0051378207"/>
    <s v="000260"/>
    <s v="0051378207-000260"/>
    <x v="77"/>
    <x v="63"/>
    <m/>
    <s v="RAS"/>
    <s v="RCI"/>
    <x v="473"/>
    <x v="1"/>
    <x v="0"/>
    <s v="ANSI 49"/>
    <d v="2026-02-23T00:00:00"/>
    <n v="30"/>
    <d v="2025-10-20T00:00:00"/>
    <d v="2025-10-28T00:00:00"/>
    <d v="2025-10-27T00:00:00"/>
    <b v="0"/>
    <x v="10"/>
    <n v="10"/>
    <n v="7"/>
    <n v="6"/>
    <x v="11"/>
    <s v="ON TIME"/>
    <x v="2"/>
    <x v="0"/>
    <m/>
    <x v="0"/>
    <n v="-21"/>
    <x v="0"/>
    <m/>
    <m/>
    <s v="Closed"/>
    <x v="0"/>
    <s v="NA"/>
    <n v="18"/>
    <d v="2025-10-31T02:21:19"/>
    <n v="1"/>
    <m/>
  </r>
  <r>
    <x v="0"/>
    <s v="0050384250"/>
    <s v="001260"/>
    <s v="0050384250-001260"/>
    <x v="69"/>
    <x v="57"/>
    <m/>
    <s v="HMA"/>
    <m/>
    <x v="474"/>
    <x v="0"/>
    <x v="0"/>
    <s v="ANSI 49"/>
    <d v="2026-09-06T00:00:00"/>
    <n v="37"/>
    <d v="2025-10-21T00:00:00"/>
    <d v="2025-10-28T00:00:00"/>
    <d v="2025-11-05T00:00:00"/>
    <b v="0"/>
    <x v="10"/>
    <n v="10"/>
    <n v="6"/>
    <n v="11"/>
    <x v="3"/>
    <s v="LATE"/>
    <x v="0"/>
    <x v="0"/>
    <m/>
    <x v="0"/>
    <n v="-23"/>
    <x v="0"/>
    <m/>
    <m/>
    <s v="Closed"/>
    <x v="0"/>
    <s v="NA"/>
    <n v="18"/>
    <d v="2025-10-31T02:21:19"/>
    <n v="1"/>
    <m/>
  </r>
  <r>
    <x v="0"/>
    <s v="0050384250"/>
    <s v="001230"/>
    <s v="0050384250-001260"/>
    <x v="69"/>
    <x v="57"/>
    <m/>
    <s v="HMA"/>
    <m/>
    <x v="475"/>
    <x v="0"/>
    <x v="0"/>
    <s v="ANSI 49"/>
    <d v="2026-09-06T00:00:00"/>
    <n v="37"/>
    <d v="2025-10-21T00:00:00"/>
    <d v="2025-10-31T00:00:00"/>
    <d v="2025-11-05T00:00:00"/>
    <b v="0"/>
    <x v="10"/>
    <n v="10"/>
    <n v="9"/>
    <n v="11"/>
    <x v="12"/>
    <s v="LATE"/>
    <x v="0"/>
    <x v="0"/>
    <m/>
    <x v="0"/>
    <n v="-23"/>
    <x v="0"/>
    <m/>
    <m/>
    <s v="Closed"/>
    <x v="0"/>
    <s v="NA"/>
    <n v="18"/>
    <d v="2025-11-03T02:21:19"/>
    <n v="1"/>
    <m/>
  </r>
  <r>
    <x v="0"/>
    <s v="0051283748"/>
    <s v="000120"/>
    <s v="0051283748-000120"/>
    <x v="78"/>
    <x v="31"/>
    <m/>
    <s v="HMA "/>
    <m/>
    <x v="476"/>
    <x v="0"/>
    <x v="1"/>
    <s v="ANSI 49"/>
    <d v="2025-08-10T00:00:00"/>
    <n v="-69"/>
    <d v="2025-10-22T00:00:00"/>
    <d v="2025-11-03T00:00:00"/>
    <d v="2025-11-03T00:00:00"/>
    <b v="0"/>
    <x v="10"/>
    <n v="10"/>
    <n v="9"/>
    <n v="8"/>
    <x v="11"/>
    <s v="ON TIME"/>
    <x v="2"/>
    <x v="1"/>
    <s v="JIRA"/>
    <x v="0"/>
    <n v="75"/>
    <x v="1"/>
    <m/>
    <m/>
    <s v="Closed"/>
    <x v="1"/>
    <s v="NA"/>
    <n v="17"/>
    <d v="2025-11-03T09:58:35"/>
    <n v="1"/>
    <m/>
  </r>
  <r>
    <x v="0"/>
    <s v="0050728484"/>
    <s v="018580"/>
    <s v="0050728484-018580"/>
    <x v="37"/>
    <x v="64"/>
    <m/>
    <s v="OAC"/>
    <s v="KFG"/>
    <x v="477"/>
    <x v="1"/>
    <x v="0"/>
    <s v="ANSI 49"/>
    <d v="2026-01-29T00:00:00"/>
    <n v="23"/>
    <d v="2025-10-22T00:00:00"/>
    <d v="2025-10-30T00:00:00"/>
    <d v="2025-10-29T00:00:00"/>
    <b v="0"/>
    <x v="10"/>
    <n v="10"/>
    <n v="7"/>
    <n v="6"/>
    <x v="11"/>
    <s v="ON TIME"/>
    <x v="2"/>
    <x v="0"/>
    <m/>
    <x v="0"/>
    <n v="-14"/>
    <x v="0"/>
    <m/>
    <m/>
    <s v="Closed"/>
    <x v="0"/>
    <s v="NA"/>
    <n v="18"/>
    <d v="2025-11-02T02:21:19"/>
    <n v="1"/>
    <m/>
  </r>
  <r>
    <x v="0"/>
    <s v="0051378207"/>
    <s v="000270"/>
    <s v="0051378207-000260"/>
    <x v="77"/>
    <x v="63"/>
    <m/>
    <s v="RAS"/>
    <s v="FRC"/>
    <x v="478"/>
    <x v="1"/>
    <x v="0"/>
    <s v="ANSI 49"/>
    <d v="2026-02-23T00:00:00"/>
    <n v="28"/>
    <d v="2025-10-22T00:00:00"/>
    <d v="2025-10-29T00:00:00"/>
    <d v="2025-10-28T00:00:00"/>
    <b v="0"/>
    <x v="10"/>
    <n v="10"/>
    <n v="6"/>
    <n v="5"/>
    <x v="11"/>
    <s v="ON TIME"/>
    <x v="2"/>
    <x v="0"/>
    <m/>
    <x v="0"/>
    <n v="-20"/>
    <x v="0"/>
    <m/>
    <m/>
    <s v="Closed"/>
    <x v="0"/>
    <s v="NA"/>
    <n v="18"/>
    <d v="2025-11-01T02:21:19"/>
    <n v="1"/>
    <m/>
  </r>
  <r>
    <x v="0"/>
    <s v="0050545482"/>
    <s v="001630"/>
    <s v="0050545482-001630"/>
    <x v="17"/>
    <x v="65"/>
    <m/>
    <s v="ASP"/>
    <s v="LDT"/>
    <x v="479"/>
    <x v="1"/>
    <x v="0"/>
    <s v="ANSI 49"/>
    <s v="09/26/2025"/>
    <n v="-101"/>
    <d v="2025-10-23T00:00:00"/>
    <d v="2025-10-31T00:00:00"/>
    <d v="2025-10-27T00:00:00"/>
    <b v="0"/>
    <x v="10"/>
    <n v="10"/>
    <n v="6"/>
    <n v="3"/>
    <x v="16"/>
    <s v="ON TIME"/>
    <x v="2"/>
    <x v="1"/>
    <m/>
    <x v="0"/>
    <n v="103"/>
    <x v="1"/>
    <m/>
    <m/>
    <s v="Closed"/>
    <x v="1"/>
    <s v="NA"/>
    <n v="18"/>
    <d v="2025-11-03T02:21:19"/>
    <n v="1"/>
    <m/>
  </r>
  <r>
    <x v="0"/>
    <s v="051576246"/>
    <s v="000020&amp;30&amp;40&amp;50&amp;60"/>
    <s v="051576246-000020&amp;30&amp;40&amp;50&amp;60"/>
    <x v="64"/>
    <x v="46"/>
    <m/>
    <s v="JAM"/>
    <s v="IGS"/>
    <x v="480"/>
    <x v="0"/>
    <x v="0"/>
    <s v="ANSI 49"/>
    <d v="2026-01-08T00:00:00"/>
    <n v="2"/>
    <d v="2025-10-23T00:00:00"/>
    <d v="2025-10-31T00:00:00"/>
    <d v="2025-10-27T00:00:00"/>
    <b v="0"/>
    <x v="10"/>
    <n v="10"/>
    <n v="7"/>
    <n v="3"/>
    <x v="14"/>
    <s v="ON TIME"/>
    <x v="2"/>
    <x v="1"/>
    <s v="Missed"/>
    <x v="0"/>
    <n v="2"/>
    <x v="1"/>
    <m/>
    <m/>
    <s v="Closed"/>
    <x v="1"/>
    <s v="NA"/>
    <n v="18"/>
    <d v="2025-11-03T02:21:19"/>
    <n v="1"/>
    <m/>
  </r>
  <r>
    <x v="0"/>
    <s v="0011892449"/>
    <s v="000010"/>
    <s v="0011892449-000010"/>
    <x v="71"/>
    <x v="58"/>
    <m/>
    <s v="ALT"/>
    <s v="VL"/>
    <x v="481"/>
    <x v="1"/>
    <x v="0"/>
    <s v="ANSI 61"/>
    <d v="2025-11-10T00:00:00"/>
    <n v="13"/>
    <d v="2025-10-23T00:00:00"/>
    <d v="2025-10-31T00:00:00"/>
    <d v="2025-10-28T00:00:00"/>
    <b v="0"/>
    <x v="10"/>
    <n v="10"/>
    <n v="7"/>
    <n v="4"/>
    <x v="16"/>
    <s v="ON TIME"/>
    <x v="2"/>
    <x v="0"/>
    <m/>
    <x v="0"/>
    <n v="-9"/>
    <x v="0"/>
    <m/>
    <m/>
    <s v="Closed"/>
    <x v="0"/>
    <s v="NA"/>
    <n v="18"/>
    <d v="2025-11-03T02:21:19"/>
    <n v="1"/>
    <m/>
  </r>
  <r>
    <x v="0"/>
    <s v="0050384250"/>
    <s v="001230&amp;1260"/>
    <s v="0050384250-001230&amp;1260"/>
    <x v="69"/>
    <x v="57"/>
    <m/>
    <s v="HMA "/>
    <m/>
    <x v="482"/>
    <x v="0"/>
    <x v="0"/>
    <s v="ANSI 49"/>
    <d v="2026-09-06T00:00:00"/>
    <n v="35"/>
    <d v="2025-10-23T00:00:00"/>
    <d v="2025-10-30T00:00:00"/>
    <d v="2025-11-05T00:00:00"/>
    <b v="0"/>
    <x v="10"/>
    <n v="10"/>
    <n v="6"/>
    <n v="9"/>
    <x v="4"/>
    <s v="LATE"/>
    <x v="0"/>
    <x v="0"/>
    <m/>
    <x v="0"/>
    <n v="-23"/>
    <x v="0"/>
    <m/>
    <m/>
    <s v="Closed"/>
    <x v="0"/>
    <s v="NA"/>
    <n v="18"/>
    <d v="2025-11-02T02:21:19"/>
    <n v="1"/>
    <m/>
  </r>
  <r>
    <x v="0"/>
    <s v="0050384250"/>
    <s v="001230&amp;1260"/>
    <s v="0050384250-001230&amp;1260"/>
    <x v="69"/>
    <x v="57"/>
    <m/>
    <s v="HMA"/>
    <m/>
    <x v="483"/>
    <x v="0"/>
    <x v="0"/>
    <s v="ANSI 49"/>
    <d v="2026-09-06T00:00:00"/>
    <n v="35"/>
    <d v="2025-10-23T00:00:00"/>
    <d v="2025-10-30T00:00:00"/>
    <d v="2025-11-05T00:00:00"/>
    <b v="0"/>
    <x v="10"/>
    <n v="10"/>
    <n v="6"/>
    <n v="9"/>
    <x v="4"/>
    <s v="LATE"/>
    <x v="0"/>
    <x v="0"/>
    <m/>
    <x v="0"/>
    <n v="-23"/>
    <x v="0"/>
    <m/>
    <m/>
    <s v="Closed"/>
    <x v="0"/>
    <s v="NA"/>
    <n v="18"/>
    <d v="2025-11-02T02:21:19"/>
    <n v="1"/>
    <m/>
  </r>
  <r>
    <x v="0"/>
    <s v="0050384250"/>
    <s v="001240&amp;1250&amp;001270"/>
    <s v="0050384250-001240&amp;1250&amp;001270"/>
    <x v="69"/>
    <x v="57"/>
    <m/>
    <s v="ASP"/>
    <m/>
    <x v="484"/>
    <x v="0"/>
    <x v="0"/>
    <s v="ANSI 49"/>
    <d v="2026-06-30T00:00:00"/>
    <n v="35"/>
    <d v="2025-10-23T00:00:00"/>
    <d v="2025-11-03T00:00:00"/>
    <d v="2025-11-05T00:00:00"/>
    <b v="0"/>
    <x v="10"/>
    <n v="10"/>
    <n v="8"/>
    <n v="9"/>
    <x v="6"/>
    <s v="LATE"/>
    <x v="0"/>
    <x v="0"/>
    <m/>
    <x v="0"/>
    <n v="-23"/>
    <x v="0"/>
    <m/>
    <m/>
    <s v="Closed"/>
    <x v="0"/>
    <s v="NA"/>
    <n v="18"/>
    <d v="2025-11-06T02:21:19"/>
    <n v="1"/>
    <m/>
  </r>
  <r>
    <x v="0"/>
    <s v="0050384250"/>
    <s v="001240&amp;1250&amp;001270"/>
    <s v="0050384250-001240&amp;1250&amp;001270"/>
    <x v="69"/>
    <x v="57"/>
    <m/>
    <s v="ASP"/>
    <m/>
    <x v="485"/>
    <x v="0"/>
    <x v="0"/>
    <s v="ANSI 49"/>
    <d v="2026-06-30T00:00:00"/>
    <n v="35"/>
    <d v="2025-10-23T00:00:00"/>
    <d v="2025-11-03T00:00:00"/>
    <d v="2025-11-07T00:00:00"/>
    <b v="0"/>
    <x v="10"/>
    <n v="10"/>
    <n v="8"/>
    <n v="11"/>
    <x v="4"/>
    <s v="LATE"/>
    <x v="0"/>
    <x v="0"/>
    <m/>
    <x v="0"/>
    <n v="-21"/>
    <x v="0"/>
    <m/>
    <m/>
    <s v="Closed"/>
    <x v="0"/>
    <s v="NA"/>
    <n v="18"/>
    <d v="2025-11-06T02:21:19"/>
    <n v="1"/>
    <m/>
  </r>
  <r>
    <x v="0"/>
    <s v="0050384250"/>
    <s v="001230&amp;1260"/>
    <s v="0050384250-001230&amp;1260"/>
    <x v="69"/>
    <x v="57"/>
    <m/>
    <s v="HMA"/>
    <m/>
    <x v="486"/>
    <x v="0"/>
    <x v="0"/>
    <s v="ANSI 49"/>
    <d v="2026-09-06T00:00:00"/>
    <n v="35"/>
    <d v="2025-10-23T00:00:00"/>
    <d v="2025-11-04T00:00:00"/>
    <d v="2025-11-07T00:00:00"/>
    <b v="0"/>
    <x v="10"/>
    <n v="10"/>
    <n v="9"/>
    <n v="11"/>
    <x v="12"/>
    <s v="LATE"/>
    <x v="0"/>
    <x v="0"/>
    <m/>
    <x v="0"/>
    <n v="-21"/>
    <x v="0"/>
    <m/>
    <m/>
    <s v="Closed"/>
    <x v="0"/>
    <s v="NA"/>
    <n v="18"/>
    <d v="2025-11-07T02:21:19"/>
    <n v="1"/>
    <m/>
  </r>
  <r>
    <x v="0"/>
    <s v="0051199001"/>
    <s v="000010"/>
    <s v="0051199001-000010"/>
    <x v="38"/>
    <x v="50"/>
    <m/>
    <m/>
    <s v="ODE"/>
    <x v="487"/>
    <x v="1"/>
    <x v="0"/>
    <s v="RAL"/>
    <d v="2025-11-26T00:00:00"/>
    <n v="-15"/>
    <d v="2025-10-24T00:00:00"/>
    <d v="2025-11-03T00:00:00"/>
    <d v="2025-10-29T00:00:00"/>
    <b v="0"/>
    <x v="10"/>
    <n v="10"/>
    <n v="7"/>
    <n v="4"/>
    <x v="16"/>
    <s v="ON TIME"/>
    <x v="2"/>
    <x v="1"/>
    <s v="Substitution request"/>
    <x v="0"/>
    <n v="18"/>
    <x v="1"/>
    <m/>
    <m/>
    <s v="Closed"/>
    <x v="1"/>
    <s v="NA"/>
    <n v="18"/>
    <d v="2025-11-06T02:21:19"/>
    <n v="1"/>
    <m/>
  </r>
  <r>
    <x v="0"/>
    <s v="0011892449"/>
    <s v="000010"/>
    <s v="0011892449-000010"/>
    <x v="71"/>
    <x v="58"/>
    <m/>
    <s v="ALT"/>
    <s v="VL"/>
    <x v="488"/>
    <x v="1"/>
    <x v="1"/>
    <s v="ANSI 61"/>
    <d v="2025-11-10T00:00:00"/>
    <n v="12"/>
    <d v="2025-10-24T00:00:00"/>
    <d v="2025-10-25T00:00:00"/>
    <d v="2025-11-03T00:00:00"/>
    <b v="0"/>
    <x v="10"/>
    <n v="10"/>
    <n v="1"/>
    <n v="6"/>
    <x v="3"/>
    <s v="LATE"/>
    <x v="0"/>
    <x v="0"/>
    <m/>
    <x v="0"/>
    <n v="-6"/>
    <x v="0"/>
    <m/>
    <m/>
    <s v="Closed"/>
    <x v="0"/>
    <s v="NA"/>
    <n v="17"/>
    <d v="2025-10-25T09:58:35"/>
    <n v="1"/>
    <m/>
  </r>
  <r>
    <x v="0"/>
    <s v="JIRA"/>
    <s v="COUNTERMEASURE"/>
    <s v="JIRA-COUNTERMEASURE"/>
    <x v="79"/>
    <x v="66"/>
    <m/>
    <s v="MGL"/>
    <m/>
    <x v="489"/>
    <x v="0"/>
    <x v="1"/>
    <s v="ANSI 49"/>
    <s v="NA"/>
    <n v="14"/>
    <d v="2025-10-24T00:00:00"/>
    <d v="2025-11-05T00:00:00"/>
    <d v="2025-11-07T00:00:00"/>
    <b v="0"/>
    <x v="10"/>
    <n v="10"/>
    <n v="9"/>
    <n v="10"/>
    <x v="6"/>
    <s v="LATE"/>
    <x v="0"/>
    <x v="0"/>
    <s v="JIRA"/>
    <x v="0"/>
    <n v="-4"/>
    <x v="0"/>
    <m/>
    <m/>
    <s v="Closed"/>
    <x v="0"/>
    <s v="NA"/>
    <n v="17"/>
    <d v="2025-11-05T09:58:35"/>
    <n v="1"/>
    <m/>
  </r>
  <r>
    <x v="0"/>
    <s v="0051648563"/>
    <s v="000040"/>
    <s v="0051648563-000040"/>
    <x v="80"/>
    <x v="60"/>
    <m/>
    <s v="JAT"/>
    <s v="HUP"/>
    <x v="490"/>
    <x v="1"/>
    <x v="0"/>
    <s v="ANSI 49"/>
    <d v="2026-02-27T00:00:00"/>
    <n v="20"/>
    <d v="2025-10-24T00:00:00"/>
    <d v="2025-11-04T00:00:00"/>
    <d v="2025-11-05T00:00:00"/>
    <b v="0"/>
    <x v="10"/>
    <n v="10"/>
    <n v="8"/>
    <n v="8"/>
    <x v="9"/>
    <s v="ON TIME"/>
    <x v="2"/>
    <x v="0"/>
    <m/>
    <x v="0"/>
    <n v="-9"/>
    <x v="0"/>
    <m/>
    <m/>
    <s v="Closed"/>
    <x v="0"/>
    <s v="NA"/>
    <n v="18"/>
    <d v="2025-11-07T02:21:19"/>
    <n v="1"/>
    <m/>
  </r>
  <r>
    <x v="0"/>
    <s v="0051647770"/>
    <s v="000010"/>
    <s v="0051647770-000010"/>
    <x v="81"/>
    <x v="67"/>
    <m/>
    <s v="DEV"/>
    <m/>
    <x v="491"/>
    <x v="0"/>
    <x v="0"/>
    <s v="ANSI 49"/>
    <d v="2026-01-30T00:00:00"/>
    <n v="31"/>
    <d v="2025-10-28T00:00:00"/>
    <d v="2025-11-06T00:00:00"/>
    <d v="2025-11-14T00:00:00"/>
    <b v="0"/>
    <x v="10"/>
    <n v="10"/>
    <n v="8"/>
    <n v="13"/>
    <x v="3"/>
    <s v="LATE"/>
    <x v="0"/>
    <x v="0"/>
    <m/>
    <x v="0"/>
    <n v="-15"/>
    <x v="0"/>
    <m/>
    <m/>
    <s v="Closed"/>
    <x v="0"/>
    <s v="NA"/>
    <n v="18"/>
    <d v="2025-11-09T02:21:19"/>
    <n v="1"/>
    <m/>
  </r>
  <r>
    <x v="0"/>
    <s v="0051647770"/>
    <s v="000010"/>
    <s v="0051647770-000010"/>
    <x v="81"/>
    <x v="67"/>
    <m/>
    <s v="DEV"/>
    <m/>
    <x v="492"/>
    <x v="0"/>
    <x v="1"/>
    <s v="ANSI 49"/>
    <d v="2026-01-30T00:00:00"/>
    <n v="31"/>
    <d v="2025-10-28T00:00:00"/>
    <d v="2025-11-10T00:00:00"/>
    <d v="2025-10-29T00:00:00"/>
    <b v="0"/>
    <x v="10"/>
    <n v="10"/>
    <n v="10"/>
    <n v="2"/>
    <x v="10"/>
    <s v="ON TIME"/>
    <x v="2"/>
    <x v="0"/>
    <m/>
    <x v="0"/>
    <n v="-26"/>
    <x v="0"/>
    <m/>
    <m/>
    <s v="Closed"/>
    <x v="0"/>
    <s v="NA"/>
    <n v="0"/>
    <d v="2025-11-10T09:58:35"/>
    <n v="0"/>
    <m/>
  </r>
  <r>
    <x v="0"/>
    <s v="0051647770"/>
    <s v="000010"/>
    <s v="0051647770-000010"/>
    <x v="81"/>
    <x v="67"/>
    <m/>
    <s v="DEV"/>
    <m/>
    <x v="493"/>
    <x v="0"/>
    <x v="1"/>
    <s v="ANSI 49"/>
    <d v="2026-01-30T00:00:00"/>
    <n v="31"/>
    <d v="2025-10-28T00:00:00"/>
    <d v="2025-11-10T00:00:00"/>
    <d v="2025-11-06T00:00:00"/>
    <b v="0"/>
    <x v="10"/>
    <n v="10"/>
    <n v="10"/>
    <n v="7"/>
    <x v="16"/>
    <s v="ON TIME"/>
    <x v="2"/>
    <x v="0"/>
    <m/>
    <x v="0"/>
    <n v="-21"/>
    <x v="0"/>
    <m/>
    <m/>
    <s v="Closed"/>
    <x v="0"/>
    <s v="NA"/>
    <n v="17"/>
    <d v="2025-11-10T09:58:35"/>
    <n v="1"/>
    <m/>
  </r>
  <r>
    <x v="0"/>
    <s v="0051095105"/>
    <s v="000410"/>
    <s v="0051095105-000410"/>
    <x v="72"/>
    <x v="59"/>
    <m/>
    <s v="JAM"/>
    <s v="OAL"/>
    <x v="494"/>
    <x v="0"/>
    <x v="1"/>
    <s v="ANSI 49"/>
    <d v="2026-05-15T00:00:00"/>
    <n v="28"/>
    <d v="2025-10-29T00:00:00"/>
    <d v="2025-11-11T00:00:00"/>
    <d v="2025-11-19T00:00:00"/>
    <b v="0"/>
    <x v="10"/>
    <n v="10"/>
    <n v="10"/>
    <n v="13"/>
    <x v="4"/>
    <s v="LATE"/>
    <x v="0"/>
    <x v="0"/>
    <m/>
    <x v="0"/>
    <n v="-11"/>
    <x v="0"/>
    <m/>
    <m/>
    <s v="Closed"/>
    <x v="0"/>
    <s v="NA"/>
    <n v="17"/>
    <d v="2025-11-11T09:58:35"/>
    <n v="1"/>
    <m/>
  </r>
  <r>
    <x v="0"/>
    <s v="0051647770"/>
    <s v="000010"/>
    <s v="0051647770-000010"/>
    <x v="81"/>
    <x v="67"/>
    <m/>
    <s v="DEV"/>
    <m/>
    <x v="495"/>
    <x v="0"/>
    <x v="0"/>
    <s v="ANSI 49"/>
    <d v="2026-01-30T00:00:00"/>
    <n v="30"/>
    <d v="2025-10-29T00:00:00"/>
    <d v="2025-11-06T00:00:00"/>
    <d v="2025-11-14T00:00:00"/>
    <b v="0"/>
    <x v="10"/>
    <n v="10"/>
    <n v="7"/>
    <n v="12"/>
    <x v="3"/>
    <s v="LATE"/>
    <x v="0"/>
    <x v="0"/>
    <m/>
    <x v="0"/>
    <n v="-15"/>
    <x v="0"/>
    <m/>
    <m/>
    <s v="Closed"/>
    <x v="0"/>
    <s v="NA"/>
    <n v="18"/>
    <d v="2025-11-09T02:21:19"/>
    <n v="1"/>
    <m/>
  </r>
  <r>
    <x v="0"/>
    <s v="0051648563"/>
    <s v="000070"/>
    <s v="0051648563-000070"/>
    <x v="80"/>
    <x v="60"/>
    <m/>
    <s v="JAT"/>
    <s v="IGS"/>
    <x v="496"/>
    <x v="1"/>
    <x v="0"/>
    <s v="ANSI 49"/>
    <d v="2026-01-13T00:00:00"/>
    <n v="16"/>
    <d v="2025-10-30T00:00:00"/>
    <d v="2025-11-07T00:00:00"/>
    <d v="2025-11-07T00:00:00"/>
    <b v="0"/>
    <x v="10"/>
    <n v="10"/>
    <n v="7"/>
    <n v="6"/>
    <x v="11"/>
    <s v="ON TIME"/>
    <x v="2"/>
    <x v="0"/>
    <m/>
    <x v="0"/>
    <n v="-7"/>
    <x v="0"/>
    <m/>
    <m/>
    <s v="Closed"/>
    <x v="0"/>
    <s v="NA"/>
    <n v="18"/>
    <d v="2025-11-10T02:21:19"/>
    <n v="1"/>
    <m/>
  </r>
  <r>
    <x v="0"/>
    <s v="0051536680"/>
    <s v="000030"/>
    <s v="0051536680-000030"/>
    <x v="55"/>
    <x v="68"/>
    <m/>
    <s v="DRV"/>
    <s v="AL"/>
    <x v="497"/>
    <x v="1"/>
    <x v="0"/>
    <s v="ANSI 49"/>
    <d v="2026-02-06T00:00:00"/>
    <n v="35"/>
    <d v="2025-11-03T00:00:00"/>
    <d v="2025-11-11T00:00:00"/>
    <d v="2025-11-12T00:00:00"/>
    <b v="0"/>
    <x v="11"/>
    <n v="10"/>
    <n v="7"/>
    <n v="8"/>
    <x v="6"/>
    <s v="LATE"/>
    <x v="0"/>
    <x v="0"/>
    <m/>
    <x v="0"/>
    <n v="-24"/>
    <x v="0"/>
    <m/>
    <m/>
    <s v="Closed"/>
    <x v="0"/>
    <s v="NA"/>
    <n v="18"/>
    <d v="2025-11-14T02:21:19"/>
    <n v="1"/>
    <m/>
  </r>
  <r>
    <x v="0"/>
    <s v="0051536680"/>
    <s v="000030"/>
    <s v="0051536680-000030"/>
    <x v="55"/>
    <x v="68"/>
    <m/>
    <s v="DRV"/>
    <s v="AL"/>
    <x v="498"/>
    <x v="1"/>
    <x v="0"/>
    <s v="ANSI 49"/>
    <d v="2026-02-06T00:00:00"/>
    <n v="35"/>
    <d v="2025-11-03T00:00:00"/>
    <d v="2025-11-11T00:00:00"/>
    <d v="2025-11-12T00:00:00"/>
    <b v="0"/>
    <x v="11"/>
    <n v="10"/>
    <n v="7"/>
    <n v="8"/>
    <x v="6"/>
    <s v="LATE"/>
    <x v="0"/>
    <x v="0"/>
    <m/>
    <x v="0"/>
    <n v="-24"/>
    <x v="0"/>
    <m/>
    <m/>
    <s v="Closed"/>
    <x v="0"/>
    <s v="NA"/>
    <n v="18"/>
    <d v="2025-11-14T02:21:19"/>
    <n v="1"/>
    <m/>
  </r>
  <r>
    <x v="0"/>
    <s v="0051536680"/>
    <s v="000030"/>
    <s v="0051536680-000030"/>
    <x v="55"/>
    <x v="68"/>
    <m/>
    <s v="DRV"/>
    <s v="AL"/>
    <x v="499"/>
    <x v="1"/>
    <x v="0"/>
    <s v="ANSI 49"/>
    <d v="2026-02-06T00:00:00"/>
    <n v="35"/>
    <d v="2025-11-03T00:00:00"/>
    <d v="2025-11-11T00:00:00"/>
    <d v="2025-11-12T00:00:00"/>
    <b v="0"/>
    <x v="11"/>
    <n v="10"/>
    <n v="7"/>
    <n v="8"/>
    <x v="6"/>
    <s v="LATE"/>
    <x v="0"/>
    <x v="0"/>
    <m/>
    <x v="0"/>
    <n v="-24"/>
    <x v="0"/>
    <m/>
    <m/>
    <s v="Closed"/>
    <x v="0"/>
    <s v="NA"/>
    <n v="18"/>
    <d v="2025-11-14T02:21:19"/>
    <n v="1"/>
    <m/>
  </r>
  <r>
    <x v="0"/>
    <s v="0051378342"/>
    <s v="000010"/>
    <s v="0051378342-000010"/>
    <x v="66"/>
    <x v="54"/>
    <m/>
    <s v="DEV"/>
    <s v="VL"/>
    <x v="500"/>
    <x v="0"/>
    <x v="1"/>
    <s v="ANSI 61"/>
    <d v="2026-03-02T00:00:00"/>
    <n v="-7"/>
    <d v="2025-11-04T00:00:00"/>
    <d v="2025-11-14T00:00:00"/>
    <d v="2025-11-07T00:00:00"/>
    <b v="0"/>
    <x v="11"/>
    <n v="10"/>
    <n v="9"/>
    <n v="4"/>
    <x v="23"/>
    <s v="ON TIME"/>
    <x v="2"/>
    <x v="1"/>
    <s v="RELAY SPARE PN"/>
    <x v="0"/>
    <n v="9"/>
    <x v="1"/>
    <m/>
    <m/>
    <s v="Closed"/>
    <x v="1"/>
    <s v="NA"/>
    <n v="17"/>
    <d v="2025-11-14T09:58:35"/>
    <n v="1"/>
    <m/>
  </r>
  <r>
    <x v="0"/>
    <s v="0051659711"/>
    <s v="000060"/>
    <s v="0051659711-000060"/>
    <x v="82"/>
    <x v="63"/>
    <m/>
    <s v="JRC"/>
    <s v="CML"/>
    <x v="501"/>
    <x v="0"/>
    <x v="0"/>
    <s v="ANSI 49"/>
    <d v="2026-09-02T00:00:00"/>
    <n v="19"/>
    <d v="2025-11-04T00:00:00"/>
    <d v="2025-11-11T00:00:00"/>
    <d v="2025-11-12T00:00:00"/>
    <b v="0"/>
    <x v="11"/>
    <n v="10"/>
    <n v="6"/>
    <n v="7"/>
    <x v="6"/>
    <s v="LATE"/>
    <x v="0"/>
    <x v="0"/>
    <m/>
    <x v="0"/>
    <n v="-10"/>
    <x v="0"/>
    <m/>
    <m/>
    <s v="Closed"/>
    <x v="0"/>
    <s v="NA"/>
    <n v="18"/>
    <d v="2025-11-14T02:21:19"/>
    <n v="1"/>
    <m/>
  </r>
  <r>
    <x v="0"/>
    <s v="0051659711"/>
    <s v="000060"/>
    <s v="0051659711-000060"/>
    <x v="82"/>
    <x v="63"/>
    <m/>
    <s v="JRC"/>
    <s v="CML"/>
    <x v="502"/>
    <x v="0"/>
    <x v="0"/>
    <s v="ANSI 49"/>
    <d v="2026-09-02T00:00:00"/>
    <n v="18"/>
    <d v="2025-11-05T00:00:00"/>
    <d v="2025-11-13T00:00:00"/>
    <d v="2025-11-12T00:00:00"/>
    <b v="0"/>
    <x v="11"/>
    <n v="10"/>
    <n v="7"/>
    <n v="6"/>
    <x v="11"/>
    <s v="ON TIME"/>
    <x v="2"/>
    <x v="0"/>
    <m/>
    <x v="0"/>
    <n v="-10"/>
    <x v="0"/>
    <m/>
    <m/>
    <s v="Closed"/>
    <x v="0"/>
    <s v="NA"/>
    <n v="18"/>
    <d v="2025-11-16T02:21:19"/>
    <n v="1"/>
    <m/>
  </r>
  <r>
    <x v="1"/>
    <s v="SWBD"/>
    <s v="META F2.0"/>
    <s v="SWBD-META F2.0"/>
    <x v="76"/>
    <x v="64"/>
    <m/>
    <s v="ALT"/>
    <s v="AL"/>
    <x v="503"/>
    <x v="1"/>
    <x v="2"/>
    <s v="ANSI 49"/>
    <s v="NA"/>
    <n v="11"/>
    <d v="2025-11-07T00:00:00"/>
    <d v="2025-11-13T00:00:00"/>
    <d v="2025-11-14T00:00:00"/>
    <b v="0"/>
    <x v="11"/>
    <n v="10"/>
    <n v="5"/>
    <n v="6"/>
    <x v="6"/>
    <s v="LATE"/>
    <x v="0"/>
    <x v="0"/>
    <m/>
    <x v="0"/>
    <n v="-3"/>
    <x v="0"/>
    <m/>
    <m/>
    <s v="Closed"/>
    <x v="0"/>
    <s v="NA"/>
    <n v="11"/>
    <d v="2025-11-13T09:58:35"/>
    <n v="1"/>
    <m/>
  </r>
  <r>
    <x v="1"/>
    <s v="SWBD"/>
    <s v="META F2.0"/>
    <s v="SWBD-META F2.0"/>
    <x v="76"/>
    <x v="64"/>
    <m/>
    <s v="ALT"/>
    <s v="AL"/>
    <x v="504"/>
    <x v="1"/>
    <x v="0"/>
    <s v="ANSI 49"/>
    <s v="NA"/>
    <n v="11"/>
    <d v="2025-11-07T00:00:00"/>
    <d v="2025-11-14T00:00:00"/>
    <d v="2025-11-13T00:00:00"/>
    <b v="0"/>
    <x v="11"/>
    <n v="10"/>
    <n v="6"/>
    <n v="5"/>
    <x v="11"/>
    <s v="ON TIME"/>
    <x v="2"/>
    <x v="0"/>
    <m/>
    <x v="0"/>
    <n v="-4"/>
    <x v="0"/>
    <m/>
    <m/>
    <s v="Closed"/>
    <x v="0"/>
    <s v="NA"/>
    <n v="18"/>
    <d v="2025-11-17T02:21:19"/>
    <n v="1"/>
    <m/>
  </r>
  <r>
    <x v="1"/>
    <s v="SWBD"/>
    <s v="META F2.0"/>
    <s v="SWBD-META F2.0"/>
    <x v="76"/>
    <x v="64"/>
    <m/>
    <s v="ALT"/>
    <s v="AL"/>
    <x v="505"/>
    <x v="1"/>
    <x v="1"/>
    <s v="ANSI 49"/>
    <s v="NA"/>
    <n v="11"/>
    <d v="2025-11-07T00:00:00"/>
    <d v="2025-11-19T00:00:00"/>
    <d v="2025-11-13T00:00:00"/>
    <b v="0"/>
    <x v="11"/>
    <n v="10"/>
    <n v="9"/>
    <n v="5"/>
    <x v="14"/>
    <s v="ON TIME"/>
    <x v="2"/>
    <x v="0"/>
    <m/>
    <x v="0"/>
    <n v="-4"/>
    <x v="0"/>
    <m/>
    <m/>
    <s v="Closed"/>
    <x v="0"/>
    <s v="NA"/>
    <n v="17"/>
    <d v="2025-11-19T09:58:35"/>
    <n v="1"/>
    <m/>
  </r>
  <r>
    <x v="0"/>
    <s v="0051095105"/>
    <s v="000410"/>
    <s v="0051095105-000410"/>
    <x v="72"/>
    <x v="59"/>
    <m/>
    <s v="JAM"/>
    <m/>
    <x v="506"/>
    <x v="0"/>
    <x v="0"/>
    <s v="ANSI 49"/>
    <d v="2026-05-15T00:00:00"/>
    <n v="21"/>
    <d v="2025-11-07T00:00:00"/>
    <d v="2025-11-14T00:00:00"/>
    <d v="2025-11-14T00:00:00"/>
    <b v="0"/>
    <x v="11"/>
    <n v="10"/>
    <n v="6"/>
    <n v="6"/>
    <x v="9"/>
    <s v="ON TIME"/>
    <x v="2"/>
    <x v="0"/>
    <m/>
    <x v="0"/>
    <n v="-13"/>
    <x v="0"/>
    <m/>
    <m/>
    <s v="Closed"/>
    <x v="0"/>
    <s v="NA"/>
    <n v="18"/>
    <d v="2025-11-17T02:21:19"/>
    <n v="1"/>
    <m/>
  </r>
  <r>
    <x v="0"/>
    <s v="SPECIAL"/>
    <s v="SPECIAL"/>
    <s v="SPECIAL-SPECIAL"/>
    <x v="83"/>
    <x v="69"/>
    <m/>
    <s v="UFA"/>
    <m/>
    <x v="507"/>
    <x v="0"/>
    <x v="1"/>
    <s v="NA"/>
    <s v="NA"/>
    <n v="11"/>
    <d v="2025-11-10T00:00:00"/>
    <d v="2025-11-24T00:00:00"/>
    <d v="2025-11-19T00:00:00"/>
    <b v="0"/>
    <x v="11"/>
    <n v="10"/>
    <n v="11"/>
    <n v="6"/>
    <x v="23"/>
    <s v="ON TIME"/>
    <x v="2"/>
    <x v="0"/>
    <m/>
    <x v="0"/>
    <n v="-2"/>
    <x v="0"/>
    <m/>
    <m/>
    <s v="Closed"/>
    <x v="0"/>
    <s v="NA"/>
    <n v="17"/>
    <d v="2025-11-24T09:58:35"/>
    <n v="1"/>
    <m/>
  </r>
  <r>
    <x v="0"/>
    <s v="_x0009_0051659711"/>
    <s v="000090"/>
    <s v="_x0009_0051659711-000090"/>
    <x v="82"/>
    <x v="63"/>
    <m/>
    <s v="JRC"/>
    <m/>
    <x v="508"/>
    <x v="1"/>
    <x v="0"/>
    <s v="ANSI 49"/>
    <d v="2026-09-02T00:00:00"/>
    <n v="15"/>
    <d v="2025-11-10T00:00:00"/>
    <d v="2025-11-18T00:00:00"/>
    <d v="2025-11-20T00:00:00"/>
    <b v="0"/>
    <x v="11"/>
    <n v="10"/>
    <n v="7"/>
    <n v="6"/>
    <x v="11"/>
    <s v="ON TIME"/>
    <x v="2"/>
    <x v="0"/>
    <m/>
    <x v="0"/>
    <n v="-6"/>
    <x v="0"/>
    <m/>
    <m/>
    <s v="Closed"/>
    <x v="0"/>
    <s v="NA"/>
    <n v="18"/>
    <d v="2025-11-21T02:21:19"/>
    <n v="1"/>
    <m/>
  </r>
  <r>
    <x v="0"/>
    <s v="0051378207"/>
    <s v="000270"/>
    <s v="0051378207-000270"/>
    <x v="77"/>
    <x v="63"/>
    <m/>
    <s v="RAS"/>
    <s v="FRC"/>
    <x v="509"/>
    <x v="0"/>
    <x v="1"/>
    <s v="ANSI 49"/>
    <d v="2026-01-29T00:00:00"/>
    <n v="15"/>
    <d v="2025-11-10T00:00:00"/>
    <d v="2025-11-20T00:00:00"/>
    <d v="2025-11-11T00:00:00"/>
    <b v="0"/>
    <x v="11"/>
    <n v="10"/>
    <n v="9"/>
    <n v="2"/>
    <x v="25"/>
    <s v="ON TIME"/>
    <x v="2"/>
    <x v="0"/>
    <m/>
    <x v="1"/>
    <n v="-11"/>
    <x v="0"/>
    <m/>
    <m/>
    <s v="Cancelled"/>
    <x v="0"/>
    <s v="NA"/>
    <n v="0"/>
    <d v="2025-11-20T09:58:35"/>
    <n v="0"/>
    <m/>
  </r>
  <r>
    <x v="0"/>
    <s v="_x0009_0051659711"/>
    <s v="000090"/>
    <s v="_x0009_0051659711-000090"/>
    <x v="82"/>
    <x v="63"/>
    <m/>
    <s v="JRC"/>
    <m/>
    <x v="510"/>
    <x v="1"/>
    <x v="1"/>
    <s v="ANSI 49"/>
    <d v="2026-09-02T00:00:00"/>
    <n v="15"/>
    <d v="2025-11-10T00:00:00"/>
    <d v="2025-11-20T00:00:00"/>
    <d v="2025-11-20T00:00:00"/>
    <b v="0"/>
    <x v="11"/>
    <n v="10"/>
    <n v="9"/>
    <n v="6"/>
    <x v="16"/>
    <s v="ON TIME"/>
    <x v="2"/>
    <x v="0"/>
    <m/>
    <x v="0"/>
    <n v="-6"/>
    <x v="0"/>
    <m/>
    <m/>
    <s v="Closed"/>
    <x v="0"/>
    <s v="NA"/>
    <n v="17"/>
    <d v="2025-11-20T09:58:35"/>
    <n v="1"/>
    <m/>
  </r>
  <r>
    <x v="0"/>
    <s v="0051024393"/>
    <s v="000310"/>
    <s v="0051024393-000310"/>
    <x v="84"/>
    <x v="70"/>
    <d v="2025-12-15T00:00:00"/>
    <s v="HMA"/>
    <s v="ISQ"/>
    <x v="511"/>
    <x v="0"/>
    <x v="0"/>
    <s v="ANSI 61"/>
    <d v="2026-03-02T00:00:00"/>
    <n v="31"/>
    <d v="2025-11-10T00:00:00"/>
    <d v="2025-11-19T00:00:00"/>
    <d v="2025-12-10T00:00:00"/>
    <b v="0"/>
    <x v="11"/>
    <n v="10"/>
    <n v="8"/>
    <n v="20"/>
    <x v="26"/>
    <s v="LATE"/>
    <x v="0"/>
    <x v="0"/>
    <m/>
    <x v="0"/>
    <n v="-8"/>
    <x v="0"/>
    <m/>
    <m/>
    <s v="Closed"/>
    <x v="0"/>
    <s v="NA"/>
    <n v="18"/>
    <d v="2025-11-22T02:21:19"/>
    <n v="1"/>
    <m/>
  </r>
  <r>
    <x v="0"/>
    <s v="0051659711"/>
    <s v="000090"/>
    <s v="0051659711-000060"/>
    <x v="82"/>
    <x v="63"/>
    <m/>
    <s v="JRC"/>
    <s v="CML"/>
    <x v="512"/>
    <x v="1"/>
    <x v="0"/>
    <s v="ANSI 49"/>
    <d v="2026-09-02T00:00:00"/>
    <n v="14"/>
    <d v="2025-11-11T00:00:00"/>
    <d v="2025-11-18T00:00:00"/>
    <d v="2025-11-17T00:00:00"/>
    <b v="0"/>
    <x v="11"/>
    <n v="10"/>
    <n v="6"/>
    <n v="4"/>
    <x v="5"/>
    <s v="ON TIME"/>
    <x v="2"/>
    <x v="0"/>
    <m/>
    <x v="0"/>
    <n v="-7"/>
    <x v="0"/>
    <m/>
    <m/>
    <s v="Closed"/>
    <x v="0"/>
    <s v="NA"/>
    <n v="18"/>
    <d v="2025-11-21T02:21:19"/>
    <n v="1"/>
    <m/>
  </r>
  <r>
    <x v="0"/>
    <s v="0051378207"/>
    <s v="000270"/>
    <s v="0051378207-000270"/>
    <x v="77"/>
    <x v="63"/>
    <m/>
    <s v="RAS"/>
    <s v="FRC"/>
    <x v="513"/>
    <x v="1"/>
    <x v="0"/>
    <s v="ANSI 49"/>
    <d v="2026-09-02T00:00:00"/>
    <n v="14"/>
    <d v="2025-11-11T00:00:00"/>
    <d v="2025-11-19T00:00:00"/>
    <d v="2025-11-12T00:00:00"/>
    <b v="0"/>
    <x v="11"/>
    <n v="10"/>
    <n v="7"/>
    <n v="2"/>
    <x v="23"/>
    <s v="ON TIME"/>
    <x v="2"/>
    <x v="0"/>
    <m/>
    <x v="1"/>
    <n v="-10"/>
    <x v="0"/>
    <m/>
    <m/>
    <s v="Cancelled"/>
    <x v="0"/>
    <s v="NA"/>
    <n v="0"/>
    <d v="2025-11-22T02:21:19"/>
    <n v="0"/>
    <m/>
  </r>
  <r>
    <x v="0"/>
    <s v="0051378207"/>
    <s v="000270"/>
    <s v="0051378207-000270"/>
    <x v="77"/>
    <x v="63"/>
    <m/>
    <s v="RAS"/>
    <s v="FRC"/>
    <x v="514"/>
    <x v="1"/>
    <x v="0"/>
    <s v="ANSI 49"/>
    <d v="2026-09-02T00:00:00"/>
    <n v="14"/>
    <d v="2025-11-11T00:00:00"/>
    <d v="2025-11-19T00:00:00"/>
    <m/>
    <b v="1"/>
    <x v="11"/>
    <n v="10"/>
    <n v="7"/>
    <n v="86"/>
    <x v="30"/>
    <s v="LATE"/>
    <x v="1"/>
    <x v="0"/>
    <m/>
    <x v="1"/>
    <n v="76"/>
    <x v="1"/>
    <m/>
    <s v="PN active in existing WF"/>
    <s v="Cancelled"/>
    <x v="1"/>
    <s v="NA"/>
    <n v="0"/>
    <d v="2025-11-22T02:21:19"/>
    <n v="0"/>
    <m/>
  </r>
  <r>
    <x v="0"/>
    <s v="0051378207"/>
    <s v="000270"/>
    <s v="0051378207-000270"/>
    <x v="77"/>
    <x v="63"/>
    <m/>
    <s v="RAS"/>
    <s v="FRC"/>
    <x v="515"/>
    <x v="1"/>
    <x v="0"/>
    <s v="ANSI 49"/>
    <d v="2026-09-02T00:00:00"/>
    <n v="14"/>
    <d v="2025-11-11T00:00:00"/>
    <d v="2025-11-19T00:00:00"/>
    <d v="2025-11-22T00:00:00"/>
    <b v="0"/>
    <x v="11"/>
    <n v="10"/>
    <n v="7"/>
    <n v="6"/>
    <x v="11"/>
    <s v="ON TIME"/>
    <x v="2"/>
    <x v="0"/>
    <m/>
    <x v="0"/>
    <n v="-5"/>
    <x v="0"/>
    <m/>
    <m/>
    <s v="Closed"/>
    <x v="0"/>
    <s v="NA"/>
    <n v="18"/>
    <d v="2025-11-22T02:21:19"/>
    <n v="1"/>
    <m/>
  </r>
  <r>
    <x v="0"/>
    <s v="0051041146"/>
    <s v="000100"/>
    <s v="0051041146-000100"/>
    <x v="85"/>
    <x v="63"/>
    <m/>
    <s v="ASP"/>
    <m/>
    <x v="516"/>
    <x v="0"/>
    <x v="0"/>
    <s v="ANSI 49"/>
    <d v="2026-11-02T00:00:00"/>
    <n v="14"/>
    <d v="2025-11-11T00:00:00"/>
    <d v="2025-11-20T00:00:00"/>
    <d v="2025-11-26T00:00:00"/>
    <b v="0"/>
    <x v="11"/>
    <n v="10"/>
    <n v="8"/>
    <n v="9"/>
    <x v="6"/>
    <s v="LATE"/>
    <x v="0"/>
    <x v="0"/>
    <m/>
    <x v="0"/>
    <n v="-3"/>
    <x v="0"/>
    <m/>
    <m/>
    <s v="Closed"/>
    <x v="0"/>
    <s v="NA"/>
    <n v="18"/>
    <d v="2025-11-23T02:21:19"/>
    <n v="1"/>
    <m/>
  </r>
  <r>
    <x v="0"/>
    <s v="0051659711"/>
    <s v="000090"/>
    <s v="0051659711-000060"/>
    <x v="82"/>
    <x v="63"/>
    <m/>
    <s v="JRC"/>
    <s v="CML"/>
    <x v="517"/>
    <x v="1"/>
    <x v="1"/>
    <s v="ANSI 49"/>
    <d v="2026-09-02T00:00:00"/>
    <n v="14"/>
    <d v="2025-11-11T00:00:00"/>
    <d v="2025-11-21T00:00:00"/>
    <d v="2025-11-12T00:00:00"/>
    <b v="0"/>
    <x v="11"/>
    <n v="10"/>
    <n v="9"/>
    <n v="2"/>
    <x v="25"/>
    <s v="ON TIME"/>
    <x v="2"/>
    <x v="0"/>
    <m/>
    <x v="1"/>
    <n v="-10"/>
    <x v="0"/>
    <m/>
    <s v="One Shuttle error"/>
    <s v="Cancelled"/>
    <x v="0"/>
    <s v="NA"/>
    <n v="0"/>
    <d v="2025-11-21T09:58:35"/>
    <n v="0"/>
    <m/>
  </r>
  <r>
    <x v="0"/>
    <s v="0051041146"/>
    <s v="000100"/>
    <s v="0051041146-000100"/>
    <x v="85"/>
    <x v="63"/>
    <m/>
    <s v="ASP"/>
    <m/>
    <x v="518"/>
    <x v="0"/>
    <x v="1"/>
    <s v="ANSI 49"/>
    <d v="2026-11-02T00:00:00"/>
    <n v="14"/>
    <d v="2025-11-11T00:00:00"/>
    <d v="2025-11-21T00:00:00"/>
    <d v="2025-11-20T00:00:00"/>
    <b v="0"/>
    <x v="11"/>
    <n v="10"/>
    <n v="9"/>
    <n v="5"/>
    <x v="14"/>
    <s v="ON TIME"/>
    <x v="2"/>
    <x v="0"/>
    <m/>
    <x v="0"/>
    <n v="-6"/>
    <x v="0"/>
    <m/>
    <m/>
    <s v="Closed"/>
    <x v="0"/>
    <s v="NA"/>
    <n v="17"/>
    <d v="2025-11-21T09:58:35"/>
    <n v="1"/>
    <m/>
  </r>
  <r>
    <x v="0"/>
    <s v="0051378207"/>
    <s v="000270"/>
    <s v="0051378207-000270"/>
    <x v="77"/>
    <x v="63"/>
    <m/>
    <s v="RAS"/>
    <s v="FRC"/>
    <x v="519"/>
    <x v="1"/>
    <x v="1"/>
    <s v="ANSI 49"/>
    <d v="2026-09-02T00:00:00"/>
    <n v="14"/>
    <d v="2025-11-11T00:00:00"/>
    <d v="2025-11-21T00:00:00"/>
    <d v="2025-11-20T00:00:00"/>
    <b v="0"/>
    <x v="11"/>
    <n v="10"/>
    <n v="9"/>
    <n v="5"/>
    <x v="14"/>
    <s v="ON TIME"/>
    <x v="2"/>
    <x v="0"/>
    <m/>
    <x v="0"/>
    <n v="-6"/>
    <x v="0"/>
    <m/>
    <m/>
    <s v="Closed"/>
    <x v="0"/>
    <s v="NA"/>
    <n v="17"/>
    <d v="2025-11-21T09:58:35"/>
    <n v="1"/>
    <m/>
  </r>
  <r>
    <x v="0"/>
    <s v="0051041146"/>
    <s v="000100"/>
    <s v="0051041146-000100"/>
    <x v="85"/>
    <x v="63"/>
    <m/>
    <s v="ASP"/>
    <m/>
    <x v="520"/>
    <x v="0"/>
    <x v="1"/>
    <s v="ANSI 49"/>
    <d v="2026-11-02T00:00:00"/>
    <n v="14"/>
    <d v="2025-11-11T00:00:00"/>
    <d v="2025-11-25T00:00:00"/>
    <d v="2025-11-26T00:00:00"/>
    <b v="0"/>
    <x v="11"/>
    <n v="10"/>
    <n v="11"/>
    <n v="9"/>
    <x v="5"/>
    <s v="ON TIME"/>
    <x v="2"/>
    <x v="0"/>
    <m/>
    <x v="0"/>
    <n v="-3"/>
    <x v="0"/>
    <m/>
    <m/>
    <s v="Closed"/>
    <x v="0"/>
    <s v="NA"/>
    <n v="17"/>
    <d v="2025-11-25T09:58:35"/>
    <n v="1"/>
    <m/>
  </r>
  <r>
    <x v="0"/>
    <s v="0051378207"/>
    <s v="000270"/>
    <s v="0051378207-000270"/>
    <x v="77"/>
    <x v="63"/>
    <m/>
    <s v="RAS"/>
    <s v="FRC"/>
    <x v="521"/>
    <x v="1"/>
    <x v="0"/>
    <s v="ANSI 49"/>
    <d v="2026-09-02T00:00:00"/>
    <n v="13"/>
    <d v="2025-11-12T00:00:00"/>
    <d v="2025-11-19T00:00:00"/>
    <d v="2025-11-24T00:00:00"/>
    <b v="0"/>
    <x v="11"/>
    <n v="10"/>
    <n v="6"/>
    <n v="6"/>
    <x v="9"/>
    <s v="ON TIME"/>
    <x v="2"/>
    <x v="0"/>
    <m/>
    <x v="0"/>
    <n v="-5"/>
    <x v="0"/>
    <m/>
    <m/>
    <s v="Closed"/>
    <x v="0"/>
    <s v="NA"/>
    <n v="18"/>
    <d v="2025-11-22T02:21:19"/>
    <n v="1"/>
    <m/>
  </r>
  <r>
    <x v="0"/>
    <s v="0051378207"/>
    <s v="000270"/>
    <s v="0051378207-000270"/>
    <x v="77"/>
    <x v="63"/>
    <m/>
    <s v="RAS"/>
    <s v="FRC"/>
    <x v="522"/>
    <x v="0"/>
    <x v="0"/>
    <s v="ANSI 49"/>
    <d v="2026-09-02T00:00:00"/>
    <n v="13"/>
    <d v="2025-11-12T00:00:00"/>
    <d v="2025-11-20T00:00:00"/>
    <d v="2025-11-21T00:00:00"/>
    <b v="0"/>
    <x v="11"/>
    <n v="10"/>
    <n v="7"/>
    <n v="5"/>
    <x v="5"/>
    <s v="ON TIME"/>
    <x v="2"/>
    <x v="0"/>
    <m/>
    <x v="0"/>
    <n v="-6"/>
    <x v="0"/>
    <m/>
    <m/>
    <s v="Closed"/>
    <x v="0"/>
    <s v="NA"/>
    <n v="18"/>
    <d v="2025-11-23T02:21:19"/>
    <n v="1"/>
    <m/>
  </r>
  <r>
    <x v="0"/>
    <s v="0051659722"/>
    <s v="000090"/>
    <s v="0051659722-000090"/>
    <x v="86"/>
    <x v="63"/>
    <m/>
    <s v="JRC"/>
    <m/>
    <x v="523"/>
    <x v="1"/>
    <x v="1"/>
    <s v="ANSI 49"/>
    <d v="2026-10-02T00:00:00"/>
    <n v="13"/>
    <d v="2025-11-12T00:00:00"/>
    <d v="2025-11-24T00:00:00"/>
    <d v="2025-11-13T00:00:00"/>
    <b v="0"/>
    <x v="11"/>
    <n v="10"/>
    <n v="9"/>
    <n v="2"/>
    <x v="25"/>
    <s v="ON TIME"/>
    <x v="2"/>
    <x v="0"/>
    <m/>
    <x v="1"/>
    <n v="-9"/>
    <x v="0"/>
    <m/>
    <m/>
    <s v="Cancelled"/>
    <x v="0"/>
    <s v="NA"/>
    <n v="0"/>
    <d v="2025-11-24T09:58:35"/>
    <n v="0"/>
    <m/>
  </r>
  <r>
    <x v="0"/>
    <s v="0051378207"/>
    <s v="000270"/>
    <s v="0051378207-000270"/>
    <x v="77"/>
    <x v="63"/>
    <m/>
    <s v="RAS"/>
    <s v="FRC"/>
    <x v="524"/>
    <x v="0"/>
    <x v="1"/>
    <s v="ANSI 49"/>
    <d v="2026-09-02T00:00:00"/>
    <n v="13"/>
    <d v="2025-11-12T00:00:00"/>
    <d v="2025-11-24T00:00:00"/>
    <d v="2025-11-19T00:00:00"/>
    <b v="0"/>
    <x v="11"/>
    <n v="10"/>
    <n v="9"/>
    <n v="4"/>
    <x v="23"/>
    <s v="ON TIME"/>
    <x v="2"/>
    <x v="0"/>
    <m/>
    <x v="0"/>
    <n v="-6"/>
    <x v="0"/>
    <m/>
    <m/>
    <s v="Closed"/>
    <x v="0"/>
    <s v="NA"/>
    <n v="17"/>
    <d v="2025-11-24T09:58:35"/>
    <n v="1"/>
    <m/>
  </r>
  <r>
    <x v="0"/>
    <s v="0051679732"/>
    <s v="000030"/>
    <s v="0051679732-000030"/>
    <x v="87"/>
    <x v="71"/>
    <m/>
    <s v="DRV"/>
    <m/>
    <x v="525"/>
    <x v="0"/>
    <x v="0"/>
    <s v="ANSI 49"/>
    <d v="2026-02-23T00:00:00"/>
    <n v="19"/>
    <d v="2025-11-12T00:00:00"/>
    <d v="2025-11-20T00:00:00"/>
    <d v="2025-11-24T00:00:00"/>
    <b v="0"/>
    <x v="11"/>
    <n v="10"/>
    <n v="7"/>
    <n v="6"/>
    <x v="11"/>
    <s v="ON TIME"/>
    <x v="2"/>
    <x v="0"/>
    <m/>
    <x v="1"/>
    <n v="-11"/>
    <x v="0"/>
    <m/>
    <m/>
    <s v="Cancelled"/>
    <x v="0"/>
    <s v="NA"/>
    <n v="0"/>
    <d v="2025-11-23T02:21:19"/>
    <n v="0"/>
    <m/>
  </r>
  <r>
    <x v="0"/>
    <s v="0051679732"/>
    <s v="000030"/>
    <s v="0051679732-000030"/>
    <x v="87"/>
    <x v="71"/>
    <m/>
    <s v="DRV"/>
    <m/>
    <x v="526"/>
    <x v="0"/>
    <x v="1"/>
    <s v="ANSI 49"/>
    <d v="2026-02-23T00:00:00"/>
    <n v="19"/>
    <d v="2025-11-12T00:00:00"/>
    <d v="2025-11-24T00:00:00"/>
    <d v="2025-11-24T00:00:00"/>
    <b v="0"/>
    <x v="11"/>
    <n v="10"/>
    <n v="9"/>
    <n v="6"/>
    <x v="16"/>
    <s v="ON TIME"/>
    <x v="2"/>
    <x v="0"/>
    <m/>
    <x v="1"/>
    <n v="-11"/>
    <x v="0"/>
    <m/>
    <m/>
    <s v="Cancelled"/>
    <x v="0"/>
    <s v="NA"/>
    <n v="1"/>
    <d v="2025-11-24T09:58:35"/>
    <n v="5.8823529411764705E-2"/>
    <m/>
  </r>
  <r>
    <x v="0"/>
    <s v="0051442285"/>
    <s v="000070"/>
    <s v="0051442285-000070"/>
    <x v="63"/>
    <x v="72"/>
    <m/>
    <s v="DEV"/>
    <s v="KGF"/>
    <x v="527"/>
    <x v="0"/>
    <x v="1"/>
    <s v="RAL9003"/>
    <d v="2025-12-17T00:00:00"/>
    <n v="-20"/>
    <d v="2025-11-13T00:00:00"/>
    <d v="2025-11-25T00:00:00"/>
    <d v="2025-11-19T00:00:00"/>
    <b v="0"/>
    <x v="11"/>
    <n v="10"/>
    <n v="9"/>
    <n v="3"/>
    <x v="24"/>
    <s v="ON TIME"/>
    <x v="2"/>
    <x v="1"/>
    <m/>
    <x v="0"/>
    <n v="21"/>
    <x v="1"/>
    <m/>
    <m/>
    <s v="Closed"/>
    <x v="1"/>
    <s v="NA"/>
    <n v="17"/>
    <d v="2025-11-25T09:58:35"/>
    <n v="1"/>
    <m/>
  </r>
  <r>
    <x v="0"/>
    <s v="0051648563"/>
    <s v="000070"/>
    <s v="0051648563-000070"/>
    <x v="80"/>
    <x v="60"/>
    <m/>
    <s v="JAV"/>
    <s v="ISQ"/>
    <x v="528"/>
    <x v="1"/>
    <x v="0"/>
    <s v="ANSI 49"/>
    <d v="2026-01-13T00:00:00"/>
    <n v="6"/>
    <d v="2025-11-13T00:00:00"/>
    <d v="2025-11-20T00:00:00"/>
    <d v="2025-11-20T00:00:00"/>
    <b v="0"/>
    <x v="11"/>
    <n v="10"/>
    <n v="6"/>
    <n v="3"/>
    <x v="16"/>
    <s v="ON TIME"/>
    <x v="2"/>
    <x v="1"/>
    <m/>
    <x v="0"/>
    <n v="0"/>
    <x v="0"/>
    <m/>
    <m/>
    <s v="Closed"/>
    <x v="0"/>
    <s v="NA"/>
    <n v="18"/>
    <d v="2025-11-23T02:21:19"/>
    <n v="1"/>
    <m/>
  </r>
  <r>
    <x v="0"/>
    <s v="0051659722"/>
    <s v="000090"/>
    <s v="0051659722-000090"/>
    <x v="86"/>
    <x v="63"/>
    <m/>
    <s v="JRC"/>
    <s v="CML"/>
    <x v="529"/>
    <x v="1"/>
    <x v="0"/>
    <s v="ANSI 49"/>
    <d v="2026-10-02T00:00:00"/>
    <n v="12"/>
    <d v="2025-11-13T00:00:00"/>
    <d v="2025-11-20T00:00:00"/>
    <d v="2025-11-24T00:00:00"/>
    <b v="0"/>
    <x v="11"/>
    <n v="10"/>
    <n v="6"/>
    <n v="5"/>
    <x v="11"/>
    <s v="ON TIME"/>
    <x v="2"/>
    <x v="0"/>
    <m/>
    <x v="0"/>
    <n v="-5"/>
    <x v="0"/>
    <m/>
    <m/>
    <s v="Closed"/>
    <x v="0"/>
    <s v="NA"/>
    <n v="18"/>
    <d v="2025-11-23T02:21:19"/>
    <n v="1"/>
    <m/>
  </r>
  <r>
    <x v="0"/>
    <s v="0051659722"/>
    <s v="000090"/>
    <s v="0051659722-000090"/>
    <x v="86"/>
    <x v="63"/>
    <m/>
    <s v="JRC"/>
    <s v="CML"/>
    <x v="530"/>
    <x v="1"/>
    <x v="0"/>
    <s v="ANSI 49"/>
    <d v="2026-10-02T00:00:00"/>
    <n v="12"/>
    <d v="2025-11-13T00:00:00"/>
    <d v="2025-11-21T00:00:00"/>
    <d v="2025-11-20T00:00:00"/>
    <b v="0"/>
    <x v="11"/>
    <n v="10"/>
    <n v="7"/>
    <n v="3"/>
    <x v="14"/>
    <s v="ON TIME"/>
    <x v="2"/>
    <x v="0"/>
    <m/>
    <x v="0"/>
    <n v="-6"/>
    <x v="0"/>
    <m/>
    <m/>
    <s v="Closed"/>
    <x v="0"/>
    <s v="NA"/>
    <n v="18"/>
    <d v="2025-11-24T02:21:19"/>
    <n v="1"/>
    <m/>
  </r>
  <r>
    <x v="0"/>
    <s v="0051041146"/>
    <s v="000100"/>
    <s v="0051041146-000100"/>
    <x v="85"/>
    <x v="63"/>
    <m/>
    <s v="ASP"/>
    <m/>
    <x v="531"/>
    <x v="1"/>
    <x v="0"/>
    <s v="ANSI 49"/>
    <d v="2026-11-02T00:00:00"/>
    <n v="12"/>
    <d v="2025-11-13T00:00:00"/>
    <d v="2025-11-24T00:00:00"/>
    <d v="2025-11-21T00:00:00"/>
    <b v="0"/>
    <x v="11"/>
    <n v="10"/>
    <n v="8"/>
    <n v="4"/>
    <x v="14"/>
    <s v="ON TIME"/>
    <x v="2"/>
    <x v="0"/>
    <m/>
    <x v="0"/>
    <n v="-6"/>
    <x v="0"/>
    <m/>
    <m/>
    <s v="Closed"/>
    <x v="0"/>
    <s v="NA"/>
    <n v="18"/>
    <d v="2025-11-27T02:21:19"/>
    <n v="1"/>
    <m/>
  </r>
  <r>
    <x v="0"/>
    <s v="0051095105"/>
    <s v="000410"/>
    <s v="0051095105-000410"/>
    <x v="72"/>
    <x v="59"/>
    <m/>
    <s v="JAM"/>
    <s v="OAL"/>
    <x v="532"/>
    <x v="0"/>
    <x v="1"/>
    <s v="ANSI 49"/>
    <d v="2026-02-18T00:00:00"/>
    <n v="17"/>
    <d v="2025-11-13T00:00:00"/>
    <d v="2025-11-25T00:00:00"/>
    <d v="2025-11-19T00:00:00"/>
    <b v="0"/>
    <x v="11"/>
    <n v="10"/>
    <n v="9"/>
    <n v="3"/>
    <x v="24"/>
    <s v="ON TIME"/>
    <x v="2"/>
    <x v="0"/>
    <m/>
    <x v="0"/>
    <n v="-11"/>
    <x v="0"/>
    <m/>
    <m/>
    <s v="Closed"/>
    <x v="0"/>
    <s v="NA"/>
    <n v="17"/>
    <d v="2025-11-25T09:58:35"/>
    <n v="1"/>
    <m/>
  </r>
  <r>
    <x v="0"/>
    <s v="0051024393"/>
    <s v="000310"/>
    <s v="0051024393-000310"/>
    <x v="84"/>
    <x v="70"/>
    <d v="2025-12-15T00:00:00"/>
    <s v="HMA"/>
    <s v="ISQ"/>
    <x v="533"/>
    <x v="0"/>
    <x v="1"/>
    <s v="ANSI 61"/>
    <d v="2026-03-02T00:00:00"/>
    <n v="28"/>
    <d v="2025-11-13T00:00:00"/>
    <d v="2025-11-25T00:00:00"/>
    <d v="2025-12-10T00:00:00"/>
    <b v="0"/>
    <x v="11"/>
    <n v="10"/>
    <n v="9"/>
    <n v="17"/>
    <x v="7"/>
    <s v="LATE"/>
    <x v="0"/>
    <x v="0"/>
    <m/>
    <x v="0"/>
    <n v="-8"/>
    <x v="0"/>
    <m/>
    <m/>
    <s v="Closed"/>
    <x v="0"/>
    <s v="NA"/>
    <n v="17"/>
    <d v="2025-11-25T09:58:35"/>
    <n v="1"/>
    <m/>
  </r>
  <r>
    <x v="0"/>
    <s v="0051378207"/>
    <s v="000270"/>
    <s v="0051378207-000270"/>
    <x v="77"/>
    <x v="63"/>
    <m/>
    <s v="RAS"/>
    <s v="FRC"/>
    <x v="534"/>
    <x v="1"/>
    <x v="0"/>
    <s v="ANSI 49"/>
    <d v="2026-02-09T00:00:00"/>
    <n v="11"/>
    <d v="2025-11-14T00:00:00"/>
    <d v="2025-11-21T00:00:00"/>
    <d v="2025-11-21T00:00:00"/>
    <b v="0"/>
    <x v="11"/>
    <n v="10"/>
    <n v="6"/>
    <n v="3"/>
    <x v="16"/>
    <s v="ON TIME"/>
    <x v="2"/>
    <x v="0"/>
    <m/>
    <x v="0"/>
    <n v="-6"/>
    <x v="0"/>
    <m/>
    <m/>
    <s v="Closed"/>
    <x v="0"/>
    <s v="NA"/>
    <n v="18"/>
    <d v="2025-11-24T02:21:19"/>
    <n v="1"/>
    <m/>
  </r>
  <r>
    <x v="0"/>
    <s v="0051024393"/>
    <s v="000310"/>
    <s v="0051024393-000310"/>
    <x v="84"/>
    <x v="70"/>
    <m/>
    <s v="HMA"/>
    <m/>
    <x v="535"/>
    <x v="0"/>
    <x v="1"/>
    <s v="ANSI 61"/>
    <d v="2026-03-09T00:00:00"/>
    <n v="27"/>
    <d v="2025-11-14T00:00:00"/>
    <d v="2025-11-26T00:00:00"/>
    <d v="2025-11-24T00:00:00"/>
    <b v="0"/>
    <x v="11"/>
    <n v="10"/>
    <n v="9"/>
    <n v="4"/>
    <x v="23"/>
    <s v="ON TIME"/>
    <x v="2"/>
    <x v="0"/>
    <m/>
    <x v="0"/>
    <n v="-20"/>
    <x v="0"/>
    <m/>
    <m/>
    <s v="Closed"/>
    <x v="0"/>
    <s v="NA"/>
    <n v="17"/>
    <d v="2025-11-26T09:58:35"/>
    <n v="1"/>
    <m/>
  </r>
  <r>
    <x v="0"/>
    <s v="0051275480"/>
    <s v="000950"/>
    <s v="0051275480-000950"/>
    <x v="88"/>
    <x v="73"/>
    <d v="2025-12-18T00:00:00"/>
    <s v="OAC"/>
    <m/>
    <x v="536"/>
    <x v="0"/>
    <x v="0"/>
    <s v="ANSI 49"/>
    <d v="2039-12-23T00:00:00"/>
    <n v="32"/>
    <d v="2025-11-14T00:00:00"/>
    <d v="2025-11-21T00:00:00"/>
    <d v="2025-12-12T00:00:00"/>
    <b v="0"/>
    <x v="11"/>
    <n v="10"/>
    <n v="6"/>
    <n v="17"/>
    <x v="21"/>
    <s v="LATE"/>
    <x v="0"/>
    <x v="0"/>
    <m/>
    <x v="0"/>
    <n v="-9"/>
    <x v="0"/>
    <m/>
    <m/>
    <s v="Closed"/>
    <x v="0"/>
    <s v="NA"/>
    <n v="18"/>
    <d v="2025-11-24T02:21:19"/>
    <n v="1"/>
    <m/>
  </r>
  <r>
    <x v="0"/>
    <s v="0051095105"/>
    <s v="000410"/>
    <s v="0051095105-000410"/>
    <x v="72"/>
    <x v="59"/>
    <m/>
    <s v="JAM"/>
    <s v="OAL"/>
    <x v="537"/>
    <x v="1"/>
    <x v="1"/>
    <s v="ANSI 49"/>
    <d v="2026-02-18T00:00:00"/>
    <n v="15"/>
    <d v="2025-11-17T00:00:00"/>
    <d v="2025-11-25T00:00:00"/>
    <d v="2025-12-01T00:00:00"/>
    <b v="0"/>
    <x v="11"/>
    <n v="10"/>
    <n v="7"/>
    <n v="8"/>
    <x v="6"/>
    <s v="LATE"/>
    <x v="0"/>
    <x v="0"/>
    <m/>
    <x v="0"/>
    <n v="-5"/>
    <x v="0"/>
    <m/>
    <m/>
    <s v="Closed"/>
    <x v="0"/>
    <s v="NA"/>
    <n v="17"/>
    <d v="2025-11-25T09:58:35"/>
    <n v="1"/>
    <m/>
  </r>
  <r>
    <x v="0"/>
    <s v="0051095105"/>
    <s v="000410"/>
    <s v="0051095105-000410"/>
    <x v="72"/>
    <x v="59"/>
    <m/>
    <s v="JAM"/>
    <s v="OAL"/>
    <x v="538"/>
    <x v="0"/>
    <x v="1"/>
    <s v="ANSI 49"/>
    <d v="2026-02-18T00:00:00"/>
    <n v="15"/>
    <d v="2025-11-17T00:00:00"/>
    <d v="2025-11-27T00:00:00"/>
    <d v="2025-11-24T00:00:00"/>
    <b v="0"/>
    <x v="11"/>
    <n v="10"/>
    <n v="9"/>
    <n v="3"/>
    <x v="24"/>
    <s v="ON TIME"/>
    <x v="2"/>
    <x v="0"/>
    <m/>
    <x v="0"/>
    <n v="-10"/>
    <x v="0"/>
    <m/>
    <m/>
    <s v="Closed"/>
    <x v="0"/>
    <s v="NA"/>
    <n v="17"/>
    <d v="2025-11-27T09:58:35"/>
    <n v="1"/>
    <m/>
  </r>
  <r>
    <x v="0"/>
    <s v="0051095105"/>
    <s v="000410"/>
    <s v="0051095105-000410"/>
    <x v="72"/>
    <x v="59"/>
    <m/>
    <s v="JAM"/>
    <s v="OAL"/>
    <x v="539"/>
    <x v="0"/>
    <x v="1"/>
    <s v="ANSI 49"/>
    <d v="2026-02-18T00:00:00"/>
    <n v="15"/>
    <d v="2025-11-17T00:00:00"/>
    <d v="2025-11-27T00:00:00"/>
    <d v="2025-11-26T00:00:00"/>
    <b v="0"/>
    <x v="11"/>
    <n v="10"/>
    <n v="9"/>
    <n v="5"/>
    <x v="14"/>
    <s v="ON TIME"/>
    <x v="2"/>
    <x v="0"/>
    <m/>
    <x v="0"/>
    <n v="-8"/>
    <x v="0"/>
    <m/>
    <m/>
    <s v="Closed"/>
    <x v="0"/>
    <s v="NA"/>
    <n v="17"/>
    <d v="2025-11-27T09:58:35"/>
    <n v="1"/>
    <m/>
  </r>
  <r>
    <x v="0"/>
    <s v="0051129914"/>
    <s v="000750&amp;760"/>
    <s v="0051129914-000750&amp;760"/>
    <x v="89"/>
    <x v="73"/>
    <d v="2025-12-18T00:00:00"/>
    <s v="UFA"/>
    <s v="AL"/>
    <x v="540"/>
    <x v="0"/>
    <x v="0"/>
    <s v="ANSI 49"/>
    <d v="2025-12-23T00:00:00"/>
    <n v="31"/>
    <d v="2025-11-17T00:00:00"/>
    <d v="2025-11-24T00:00:00"/>
    <d v="2025-12-08T00:00:00"/>
    <b v="0"/>
    <x v="11"/>
    <n v="10"/>
    <n v="6"/>
    <n v="13"/>
    <x v="13"/>
    <s v="LATE"/>
    <x v="0"/>
    <x v="0"/>
    <m/>
    <x v="0"/>
    <n v="-13"/>
    <x v="0"/>
    <m/>
    <m/>
    <s v="Closed"/>
    <x v="0"/>
    <s v="NA"/>
    <n v="18"/>
    <d v="2025-11-27T02:21:19"/>
    <n v="1"/>
    <m/>
  </r>
  <r>
    <x v="0"/>
    <s v="0051129914"/>
    <s v="000750&amp;760"/>
    <s v="0051129914-000750&amp;760"/>
    <x v="89"/>
    <x v="73"/>
    <d v="2025-12-18T00:00:00"/>
    <s v="UFA"/>
    <s v="AL"/>
    <x v="541"/>
    <x v="0"/>
    <x v="0"/>
    <s v="ANSI 49"/>
    <d v="2025-12-23T00:00:00"/>
    <n v="31"/>
    <d v="2025-11-17T00:00:00"/>
    <d v="2025-11-24T00:00:00"/>
    <d v="2025-12-08T00:00:00"/>
    <b v="0"/>
    <x v="11"/>
    <n v="10"/>
    <n v="6"/>
    <n v="13"/>
    <x v="13"/>
    <s v="LATE"/>
    <x v="0"/>
    <x v="0"/>
    <m/>
    <x v="0"/>
    <n v="-13"/>
    <x v="0"/>
    <m/>
    <m/>
    <s v="Closed"/>
    <x v="0"/>
    <s v="NA"/>
    <n v="18"/>
    <d v="2025-11-27T02:21:19"/>
    <n v="1"/>
    <m/>
  </r>
  <r>
    <x v="0"/>
    <s v="0051129914"/>
    <s v="000750&amp;760"/>
    <s v="0051129914-000750&amp;760"/>
    <x v="89"/>
    <x v="73"/>
    <d v="2025-12-18T00:00:00"/>
    <s v="UFA"/>
    <s v="AL"/>
    <x v="542"/>
    <x v="0"/>
    <x v="0"/>
    <s v="ANSI 49"/>
    <d v="2025-12-23T00:00:00"/>
    <n v="31"/>
    <d v="2025-11-17T00:00:00"/>
    <d v="2025-11-24T00:00:00"/>
    <d v="2025-12-11T00:00:00"/>
    <b v="0"/>
    <x v="11"/>
    <n v="10"/>
    <n v="6"/>
    <n v="16"/>
    <x v="0"/>
    <s v="LATE"/>
    <x v="0"/>
    <x v="0"/>
    <m/>
    <x v="0"/>
    <n v="-10"/>
    <x v="0"/>
    <m/>
    <m/>
    <s v="Closed"/>
    <x v="0"/>
    <s v="NA"/>
    <n v="18"/>
    <d v="2025-11-27T02:21:19"/>
    <n v="1"/>
    <m/>
  </r>
  <r>
    <x v="0"/>
    <s v="0051129914"/>
    <s v="000750&amp;760"/>
    <s v="0051129914-000750&amp;760"/>
    <x v="89"/>
    <x v="73"/>
    <d v="2025-12-18T00:00:00"/>
    <s v="UFA"/>
    <s v="AL"/>
    <x v="543"/>
    <x v="0"/>
    <x v="1"/>
    <s v="ANSI 49"/>
    <d v="2025-12-23T00:00:00"/>
    <n v="31"/>
    <d v="2025-11-17T00:00:00"/>
    <d v="2025-11-27T00:00:00"/>
    <d v="2025-12-08T00:00:00"/>
    <b v="0"/>
    <x v="11"/>
    <n v="10"/>
    <n v="9"/>
    <n v="13"/>
    <x v="1"/>
    <s v="LATE"/>
    <x v="0"/>
    <x v="0"/>
    <m/>
    <x v="0"/>
    <n v="-13"/>
    <x v="0"/>
    <m/>
    <m/>
    <s v="Closed"/>
    <x v="0"/>
    <s v="NA"/>
    <n v="17"/>
    <d v="2025-11-27T09:58:35"/>
    <n v="1"/>
    <m/>
  </r>
  <r>
    <x v="0"/>
    <s v="0051095105"/>
    <s v="000400"/>
    <s v="0051095105-000400"/>
    <x v="72"/>
    <x v="59"/>
    <d v="2025-11-28T00:00:00"/>
    <s v="JAM"/>
    <s v="LDT"/>
    <x v="544"/>
    <x v="1"/>
    <x v="0"/>
    <s v="ANSI 49"/>
    <d v="2026-03-17T00:00:00"/>
    <n v="14"/>
    <d v="2025-11-18T00:00:00"/>
    <d v="2025-11-26T00:00:00"/>
    <d v="2025-12-01T00:00:00"/>
    <b v="0"/>
    <x v="11"/>
    <n v="10"/>
    <n v="7"/>
    <n v="8"/>
    <x v="6"/>
    <s v="LATE"/>
    <x v="0"/>
    <x v="0"/>
    <m/>
    <x v="0"/>
    <n v="-5"/>
    <x v="0"/>
    <m/>
    <m/>
    <s v="Closed"/>
    <x v="0"/>
    <s v="NA"/>
    <n v="18"/>
    <d v="2025-11-29T02:21:19"/>
    <n v="1"/>
    <m/>
  </r>
  <r>
    <x v="0"/>
    <s v="0011981626"/>
    <s v="000120"/>
    <s v="0011981626-000120"/>
    <x v="90"/>
    <x v="74"/>
    <d v="2026-01-06T00:00:00"/>
    <s v="KYC"/>
    <s v="ODE"/>
    <x v="545"/>
    <x v="0"/>
    <x v="0"/>
    <s v="ANSI 61"/>
    <d v="2026-02-24T00:00:00"/>
    <n v="36"/>
    <d v="2025-11-18T00:00:00"/>
    <d v="2025-11-26T00:00:00"/>
    <d v="2025-12-18T00:00:00"/>
    <b v="0"/>
    <x v="11"/>
    <n v="10"/>
    <n v="7"/>
    <n v="20"/>
    <x v="22"/>
    <s v="LATE"/>
    <x v="0"/>
    <x v="0"/>
    <m/>
    <x v="0"/>
    <n v="-11"/>
    <x v="0"/>
    <m/>
    <m/>
    <s v="Closed"/>
    <x v="0"/>
    <s v="NA"/>
    <n v="18"/>
    <d v="2025-11-29T02:21:19"/>
    <n v="1"/>
    <m/>
  </r>
  <r>
    <x v="0"/>
    <s v="0011981626"/>
    <s v="000120"/>
    <s v="0011981626-000120"/>
    <x v="90"/>
    <x v="74"/>
    <d v="2026-01-06T00:00:00"/>
    <s v="KYC"/>
    <s v="ODE"/>
    <x v="546"/>
    <x v="0"/>
    <x v="0"/>
    <s v="ANSI 61"/>
    <d v="2026-02-24T00:00:00"/>
    <n v="36"/>
    <d v="2025-11-18T00:00:00"/>
    <d v="2025-11-26T00:00:00"/>
    <d v="2025-12-17T00:00:00"/>
    <b v="0"/>
    <x v="11"/>
    <n v="10"/>
    <n v="7"/>
    <n v="19"/>
    <x v="26"/>
    <s v="LATE"/>
    <x v="0"/>
    <x v="0"/>
    <m/>
    <x v="0"/>
    <n v="-12"/>
    <x v="0"/>
    <m/>
    <m/>
    <s v="Closed"/>
    <x v="0"/>
    <s v="NA"/>
    <n v="18"/>
    <d v="2025-11-29T02:21:19"/>
    <n v="1"/>
    <m/>
  </r>
  <r>
    <x v="0"/>
    <s v="0011981626"/>
    <s v="000120"/>
    <s v="0011981626-000120"/>
    <x v="90"/>
    <x v="74"/>
    <d v="2026-01-06T00:00:00"/>
    <s v="KYC"/>
    <s v="ODE"/>
    <x v="547"/>
    <x v="0"/>
    <x v="0"/>
    <s v="ANSI 61"/>
    <d v="2026-02-24T00:00:00"/>
    <n v="36"/>
    <d v="2025-11-18T00:00:00"/>
    <d v="2025-12-26T00:00:00"/>
    <d v="2025-12-17T00:00:00"/>
    <b v="0"/>
    <x v="11"/>
    <n v="10"/>
    <n v="29"/>
    <n v="19"/>
    <x v="29"/>
    <s v="ON TIME"/>
    <x v="2"/>
    <x v="0"/>
    <m/>
    <x v="0"/>
    <n v="-12"/>
    <x v="0"/>
    <m/>
    <m/>
    <s v="Closed"/>
    <x v="0"/>
    <s v="NA"/>
    <n v="18"/>
    <d v="2025-12-29T02:21:19"/>
    <n v="1"/>
    <m/>
  </r>
  <r>
    <x v="0"/>
    <s v="0050202444"/>
    <s v="000260"/>
    <s v="0050202444-000260"/>
    <x v="91"/>
    <x v="75"/>
    <m/>
    <s v="UFA"/>
    <s v="KGF"/>
    <x v="548"/>
    <x v="0"/>
    <x v="1"/>
    <s v="ANSI 49"/>
    <d v="2025-03-25T00:00:00"/>
    <n v="-234"/>
    <d v="2025-11-19T00:00:00"/>
    <d v="2025-12-01T00:00:00"/>
    <d v="2025-11-26T00:00:00"/>
    <b v="0"/>
    <x v="11"/>
    <n v="10"/>
    <n v="7"/>
    <n v="4"/>
    <x v="16"/>
    <s v="ON TIME"/>
    <x v="2"/>
    <x v="1"/>
    <m/>
    <x v="0"/>
    <n v="238"/>
    <x v="1"/>
    <m/>
    <m/>
    <s v="Closed"/>
    <x v="1"/>
    <s v="NA"/>
    <n v="17"/>
    <d v="2025-12-01T09:58:35"/>
    <n v="1"/>
    <m/>
  </r>
  <r>
    <x v="0"/>
    <s v="0051027340"/>
    <s v="000100"/>
    <s v="0051027340-000100"/>
    <x v="92"/>
    <x v="34"/>
    <m/>
    <s v="MGL"/>
    <s v="FRC"/>
    <x v="549"/>
    <x v="0"/>
    <x v="1"/>
    <s v="ANSI 49"/>
    <d v="2025-12-11T00:00:00"/>
    <n v="-55"/>
    <d v="2025-11-19T00:00:00"/>
    <d v="2025-12-01T00:00:00"/>
    <d v="2025-11-26T00:00:00"/>
    <b v="0"/>
    <x v="11"/>
    <n v="10"/>
    <n v="7"/>
    <n v="4"/>
    <x v="16"/>
    <s v="ON TIME"/>
    <x v="2"/>
    <x v="1"/>
    <m/>
    <x v="0"/>
    <n v="59"/>
    <x v="1"/>
    <m/>
    <m/>
    <s v="Closed"/>
    <x v="1"/>
    <s v="NA"/>
    <n v="17"/>
    <d v="2025-12-01T09:58:35"/>
    <n v="1"/>
    <m/>
  </r>
  <r>
    <x v="0"/>
    <s v="0051095105"/>
    <s v="000400"/>
    <s v="0051095105-000400"/>
    <x v="72"/>
    <x v="67"/>
    <m/>
    <s v="JAM"/>
    <s v="LDT"/>
    <x v="550"/>
    <x v="1"/>
    <x v="0"/>
    <s v="ANSI 49"/>
    <d v="2026-03-17T00:00:00"/>
    <n v="15"/>
    <d v="2025-11-19T00:00:00"/>
    <d v="2025-11-26T00:00:00"/>
    <d v="2025-12-26T00:00:00"/>
    <b v="0"/>
    <x v="11"/>
    <n v="10"/>
    <n v="6"/>
    <n v="23"/>
    <x v="18"/>
    <s v="LATE"/>
    <x v="1"/>
    <x v="0"/>
    <m/>
    <x v="0"/>
    <n v="11"/>
    <x v="1"/>
    <m/>
    <m/>
    <s v="Closed"/>
    <x v="1"/>
    <s v="NA"/>
    <n v="18"/>
    <d v="2025-11-29T02:21:19"/>
    <n v="1"/>
    <m/>
  </r>
  <r>
    <x v="1"/>
    <s v="SWBD"/>
    <s v="META"/>
    <s v="SWBD-META"/>
    <x v="93"/>
    <x v="76"/>
    <d v="2025-12-15T00:00:00"/>
    <s v="ALT"/>
    <s v="AL"/>
    <x v="551"/>
    <x v="0"/>
    <x v="1"/>
    <s v="ANSI 49"/>
    <d v="2025-12-15T00:00:00"/>
    <n v="19"/>
    <d v="2025-11-19T00:00:00"/>
    <d v="2025-12-01T00:00:00"/>
    <d v="2025-12-09T00:00:00"/>
    <b v="0"/>
    <x v="11"/>
    <n v="10"/>
    <n v="9"/>
    <n v="13"/>
    <x v="1"/>
    <s v="LATE"/>
    <x v="0"/>
    <x v="0"/>
    <m/>
    <x v="0"/>
    <n v="-4"/>
    <x v="0"/>
    <m/>
    <m/>
    <s v="Closed"/>
    <x v="0"/>
    <s v="NA"/>
    <n v="17"/>
    <d v="2025-12-01T09:58:35"/>
    <n v="1"/>
    <m/>
  </r>
  <r>
    <x v="0"/>
    <s v="0051647770"/>
    <s v="000010"/>
    <s v="0051647770-000010"/>
    <x v="81"/>
    <x v="77"/>
    <m/>
    <s v="DEV"/>
    <s v="VHL"/>
    <x v="552"/>
    <x v="0"/>
    <x v="0"/>
    <s v="ANSI 49"/>
    <d v="2026-02-11T00:00:00"/>
    <n v="36"/>
    <d v="2025-11-19T00:00:00"/>
    <d v="2025-11-27T00:00:00"/>
    <d v="2025-12-02T00:00:00"/>
    <b v="0"/>
    <x v="11"/>
    <n v="10"/>
    <n v="7"/>
    <n v="8"/>
    <x v="6"/>
    <s v="LATE"/>
    <x v="0"/>
    <x v="0"/>
    <m/>
    <x v="0"/>
    <n v="-23"/>
    <x v="0"/>
    <m/>
    <m/>
    <s v="Closed"/>
    <x v="0"/>
    <s v="NA"/>
    <n v="18"/>
    <d v="2025-11-30T02:21:19"/>
    <n v="1"/>
    <m/>
  </r>
  <r>
    <x v="0"/>
    <s v="0051647770"/>
    <s v="000010"/>
    <s v="0051647770-000010"/>
    <x v="81"/>
    <x v="77"/>
    <d v="2025-12-02T00:00:00"/>
    <s v="DEV"/>
    <s v="VHL"/>
    <x v="553"/>
    <x v="0"/>
    <x v="0"/>
    <s v="ANSI 49"/>
    <d v="2026-02-11T00:00:00"/>
    <n v="36"/>
    <d v="2025-11-19T00:00:00"/>
    <d v="2025-11-27T00:00:00"/>
    <d v="2025-12-05T00:00:00"/>
    <b v="0"/>
    <x v="11"/>
    <n v="10"/>
    <n v="7"/>
    <n v="11"/>
    <x v="1"/>
    <s v="LATE"/>
    <x v="0"/>
    <x v="0"/>
    <m/>
    <x v="0"/>
    <n v="-20"/>
    <x v="0"/>
    <m/>
    <m/>
    <s v="Closed"/>
    <x v="0"/>
    <s v="NA"/>
    <n v="18"/>
    <d v="2025-11-30T02:21:19"/>
    <n v="1"/>
    <m/>
  </r>
  <r>
    <x v="0"/>
    <s v="0051647770"/>
    <s v="000010"/>
    <s v="0051647770-000010"/>
    <x v="81"/>
    <x v="77"/>
    <d v="2025-12-02T00:00:00"/>
    <s v="DEV"/>
    <s v="VHL"/>
    <x v="554"/>
    <x v="0"/>
    <x v="1"/>
    <s v="ANSI 49"/>
    <d v="2026-02-11T00:00:00"/>
    <n v="36"/>
    <d v="2025-11-19T00:00:00"/>
    <d v="2025-12-01T00:00:00"/>
    <d v="2025-12-04T00:00:00"/>
    <b v="0"/>
    <x v="11"/>
    <n v="10"/>
    <n v="9"/>
    <n v="10"/>
    <x v="6"/>
    <s v="LATE"/>
    <x v="0"/>
    <x v="0"/>
    <m/>
    <x v="0"/>
    <n v="-21"/>
    <x v="0"/>
    <m/>
    <m/>
    <s v="Closed"/>
    <x v="0"/>
    <s v="NA"/>
    <n v="17"/>
    <d v="2025-12-01T09:58:35"/>
    <n v="1"/>
    <m/>
  </r>
  <r>
    <x v="0"/>
    <s v="0050927776"/>
    <s v="000950"/>
    <s v="0050927776-000950"/>
    <x v="94"/>
    <x v="78"/>
    <d v="2025-12-18T00:00:00"/>
    <s v="ASP"/>
    <s v="CML"/>
    <x v="555"/>
    <x v="0"/>
    <x v="0"/>
    <s v="ANSI 49"/>
    <d v="2026-09-22T00:00:00"/>
    <n v="24"/>
    <d v="2025-11-20T00:00:00"/>
    <d v="2025-11-28T00:00:00"/>
    <d v="2025-12-17T00:00:00"/>
    <b v="0"/>
    <x v="11"/>
    <n v="10"/>
    <n v="7"/>
    <n v="18"/>
    <x v="21"/>
    <s v="LATE"/>
    <x v="0"/>
    <x v="0"/>
    <m/>
    <x v="0"/>
    <n v="-5"/>
    <x v="0"/>
    <m/>
    <m/>
    <s v="Closed"/>
    <x v="0"/>
    <s v="NA"/>
    <n v="18"/>
    <d v="2025-12-01T02:21:19"/>
    <n v="1"/>
    <m/>
  </r>
  <r>
    <x v="0"/>
    <s v="0050927776"/>
    <s v="000950"/>
    <s v="0050927776-000950"/>
    <x v="94"/>
    <x v="78"/>
    <d v="2025-12-18T00:00:00"/>
    <s v="ASP"/>
    <s v="CML"/>
    <x v="556"/>
    <x v="0"/>
    <x v="1"/>
    <s v="ANSI 49"/>
    <d v="2026-09-22T00:00:00"/>
    <n v="24"/>
    <d v="2025-11-20T00:00:00"/>
    <d v="2025-12-02T00:00:00"/>
    <d v="2025-12-11T00:00:00"/>
    <b v="0"/>
    <x v="11"/>
    <n v="10"/>
    <n v="9"/>
    <n v="15"/>
    <x v="8"/>
    <s v="LATE"/>
    <x v="0"/>
    <x v="0"/>
    <m/>
    <x v="0"/>
    <n v="-8"/>
    <x v="0"/>
    <m/>
    <m/>
    <s v="Closed"/>
    <x v="0"/>
    <s v="NA"/>
    <n v="17"/>
    <d v="2025-12-02T09:58:35"/>
    <n v="1"/>
    <m/>
  </r>
  <r>
    <x v="0"/>
    <s v="0051647770"/>
    <s v="000010"/>
    <s v="0051647770-000010"/>
    <x v="81"/>
    <x v="77"/>
    <m/>
    <s v="DEV"/>
    <s v="VHL"/>
    <x v="557"/>
    <x v="0"/>
    <x v="0"/>
    <s v="ANSI 49"/>
    <d v="2026-02-11T00:00:00"/>
    <n v="35"/>
    <d v="2025-11-20T00:00:00"/>
    <d v="2025-11-28T00:00:00"/>
    <d v="2025-11-26T00:00:00"/>
    <b v="0"/>
    <x v="11"/>
    <n v="10"/>
    <n v="7"/>
    <n v="4"/>
    <x v="16"/>
    <s v="ON TIME"/>
    <x v="2"/>
    <x v="0"/>
    <m/>
    <x v="0"/>
    <n v="-27"/>
    <x v="0"/>
    <m/>
    <m/>
    <s v="Closed"/>
    <x v="0"/>
    <s v="NA"/>
    <n v="18"/>
    <d v="2025-12-01T02:21:19"/>
    <n v="1"/>
    <m/>
  </r>
  <r>
    <x v="0"/>
    <s v="0051647770"/>
    <s v="000010"/>
    <s v="0051647770-000010"/>
    <x v="81"/>
    <x v="77"/>
    <d v="2025-12-02T00:00:00"/>
    <s v="DEV"/>
    <s v="VHL"/>
    <x v="558"/>
    <x v="1"/>
    <x v="0"/>
    <s v="ANSI 49"/>
    <d v="2025-02-11T00:00:00"/>
    <n v="34"/>
    <d v="2025-11-21T00:00:00"/>
    <d v="2025-11-28T00:00:00"/>
    <d v="2025-12-11T00:00:00"/>
    <b v="0"/>
    <x v="11"/>
    <n v="10"/>
    <n v="6"/>
    <n v="15"/>
    <x v="17"/>
    <s v="LATE"/>
    <x v="0"/>
    <x v="0"/>
    <m/>
    <x v="0"/>
    <n v="-16"/>
    <x v="0"/>
    <m/>
    <m/>
    <s v="Closed"/>
    <x v="0"/>
    <s v="NA"/>
    <n v="18"/>
    <d v="2025-12-01T02:21:19"/>
    <n v="1"/>
    <m/>
  </r>
  <r>
    <x v="0"/>
    <s v="0051129914"/>
    <s v="000750&amp;760"/>
    <s v="0051129914-000750&amp;760"/>
    <x v="89"/>
    <x v="73"/>
    <d v="2025-12-18T00:00:00"/>
    <s v="UFA"/>
    <s v="AL"/>
    <x v="559"/>
    <x v="0"/>
    <x v="0"/>
    <s v="ANSI 49"/>
    <d v="2026-03-17T00:00:00"/>
    <n v="27"/>
    <d v="2025-11-21T00:00:00"/>
    <d v="2025-11-28T00:00:00"/>
    <d v="2025-12-22T00:00:00"/>
    <b v="0"/>
    <x v="11"/>
    <n v="10"/>
    <n v="6"/>
    <n v="21"/>
    <x v="27"/>
    <s v="LATE"/>
    <x v="1"/>
    <x v="0"/>
    <m/>
    <x v="0"/>
    <n v="-4"/>
    <x v="0"/>
    <m/>
    <m/>
    <s v="Closed"/>
    <x v="0"/>
    <s v="NA"/>
    <n v="18"/>
    <d v="2025-12-01T02:21:19"/>
    <n v="1"/>
    <m/>
  </r>
  <r>
    <x v="0"/>
    <s v="0051129914"/>
    <s v="000750&amp;760"/>
    <s v="0051129914-000750&amp;760"/>
    <x v="89"/>
    <x v="73"/>
    <d v="2025-12-18T00:00:00"/>
    <s v="UFA"/>
    <s v="AL"/>
    <x v="560"/>
    <x v="0"/>
    <x v="1"/>
    <s v="ANSI 49"/>
    <d v="2025-02-10T00:00:00"/>
    <n v="27"/>
    <d v="2025-11-21T00:00:00"/>
    <d v="2025-12-03T00:00:00"/>
    <d v="2025-12-19T00:00:00"/>
    <b v="0"/>
    <x v="11"/>
    <n v="10"/>
    <n v="9"/>
    <n v="20"/>
    <x v="21"/>
    <s v="LATE"/>
    <x v="0"/>
    <x v="0"/>
    <m/>
    <x v="0"/>
    <n v="-5"/>
    <x v="0"/>
    <m/>
    <m/>
    <s v="Closed"/>
    <x v="0"/>
    <s v="NA"/>
    <n v="17"/>
    <d v="2025-12-03T09:58:35"/>
    <n v="1"/>
    <m/>
  </r>
  <r>
    <x v="0"/>
    <s v="0051024393"/>
    <s v="000310"/>
    <s v="0051024393-000310"/>
    <x v="84"/>
    <x v="70"/>
    <d v="2025-12-15T00:00:00"/>
    <s v="ISQ"/>
    <s v="HMA"/>
    <x v="561"/>
    <x v="1"/>
    <x v="0"/>
    <s v="ANSI 61"/>
    <d v="2026-03-16T00:00:00"/>
    <n v="21"/>
    <d v="2025-11-23T00:00:00"/>
    <d v="2025-12-02T00:00:00"/>
    <d v="2025-12-05T00:00:00"/>
    <b v="0"/>
    <x v="11"/>
    <n v="10"/>
    <n v="7"/>
    <n v="10"/>
    <x v="4"/>
    <s v="LATE"/>
    <x v="0"/>
    <x v="0"/>
    <m/>
    <x v="0"/>
    <n v="-11"/>
    <x v="0"/>
    <m/>
    <m/>
    <s v="Closed"/>
    <x v="0"/>
    <s v="NA"/>
    <n v="18"/>
    <d v="2025-12-05T02:21:19"/>
    <n v="1"/>
    <m/>
  </r>
  <r>
    <x v="0"/>
    <s v="0051611250"/>
    <s v="003280"/>
    <s v="0051611250-003280"/>
    <x v="95"/>
    <x v="59"/>
    <d v="2025-12-02T00:00:00"/>
    <s v="ATA"/>
    <s v="HUP"/>
    <x v="562"/>
    <x v="1"/>
    <x v="0"/>
    <s v="ANSI 49"/>
    <d v="2026-03-19T00:00:00"/>
    <n v="10"/>
    <d v="2025-11-24T00:00:00"/>
    <d v="2025-12-04T00:00:00"/>
    <d v="2025-12-05T00:00:00"/>
    <b v="0"/>
    <x v="11"/>
    <n v="10"/>
    <n v="9"/>
    <n v="10"/>
    <x v="6"/>
    <s v="LATE"/>
    <x v="0"/>
    <x v="0"/>
    <m/>
    <x v="0"/>
    <n v="1"/>
    <x v="1"/>
    <m/>
    <m/>
    <s v="Closed"/>
    <x v="1"/>
    <s v="NA"/>
    <n v="18"/>
    <d v="2025-12-07T02:21:19"/>
    <n v="1"/>
    <m/>
  </r>
  <r>
    <x v="0"/>
    <s v="0051611250"/>
    <s v="003280"/>
    <s v="0051611250-003280"/>
    <x v="95"/>
    <x v="59"/>
    <d v="2025-12-02T00:00:00"/>
    <s v="ATA"/>
    <s v="HUP"/>
    <x v="563"/>
    <x v="1"/>
    <x v="1"/>
    <s v="ANSI 49"/>
    <d v="2026-03-19T00:00:00"/>
    <n v="10"/>
    <d v="2025-11-24T00:00:00"/>
    <d v="2025-12-08T00:00:00"/>
    <d v="2025-12-05T00:00:00"/>
    <b v="0"/>
    <x v="11"/>
    <n v="10"/>
    <n v="11"/>
    <n v="10"/>
    <x v="11"/>
    <s v="ON TIME"/>
    <x v="2"/>
    <x v="0"/>
    <m/>
    <x v="0"/>
    <n v="1"/>
    <x v="1"/>
    <m/>
    <m/>
    <s v="Closed"/>
    <x v="1"/>
    <s v="NA"/>
    <n v="17"/>
    <d v="2025-12-08T09:58:35"/>
    <n v="1"/>
    <m/>
  </r>
  <r>
    <x v="0"/>
    <s v="0051095105"/>
    <s v="000410"/>
    <s v="0051095105-000410"/>
    <x v="72"/>
    <x v="59"/>
    <m/>
    <s v="JAM"/>
    <s v="OAL"/>
    <x v="564"/>
    <x v="0"/>
    <x v="0"/>
    <s v="ANSI 49"/>
    <d v="2026-02-18T00:00:00"/>
    <n v="10"/>
    <d v="2025-11-24T00:00:00"/>
    <d v="2025-12-24T00:00:00"/>
    <m/>
    <b v="1"/>
    <x v="11"/>
    <n v="10"/>
    <n v="23"/>
    <n v="80"/>
    <x v="31"/>
    <s v="LATE"/>
    <x v="1"/>
    <x v="0"/>
    <m/>
    <x v="1"/>
    <n v="71"/>
    <x v="1"/>
    <m/>
    <m/>
    <s v="Cancelled"/>
    <x v="1"/>
    <s v="NA"/>
    <n v="0"/>
    <d v="2025-12-27T02:21:19"/>
    <n v="0"/>
    <m/>
  </r>
  <r>
    <x v="0"/>
    <s v="0051024393"/>
    <s v="000310"/>
    <s v="0051024393-000310"/>
    <x v="84"/>
    <x v="70"/>
    <m/>
    <s v="HMA"/>
    <s v="ISQ"/>
    <x v="565"/>
    <x v="0"/>
    <x v="1"/>
    <s v="ANSI 61"/>
    <d v="2026-03-16T00:00:00"/>
    <n v="21"/>
    <d v="2025-11-24T00:00:00"/>
    <d v="2025-12-09T00:00:00"/>
    <d v="2025-11-25T00:00:00"/>
    <b v="0"/>
    <x v="11"/>
    <n v="10"/>
    <n v="12"/>
    <n v="2"/>
    <x v="29"/>
    <s v="ON TIME"/>
    <x v="2"/>
    <x v="0"/>
    <m/>
    <x v="1"/>
    <n v="-19"/>
    <x v="0"/>
    <m/>
    <m/>
    <s v="Cancelled"/>
    <x v="0"/>
    <s v="NA"/>
    <n v="0"/>
    <d v="2025-12-09T09:58:35"/>
    <n v="0"/>
    <m/>
  </r>
  <r>
    <x v="0"/>
    <s v="0051611250"/>
    <s v="003280"/>
    <s v="0051611250-003280"/>
    <x v="95"/>
    <x v="59"/>
    <d v="2025-12-02T00:00:00"/>
    <s v="ATA"/>
    <s v="HUP"/>
    <x v="566"/>
    <x v="1"/>
    <x v="0"/>
    <s v="ANSI 49"/>
    <d v="2026-03-19T00:00:00"/>
    <n v="9"/>
    <d v="2025-11-25T00:00:00"/>
    <d v="2025-12-04T00:00:00"/>
    <d v="2025-12-05T00:00:00"/>
    <b v="0"/>
    <x v="11"/>
    <n v="10"/>
    <n v="8"/>
    <n v="9"/>
    <x v="6"/>
    <s v="LATE"/>
    <x v="0"/>
    <x v="1"/>
    <m/>
    <x v="0"/>
    <n v="1"/>
    <x v="1"/>
    <m/>
    <m/>
    <s v="Closed"/>
    <x v="1"/>
    <s v="NA"/>
    <n v="18"/>
    <d v="2025-12-07T02:21:19"/>
    <n v="1"/>
    <m/>
  </r>
  <r>
    <x v="0"/>
    <s v="0051611250"/>
    <s v="003280"/>
    <s v="0051611250-003280"/>
    <x v="95"/>
    <x v="59"/>
    <d v="2025-12-02T00:00:00"/>
    <s v="ATA"/>
    <s v="HUP"/>
    <x v="567"/>
    <x v="1"/>
    <x v="0"/>
    <s v="ANSI 49"/>
    <d v="2026-03-19T00:00:00"/>
    <n v="9"/>
    <d v="2025-11-25T00:00:00"/>
    <d v="2025-12-04T00:00:00"/>
    <d v="2025-12-04T00:00:00"/>
    <b v="0"/>
    <x v="11"/>
    <n v="10"/>
    <n v="8"/>
    <n v="8"/>
    <x v="9"/>
    <s v="ON TIME"/>
    <x v="2"/>
    <x v="1"/>
    <m/>
    <x v="0"/>
    <n v="-2"/>
    <x v="0"/>
    <m/>
    <m/>
    <s v="Closed"/>
    <x v="0"/>
    <s v="NA"/>
    <n v="18"/>
    <d v="2025-12-07T02:21:19"/>
    <n v="1"/>
    <m/>
  </r>
  <r>
    <x v="0"/>
    <s v="0051611250"/>
    <s v="003280"/>
    <s v="0051611250-003280"/>
    <x v="95"/>
    <x v="59"/>
    <m/>
    <s v="ATA"/>
    <s v="HUP"/>
    <x v="568"/>
    <x v="0"/>
    <x v="0"/>
    <s v="ANSI 49"/>
    <d v="2026-03-09T00:00:00"/>
    <n v="9"/>
    <d v="2025-11-25T00:00:00"/>
    <d v="2025-12-04T00:00:00"/>
    <d v="2025-12-01T00:00:00"/>
    <b v="0"/>
    <x v="11"/>
    <n v="10"/>
    <n v="8"/>
    <n v="5"/>
    <x v="16"/>
    <s v="ON TIME"/>
    <x v="2"/>
    <x v="1"/>
    <m/>
    <x v="1"/>
    <n v="-5"/>
    <x v="0"/>
    <m/>
    <s v="PN Active in US23"/>
    <s v="Cancelled"/>
    <x v="0"/>
    <s v="NA"/>
    <n v="1"/>
    <d v="2025-12-07T02:21:19"/>
    <n v="5.5555555555555552E-2"/>
    <m/>
  </r>
  <r>
    <x v="0"/>
    <s v="0051024393"/>
    <s v="000310"/>
    <s v="0051024393-000310"/>
    <x v="84"/>
    <x v="70"/>
    <d v="2025-12-15T00:00:00"/>
    <s v="HMA"/>
    <s v="ISQ"/>
    <x v="569"/>
    <x v="0"/>
    <x v="0"/>
    <s v="ANSI 61"/>
    <d v="2026-03-16T00:00:00"/>
    <n v="20"/>
    <d v="2025-11-25T00:00:00"/>
    <d v="2025-12-05T00:00:00"/>
    <d v="2025-12-05T00:00:00"/>
    <b v="0"/>
    <x v="11"/>
    <n v="10"/>
    <n v="9"/>
    <n v="9"/>
    <x v="9"/>
    <s v="ON TIME"/>
    <x v="2"/>
    <x v="0"/>
    <m/>
    <x v="0"/>
    <n v="-11"/>
    <x v="0"/>
    <m/>
    <m/>
    <s v="Closed"/>
    <x v="0"/>
    <s v="NA"/>
    <n v="18"/>
    <d v="2025-12-08T02:21:19"/>
    <n v="1"/>
    <m/>
  </r>
  <r>
    <x v="0"/>
    <s v="0051611250"/>
    <s v="003280"/>
    <s v="0051611250-003280"/>
    <x v="95"/>
    <x v="59"/>
    <d v="2025-12-02T00:00:00"/>
    <s v="ATA"/>
    <s v="HUP"/>
    <x v="570"/>
    <x v="0"/>
    <x v="1"/>
    <s v="ANSI 49"/>
    <d v="2026-03-19T00:00:00"/>
    <n v="8"/>
    <d v="2025-11-26T00:00:00"/>
    <d v="2025-12-01T00:00:00"/>
    <d v="2025-12-05T00:00:00"/>
    <b v="0"/>
    <x v="11"/>
    <n v="10"/>
    <n v="4"/>
    <n v="8"/>
    <x v="1"/>
    <s v="LATE"/>
    <x v="0"/>
    <x v="1"/>
    <m/>
    <x v="0"/>
    <n v="1"/>
    <x v="1"/>
    <m/>
    <m/>
    <s v="Closed"/>
    <x v="1"/>
    <s v="NA"/>
    <n v="17"/>
    <d v="2025-12-01T09:58:35"/>
    <n v="1"/>
    <m/>
  </r>
  <r>
    <x v="0"/>
    <s v="0051611250"/>
    <s v="003280"/>
    <s v="0051611250-003280"/>
    <x v="95"/>
    <x v="59"/>
    <d v="2025-12-02T00:00:00"/>
    <s v="ATA"/>
    <s v="HUP"/>
    <x v="571"/>
    <x v="0"/>
    <x v="0"/>
    <s v="ANSI 49"/>
    <d v="2026-03-19T00:00:00"/>
    <n v="8"/>
    <d v="2025-11-26T00:00:00"/>
    <d v="2025-12-08T00:00:00"/>
    <d v="2025-12-04T00:00:00"/>
    <b v="0"/>
    <x v="11"/>
    <n v="10"/>
    <n v="9"/>
    <n v="7"/>
    <x v="5"/>
    <s v="ON TIME"/>
    <x v="2"/>
    <x v="1"/>
    <m/>
    <x v="0"/>
    <n v="-2"/>
    <x v="0"/>
    <m/>
    <m/>
    <s v="Closed"/>
    <x v="0"/>
    <s v="NA"/>
    <n v="18"/>
    <d v="2025-12-11T02:21:19"/>
    <n v="1"/>
    <m/>
  </r>
  <r>
    <x v="0"/>
    <s v="0051436816"/>
    <s v="000030"/>
    <s v="0051436816-000030"/>
    <x v="46"/>
    <x v="39"/>
    <d v="2025-12-19T00:00:00"/>
    <s v="DMA"/>
    <s v="KGF"/>
    <x v="572"/>
    <x v="0"/>
    <x v="0"/>
    <s v="RAL9003"/>
    <d v="2026-02-24T00:00:00"/>
    <n v="22"/>
    <d v="2025-11-27T00:00:00"/>
    <d v="2025-12-08T00:00:00"/>
    <d v="2025-12-10T00:00:00"/>
    <b v="0"/>
    <x v="11"/>
    <n v="10"/>
    <n v="8"/>
    <n v="10"/>
    <x v="12"/>
    <s v="LATE"/>
    <x v="0"/>
    <x v="0"/>
    <m/>
    <x v="0"/>
    <n v="-10"/>
    <x v="0"/>
    <m/>
    <m/>
    <s v="Closed"/>
    <x v="0"/>
    <s v="NA"/>
    <n v="18"/>
    <d v="2025-12-11T02:21:19"/>
    <n v="1"/>
    <m/>
  </r>
  <r>
    <x v="0"/>
    <s v="0051436816"/>
    <s v="000030"/>
    <s v="0051436816-000030"/>
    <x v="46"/>
    <x v="39"/>
    <d v="2025-12-19T00:00:00"/>
    <s v="DMA"/>
    <s v="KGF"/>
    <x v="573"/>
    <x v="0"/>
    <x v="0"/>
    <s v="RAL9003"/>
    <d v="2026-02-24T00:00:00"/>
    <n v="21"/>
    <d v="2025-11-28T00:00:00"/>
    <d v="2025-12-08T00:00:00"/>
    <d v="2025-12-10T00:00:00"/>
    <b v="0"/>
    <x v="11"/>
    <n v="10"/>
    <n v="7"/>
    <n v="9"/>
    <x v="12"/>
    <s v="LATE"/>
    <x v="0"/>
    <x v="0"/>
    <m/>
    <x v="0"/>
    <n v="-10"/>
    <x v="0"/>
    <m/>
    <m/>
    <s v="Closed"/>
    <x v="0"/>
    <s v="NA"/>
    <n v="18"/>
    <d v="2025-12-11T02:21:19"/>
    <n v="1"/>
    <m/>
  </r>
  <r>
    <x v="0"/>
    <s v="SPECIAL"/>
    <s v="KOMAX"/>
    <s v="SPECIAL-KOMAX"/>
    <x v="96"/>
    <x v="67"/>
    <d v="2025-12-09T00:00:00"/>
    <s v="UFA"/>
    <s v="NA"/>
    <x v="574"/>
    <x v="0"/>
    <x v="0"/>
    <s v="NA"/>
    <d v="2025-12-09T00:00:00"/>
    <n v="7"/>
    <d v="2025-12-01T00:00:00"/>
    <d v="2025-12-10T00:00:00"/>
    <d v="2026-01-06T00:00:00"/>
    <b v="0"/>
    <x v="12"/>
    <n v="10"/>
    <n v="8"/>
    <n v="23"/>
    <x v="27"/>
    <s v="LATE"/>
    <x v="1"/>
    <x v="1"/>
    <m/>
    <x v="0"/>
    <n v="17"/>
    <x v="1"/>
    <m/>
    <m/>
    <s v="Closed"/>
    <x v="1"/>
    <s v="NA"/>
    <n v="18"/>
    <d v="2025-12-13T02:21:19"/>
    <n v="1"/>
    <m/>
  </r>
  <r>
    <x v="0"/>
    <s v="0051611250"/>
    <s v="003280"/>
    <s v="0051611250-003280"/>
    <x v="95"/>
    <x v="59"/>
    <d v="2025-12-02T00:00:00"/>
    <s v="ATA"/>
    <s v="HUP"/>
    <x v="575"/>
    <x v="0"/>
    <x v="1"/>
    <s v="ANSI 49"/>
    <d v="2026-03-19T00:00:00"/>
    <n v="5"/>
    <d v="2025-12-01T00:00:00"/>
    <d v="2025-12-08T00:00:00"/>
    <d v="2025-12-05T00:00:00"/>
    <b v="0"/>
    <x v="12"/>
    <n v="10"/>
    <n v="6"/>
    <n v="5"/>
    <x v="11"/>
    <s v="ON TIME"/>
    <x v="2"/>
    <x v="1"/>
    <m/>
    <x v="0"/>
    <n v="1"/>
    <x v="1"/>
    <m/>
    <m/>
    <s v="Closed"/>
    <x v="1"/>
    <s v="NA"/>
    <n v="17"/>
    <d v="2025-12-08T09:58:35"/>
    <n v="1"/>
    <m/>
  </r>
  <r>
    <x v="0"/>
    <s v="0051139077"/>
    <s v="000030&amp;000110&amp;000290"/>
    <s v="0051139077-000030&amp;000110&amp;000290"/>
    <x v="45"/>
    <x v="69"/>
    <m/>
    <s v="AOB"/>
    <s v="OAL"/>
    <x v="576"/>
    <x v="0"/>
    <x v="1"/>
    <s v="ANSI 49"/>
    <d v="2026-01-04T00:00:00"/>
    <n v="-7"/>
    <d v="2025-12-02T00:00:00"/>
    <d v="2025-12-12T00:00:00"/>
    <d v="2025-12-08T00:00:00"/>
    <b v="0"/>
    <x v="12"/>
    <n v="10"/>
    <n v="9"/>
    <n v="5"/>
    <x v="14"/>
    <s v="ON TIME"/>
    <x v="2"/>
    <x v="1"/>
    <s v="OBSOLETE PN, SUPPLY REQUESTED A SPARE"/>
    <x v="0"/>
    <n v="11"/>
    <x v="1"/>
    <m/>
    <m/>
    <s v="Closed"/>
    <x v="1"/>
    <s v="NA"/>
    <n v="17"/>
    <d v="2025-12-12T09:58:35"/>
    <n v="1"/>
    <m/>
  </r>
  <r>
    <x v="0"/>
    <s v="0051024393"/>
    <s v="000310"/>
    <s v="0051024393-000310"/>
    <x v="84"/>
    <x v="70"/>
    <d v="2025-12-15T00:00:00"/>
    <s v="HMA"/>
    <s v="ISQ"/>
    <x v="577"/>
    <x v="1"/>
    <x v="0"/>
    <s v="ANSI 61"/>
    <d v="2026-03-09T00:00:00"/>
    <n v="15"/>
    <d v="2025-12-02T00:00:00"/>
    <d v="2025-12-10T00:00:00"/>
    <d v="2025-12-03T00:00:00"/>
    <b v="0"/>
    <x v="12"/>
    <n v="10"/>
    <n v="7"/>
    <n v="2"/>
    <x v="23"/>
    <s v="ON TIME"/>
    <x v="2"/>
    <x v="0"/>
    <m/>
    <x v="1"/>
    <n v="-13"/>
    <x v="0"/>
    <m/>
    <m/>
    <s v="Cancelled"/>
    <x v="0"/>
    <s v="NA"/>
    <n v="0"/>
    <d v="2025-12-13T02:21:19"/>
    <n v="0"/>
    <m/>
  </r>
  <r>
    <x v="0"/>
    <s v="0051436816"/>
    <s v="000030"/>
    <s v="0051436816-000030"/>
    <x v="46"/>
    <x v="39"/>
    <d v="2025-12-19T00:00:00"/>
    <s v="DMA"/>
    <s v="KGF"/>
    <x v="578"/>
    <x v="1"/>
    <x v="0"/>
    <s v="RAL9003"/>
    <d v="2026-03-17T00:00:00"/>
    <n v="19"/>
    <d v="2025-12-02T00:00:00"/>
    <d v="2025-12-09T00:00:00"/>
    <d v="2025-12-09T00:00:00"/>
    <b v="0"/>
    <x v="12"/>
    <n v="10"/>
    <n v="6"/>
    <n v="6"/>
    <x v="9"/>
    <s v="ON TIME"/>
    <x v="2"/>
    <x v="0"/>
    <m/>
    <x v="0"/>
    <n v="-11"/>
    <x v="0"/>
    <m/>
    <m/>
    <s v="Closed"/>
    <x v="0"/>
    <s v="NA"/>
    <n v="18"/>
    <d v="2025-12-12T02:21:19"/>
    <n v="1"/>
    <m/>
  </r>
  <r>
    <x v="0"/>
    <s v="0051436816"/>
    <s v="000030"/>
    <s v="0051436816-000030"/>
    <x v="46"/>
    <x v="39"/>
    <d v="2025-12-19T00:00:00"/>
    <s v="DMA"/>
    <s v="KGF"/>
    <x v="579"/>
    <x v="0"/>
    <x v="1"/>
    <s v="RAL9003"/>
    <d v="2026-03-10T00:00:00"/>
    <n v="19"/>
    <d v="2025-12-02T00:00:00"/>
    <d v="2025-12-12T00:00:00"/>
    <d v="2025-12-18T00:00:00"/>
    <b v="0"/>
    <x v="12"/>
    <n v="10"/>
    <n v="9"/>
    <n v="12"/>
    <x v="4"/>
    <s v="LATE"/>
    <x v="0"/>
    <x v="0"/>
    <m/>
    <x v="0"/>
    <n v="-5"/>
    <x v="0"/>
    <m/>
    <m/>
    <s v="Closed"/>
    <x v="0"/>
    <s v="NA"/>
    <n v="17"/>
    <d v="2025-12-12T09:58:35"/>
    <n v="1"/>
    <m/>
  </r>
  <r>
    <x v="0"/>
    <s v="_x000a_0051095105"/>
    <s v="000410"/>
    <s v="_x000a_0051095105-000410"/>
    <x v="72"/>
    <x v="59"/>
    <d v="2025-11-28T00:00:00"/>
    <s v="JAM"/>
    <s v="OAL"/>
    <x v="580"/>
    <x v="0"/>
    <x v="1"/>
    <s v="ANSI 49"/>
    <d v="2026-03-17T00:00:00"/>
    <n v="3"/>
    <d v="2025-12-03T00:00:00"/>
    <d v="2025-12-15T00:00:00"/>
    <d v="2025-12-09T00:00:00"/>
    <b v="0"/>
    <x v="12"/>
    <n v="10"/>
    <n v="9"/>
    <n v="5"/>
    <x v="14"/>
    <s v="ON TIME"/>
    <x v="2"/>
    <x v="1"/>
    <m/>
    <x v="0"/>
    <n v="3"/>
    <x v="1"/>
    <m/>
    <m/>
    <s v="Closed"/>
    <x v="1"/>
    <s v="NA"/>
    <n v="17"/>
    <d v="2025-12-15T09:58:35"/>
    <n v="1"/>
    <m/>
  </r>
  <r>
    <x v="0"/>
    <s v="_x000a_0051436816"/>
    <s v="000130"/>
    <s v="_x000a_0051436816-000130"/>
    <x v="46"/>
    <x v="39"/>
    <d v="2025-12-19T00:00:00"/>
    <s v="DMA"/>
    <s v="KGF"/>
    <x v="581"/>
    <x v="0"/>
    <x v="0"/>
    <s v="RAL9003"/>
    <d v="2026-04-27T00:00:00"/>
    <n v="18"/>
    <d v="2025-12-03T00:00:00"/>
    <d v="2025-12-11T00:00:00"/>
    <d v="2025-12-18T00:00:00"/>
    <b v="0"/>
    <x v="12"/>
    <n v="10"/>
    <n v="7"/>
    <n v="11"/>
    <x v="1"/>
    <s v="LATE"/>
    <x v="0"/>
    <x v="0"/>
    <m/>
    <x v="0"/>
    <n v="-5"/>
    <x v="0"/>
    <m/>
    <m/>
    <s v="Closed"/>
    <x v="0"/>
    <s v="NA"/>
    <n v="18"/>
    <d v="2025-12-14T02:21:19"/>
    <n v="1"/>
    <m/>
  </r>
  <r>
    <x v="0"/>
    <s v="0051436816"/>
    <s v="000130"/>
    <s v="0051436816-000130"/>
    <x v="46"/>
    <x v="39"/>
    <d v="2025-12-19T00:00:00"/>
    <s v="DMA"/>
    <s v="KGF"/>
    <x v="582"/>
    <x v="0"/>
    <x v="1"/>
    <s v="RAL9003"/>
    <d v="2026-04-27T00:00:00"/>
    <n v="18"/>
    <d v="2025-12-03T00:00:00"/>
    <d v="2025-12-15T00:00:00"/>
    <d v="2025-12-11T00:00:00"/>
    <b v="0"/>
    <x v="12"/>
    <n v="10"/>
    <n v="9"/>
    <n v="7"/>
    <x v="5"/>
    <s v="ON TIME"/>
    <x v="2"/>
    <x v="0"/>
    <m/>
    <x v="0"/>
    <n v="-9"/>
    <x v="0"/>
    <m/>
    <m/>
    <s v="Closed"/>
    <x v="0"/>
    <s v="NA"/>
    <n v="17"/>
    <d v="2025-12-15T09:58:35"/>
    <n v="1"/>
    <m/>
  </r>
  <r>
    <x v="0"/>
    <s v="0051620541"/>
    <s v="000010"/>
    <s v="0051620541-000010"/>
    <x v="97"/>
    <x v="79"/>
    <m/>
    <s v="JRC"/>
    <m/>
    <x v="583"/>
    <x v="0"/>
    <x v="1"/>
    <s v="ANSI 49"/>
    <d v="2026-04-13T00:00:00"/>
    <n v="33"/>
    <d v="2025-12-03T00:00:00"/>
    <d v="2025-12-15T00:00:00"/>
    <d v="2025-12-04T00:00:00"/>
    <b v="0"/>
    <x v="12"/>
    <n v="10"/>
    <n v="9"/>
    <n v="2"/>
    <x v="25"/>
    <s v="ON TIME"/>
    <x v="2"/>
    <x v="0"/>
    <m/>
    <x v="1"/>
    <n v="-28"/>
    <x v="0"/>
    <m/>
    <m/>
    <s v="Cancelled"/>
    <x v="0"/>
    <s v="NA"/>
    <n v="0"/>
    <d v="2025-12-15T09:58:35"/>
    <n v="0"/>
    <m/>
  </r>
  <r>
    <x v="0"/>
    <s v="0051620541"/>
    <s v="000010"/>
    <s v="0051620541-000010"/>
    <x v="97"/>
    <x v="79"/>
    <d v="2026-01-09T00:00:00"/>
    <s v="JRC"/>
    <m/>
    <x v="584"/>
    <x v="0"/>
    <x v="0"/>
    <s v="ANSI 49"/>
    <d v="2026-04-16T00:00:00"/>
    <n v="32"/>
    <d v="2025-12-04T00:00:00"/>
    <d v="2025-12-11T00:00:00"/>
    <d v="2025-12-26T00:00:00"/>
    <b v="0"/>
    <x v="12"/>
    <n v="10"/>
    <n v="6"/>
    <n v="14"/>
    <x v="7"/>
    <s v="LATE"/>
    <x v="0"/>
    <x v="0"/>
    <m/>
    <x v="0"/>
    <n v="-15"/>
    <x v="0"/>
    <m/>
    <m/>
    <s v="Closed"/>
    <x v="0"/>
    <s v="NA"/>
    <n v="18"/>
    <d v="2025-12-14T02:21:19"/>
    <n v="1"/>
    <m/>
  </r>
  <r>
    <x v="1"/>
    <s v="SWBD"/>
    <s v="META"/>
    <s v="SWBD-META"/>
    <x v="76"/>
    <x v="76"/>
    <d v="2025-12-18T00:00:00"/>
    <s v="ALT"/>
    <s v="AL"/>
    <x v="585"/>
    <x v="1"/>
    <x v="1"/>
    <s v="ANSI 49"/>
    <d v="2025-12-18T00:00:00"/>
    <n v="8"/>
    <d v="2025-12-04T00:00:00"/>
    <d v="2025-12-08T00:00:00"/>
    <d v="2025-12-09T00:00:00"/>
    <b v="0"/>
    <x v="12"/>
    <n v="5"/>
    <n v="3"/>
    <n v="4"/>
    <x v="6"/>
    <s v="LATE"/>
    <x v="0"/>
    <x v="0"/>
    <m/>
    <x v="0"/>
    <n v="-4"/>
    <x v="0"/>
    <m/>
    <m/>
    <s v="Closed"/>
    <x v="0"/>
    <s v="NA"/>
    <n v="9"/>
    <d v="2025-12-08T09:58:35"/>
    <n v="0.52941176470588236"/>
    <m/>
  </r>
  <r>
    <x v="1"/>
    <s v="SWBD"/>
    <s v="META"/>
    <s v="SWBD-META"/>
    <x v="76"/>
    <x v="76"/>
    <d v="2025-12-15T00:00:00"/>
    <s v="ALT"/>
    <s v="AL"/>
    <x v="586"/>
    <x v="1"/>
    <x v="0"/>
    <s v="ANSI 49"/>
    <d v="2025-12-18T00:00:00"/>
    <n v="8"/>
    <d v="2025-12-04T00:00:00"/>
    <d v="2025-12-15T00:00:00"/>
    <d v="2025-12-08T00:00:00"/>
    <b v="0"/>
    <x v="12"/>
    <n v="5"/>
    <n v="8"/>
    <n v="3"/>
    <x v="23"/>
    <s v="ON TIME"/>
    <x v="2"/>
    <x v="0"/>
    <m/>
    <x v="0"/>
    <n v="-5"/>
    <x v="0"/>
    <m/>
    <m/>
    <s v="Closed"/>
    <x v="0"/>
    <s v="NA"/>
    <n v="18"/>
    <d v="2025-12-18T02:21:19"/>
    <n v="1"/>
    <m/>
  </r>
  <r>
    <x v="0"/>
    <s v="0051024393"/>
    <s v="000310"/>
    <s v="0051024393-000310"/>
    <x v="84"/>
    <x v="70"/>
    <d v="2025-12-15T00:00:00"/>
    <s v="HMA"/>
    <s v="ISQ"/>
    <x v="587"/>
    <x v="0"/>
    <x v="0"/>
    <s v="ANSI 61"/>
    <d v="2026-03-02T00:00:00"/>
    <n v="13"/>
    <d v="2025-12-04T00:00:00"/>
    <d v="2025-12-11T00:00:00"/>
    <d v="2025-12-17T00:00:00"/>
    <b v="0"/>
    <x v="12"/>
    <n v="10"/>
    <n v="6"/>
    <n v="9"/>
    <x v="4"/>
    <s v="LATE"/>
    <x v="0"/>
    <x v="0"/>
    <m/>
    <x v="0"/>
    <n v="-4"/>
    <x v="0"/>
    <m/>
    <m/>
    <s v="Closed"/>
    <x v="0"/>
    <s v="NA"/>
    <n v="18"/>
    <d v="2025-12-14T02:21:19"/>
    <n v="1"/>
    <m/>
  </r>
  <r>
    <x v="0"/>
    <s v="0051436816"/>
    <s v="000080"/>
    <s v="0051436816-000080"/>
    <x v="46"/>
    <x v="73"/>
    <d v="2025-12-22T00:00:00"/>
    <s v="DEV"/>
    <s v="VHL"/>
    <x v="588"/>
    <x v="0"/>
    <x v="0"/>
    <s v="RAL9003"/>
    <d v="2026-03-11T00:00:00"/>
    <n v="17"/>
    <d v="2025-12-05T00:00:00"/>
    <d v="2025-12-12T00:00:00"/>
    <d v="2025-12-17T00:00:00"/>
    <b v="0"/>
    <x v="12"/>
    <n v="10"/>
    <n v="6"/>
    <n v="8"/>
    <x v="12"/>
    <s v="LATE"/>
    <x v="0"/>
    <x v="0"/>
    <m/>
    <x v="0"/>
    <n v="-7"/>
    <x v="0"/>
    <m/>
    <m/>
    <s v="Closed"/>
    <x v="0"/>
    <s v="NA"/>
    <n v="18"/>
    <d v="2025-12-15T02:21:19"/>
    <n v="1"/>
    <m/>
  </r>
  <r>
    <x v="0"/>
    <s v="_x000a_0051436816"/>
    <s v="000030"/>
    <s v="_x000a_0051436816-000030"/>
    <x v="46"/>
    <x v="39"/>
    <d v="2025-12-19T00:00:00"/>
    <s v="DMA"/>
    <s v="KGF"/>
    <x v="589"/>
    <x v="0"/>
    <x v="1"/>
    <s v="RAL9003"/>
    <d v="2026-03-17T00:00:00"/>
    <n v="16"/>
    <d v="2025-12-05T00:00:00"/>
    <d v="2025-12-17T00:00:00"/>
    <d v="2025-12-18T00:00:00"/>
    <b v="0"/>
    <x v="12"/>
    <n v="10"/>
    <n v="9"/>
    <n v="9"/>
    <x v="9"/>
    <s v="ON TIME"/>
    <x v="2"/>
    <x v="0"/>
    <m/>
    <x v="0"/>
    <n v="-5"/>
    <x v="0"/>
    <m/>
    <m/>
    <s v="Closed"/>
    <x v="0"/>
    <s v="NA"/>
    <n v="17"/>
    <d v="2025-12-17T09:58:35"/>
    <n v="1"/>
    <m/>
  </r>
  <r>
    <x v="0"/>
    <s v="0051549615"/>
    <s v="000430"/>
    <s v="0051549615-000430"/>
    <x v="90"/>
    <x v="74"/>
    <d v="2026-06-01T00:00:00"/>
    <s v="KYC"/>
    <s v="ODE"/>
    <x v="590"/>
    <x v="1"/>
    <x v="0"/>
    <s v="ANSI 61"/>
    <d v="2026-02-24T00:00:00"/>
    <n v="22"/>
    <d v="2025-12-07T00:00:00"/>
    <d v="2025-12-15T00:00:00"/>
    <d v="2025-12-17T00:00:00"/>
    <b v="0"/>
    <x v="12"/>
    <n v="10"/>
    <n v="6"/>
    <n v="7"/>
    <x v="6"/>
    <s v="LATE"/>
    <x v="0"/>
    <x v="0"/>
    <m/>
    <x v="0"/>
    <n v="-12"/>
    <x v="0"/>
    <m/>
    <m/>
    <s v="Closed"/>
    <x v="0"/>
    <s v="NA"/>
    <n v="18"/>
    <d v="2025-12-18T02:21:19"/>
    <n v="1"/>
    <m/>
  </r>
  <r>
    <x v="0"/>
    <s v="0051549615"/>
    <s v="000430"/>
    <s v="0051549615-000430"/>
    <x v="90"/>
    <x v="74"/>
    <d v="2026-01-06T00:00:00"/>
    <s v="KYC"/>
    <s v="ODE"/>
    <x v="591"/>
    <x v="1"/>
    <x v="0"/>
    <s v="ANSI 49"/>
    <d v="2026-02-24T00:00:00"/>
    <n v="22"/>
    <d v="2025-12-07T00:00:00"/>
    <d v="2025-12-16T00:00:00"/>
    <d v="2025-12-13T00:00:00"/>
    <b v="0"/>
    <x v="12"/>
    <n v="10"/>
    <n v="7"/>
    <n v="4"/>
    <x v="16"/>
    <s v="ON TIME"/>
    <x v="2"/>
    <x v="0"/>
    <m/>
    <x v="0"/>
    <n v="-14"/>
    <x v="0"/>
    <m/>
    <m/>
    <s v="Closed"/>
    <x v="0"/>
    <s v="NA"/>
    <n v="18"/>
    <d v="2025-12-19T02:21:19"/>
    <n v="1"/>
    <m/>
  </r>
  <r>
    <x v="0"/>
    <s v="0050988425"/>
    <s v="001260"/>
    <s v="0050988425-001260"/>
    <x v="21"/>
    <x v="32"/>
    <m/>
    <s v="KYC"/>
    <s v="OAL"/>
    <x v="592"/>
    <x v="0"/>
    <x v="0"/>
    <s v="ANSI 49"/>
    <d v="2025-12-11T00:00:00"/>
    <n v="-40"/>
    <d v="2025-12-08T00:00:00"/>
    <d v="2025-12-17T00:00:00"/>
    <d v="2025-12-11T00:00:00"/>
    <b v="0"/>
    <x v="12"/>
    <n v="10"/>
    <n v="8"/>
    <n v="4"/>
    <x v="14"/>
    <s v="ON TIME"/>
    <x v="2"/>
    <x v="1"/>
    <m/>
    <x v="0"/>
    <n v="39"/>
    <x v="1"/>
    <m/>
    <m/>
    <s v="Closed"/>
    <x v="1"/>
    <s v="NA"/>
    <n v="18"/>
    <d v="2025-12-20T02:21:19"/>
    <n v="1"/>
    <m/>
  </r>
  <r>
    <x v="0"/>
    <s v="0051549615"/>
    <s v="000430"/>
    <s v="0051549615-000430"/>
    <x v="90"/>
    <x v="74"/>
    <d v="2026-01-06T00:00:00"/>
    <s v="KYC"/>
    <s v="ODE"/>
    <x v="593"/>
    <x v="1"/>
    <x v="0"/>
    <s v="ANSI 61"/>
    <d v="2026-02-24T00:00:00"/>
    <n v="22"/>
    <d v="2025-12-08T00:00:00"/>
    <d v="2025-12-15T00:00:00"/>
    <d v="2025-12-18T00:00:00"/>
    <b v="0"/>
    <x v="12"/>
    <n v="10"/>
    <n v="6"/>
    <n v="8"/>
    <x v="12"/>
    <s v="LATE"/>
    <x v="0"/>
    <x v="0"/>
    <m/>
    <x v="0"/>
    <n v="-11"/>
    <x v="0"/>
    <m/>
    <m/>
    <s v="Closed"/>
    <x v="0"/>
    <s v="NA"/>
    <n v="18"/>
    <d v="2025-12-18T02:21:19"/>
    <n v="1"/>
    <m/>
  </r>
  <r>
    <x v="0"/>
    <s v="0051549615"/>
    <s v="000430"/>
    <s v="0051549615-000430"/>
    <x v="90"/>
    <x v="74"/>
    <d v="2026-01-06T00:00:00"/>
    <s v="KYC"/>
    <s v="ODE"/>
    <x v="594"/>
    <x v="1"/>
    <x v="0"/>
    <s v="ANSI 61"/>
    <d v="2026-02-24T00:00:00"/>
    <n v="22"/>
    <d v="2025-12-08T00:00:00"/>
    <d v="2025-12-15T00:00:00"/>
    <d v="2025-12-18T00:00:00"/>
    <b v="0"/>
    <x v="12"/>
    <n v="10"/>
    <n v="6"/>
    <n v="8"/>
    <x v="12"/>
    <s v="LATE"/>
    <x v="0"/>
    <x v="0"/>
    <m/>
    <x v="0"/>
    <n v="-11"/>
    <x v="0"/>
    <m/>
    <m/>
    <s v="Closed"/>
    <x v="0"/>
    <s v="NA"/>
    <n v="18"/>
    <d v="2025-12-18T02:21:19"/>
    <n v="1"/>
    <m/>
  </r>
  <r>
    <x v="0"/>
    <s v="0051611250"/>
    <s v="003280"/>
    <s v="0051611250-003280"/>
    <x v="95"/>
    <x v="59"/>
    <d v="2025-12-02T00:00:00"/>
    <s v="ATA"/>
    <s v="HUP"/>
    <x v="595"/>
    <x v="1"/>
    <x v="0"/>
    <s v="ANSI 49"/>
    <d v="2026-02-13T00:00:00"/>
    <n v="-3"/>
    <d v="2025-12-09T00:00:00"/>
    <d v="2025-12-17T00:00:00"/>
    <d v="2025-12-18T00:00:00"/>
    <b v="0"/>
    <x v="12"/>
    <n v="10"/>
    <n v="7"/>
    <n v="7"/>
    <x v="9"/>
    <s v="ON TIME"/>
    <x v="2"/>
    <x v="1"/>
    <m/>
    <x v="0"/>
    <n v="9"/>
    <x v="1"/>
    <m/>
    <m/>
    <s v="Closed"/>
    <x v="1"/>
    <s v="NA"/>
    <n v="18"/>
    <d v="2025-12-20T02:21:19"/>
    <n v="1"/>
    <m/>
  </r>
  <r>
    <x v="0"/>
    <s v="0051611250"/>
    <s v="003280"/>
    <s v="0051611250-003280"/>
    <x v="95"/>
    <x v="59"/>
    <d v="2025-12-02T00:00:00"/>
    <s v="ATA"/>
    <s v="HUP"/>
    <x v="596"/>
    <x v="1"/>
    <x v="0"/>
    <s v="ANSI 49"/>
    <d v="2026-02-13T00:00:00"/>
    <n v="-3"/>
    <d v="2025-12-09T00:00:00"/>
    <d v="2025-12-17T00:00:00"/>
    <d v="2025-12-22T00:00:00"/>
    <b v="0"/>
    <x v="12"/>
    <n v="10"/>
    <n v="7"/>
    <n v="9"/>
    <x v="12"/>
    <s v="LATE"/>
    <x v="0"/>
    <x v="1"/>
    <m/>
    <x v="0"/>
    <n v="11"/>
    <x v="1"/>
    <m/>
    <m/>
    <s v="Closed"/>
    <x v="1"/>
    <s v="NA"/>
    <n v="18"/>
    <d v="2025-12-20T02:21:19"/>
    <n v="1"/>
    <m/>
  </r>
  <r>
    <x v="0"/>
    <s v="0051611250"/>
    <s v="003280"/>
    <s v="0051611250-003280"/>
    <x v="95"/>
    <x v="59"/>
    <d v="2025-12-02T00:00:00"/>
    <s v="ATA"/>
    <s v="HUP"/>
    <x v="597"/>
    <x v="1"/>
    <x v="1"/>
    <s v="ANSI 49"/>
    <d v="2026-02-13T00:00:00"/>
    <n v="-3"/>
    <d v="2025-12-09T00:00:00"/>
    <d v="2025-12-19T00:00:00"/>
    <d v="2025-12-22T00:00:00"/>
    <b v="0"/>
    <x v="12"/>
    <n v="10"/>
    <n v="9"/>
    <n v="9"/>
    <x v="9"/>
    <s v="ON TIME"/>
    <x v="2"/>
    <x v="1"/>
    <m/>
    <x v="0"/>
    <n v="11"/>
    <x v="1"/>
    <m/>
    <m/>
    <s v="Closed"/>
    <x v="1"/>
    <s v="NA"/>
    <n v="17"/>
    <d v="2025-12-19T09:58:35"/>
    <n v="1"/>
    <m/>
  </r>
  <r>
    <x v="0"/>
    <s v="0051024393"/>
    <s v="00310"/>
    <s v="0051024393-00310"/>
    <x v="84"/>
    <x v="70"/>
    <d v="2025-12-15T00:00:00"/>
    <s v="HMA"/>
    <s v="ISQ"/>
    <x v="598"/>
    <x v="1"/>
    <x v="0"/>
    <s v="ANSI 61"/>
    <d v="2026-03-02T00:00:00"/>
    <n v="9"/>
    <d v="2025-12-10T00:00:00"/>
    <d v="2025-12-17T00:00:00"/>
    <d v="2025-12-17T00:00:00"/>
    <b v="0"/>
    <x v="12"/>
    <n v="10"/>
    <n v="6"/>
    <n v="5"/>
    <x v="11"/>
    <s v="ON TIME"/>
    <x v="2"/>
    <x v="1"/>
    <m/>
    <x v="0"/>
    <n v="-4"/>
    <x v="0"/>
    <m/>
    <m/>
    <s v="Closed"/>
    <x v="0"/>
    <s v="NA"/>
    <n v="18"/>
    <d v="2025-12-20T02:21:19"/>
    <n v="1"/>
    <m/>
  </r>
  <r>
    <x v="0"/>
    <s v="0051129914"/>
    <s v="000760"/>
    <s v="0051129914-000760"/>
    <x v="89"/>
    <x v="73"/>
    <d v="2025-12-19T00:00:00"/>
    <s v="UFA"/>
    <s v="AL"/>
    <x v="599"/>
    <x v="1"/>
    <x v="0"/>
    <s v="ANSI 49"/>
    <d v="2026-03-03T00:00:00"/>
    <n v="14"/>
    <d v="2025-12-10T00:00:00"/>
    <d v="2025-12-18T00:00:00"/>
    <d v="2026-01-06T00:00:00"/>
    <b v="0"/>
    <x v="12"/>
    <n v="10"/>
    <n v="7"/>
    <n v="16"/>
    <x v="17"/>
    <s v="LATE"/>
    <x v="0"/>
    <x v="0"/>
    <m/>
    <x v="0"/>
    <n v="6"/>
    <x v="1"/>
    <m/>
    <m/>
    <s v="Closed"/>
    <x v="1"/>
    <s v="NA"/>
    <n v="18"/>
    <d v="2025-12-21T02:21:19"/>
    <n v="1"/>
    <m/>
  </r>
  <r>
    <x v="0"/>
    <s v="0051129914"/>
    <s v="000750&amp;760"/>
    <s v="0051129914-000750&amp;760"/>
    <x v="89"/>
    <x v="73"/>
    <d v="2025-12-18T00:00:00"/>
    <s v="UFA"/>
    <s v="AL"/>
    <x v="600"/>
    <x v="0"/>
    <x v="1"/>
    <s v="ANSI 49"/>
    <d v="2026-03-03T00:00:00"/>
    <n v="14"/>
    <d v="2025-12-10T00:00:00"/>
    <d v="2025-12-22T00:00:00"/>
    <d v="2025-12-23T00:00:00"/>
    <b v="0"/>
    <x v="12"/>
    <n v="10"/>
    <n v="9"/>
    <n v="9"/>
    <x v="9"/>
    <s v="ON TIME"/>
    <x v="2"/>
    <x v="0"/>
    <m/>
    <x v="0"/>
    <n v="-3"/>
    <x v="0"/>
    <m/>
    <m/>
    <s v="Closed"/>
    <x v="0"/>
    <s v="NA"/>
    <n v="17"/>
    <d v="2025-12-22T09:58:35"/>
    <n v="1"/>
    <m/>
  </r>
  <r>
    <x v="0"/>
    <s v="0051129914"/>
    <s v="000760"/>
    <s v="0051129914-000760"/>
    <x v="89"/>
    <x v="73"/>
    <d v="2025-12-19T00:00:00"/>
    <s v="UFA"/>
    <s v="AL"/>
    <x v="601"/>
    <x v="1"/>
    <x v="1"/>
    <s v="ANSI 49"/>
    <d v="2026-03-03T00:00:00"/>
    <n v="14"/>
    <d v="2025-12-10T00:00:00"/>
    <d v="2025-12-22T00:00:00"/>
    <d v="2025-12-22T00:00:00"/>
    <b v="0"/>
    <x v="12"/>
    <n v="10"/>
    <n v="9"/>
    <n v="8"/>
    <x v="11"/>
    <s v="ON TIME"/>
    <x v="2"/>
    <x v="0"/>
    <m/>
    <x v="0"/>
    <n v="-4"/>
    <x v="0"/>
    <m/>
    <m/>
    <s v="Closed"/>
    <x v="0"/>
    <s v="NA"/>
    <n v="17"/>
    <d v="2025-12-22T09:58:35"/>
    <n v="1"/>
    <m/>
  </r>
  <r>
    <x v="0"/>
    <s v="0050927776"/>
    <s v="000950"/>
    <s v="0050927776-000950"/>
    <x v="94"/>
    <x v="39"/>
    <d v="2025-12-18T00:00:00"/>
    <s v="ASP"/>
    <s v="CML"/>
    <x v="602"/>
    <x v="1"/>
    <x v="0"/>
    <s v="ANSI 49"/>
    <d v="2026-10-16T00:00:00"/>
    <n v="13"/>
    <d v="2025-12-10T00:00:00"/>
    <d v="2025-12-17T00:00:00"/>
    <d v="2026-01-12T00:00:00"/>
    <b v="0"/>
    <x v="12"/>
    <n v="10"/>
    <n v="6"/>
    <n v="20"/>
    <x v="20"/>
    <s v="LATE"/>
    <x v="0"/>
    <x v="0"/>
    <m/>
    <x v="0"/>
    <n v="11"/>
    <x v="1"/>
    <m/>
    <m/>
    <s v="Closed"/>
    <x v="1"/>
    <s v="NA"/>
    <n v="18"/>
    <d v="2025-12-20T02:21:19"/>
    <n v="1"/>
    <m/>
  </r>
  <r>
    <x v="0"/>
    <s v="0051536680"/>
    <s v="000150"/>
    <s v="0051536680-000150"/>
    <x v="55"/>
    <x v="80"/>
    <d v="2025-09-25T00:00:00"/>
    <s v="DRV"/>
    <s v="ISQ"/>
    <x v="603"/>
    <x v="1"/>
    <x v="0"/>
    <s v="ANSI 49"/>
    <d v="2025-12-29T00:00:00"/>
    <n v="-58"/>
    <d v="2025-12-10T00:00:00"/>
    <d v="2025-12-17T00:00:00"/>
    <d v="2025-12-15T00:00:00"/>
    <b v="0"/>
    <x v="12"/>
    <n v="10"/>
    <n v="6"/>
    <n v="3"/>
    <x v="16"/>
    <s v="ON TIME"/>
    <x v="2"/>
    <x v="1"/>
    <m/>
    <x v="0"/>
    <n v="56"/>
    <x v="1"/>
    <m/>
    <m/>
    <s v="Closed"/>
    <x v="1"/>
    <s v="NA"/>
    <n v="18"/>
    <d v="2025-12-20T02:21:19"/>
    <n v="1"/>
    <m/>
  </r>
  <r>
    <x v="0"/>
    <s v="0050927776"/>
    <s v="000950"/>
    <s v="0050927776-000950"/>
    <x v="94"/>
    <x v="39"/>
    <d v="2025-12-18T00:00:00"/>
    <s v="ASP"/>
    <s v="CML"/>
    <x v="604"/>
    <x v="1"/>
    <x v="0"/>
    <s v="ANSI 49"/>
    <d v="2026-10-16T00:00:00"/>
    <n v="13"/>
    <d v="2025-12-10T00:00:00"/>
    <d v="2025-12-17T00:00:00"/>
    <d v="2026-01-13T00:00:00"/>
    <b v="0"/>
    <x v="12"/>
    <n v="10"/>
    <n v="6"/>
    <n v="21"/>
    <x v="27"/>
    <s v="LATE"/>
    <x v="1"/>
    <x v="0"/>
    <m/>
    <x v="0"/>
    <n v="12"/>
    <x v="1"/>
    <m/>
    <m/>
    <s v="Closed"/>
    <x v="1"/>
    <s v="NA"/>
    <n v="18"/>
    <d v="2025-12-20T02:21:19"/>
    <n v="1"/>
    <m/>
  </r>
  <r>
    <x v="0"/>
    <s v="0051611250"/>
    <s v="003280"/>
    <s v="0051611250-003280"/>
    <x v="95"/>
    <x v="59"/>
    <d v="2025-12-02T00:00:00"/>
    <s v="ATA"/>
    <s v="HUP"/>
    <x v="605"/>
    <x v="1"/>
    <x v="0"/>
    <s v="ANSI 49"/>
    <d v="2026-02-13T00:00:00"/>
    <n v="-5"/>
    <d v="2025-12-11T00:00:00"/>
    <d v="2025-12-18T00:00:00"/>
    <d v="2025-12-22T00:00:00"/>
    <b v="0"/>
    <x v="12"/>
    <n v="10"/>
    <n v="6"/>
    <n v="7"/>
    <x v="6"/>
    <s v="LATE"/>
    <x v="0"/>
    <x v="1"/>
    <m/>
    <x v="0"/>
    <n v="11"/>
    <x v="1"/>
    <m/>
    <m/>
    <s v="Closed"/>
    <x v="1"/>
    <s v="NA"/>
    <n v="18"/>
    <d v="2025-12-21T02:21:19"/>
    <n v="1"/>
    <m/>
  </r>
  <r>
    <x v="0"/>
    <s v="0051611250"/>
    <s v="003280"/>
    <s v="0051611250-003280"/>
    <x v="95"/>
    <x v="59"/>
    <d v="2025-12-02T00:00:00"/>
    <s v="ATA"/>
    <s v="HUP"/>
    <x v="606"/>
    <x v="1"/>
    <x v="1"/>
    <s v="ANSI 49"/>
    <d v="2026-02-13T00:00:00"/>
    <n v="-5"/>
    <d v="2025-12-11T00:00:00"/>
    <d v="2025-12-23T00:00:00"/>
    <d v="2025-12-12T00:00:00"/>
    <b v="0"/>
    <x v="12"/>
    <n v="10"/>
    <n v="9"/>
    <n v="1"/>
    <x v="10"/>
    <s v="ON TIME"/>
    <x v="2"/>
    <x v="1"/>
    <m/>
    <x v="1"/>
    <n v="5"/>
    <x v="1"/>
    <m/>
    <m/>
    <s v="Cancelled"/>
    <x v="1"/>
    <s v="NA"/>
    <n v="3"/>
    <d v="2025-12-23T09:58:35"/>
    <n v="0.17647058823529413"/>
    <m/>
  </r>
  <r>
    <x v="0"/>
    <s v="0051611250"/>
    <s v="003280"/>
    <s v="0051611250-003280"/>
    <x v="95"/>
    <x v="59"/>
    <d v="2025-12-02T00:00:00"/>
    <s v="ATA"/>
    <s v="HUP"/>
    <x v="607"/>
    <x v="1"/>
    <x v="0"/>
    <s v="ANSI 49"/>
    <d v="2026-02-13T00:00:00"/>
    <n v="-5"/>
    <d v="2025-12-11T00:00:00"/>
    <d v="2025-12-18T00:00:00"/>
    <d v="2025-12-22T00:00:00"/>
    <b v="0"/>
    <x v="12"/>
    <n v="10"/>
    <n v="6"/>
    <n v="7"/>
    <x v="6"/>
    <s v="LATE"/>
    <x v="0"/>
    <x v="1"/>
    <m/>
    <x v="0"/>
    <n v="11"/>
    <x v="1"/>
    <m/>
    <m/>
    <s v="Closed"/>
    <x v="1"/>
    <s v="NA"/>
    <n v="18"/>
    <d v="2025-12-21T02:21:19"/>
    <n v="1"/>
    <m/>
  </r>
  <r>
    <x v="0"/>
    <s v="0051615853"/>
    <s v="000100"/>
    <s v="0051615853-000100"/>
    <x v="98"/>
    <x v="73"/>
    <d v="2025-12-29T00:00:00"/>
    <s v="DEV"/>
    <s v="KGF"/>
    <x v="608"/>
    <x v="0"/>
    <x v="0"/>
    <s v="RAL9003"/>
    <d v="2026-04-27T00:00:00"/>
    <n v="13"/>
    <d v="2025-12-11T00:00:00"/>
    <d v="2025-12-18T00:00:00"/>
    <d v="2025-12-22T00:00:00"/>
    <b v="0"/>
    <x v="12"/>
    <n v="10"/>
    <n v="6"/>
    <n v="7"/>
    <x v="6"/>
    <s v="LATE"/>
    <x v="0"/>
    <x v="0"/>
    <m/>
    <x v="0"/>
    <n v="-4"/>
    <x v="0"/>
    <m/>
    <m/>
    <s v="Closed"/>
    <x v="0"/>
    <s v="NA"/>
    <n v="18"/>
    <d v="2025-12-21T02:21:19"/>
    <n v="1"/>
    <m/>
  </r>
  <r>
    <x v="0"/>
    <s v="0050829646"/>
    <s v="001060&amp;001080"/>
    <s v="0050829646-001060&amp;001080"/>
    <x v="99"/>
    <x v="81"/>
    <d v="2025-12-22T00:00:00"/>
    <s v="DRV"/>
    <m/>
    <x v="609"/>
    <x v="0"/>
    <x v="0"/>
    <s v="ANSI 49"/>
    <d v="2026-04-22T00:00:00"/>
    <n v="31"/>
    <d v="2025-12-11T00:00:00"/>
    <d v="2025-12-18T00:00:00"/>
    <d v="2025-12-21T00:00:00"/>
    <b v="0"/>
    <x v="12"/>
    <n v="10"/>
    <n v="6"/>
    <n v="6"/>
    <x v="9"/>
    <s v="ON TIME"/>
    <x v="2"/>
    <x v="0"/>
    <m/>
    <x v="0"/>
    <n v="-21"/>
    <x v="0"/>
    <m/>
    <m/>
    <s v="Closed"/>
    <x v="0"/>
    <s v="NA"/>
    <n v="18"/>
    <d v="2025-12-21T02:21:19"/>
    <n v="1"/>
    <m/>
  </r>
  <r>
    <x v="0"/>
    <s v="0050927776"/>
    <s v="000950"/>
    <s v="0050927776-000950"/>
    <x v="94"/>
    <x v="78"/>
    <d v="2025-12-18T00:00:00"/>
    <s v="ASP"/>
    <s v="CML"/>
    <x v="610"/>
    <x v="1"/>
    <x v="1"/>
    <s v="ANSI 49"/>
    <d v="2026-10-13T00:00:00"/>
    <n v="9"/>
    <d v="2025-12-11T00:00:00"/>
    <d v="2025-12-23T00:00:00"/>
    <d v="2025-12-17T00:00:00"/>
    <b v="0"/>
    <x v="12"/>
    <n v="10"/>
    <n v="9"/>
    <n v="4"/>
    <x v="23"/>
    <s v="ON TIME"/>
    <x v="2"/>
    <x v="1"/>
    <m/>
    <x v="1"/>
    <n v="-5"/>
    <x v="0"/>
    <m/>
    <m/>
    <s v="Cancelled"/>
    <x v="0"/>
    <s v="NA"/>
    <n v="16"/>
    <d v="2025-12-23T09:58:35"/>
    <n v="0.94117647058823528"/>
    <m/>
  </r>
  <r>
    <x v="0"/>
    <s v="0051611250"/>
    <s v="003280"/>
    <s v="0051611250-003280"/>
    <x v="95"/>
    <x v="59"/>
    <d v="2025-12-02T00:00:00"/>
    <s v="ATA"/>
    <s v="HUP"/>
    <x v="611"/>
    <x v="1"/>
    <x v="1"/>
    <s v="ANSI 49"/>
    <d v="2026-02-13T00:00:00"/>
    <n v="-5"/>
    <d v="2025-12-11T00:00:00"/>
    <d v="2025-12-18T00:00:00"/>
    <d v="2025-12-18T00:00:00"/>
    <b v="0"/>
    <x v="12"/>
    <n v="10"/>
    <n v="6"/>
    <n v="5"/>
    <x v="11"/>
    <s v="ON TIME"/>
    <x v="2"/>
    <x v="1"/>
    <m/>
    <x v="0"/>
    <n v="9"/>
    <x v="1"/>
    <m/>
    <m/>
    <s v="Closed"/>
    <x v="1"/>
    <s v="NA"/>
    <n v="17"/>
    <d v="2025-12-18T09:58:35"/>
    <n v="1"/>
    <m/>
  </r>
  <r>
    <x v="0"/>
    <s v="_x000a_0051615853"/>
    <s v="000100"/>
    <s v="_x000a_0051615853-000100"/>
    <x v="98"/>
    <x v="73"/>
    <d v="2025-12-29T00:00:00"/>
    <s v="DEV"/>
    <s v="KGF"/>
    <x v="612"/>
    <x v="1"/>
    <x v="0"/>
    <s v="RAL9003"/>
    <d v="2026-04-27T00:00:00"/>
    <n v="12"/>
    <d v="2025-12-12T00:00:00"/>
    <d v="2025-12-19T00:00:00"/>
    <d v="2025-12-22T00:00:00"/>
    <b v="0"/>
    <x v="12"/>
    <n v="10"/>
    <n v="6"/>
    <n v="6"/>
    <x v="9"/>
    <s v="ON TIME"/>
    <x v="2"/>
    <x v="0"/>
    <m/>
    <x v="0"/>
    <n v="-4"/>
    <x v="0"/>
    <m/>
    <m/>
    <s v="Closed"/>
    <x v="0"/>
    <s v="NA"/>
    <n v="18"/>
    <d v="2025-12-22T02:21:19"/>
    <n v="1"/>
    <m/>
  </r>
  <r>
    <x v="0"/>
    <s v="0051139077"/>
    <s v="000030"/>
    <s v="0051139077-000030"/>
    <x v="45"/>
    <x v="76"/>
    <m/>
    <s v="AOB"/>
    <s v="OAL"/>
    <x v="613"/>
    <x v="0"/>
    <x v="1"/>
    <s v="ANSI 49"/>
    <d v="2026-02-13T00:00:00"/>
    <n v="2"/>
    <d v="2025-12-12T00:00:00"/>
    <d v="2025-12-24T00:00:00"/>
    <d v="2026-01-05T00:00:00"/>
    <b v="0"/>
    <x v="12"/>
    <n v="10"/>
    <n v="9"/>
    <n v="13"/>
    <x v="1"/>
    <s v="LATE"/>
    <x v="0"/>
    <x v="1"/>
    <m/>
    <x v="0"/>
    <n v="13"/>
    <x v="1"/>
    <m/>
    <m/>
    <s v="Closed"/>
    <x v="1"/>
    <s v="NA"/>
    <n v="17"/>
    <d v="2025-12-24T09:58:35"/>
    <n v="1"/>
    <m/>
  </r>
  <r>
    <x v="0"/>
    <s v="0050927776"/>
    <s v="000950"/>
    <s v="0050927776-000950"/>
    <x v="94"/>
    <x v="78"/>
    <d v="2025-12-18T00:00:00"/>
    <s v="ASP"/>
    <s v="CML"/>
    <x v="614"/>
    <x v="1"/>
    <x v="0"/>
    <s v="ANSI 49"/>
    <d v="2026-10-13T00:00:00"/>
    <n v="8"/>
    <d v="2025-12-12T00:00:00"/>
    <d v="2025-12-22T00:00:00"/>
    <d v="2026-01-05T00:00:00"/>
    <b v="0"/>
    <x v="12"/>
    <n v="10"/>
    <n v="7"/>
    <n v="13"/>
    <x v="8"/>
    <s v="LATE"/>
    <x v="0"/>
    <x v="1"/>
    <m/>
    <x v="0"/>
    <n v="7"/>
    <x v="1"/>
    <m/>
    <m/>
    <s v="Closed"/>
    <x v="1"/>
    <s v="NA"/>
    <n v="18"/>
    <d v="2025-12-25T02:21:19"/>
    <n v="1"/>
    <m/>
  </r>
  <r>
    <x v="0"/>
    <s v="0050927776"/>
    <s v="000950"/>
    <s v="0050927776-000950"/>
    <x v="94"/>
    <x v="39"/>
    <d v="2025-12-18T00:00:00"/>
    <s v="ASP"/>
    <s v="CML"/>
    <x v="615"/>
    <x v="1"/>
    <x v="0"/>
    <s v="ANSI 49"/>
    <d v="2026-10-13T00:00:00"/>
    <n v="11"/>
    <d v="2025-12-12T00:00:00"/>
    <d v="2025-12-22T00:00:00"/>
    <d v="2026-01-09T00:00:00"/>
    <b v="0"/>
    <x v="12"/>
    <n v="10"/>
    <n v="7"/>
    <n v="17"/>
    <x v="0"/>
    <s v="LATE"/>
    <x v="0"/>
    <x v="0"/>
    <m/>
    <x v="0"/>
    <n v="10"/>
    <x v="1"/>
    <m/>
    <m/>
    <s v="Closed"/>
    <x v="1"/>
    <s v="NA"/>
    <n v="18"/>
    <d v="2025-12-25T02:21:19"/>
    <n v="1"/>
    <m/>
  </r>
  <r>
    <x v="0"/>
    <s v="0051615853"/>
    <s v="000100 "/>
    <s v="0051615853-000100 "/>
    <x v="98"/>
    <x v="73"/>
    <d v="2025-12-29T00:00:00"/>
    <s v="DEV"/>
    <s v="KGF"/>
    <x v="616"/>
    <x v="1"/>
    <x v="0"/>
    <s v="RAL9003"/>
    <d v="2026-04-27T00:00:00"/>
    <n v="11"/>
    <d v="2025-12-15T00:00:00"/>
    <d v="2025-12-22T00:00:00"/>
    <d v="2025-12-22T00:00:00"/>
    <b v="0"/>
    <x v="12"/>
    <n v="10"/>
    <n v="6"/>
    <n v="6"/>
    <x v="9"/>
    <s v="ON TIME"/>
    <x v="2"/>
    <x v="0"/>
    <m/>
    <x v="0"/>
    <n v="-4"/>
    <x v="0"/>
    <m/>
    <m/>
    <s v="Closed"/>
    <x v="0"/>
    <s v="NA"/>
    <n v="18"/>
    <d v="2025-12-25T02:21:19"/>
    <n v="1"/>
    <m/>
  </r>
  <r>
    <x v="0"/>
    <s v="0050927776"/>
    <s v="000950"/>
    <s v="0050927776-000950"/>
    <x v="94"/>
    <x v="78"/>
    <d v="2025-12-18T00:00:00"/>
    <s v="ASP"/>
    <s v="CML"/>
    <x v="617"/>
    <x v="1"/>
    <x v="0"/>
    <s v="ANSI 49"/>
    <d v="2026-10-13T00:00:00"/>
    <n v="7"/>
    <d v="2025-12-15T00:00:00"/>
    <d v="2025-12-23T00:00:00"/>
    <d v="2025-12-29T00:00:00"/>
    <b v="0"/>
    <x v="12"/>
    <n v="10"/>
    <n v="7"/>
    <n v="9"/>
    <x v="12"/>
    <s v="LATE"/>
    <x v="0"/>
    <x v="1"/>
    <m/>
    <x v="0"/>
    <n v="3"/>
    <x v="1"/>
    <m/>
    <m/>
    <s v="Closed"/>
    <x v="1"/>
    <s v="NA"/>
    <n v="18"/>
    <d v="2025-12-26T02:21:19"/>
    <n v="1"/>
    <m/>
  </r>
  <r>
    <x v="0"/>
    <s v="0051129914"/>
    <s v="000750&amp;760"/>
    <s v="0051129914-000750&amp;760"/>
    <x v="89"/>
    <x v="73"/>
    <d v="2025-12-18T00:00:00"/>
    <s v="UFA"/>
    <s v="AL"/>
    <x v="618"/>
    <x v="0"/>
    <x v="1"/>
    <s v="ANSI 49"/>
    <d v="2026-03-10T00:00:00"/>
    <n v="11"/>
    <d v="2025-12-15T00:00:00"/>
    <d v="2025-12-29T00:00:00"/>
    <d v="2026-01-07T00:00:00"/>
    <b v="0"/>
    <x v="12"/>
    <n v="10"/>
    <n v="11"/>
    <n v="15"/>
    <x v="1"/>
    <s v="LATE"/>
    <x v="0"/>
    <x v="0"/>
    <m/>
    <x v="0"/>
    <n v="7"/>
    <x v="1"/>
    <m/>
    <m/>
    <s v="Closed"/>
    <x v="1"/>
    <s v="NA"/>
    <n v="17"/>
    <d v="2025-12-29T09:58:35"/>
    <n v="1"/>
    <m/>
  </r>
  <r>
    <x v="0"/>
    <s v="0050927776"/>
    <s v="000950"/>
    <s v="0050927776-000950"/>
    <x v="94"/>
    <x v="78"/>
    <d v="2025-12-18T00:00:00"/>
    <s v="ASP"/>
    <s v="CML"/>
    <x v="619"/>
    <x v="1"/>
    <x v="0"/>
    <s v="ANSI 49"/>
    <d v="2026-10-13T00:00:00"/>
    <n v="6"/>
    <d v="2025-12-16T00:00:00"/>
    <d v="2025-12-23T00:00:00"/>
    <d v="2026-01-05T00:00:00"/>
    <b v="0"/>
    <x v="12"/>
    <n v="10"/>
    <n v="6"/>
    <n v="12"/>
    <x v="8"/>
    <s v="LATE"/>
    <x v="0"/>
    <x v="1"/>
    <m/>
    <x v="0"/>
    <n v="7"/>
    <x v="1"/>
    <m/>
    <m/>
    <s v="Closed"/>
    <x v="1"/>
    <s v="NA"/>
    <n v="18"/>
    <d v="2025-12-26T02:21:19"/>
    <n v="1"/>
    <m/>
  </r>
  <r>
    <x v="0"/>
    <s v="0050927776"/>
    <s v="000950"/>
    <s v="0050927776-000950"/>
    <x v="94"/>
    <x v="39"/>
    <d v="2025-12-18T00:00:00"/>
    <s v="ASP"/>
    <s v="CML"/>
    <x v="620"/>
    <x v="1"/>
    <x v="0"/>
    <s v="ANSI 49"/>
    <d v="2026-10-13T00:00:00"/>
    <n v="9"/>
    <d v="2025-12-16T00:00:00"/>
    <d v="2025-12-23T00:00:00"/>
    <d v="2026-01-12T00:00:00"/>
    <b v="0"/>
    <x v="12"/>
    <n v="10"/>
    <n v="6"/>
    <n v="17"/>
    <x v="21"/>
    <s v="LATE"/>
    <x v="0"/>
    <x v="1"/>
    <m/>
    <x v="0"/>
    <n v="11"/>
    <x v="1"/>
    <m/>
    <m/>
    <s v="Closed"/>
    <x v="1"/>
    <s v="NA"/>
    <n v="18"/>
    <d v="2025-12-26T02:21:19"/>
    <n v="1"/>
    <m/>
  </r>
  <r>
    <x v="0"/>
    <s v="0050819993"/>
    <s v="011010"/>
    <s v="0050819993-011010"/>
    <x v="100"/>
    <x v="79"/>
    <d v="2026-01-12T00:00:00"/>
    <s v="RAS"/>
    <s v="OAL"/>
    <x v="621"/>
    <x v="0"/>
    <x v="0"/>
    <s v="ANSI 49"/>
    <d v="2026-06-17T00:00:00"/>
    <n v="24"/>
    <d v="2025-12-16T00:00:00"/>
    <d v="2025-12-24T00:00:00"/>
    <d v="2026-01-05T00:00:00"/>
    <b v="0"/>
    <x v="12"/>
    <n v="10"/>
    <n v="7"/>
    <n v="12"/>
    <x v="3"/>
    <s v="LATE"/>
    <x v="0"/>
    <x v="0"/>
    <m/>
    <x v="0"/>
    <n v="-10"/>
    <x v="0"/>
    <m/>
    <m/>
    <s v="Closed"/>
    <x v="0"/>
    <s v="NA"/>
    <n v="18"/>
    <d v="2025-12-27T02:21:19"/>
    <n v="1"/>
    <m/>
  </r>
  <r>
    <x v="0"/>
    <s v="0050819993"/>
    <s v="011000"/>
    <s v="0050819993-011000"/>
    <x v="100"/>
    <x v="82"/>
    <d v="2026-01-26T00:00:00"/>
    <s v="MGL "/>
    <s v="RCI"/>
    <x v="622"/>
    <x v="1"/>
    <x v="0"/>
    <s v="ANSI 49"/>
    <d v="2026-06-11T00:00:00"/>
    <n v="33"/>
    <d v="2025-12-17T00:00:00"/>
    <d v="2025-12-25T00:00:00"/>
    <d v="2025-12-29T00:00:00"/>
    <b v="0"/>
    <x v="12"/>
    <n v="10"/>
    <n v="7"/>
    <n v="7"/>
    <x v="9"/>
    <s v="ON TIME"/>
    <x v="2"/>
    <x v="0"/>
    <m/>
    <x v="0"/>
    <n v="-24"/>
    <x v="0"/>
    <m/>
    <m/>
    <s v="Closed"/>
    <x v="0"/>
    <s v="NA"/>
    <n v="18"/>
    <d v="2025-12-28T02:21:19"/>
    <n v="1"/>
    <m/>
  </r>
  <r>
    <x v="0"/>
    <s v="0051549615"/>
    <s v="000430"/>
    <s v="0051549615-000430"/>
    <x v="90"/>
    <x v="74"/>
    <d v="2026-01-06T00:00:00"/>
    <s v="KYC"/>
    <s v="ODE"/>
    <x v="623"/>
    <x v="0"/>
    <x v="1"/>
    <s v="ANSI 61"/>
    <d v="2026-02-24T00:00:00"/>
    <n v="15"/>
    <d v="2025-12-17T00:00:00"/>
    <d v="2025-12-29T00:00:00"/>
    <d v="2025-12-23T00:00:00"/>
    <b v="0"/>
    <x v="12"/>
    <n v="10"/>
    <n v="9"/>
    <n v="5"/>
    <x v="14"/>
    <s v="ON TIME"/>
    <x v="2"/>
    <x v="0"/>
    <m/>
    <x v="0"/>
    <n v="-8"/>
    <x v="0"/>
    <m/>
    <m/>
    <s v="Closed"/>
    <x v="0"/>
    <s v="NA"/>
    <n v="17"/>
    <d v="2025-12-29T09:58:35"/>
    <n v="1"/>
    <m/>
  </r>
  <r>
    <x v="0"/>
    <s v="0051106129"/>
    <s v="000580"/>
    <s v="0051106129-000580"/>
    <x v="101"/>
    <x v="73"/>
    <d v="2025-12-29T00:00:00"/>
    <s v="MGL "/>
    <s v="HUP"/>
    <x v="624"/>
    <x v="1"/>
    <x v="0"/>
    <s v="ANSI 49"/>
    <d v="2026-02-27T00:00:00"/>
    <n v="9"/>
    <d v="2025-12-17T00:00:00"/>
    <d v="2025-12-25T00:00:00"/>
    <d v="2025-12-22T00:00:00"/>
    <b v="0"/>
    <x v="12"/>
    <n v="10"/>
    <n v="7"/>
    <n v="4"/>
    <x v="16"/>
    <s v="ON TIME"/>
    <x v="2"/>
    <x v="1"/>
    <m/>
    <x v="0"/>
    <n v="-4"/>
    <x v="0"/>
    <m/>
    <m/>
    <s v="Closed"/>
    <x v="0"/>
    <s v="NA"/>
    <n v="18"/>
    <d v="2025-12-28T02:21:19"/>
    <n v="1"/>
    <m/>
  </r>
  <r>
    <x v="0"/>
    <s v="0051106129"/>
    <s v="000580"/>
    <s v="0051106129-000580"/>
    <x v="101"/>
    <x v="73"/>
    <d v="2025-12-29T00:00:00"/>
    <s v="MGL "/>
    <s v="HUP"/>
    <x v="625"/>
    <x v="1"/>
    <x v="0"/>
    <s v="ANSI 49"/>
    <d v="2026-02-27T00:00:00"/>
    <n v="9"/>
    <d v="2025-12-17T00:00:00"/>
    <d v="2025-12-25T00:00:00"/>
    <d v="2025-12-22T00:00:00"/>
    <b v="0"/>
    <x v="12"/>
    <n v="10"/>
    <n v="7"/>
    <n v="4"/>
    <x v="16"/>
    <s v="ON TIME"/>
    <x v="2"/>
    <x v="1"/>
    <m/>
    <x v="0"/>
    <n v="-4"/>
    <x v="0"/>
    <m/>
    <m/>
    <s v="Closed"/>
    <x v="0"/>
    <s v="NA"/>
    <n v="18"/>
    <d v="2025-12-28T02:21:19"/>
    <n v="1"/>
    <m/>
  </r>
  <r>
    <x v="0"/>
    <s v="0051620541"/>
    <s v="000010"/>
    <s v="0051620541-000010"/>
    <x v="97"/>
    <x v="83"/>
    <d v="2025-12-09T00:00:00"/>
    <m/>
    <m/>
    <x v="626"/>
    <x v="0"/>
    <x v="1"/>
    <s v="ANSI 49"/>
    <m/>
    <n v="-2"/>
    <d v="2025-12-17T00:00:00"/>
    <d v="2025-12-29T00:00:00"/>
    <m/>
    <b v="1"/>
    <x v="12"/>
    <n v="10"/>
    <n v="9"/>
    <n v="64"/>
    <x v="32"/>
    <s v="LATE"/>
    <x v="1"/>
    <x v="1"/>
    <m/>
    <x v="1"/>
    <n v="65"/>
    <x v="1"/>
    <m/>
    <m/>
    <s v="Cancelled"/>
    <x v="1"/>
    <s v="NA"/>
    <n v="0"/>
    <d v="2025-12-29T09:58:35"/>
    <n v="0"/>
    <m/>
  </r>
  <r>
    <x v="0"/>
    <s v="_x000a_0051611250"/>
    <s v="003280"/>
    <s v="_x000a_0051611250-003280"/>
    <x v="95"/>
    <x v="59"/>
    <d v="2025-12-02T00:00:00"/>
    <s v="ATA"/>
    <s v="HUP"/>
    <x v="627"/>
    <x v="1"/>
    <x v="1"/>
    <s v="ANSI 49"/>
    <d v="2026-02-25T00:00:00"/>
    <n v="-9"/>
    <d v="2025-12-17T00:00:00"/>
    <d v="2025-12-29T00:00:00"/>
    <m/>
    <b v="1"/>
    <x v="12"/>
    <n v="10"/>
    <n v="9"/>
    <n v="64"/>
    <x v="32"/>
    <s v="LATE"/>
    <x v="1"/>
    <x v="1"/>
    <m/>
    <x v="1"/>
    <n v="71"/>
    <x v="1"/>
    <m/>
    <m/>
    <s v="Cancelled"/>
    <x v="1"/>
    <s v="NA"/>
    <n v="0"/>
    <d v="2025-12-29T09:58:35"/>
    <n v="0"/>
    <m/>
  </r>
  <r>
    <x v="0"/>
    <s v="0051611250"/>
    <s v="003280"/>
    <s v="0051611250-003280"/>
    <x v="95"/>
    <x v="59"/>
    <d v="2025-12-02T00:00:00"/>
    <s v="ATA"/>
    <s v="HUP"/>
    <x v="628"/>
    <x v="1"/>
    <x v="0"/>
    <s v="ANSI 49"/>
    <d v="2026-02-13T00:00:00"/>
    <n v="-9"/>
    <d v="2025-12-17T00:00:00"/>
    <d v="2025-12-25T00:00:00"/>
    <d v="2025-12-22T00:00:00"/>
    <b v="0"/>
    <x v="12"/>
    <n v="10"/>
    <n v="7"/>
    <n v="4"/>
    <x v="16"/>
    <s v="ON TIME"/>
    <x v="2"/>
    <x v="1"/>
    <m/>
    <x v="0"/>
    <n v="11"/>
    <x v="1"/>
    <m/>
    <m/>
    <s v="Closed"/>
    <x v="1"/>
    <s v="NA"/>
    <n v="18"/>
    <d v="2025-12-28T02:21:19"/>
    <n v="1"/>
    <m/>
  </r>
  <r>
    <x v="0"/>
    <s v="0051620541"/>
    <s v="000010"/>
    <s v="0051620541-000010"/>
    <x v="97"/>
    <x v="79"/>
    <d v="2026-01-09T00:00:00"/>
    <s v="JRC"/>
    <s v="GHT"/>
    <x v="629"/>
    <x v="0"/>
    <x v="1"/>
    <s v="ANSI 49"/>
    <d v="2026-04-23T00:00:00"/>
    <n v="22"/>
    <d v="2025-12-18T00:00:00"/>
    <d v="2025-12-30T00:00:00"/>
    <d v="2025-12-23T00:00:00"/>
    <b v="0"/>
    <x v="12"/>
    <n v="10"/>
    <n v="9"/>
    <n v="4"/>
    <x v="23"/>
    <s v="ON TIME"/>
    <x v="2"/>
    <x v="0"/>
    <m/>
    <x v="0"/>
    <n v="-16"/>
    <x v="0"/>
    <m/>
    <m/>
    <s v="Closed"/>
    <x v="0"/>
    <s v="NA"/>
    <n v="17"/>
    <d v="2025-12-30T09:58:35"/>
    <n v="1"/>
    <m/>
  </r>
  <r>
    <x v="0"/>
    <s v="0051620541"/>
    <s v="000010"/>
    <s v="0051620541-000010"/>
    <x v="97"/>
    <x v="79"/>
    <d v="2026-01-09T00:00:00"/>
    <s v="JRC"/>
    <s v="GHT"/>
    <x v="630"/>
    <x v="0"/>
    <x v="1"/>
    <s v="ANSI 49"/>
    <d v="2026-04-23T00:00:00"/>
    <n v="22"/>
    <d v="2025-12-18T00:00:00"/>
    <d v="2025-12-30T00:00:00"/>
    <d v="2025-12-22T00:00:00"/>
    <b v="0"/>
    <x v="12"/>
    <n v="10"/>
    <n v="9"/>
    <n v="3"/>
    <x v="24"/>
    <s v="ON TIME"/>
    <x v="2"/>
    <x v="0"/>
    <m/>
    <x v="0"/>
    <n v="-17"/>
    <x v="0"/>
    <m/>
    <m/>
    <s v="Closed"/>
    <x v="0"/>
    <s v="NA"/>
    <n v="17"/>
    <d v="2025-12-30T09:58:35"/>
    <n v="1"/>
    <m/>
  </r>
  <r>
    <x v="0"/>
    <s v="_x000a_0051659722"/>
    <s v="000090"/>
    <s v="_x000a_0051659722-000090"/>
    <x v="86"/>
    <x v="84"/>
    <d v="2025-11-21T00:00:00"/>
    <s v="JRC"/>
    <s v="CML"/>
    <x v="631"/>
    <x v="1"/>
    <x v="0"/>
    <s v="ANSI 49"/>
    <d v="2026-02-16T00:00:00"/>
    <n v="-14"/>
    <d v="2025-12-18T00:00:00"/>
    <d v="2025-12-25T00:00:00"/>
    <d v="2026-01-08T00:00:00"/>
    <b v="0"/>
    <x v="12"/>
    <n v="10"/>
    <n v="6"/>
    <n v="13"/>
    <x v="13"/>
    <s v="LATE"/>
    <x v="0"/>
    <x v="1"/>
    <m/>
    <x v="0"/>
    <n v="25"/>
    <x v="1"/>
    <m/>
    <m/>
    <s v="Closed"/>
    <x v="1"/>
    <s v="NA"/>
    <n v="18"/>
    <d v="2025-12-28T02:21:19"/>
    <n v="1"/>
    <m/>
  </r>
  <r>
    <x v="0"/>
    <s v="0050927776"/>
    <s v="000950"/>
    <s v="0050927776-000950"/>
    <x v="94"/>
    <x v="78"/>
    <d v="2025-12-18T00:00:00"/>
    <s v="ASP"/>
    <s v="CML"/>
    <x v="632"/>
    <x v="1"/>
    <x v="1"/>
    <s v="ANSI 49"/>
    <d v="2026-10-24T00:00:00"/>
    <n v="4"/>
    <d v="2025-12-18T00:00:00"/>
    <d v="2025-12-30T00:00:00"/>
    <d v="2025-12-29T00:00:00"/>
    <b v="0"/>
    <x v="12"/>
    <n v="10"/>
    <n v="9"/>
    <n v="6"/>
    <x v="16"/>
    <s v="ON TIME"/>
    <x v="2"/>
    <x v="1"/>
    <m/>
    <x v="1"/>
    <n v="3"/>
    <x v="1"/>
    <m/>
    <s v="Cantidades incorrectas"/>
    <s v="Cancelled"/>
    <x v="1"/>
    <s v="NA"/>
    <n v="12"/>
    <d v="2025-12-30T09:58:35"/>
    <n v="0.70588235294117652"/>
    <m/>
  </r>
  <r>
    <x v="0"/>
    <s v="0051656319"/>
    <s v="000010"/>
    <s v="0051656319-000010"/>
    <x v="102"/>
    <x v="82"/>
    <d v="2026-01-23T00:00:00"/>
    <s v="OAC"/>
    <m/>
    <x v="633"/>
    <x v="0"/>
    <x v="1"/>
    <s v="ANSI 49"/>
    <d v="2026-04-23T00:00:00"/>
    <n v="32"/>
    <d v="2025-12-18T00:00:00"/>
    <d v="2025-12-30T00:00:00"/>
    <d v="2026-01-05T00:00:00"/>
    <b v="0"/>
    <x v="12"/>
    <n v="10"/>
    <n v="9"/>
    <n v="10"/>
    <x v="6"/>
    <s v="LATE"/>
    <x v="0"/>
    <x v="0"/>
    <m/>
    <x v="0"/>
    <n v="-20"/>
    <x v="0"/>
    <m/>
    <m/>
    <s v="Closed"/>
    <x v="0"/>
    <s v="NA"/>
    <n v="17"/>
    <d v="2025-12-30T09:58:35"/>
    <n v="1"/>
    <m/>
  </r>
  <r>
    <x v="0"/>
    <s v="_x000a_0051656319"/>
    <s v="000010"/>
    <s v="_x000a_0051656319-000010"/>
    <x v="102"/>
    <x v="82"/>
    <d v="2026-01-23T00:00:00"/>
    <s v="OAC"/>
    <m/>
    <x v="634"/>
    <x v="0"/>
    <x v="1"/>
    <s v="ANSI 49"/>
    <d v="2026-04-23T00:00:00"/>
    <n v="32"/>
    <d v="2025-12-18T00:00:00"/>
    <d v="2025-12-30T00:00:00"/>
    <d v="2026-01-14T00:00:00"/>
    <b v="0"/>
    <x v="12"/>
    <n v="10"/>
    <n v="9"/>
    <n v="17"/>
    <x v="7"/>
    <s v="LATE"/>
    <x v="0"/>
    <x v="0"/>
    <m/>
    <x v="0"/>
    <n v="-13"/>
    <x v="0"/>
    <m/>
    <m/>
    <s v="Closed"/>
    <x v="0"/>
    <s v="NA"/>
    <n v="17"/>
    <d v="2025-12-30T09:58:35"/>
    <n v="1"/>
    <m/>
  </r>
  <r>
    <x v="0"/>
    <s v="0051461793"/>
    <s v="000010"/>
    <s v="0051461793-000010"/>
    <x v="36"/>
    <x v="85"/>
    <d v="2026-01-09T00:00:00"/>
    <s v="HMA"/>
    <s v="FRC"/>
    <x v="635"/>
    <x v="1"/>
    <x v="0"/>
    <s v="ANSI 49"/>
    <d v="2026-03-17T00:00:00"/>
    <n v="19"/>
    <d v="2025-12-19T00:00:00"/>
    <d v="2025-12-26T00:00:00"/>
    <d v="2026-01-05T00:00:00"/>
    <b v="0"/>
    <x v="12"/>
    <n v="10"/>
    <n v="6"/>
    <n v="9"/>
    <x v="4"/>
    <s v="LATE"/>
    <x v="0"/>
    <x v="0"/>
    <m/>
    <x v="0"/>
    <n v="-8"/>
    <x v="0"/>
    <m/>
    <m/>
    <s v="Closed"/>
    <x v="0"/>
    <s v="NA"/>
    <n v="18"/>
    <d v="2025-12-29T02:21:19"/>
    <n v="1"/>
    <m/>
  </r>
  <r>
    <x v="0"/>
    <s v="0051732952"/>
    <s v="000010"/>
    <s v="0051732952-000010"/>
    <x v="103"/>
    <x v="78"/>
    <s v=" 1/23/2026"/>
    <m/>
    <s v="ISQ"/>
    <x v="636"/>
    <x v="1"/>
    <x v="0"/>
    <s v="ANSI 49"/>
    <d v="2026-04-22T00:00:00"/>
    <n v="1"/>
    <d v="2025-12-23T00:00:00"/>
    <d v="2025-12-31T00:00:00"/>
    <d v="2026-01-12T00:00:00"/>
    <b v="0"/>
    <x v="12"/>
    <n v="10"/>
    <n v="7"/>
    <n v="12"/>
    <x v="3"/>
    <s v="LATE"/>
    <x v="0"/>
    <x v="1"/>
    <m/>
    <x v="0"/>
    <n v="12"/>
    <x v="1"/>
    <m/>
    <m/>
    <s v="Closed"/>
    <x v="1"/>
    <s v="NA"/>
    <n v="18"/>
    <d v="2026-01-03T02:21:19"/>
    <n v="1"/>
    <m/>
  </r>
  <r>
    <x v="0"/>
    <s v="0051106129"/>
    <s v="000310"/>
    <s v="0051106129-000310"/>
    <x v="101"/>
    <x v="73"/>
    <d v="2025-12-29T00:00:00"/>
    <s v="OAC"/>
    <s v="VHL"/>
    <x v="637"/>
    <x v="1"/>
    <x v="0"/>
    <s v="ANSI 49"/>
    <d v="2026-02-18T00:00:00"/>
    <n v="5"/>
    <d v="2025-12-23T00:00:00"/>
    <d v="2025-12-30T00:00:00"/>
    <d v="2025-12-29T00:00:00"/>
    <b v="0"/>
    <x v="12"/>
    <n v="10"/>
    <n v="6"/>
    <n v="3"/>
    <x v="16"/>
    <s v="ON TIME"/>
    <x v="2"/>
    <x v="1"/>
    <m/>
    <x v="0"/>
    <n v="1"/>
    <x v="1"/>
    <m/>
    <m/>
    <s v="Closed"/>
    <x v="1"/>
    <s v="NA"/>
    <n v="18"/>
    <d v="2026-01-02T02:21:19"/>
    <n v="1"/>
    <m/>
  </r>
  <r>
    <x v="0"/>
    <s v="0051106129"/>
    <s v="000510"/>
    <s v="0051106129-000510"/>
    <x v="101"/>
    <x v="73"/>
    <d v="2025-12-29T00:00:00"/>
    <s v="OAC"/>
    <s v="AL"/>
    <x v="638"/>
    <x v="0"/>
    <x v="0"/>
    <s v="ANSI 49"/>
    <d v="2026-02-18T00:00:00"/>
    <n v="5"/>
    <d v="2025-12-23T00:00:00"/>
    <d v="2025-12-30T00:00:00"/>
    <d v="2026-01-09T00:00:00"/>
    <b v="0"/>
    <x v="12"/>
    <n v="10"/>
    <n v="6"/>
    <n v="11"/>
    <x v="3"/>
    <s v="LATE"/>
    <x v="0"/>
    <x v="1"/>
    <m/>
    <x v="0"/>
    <n v="9"/>
    <x v="1"/>
    <m/>
    <m/>
    <s v="Closed"/>
    <x v="1"/>
    <s v="NA"/>
    <n v="18"/>
    <d v="2026-01-02T02:21:19"/>
    <n v="1"/>
    <m/>
  </r>
  <r>
    <x v="0"/>
    <s v="0051106129"/>
    <s v="000510"/>
    <s v="0051106129-000510"/>
    <x v="101"/>
    <x v="73"/>
    <d v="2025-12-29T00:00:00"/>
    <s v="OAC"/>
    <s v="AL"/>
    <x v="639"/>
    <x v="0"/>
    <x v="0"/>
    <s v="ANSI 49"/>
    <d v="2026-02-18T00:00:00"/>
    <n v="5"/>
    <d v="2025-12-23T00:00:00"/>
    <d v="2025-12-30T00:00:00"/>
    <d v="2026-01-09T00:00:00"/>
    <b v="0"/>
    <x v="12"/>
    <n v="10"/>
    <n v="6"/>
    <n v="11"/>
    <x v="3"/>
    <s v="LATE"/>
    <x v="0"/>
    <x v="1"/>
    <m/>
    <x v="0"/>
    <n v="9"/>
    <x v="1"/>
    <m/>
    <m/>
    <s v="Closed"/>
    <x v="1"/>
    <s v="NA"/>
    <n v="18"/>
    <d v="2026-01-02T02:21:19"/>
    <n v="1"/>
    <m/>
  </r>
  <r>
    <x v="0"/>
    <s v="0051106129"/>
    <s v="000510"/>
    <s v="0051106129-000510"/>
    <x v="101"/>
    <x v="73"/>
    <d v="2025-12-29T00:00:00"/>
    <s v="OAC"/>
    <s v="AL"/>
    <x v="640"/>
    <x v="1"/>
    <x v="0"/>
    <s v="ANSI 49"/>
    <d v="2026-02-18T00:00:00"/>
    <n v="5"/>
    <d v="2025-12-23T00:00:00"/>
    <d v="2025-12-30T00:00:00"/>
    <d v="2026-01-09T00:00:00"/>
    <b v="0"/>
    <x v="12"/>
    <n v="10"/>
    <n v="6"/>
    <n v="11"/>
    <x v="3"/>
    <s v="LATE"/>
    <x v="0"/>
    <x v="1"/>
    <m/>
    <x v="0"/>
    <n v="9"/>
    <x v="1"/>
    <m/>
    <m/>
    <s v="Closed"/>
    <x v="1"/>
    <s v="NA"/>
    <n v="18"/>
    <d v="2026-01-02T02:21:19"/>
    <n v="1"/>
    <m/>
  </r>
  <r>
    <x v="0"/>
    <s v="0051106129"/>
    <s v="000310"/>
    <s v="0051106129-000310"/>
    <x v="101"/>
    <x v="73"/>
    <d v="2025-12-29T00:00:00"/>
    <s v="OAC"/>
    <s v="VL"/>
    <x v="641"/>
    <x v="1"/>
    <x v="1"/>
    <s v="ANSI 49"/>
    <d v="2026-02-18T00:00:00"/>
    <n v="5"/>
    <d v="2025-12-23T00:00:00"/>
    <d v="2026-01-02T00:00:00"/>
    <d v="2026-01-13T00:00:00"/>
    <b v="0"/>
    <x v="12"/>
    <n v="10"/>
    <n v="9"/>
    <n v="13"/>
    <x v="1"/>
    <s v="LATE"/>
    <x v="0"/>
    <x v="1"/>
    <m/>
    <x v="0"/>
    <n v="11"/>
    <x v="1"/>
    <m/>
    <m/>
    <s v="Closed"/>
    <x v="1"/>
    <s v="NA"/>
    <n v="17"/>
    <d v="2026-01-02T09:58:35"/>
    <n v="1"/>
    <m/>
  </r>
  <r>
    <x v="0"/>
    <s v="0051218461"/>
    <s v="001970"/>
    <s v="0051218461-001970"/>
    <x v="104"/>
    <x v="86"/>
    <d v="2025-12-21T00:00:00"/>
    <s v="JRC"/>
    <s v="OAL"/>
    <x v="642"/>
    <x v="0"/>
    <x v="0"/>
    <s v="ANSI 49"/>
    <d v="2026-04-30T00:00:00"/>
    <n v="26"/>
    <d v="2025-12-24T00:00:00"/>
    <d v="2025-12-31T00:00:00"/>
    <d v="2026-01-12T00:00:00"/>
    <b v="0"/>
    <x v="12"/>
    <n v="10"/>
    <n v="6"/>
    <n v="11"/>
    <x v="3"/>
    <s v="LATE"/>
    <x v="0"/>
    <x v="0"/>
    <m/>
    <x v="0"/>
    <n v="-13"/>
    <x v="0"/>
    <m/>
    <m/>
    <s v="Closed"/>
    <x v="0"/>
    <s v="NA"/>
    <n v="18"/>
    <d v="2026-01-03T02:21:19"/>
    <n v="1"/>
    <m/>
  </r>
  <r>
    <x v="0"/>
    <s v="0050829646"/>
    <s v="001060"/>
    <s v="0050829646-001060"/>
    <x v="99"/>
    <x v="82"/>
    <d v="2026-01-22T00:00:00"/>
    <s v="DRV"/>
    <s v="CML"/>
    <x v="643"/>
    <x v="1"/>
    <x v="0"/>
    <s v="ANSI 49"/>
    <d v="2026-04-20T00:00:00"/>
    <n v="26"/>
    <d v="2025-12-26T00:00:00"/>
    <d v="2026-01-03T00:00:00"/>
    <d v="2026-01-15T00:00:00"/>
    <b v="0"/>
    <x v="12"/>
    <n v="10"/>
    <n v="6"/>
    <n v="14"/>
    <x v="7"/>
    <s v="LATE"/>
    <x v="0"/>
    <x v="0"/>
    <m/>
    <x v="0"/>
    <n v="-12"/>
    <x v="0"/>
    <m/>
    <m/>
    <s v="Closed"/>
    <x v="0"/>
    <s v="NA"/>
    <n v="18"/>
    <d v="2026-01-06T02:21:19"/>
    <n v="1"/>
    <m/>
  </r>
  <r>
    <x v="0"/>
    <s v="0050829646"/>
    <s v="001080"/>
    <s v="0050829646-001080"/>
    <x v="99"/>
    <x v="82"/>
    <d v="2026-01-22T00:00:00"/>
    <s v="DRV"/>
    <s v="HUP"/>
    <x v="644"/>
    <x v="1"/>
    <x v="1"/>
    <s v="ANSI 49"/>
    <d v="2026-04-22T00:00:00"/>
    <n v="26"/>
    <d v="2025-12-26T00:00:00"/>
    <d v="2026-01-05T00:00:00"/>
    <d v="2026-01-14T00:00:00"/>
    <b v="0"/>
    <x v="12"/>
    <n v="10"/>
    <n v="7"/>
    <n v="13"/>
    <x v="8"/>
    <s v="LATE"/>
    <x v="0"/>
    <x v="0"/>
    <m/>
    <x v="0"/>
    <n v="-13"/>
    <x v="0"/>
    <m/>
    <m/>
    <s v="Closed"/>
    <x v="0"/>
    <s v="NA"/>
    <n v="17"/>
    <d v="2026-01-05T09:58:35"/>
    <n v="1"/>
    <m/>
  </r>
  <r>
    <x v="0"/>
    <s v="0050829646"/>
    <s v="001080"/>
    <s v="0050829646-001080"/>
    <x v="99"/>
    <x v="82"/>
    <d v="2026-01-22T00:00:00"/>
    <s v="DRV"/>
    <s v="HUP"/>
    <x v="645"/>
    <x v="1"/>
    <x v="0"/>
    <s v="ANSI 49"/>
    <d v="2026-04-22T00:00:00"/>
    <n v="26"/>
    <d v="2025-12-26T00:00:00"/>
    <d v="2026-01-02T00:00:00"/>
    <d v="2026-01-08T00:00:00"/>
    <b v="0"/>
    <x v="12"/>
    <n v="10"/>
    <n v="6"/>
    <n v="9"/>
    <x v="4"/>
    <s v="LATE"/>
    <x v="0"/>
    <x v="0"/>
    <m/>
    <x v="0"/>
    <n v="-17"/>
    <x v="0"/>
    <m/>
    <m/>
    <s v="Closed"/>
    <x v="0"/>
    <s v="NA"/>
    <n v="18"/>
    <d v="2026-01-05T02:21:19"/>
    <n v="1"/>
    <m/>
  </r>
  <r>
    <x v="0"/>
    <s v="0050829646"/>
    <s v="001060"/>
    <s v="0050829646-001060"/>
    <x v="99"/>
    <x v="82"/>
    <d v="2026-01-22T00:00:00"/>
    <s v="DRV"/>
    <s v="CML"/>
    <x v="646"/>
    <x v="1"/>
    <x v="0"/>
    <s v="ANSI 49"/>
    <d v="2026-04-20T00:00:00"/>
    <n v="26"/>
    <d v="2025-12-26T00:00:00"/>
    <d v="2026-01-02T00:00:00"/>
    <d v="2026-01-12T00:00:00"/>
    <b v="0"/>
    <x v="12"/>
    <n v="10"/>
    <n v="6"/>
    <n v="11"/>
    <x v="3"/>
    <s v="LATE"/>
    <x v="0"/>
    <x v="0"/>
    <m/>
    <x v="0"/>
    <n v="-15"/>
    <x v="0"/>
    <m/>
    <m/>
    <s v="Closed"/>
    <x v="0"/>
    <s v="NA"/>
    <n v="18"/>
    <d v="2026-01-05T02:21:19"/>
    <n v="1"/>
    <m/>
  </r>
  <r>
    <x v="0"/>
    <s v="0050829646"/>
    <s v="001060"/>
    <s v="0050829646-001060"/>
    <x v="99"/>
    <x v="82"/>
    <d v="2026-01-22T00:00:00"/>
    <s v="DRV"/>
    <s v="CML"/>
    <x v="647"/>
    <x v="1"/>
    <x v="1"/>
    <s v="ANSI 49"/>
    <d v="2026-04-20T00:00:00"/>
    <n v="26"/>
    <d v="2025-12-26T00:00:00"/>
    <d v="2026-01-06T00:00:00"/>
    <d v="2026-01-14T00:00:00"/>
    <b v="0"/>
    <x v="12"/>
    <n v="10"/>
    <n v="8"/>
    <n v="13"/>
    <x v="3"/>
    <s v="LATE"/>
    <x v="0"/>
    <x v="0"/>
    <m/>
    <x v="0"/>
    <n v="-13"/>
    <x v="0"/>
    <m/>
    <m/>
    <s v="Closed"/>
    <x v="0"/>
    <s v="NA"/>
    <n v="17"/>
    <d v="2026-01-06T09:58:35"/>
    <n v="1"/>
    <m/>
  </r>
  <r>
    <x v="0"/>
    <s v="0050927776"/>
    <s v="000950"/>
    <s v="0050927776-000950"/>
    <x v="94"/>
    <x v="39"/>
    <d v="2025-12-23T00:00:00"/>
    <s v="ASP"/>
    <s v="CML"/>
    <x v="648"/>
    <x v="1"/>
    <x v="1"/>
    <s v="ANSI 49"/>
    <d v="2026-06-10T00:00:00"/>
    <n v="-2"/>
    <d v="2025-12-29T00:00:00"/>
    <d v="2026-01-06T00:00:00"/>
    <d v="2026-01-08T00:00:00"/>
    <b v="0"/>
    <x v="12"/>
    <n v="10"/>
    <n v="7"/>
    <n v="8"/>
    <x v="6"/>
    <s v="LATE"/>
    <x v="0"/>
    <x v="1"/>
    <m/>
    <x v="0"/>
    <n v="9"/>
    <x v="1"/>
    <m/>
    <m/>
    <s v="Closed"/>
    <x v="1"/>
    <s v="NA"/>
    <n v="16"/>
    <d v="2026-01-06T09:58:35"/>
    <n v="0.94117647058823528"/>
    <m/>
  </r>
  <r>
    <x v="0"/>
    <s v="0050927776"/>
    <s v="000950"/>
    <s v="0050927776-000950"/>
    <x v="94"/>
    <x v="39"/>
    <d v="2025-12-23T00:00:00"/>
    <s v="ASP"/>
    <s v="CML"/>
    <x v="649"/>
    <x v="1"/>
    <x v="1"/>
    <s v="ANSI 49"/>
    <d v="2026-06-10T00:00:00"/>
    <n v="-2"/>
    <d v="2025-12-29T00:00:00"/>
    <d v="2026-01-10T00:00:00"/>
    <d v="2026-01-12T00:00:00"/>
    <b v="0"/>
    <x v="12"/>
    <n v="10"/>
    <n v="10"/>
    <n v="10"/>
    <x v="9"/>
    <s v="ON TIME"/>
    <x v="2"/>
    <x v="1"/>
    <m/>
    <x v="0"/>
    <n v="11"/>
    <x v="1"/>
    <m/>
    <m/>
    <s v="Closed"/>
    <x v="1"/>
    <s v="NA"/>
    <n v="11"/>
    <d v="2026-01-10T09:58:35"/>
    <n v="0.6470588235294118"/>
    <m/>
  </r>
  <r>
    <x v="0"/>
    <s v="0050829646"/>
    <s v="001080"/>
    <s v="0050829646-001080"/>
    <x v="99"/>
    <x v="82"/>
    <d v="2026-01-22T00:00:00"/>
    <s v="DRV"/>
    <s v="HUP"/>
    <x v="650"/>
    <x v="1"/>
    <x v="0"/>
    <s v="ANSI 49"/>
    <d v="2026-04-22T00:00:00"/>
    <n v="25"/>
    <d v="2025-12-29T00:00:00"/>
    <d v="2026-01-03T00:00:00"/>
    <d v="2026-01-09T00:00:00"/>
    <b v="0"/>
    <x v="12"/>
    <n v="10"/>
    <n v="5"/>
    <n v="9"/>
    <x v="1"/>
    <s v="LATE"/>
    <x v="0"/>
    <x v="0"/>
    <m/>
    <x v="0"/>
    <n v="-16"/>
    <x v="0"/>
    <m/>
    <m/>
    <s v="Closed"/>
    <x v="0"/>
    <s v="NA"/>
    <n v="18"/>
    <d v="2026-01-06T02:21:19"/>
    <n v="1"/>
    <m/>
  </r>
  <r>
    <x v="0"/>
    <s v="0050927776"/>
    <s v="000950"/>
    <s v="0050927776-000950"/>
    <x v="94"/>
    <x v="39"/>
    <d v="2025-12-23T00:00:00"/>
    <s v="ASP"/>
    <s v="CML"/>
    <x v="651"/>
    <x v="1"/>
    <x v="0"/>
    <s v="ANSI 49"/>
    <d v="2026-06-10T00:00:00"/>
    <n v="-2"/>
    <d v="2025-12-29T00:00:00"/>
    <d v="2026-01-05T00:00:00"/>
    <d v="2026-01-13T00:00:00"/>
    <b v="0"/>
    <x v="12"/>
    <n v="10"/>
    <n v="6"/>
    <n v="11"/>
    <x v="3"/>
    <s v="LATE"/>
    <x v="0"/>
    <x v="1"/>
    <m/>
    <x v="0"/>
    <n v="12"/>
    <x v="1"/>
    <m/>
    <m/>
    <s v="Closed"/>
    <x v="1"/>
    <s v="NA"/>
    <n v="18"/>
    <d v="2026-01-08T02:21:19"/>
    <n v="1"/>
    <m/>
  </r>
  <r>
    <x v="0"/>
    <s v="0050753978"/>
    <s v="003800"/>
    <s v="0050753978-003800"/>
    <x v="40"/>
    <x v="34"/>
    <m/>
    <s v="ALT"/>
    <s v="HUP"/>
    <x v="652"/>
    <x v="0"/>
    <x v="1"/>
    <s v="ANSI 49"/>
    <d v="2026-02-27T00:00:00"/>
    <n v="-92"/>
    <d v="2026-01-05T00:00:00"/>
    <d v="2026-01-07T00:00:00"/>
    <d v="2026-01-22T00:00:00"/>
    <b v="0"/>
    <x v="13"/>
    <n v="10"/>
    <n v="3"/>
    <n v="14"/>
    <x v="21"/>
    <s v="LATE"/>
    <x v="0"/>
    <x v="1"/>
    <m/>
    <x v="1"/>
    <n v="96"/>
    <x v="1"/>
    <m/>
    <m/>
    <s v="Cancelled"/>
    <x v="1"/>
    <s v="NA"/>
    <n v="2"/>
    <d v="2026-01-07T09:58:35"/>
    <n v="0.11764705882352941"/>
    <m/>
  </r>
  <r>
    <x v="0"/>
    <s v="0051354978"/>
    <s v="000080"/>
    <s v="0051354978-000080"/>
    <x v="73"/>
    <x v="60"/>
    <d v="2026-01-22T00:00:00"/>
    <s v="RAS"/>
    <s v="HUP"/>
    <x v="653"/>
    <x v="1"/>
    <x v="2"/>
    <s v="ANSI 49"/>
    <d v="2026-01-20T00:00:00"/>
    <n v="-34"/>
    <d v="2026-01-06T00:00:00"/>
    <d v="2026-01-09T00:00:00"/>
    <d v="2026-01-08T00:00:00"/>
    <b v="0"/>
    <x v="13"/>
    <n v="10"/>
    <n v="4"/>
    <n v="3"/>
    <x v="11"/>
    <s v="ON TIME"/>
    <x v="2"/>
    <x v="1"/>
    <m/>
    <x v="0"/>
    <n v="31"/>
    <x v="1"/>
    <m/>
    <m/>
    <s v="Closed"/>
    <x v="1"/>
    <s v="NA"/>
    <n v="8"/>
    <d v="2026-01-09T09:58:35"/>
    <n v="0.72727272727272729"/>
    <m/>
  </r>
  <r>
    <x v="0"/>
    <s v="0051354978"/>
    <s v="000080"/>
    <s v="0051354978-000080"/>
    <x v="73"/>
    <x v="60"/>
    <d v="2026-01-22T00:00:00"/>
    <s v="RAS"/>
    <s v="RCI"/>
    <x v="654"/>
    <x v="1"/>
    <x v="2"/>
    <s v="ANSI 49"/>
    <d v="2026-01-20T00:00:00"/>
    <n v="-34"/>
    <d v="2026-01-06T00:00:00"/>
    <d v="2026-01-09T00:00:00"/>
    <d v="2026-01-08T00:00:00"/>
    <b v="0"/>
    <x v="13"/>
    <n v="10"/>
    <n v="4"/>
    <n v="3"/>
    <x v="11"/>
    <s v="ON TIME"/>
    <x v="2"/>
    <x v="1"/>
    <m/>
    <x v="0"/>
    <n v="31"/>
    <x v="1"/>
    <m/>
    <m/>
    <s v="Closed"/>
    <x v="1"/>
    <s v="NA"/>
    <n v="8"/>
    <d v="2026-01-09T09:58:35"/>
    <n v="0.72727272727272729"/>
    <m/>
  </r>
  <r>
    <x v="0"/>
    <s v="0051354978"/>
    <s v="000080"/>
    <s v="0051354978-000080"/>
    <x v="73"/>
    <x v="60"/>
    <d v="2026-01-22T00:00:00"/>
    <s v="RAS"/>
    <s v="RCI"/>
    <x v="655"/>
    <x v="1"/>
    <x v="0"/>
    <s v="ANSI 49"/>
    <d v="2026-01-20T00:00:00"/>
    <n v="-34"/>
    <d v="2026-01-06T00:00:00"/>
    <d v="2026-01-11T00:00:00"/>
    <d v="2026-01-09T00:00:00"/>
    <b v="0"/>
    <x v="13"/>
    <n v="10"/>
    <n v="4"/>
    <n v="4"/>
    <x v="9"/>
    <s v="ON TIME"/>
    <x v="2"/>
    <x v="1"/>
    <m/>
    <x v="0"/>
    <n v="32"/>
    <x v="1"/>
    <m/>
    <m/>
    <s v="Closed"/>
    <x v="1"/>
    <s v="NA"/>
    <n v="18"/>
    <d v="2026-01-14T02:21:19"/>
    <n v="1"/>
    <m/>
  </r>
  <r>
    <x v="0"/>
    <s v="0051656319"/>
    <s v="000010"/>
    <s v="0051656319-000010"/>
    <x v="102"/>
    <x v="82"/>
    <d v="2026-01-23T00:00:00"/>
    <s v="OAC"/>
    <s v="AL "/>
    <x v="656"/>
    <x v="0"/>
    <x v="1"/>
    <s v="ANSI 49"/>
    <d v="2026-04-16T00:00:00"/>
    <n v="19"/>
    <d v="2026-01-06T00:00:00"/>
    <d v="2026-01-14T00:00:00"/>
    <d v="2026-01-14T00:00:00"/>
    <b v="0"/>
    <x v="13"/>
    <n v="10"/>
    <n v="7"/>
    <n v="7"/>
    <x v="9"/>
    <s v="ON TIME"/>
    <x v="2"/>
    <x v="0"/>
    <m/>
    <x v="0"/>
    <n v="-13"/>
    <x v="0"/>
    <m/>
    <m/>
    <s v="Closed"/>
    <x v="0"/>
    <s v="NA"/>
    <n v="17"/>
    <d v="2026-01-14T09:58:35"/>
    <n v="1"/>
    <m/>
  </r>
  <r>
    <x v="0"/>
    <s v="0051732952"/>
    <s v="000010"/>
    <s v="0051732952-000010"/>
    <x v="103"/>
    <x v="87"/>
    <d v="2026-01-16T00:00:00"/>
    <m/>
    <s v="ISQ"/>
    <x v="657"/>
    <x v="1"/>
    <x v="0"/>
    <s v="ANSI 49"/>
    <d v="2026-04-27T00:00:00"/>
    <n v="13"/>
    <d v="2026-01-07T00:00:00"/>
    <d v="2026-01-13T00:00:00"/>
    <d v="2026-01-15T00:00:00"/>
    <b v="0"/>
    <x v="13"/>
    <n v="10"/>
    <n v="5"/>
    <n v="7"/>
    <x v="12"/>
    <s v="LATE"/>
    <x v="0"/>
    <x v="0"/>
    <m/>
    <x v="0"/>
    <n v="-7"/>
    <x v="0"/>
    <m/>
    <m/>
    <s v="Closed"/>
    <x v="0"/>
    <s v="NA"/>
    <n v="18"/>
    <d v="2026-01-16T02:21:19"/>
    <n v="1"/>
    <m/>
  </r>
  <r>
    <x v="0"/>
    <s v="0051674363"/>
    <s v="000010"/>
    <s v="0051674363-000010"/>
    <x v="105"/>
    <x v="88"/>
    <d v="2026-03-13T00:00:00"/>
    <s v="HMA"/>
    <m/>
    <x v="658"/>
    <x v="0"/>
    <x v="0"/>
    <s v="ANSI 49"/>
    <d v="2026-07-02T00:00:00"/>
    <n v="51"/>
    <d v="2026-01-09T00:00:00"/>
    <d v="2026-01-15T00:00:00"/>
    <d v="2026-01-20T00:00:00"/>
    <b v="0"/>
    <x v="13"/>
    <n v="10"/>
    <n v="5"/>
    <n v="8"/>
    <x v="4"/>
    <s v="LATE"/>
    <x v="0"/>
    <x v="0"/>
    <m/>
    <x v="0"/>
    <n v="-44"/>
    <x v="0"/>
    <m/>
    <m/>
    <s v="Closed"/>
    <x v="0"/>
    <s v="NA"/>
    <n v="18"/>
    <d v="2026-01-18T02:21:19"/>
    <n v="1"/>
    <m/>
  </r>
  <r>
    <x v="0"/>
    <s v="0051674363"/>
    <s v="000010"/>
    <s v="0051674363-000010"/>
    <x v="105"/>
    <x v="88"/>
    <d v="2026-03-13T00:00:00"/>
    <s v="HMA"/>
    <m/>
    <x v="659"/>
    <x v="0"/>
    <x v="0"/>
    <s v="ANSI 49"/>
    <d v="2026-07-02T00:00:00"/>
    <n v="51"/>
    <d v="2026-01-09T00:00:00"/>
    <d v="2026-01-15T00:00:00"/>
    <d v="2026-01-21T00:00:00"/>
    <b v="0"/>
    <x v="13"/>
    <n v="10"/>
    <n v="5"/>
    <n v="9"/>
    <x v="1"/>
    <s v="LATE"/>
    <x v="0"/>
    <x v="0"/>
    <m/>
    <x v="0"/>
    <n v="-43"/>
    <x v="0"/>
    <m/>
    <m/>
    <s v="Closed"/>
    <x v="0"/>
    <s v="NA"/>
    <n v="18"/>
    <d v="2026-01-18T02:21:19"/>
    <n v="1"/>
    <m/>
  </r>
  <r>
    <x v="0"/>
    <s v="_x0009_0051272041"/>
    <s v="002870"/>
    <s v="_x0009_0051272041-002870"/>
    <x v="106"/>
    <x v="89"/>
    <d v="2026-02-20T00:00:00"/>
    <s v="UFA"/>
    <m/>
    <x v="660"/>
    <x v="0"/>
    <x v="1"/>
    <s v="ANSI 49"/>
    <d v="2026-07-07T00:00:00"/>
    <n v="36"/>
    <d v="2026-01-09T00:00:00"/>
    <d v="2026-01-17T00:00:00"/>
    <d v="2026-01-15T00:00:00"/>
    <b v="0"/>
    <x v="13"/>
    <n v="10"/>
    <n v="6"/>
    <n v="5"/>
    <x v="11"/>
    <s v="ON TIME"/>
    <x v="2"/>
    <x v="0"/>
    <m/>
    <x v="0"/>
    <n v="-32"/>
    <x v="0"/>
    <m/>
    <m/>
    <s v="Closed"/>
    <x v="0"/>
    <s v="NA"/>
    <n v="17"/>
    <d v="2026-01-17T09:58:35"/>
    <n v="1"/>
    <m/>
  </r>
  <r>
    <x v="0"/>
    <s v="_x000a_0051272041"/>
    <s v="002870"/>
    <s v="_x000a_0051272041-002870"/>
    <x v="106"/>
    <x v="89"/>
    <d v="2026-02-20T00:00:00"/>
    <s v="UFA"/>
    <m/>
    <x v="661"/>
    <x v="0"/>
    <x v="0"/>
    <s v="ANSI 49"/>
    <d v="2026-06-18T00:00:00"/>
    <n v="36"/>
    <d v="2026-01-09T00:00:00"/>
    <d v="2026-01-14T00:00:00"/>
    <d v="2026-01-19T00:00:00"/>
    <b v="0"/>
    <x v="13"/>
    <n v="10"/>
    <n v="4"/>
    <n v="7"/>
    <x v="4"/>
    <s v="LATE"/>
    <x v="0"/>
    <x v="0"/>
    <m/>
    <x v="0"/>
    <n v="-30"/>
    <x v="0"/>
    <m/>
    <m/>
    <s v="Closed"/>
    <x v="0"/>
    <s v="NA"/>
    <n v="18"/>
    <d v="2026-01-17T02:21:19"/>
    <n v="1"/>
    <m/>
  </r>
  <r>
    <x v="0"/>
    <s v="0051674363"/>
    <s v="000010"/>
    <s v="0051674363-000010"/>
    <x v="105"/>
    <x v="88"/>
    <d v="2026-03-13T00:00:00"/>
    <s v="HMA"/>
    <m/>
    <x v="662"/>
    <x v="0"/>
    <x v="1"/>
    <s v="ANSI 49"/>
    <d v="2026-07-02T00:00:00"/>
    <n v="50"/>
    <d v="2026-01-12T00:00:00"/>
    <d v="2026-01-22T00:00:00"/>
    <d v="2026-01-27T00:00:00"/>
    <b v="0"/>
    <x v="13"/>
    <n v="10"/>
    <n v="9"/>
    <n v="12"/>
    <x v="4"/>
    <s v="LATE"/>
    <x v="0"/>
    <x v="0"/>
    <m/>
    <x v="0"/>
    <n v="-39"/>
    <x v="0"/>
    <m/>
    <m/>
    <s v="Closed"/>
    <x v="0"/>
    <s v="NA"/>
    <n v="17"/>
    <d v="2026-01-22T09:58:35"/>
    <n v="1"/>
    <m/>
  </r>
  <r>
    <x v="0"/>
    <s v="0051442285"/>
    <s v="000080"/>
    <s v="0051442285-000080"/>
    <x v="63"/>
    <x v="36"/>
    <d v="2025-10-02T00:00:00"/>
    <s v="DEV"/>
    <s v="LDT"/>
    <x v="663"/>
    <x v="1"/>
    <x v="2"/>
    <s v="ANSI 49"/>
    <d v="2026-01-22T00:00:00"/>
    <n v="-64"/>
    <d v="2026-01-12T00:00:00"/>
    <d v="2026-01-19T00:00:00"/>
    <d v="2026-01-14T00:00:00"/>
    <b v="0"/>
    <x v="13"/>
    <n v="10"/>
    <n v="6"/>
    <n v="3"/>
    <x v="16"/>
    <s v="ON TIME"/>
    <x v="2"/>
    <x v="1"/>
    <m/>
    <x v="0"/>
    <n v="58"/>
    <x v="1"/>
    <m/>
    <m/>
    <s v="Closed"/>
    <x v="1"/>
    <s v="NA"/>
    <n v="11"/>
    <d v="2026-01-19T09:58:35"/>
    <n v="1"/>
    <m/>
  </r>
  <r>
    <x v="0"/>
    <s v="0051523070"/>
    <s v="000010"/>
    <s v="0051523070-000010"/>
    <x v="107"/>
    <x v="90"/>
    <d v="2025-09-24T00:00:00"/>
    <s v="JAV"/>
    <m/>
    <x v="664"/>
    <x v="0"/>
    <x v="1"/>
    <s v="ANSI 49"/>
    <d v="2026-08-13T00:00:00"/>
    <n v="-79"/>
    <d v="2026-01-12T00:00:00"/>
    <d v="2026-01-22T00:00:00"/>
    <d v="2026-01-13T00:00:00"/>
    <b v="0"/>
    <x v="13"/>
    <n v="10"/>
    <n v="9"/>
    <n v="2"/>
    <x v="25"/>
    <s v="ON TIME"/>
    <x v="2"/>
    <x v="1"/>
    <m/>
    <x v="1"/>
    <n v="72"/>
    <x v="1"/>
    <m/>
    <s v="WITHIN OTHER WF"/>
    <s v="Cancelled"/>
    <x v="1"/>
    <s v="NA"/>
    <n v="0"/>
    <d v="2026-01-22T09:58:35"/>
    <n v="0"/>
    <m/>
  </r>
  <r>
    <x v="0"/>
    <s v="0051674363"/>
    <s v="000010"/>
    <s v="0051674363-000010"/>
    <x v="105"/>
    <x v="88"/>
    <d v="2026-03-13T00:00:00"/>
    <s v="HMA"/>
    <m/>
    <x v="665"/>
    <x v="0"/>
    <x v="0"/>
    <s v="ANSI 49"/>
    <d v="2026-07-02T00:00:00"/>
    <n v="50"/>
    <d v="2026-01-12T00:00:00"/>
    <d v="2026-01-19T00:00:00"/>
    <d v="2026-01-28T00:00:00"/>
    <b v="0"/>
    <x v="13"/>
    <n v="10"/>
    <n v="6"/>
    <n v="13"/>
    <x v="13"/>
    <s v="LATE"/>
    <x v="0"/>
    <x v="0"/>
    <m/>
    <x v="0"/>
    <n v="-38"/>
    <x v="0"/>
    <m/>
    <m/>
    <s v="Closed"/>
    <x v="0"/>
    <s v="NA"/>
    <n v="18"/>
    <d v="2026-01-22T02:21:19"/>
    <n v="1"/>
    <m/>
  </r>
  <r>
    <x v="0"/>
    <s v="0051737181"/>
    <s v="000080"/>
    <s v="0051737181-000080"/>
    <x v="108"/>
    <x v="91"/>
    <s v="1/14/202"/>
    <s v="ATA"/>
    <m/>
    <x v="666"/>
    <x v="0"/>
    <x v="0"/>
    <s v="ANSI 49"/>
    <d v="2026-10-04T00:00:00"/>
    <n v="7"/>
    <d v="2026-01-13T00:00:00"/>
    <d v="2026-01-22T00:00:00"/>
    <d v="2026-01-19T00:00:00"/>
    <b v="0"/>
    <x v="13"/>
    <n v="10"/>
    <n v="8"/>
    <n v="5"/>
    <x v="16"/>
    <s v="ON TIME"/>
    <x v="2"/>
    <x v="1"/>
    <m/>
    <x v="0"/>
    <n v="-3"/>
    <x v="0"/>
    <m/>
    <m/>
    <s v="Closed"/>
    <x v="0"/>
    <s v="NA"/>
    <n v="18"/>
    <d v="2026-01-25T02:21:19"/>
    <n v="1"/>
    <m/>
  </r>
  <r>
    <x v="0"/>
    <s v="0051193435"/>
    <s v="000290"/>
    <s v="0051193435-000290"/>
    <x v="109"/>
    <x v="82"/>
    <d v="2026-01-23T00:00:00"/>
    <s v="ASP"/>
    <s v="HUP"/>
    <x v="667"/>
    <x v="1"/>
    <x v="1"/>
    <s v="ANSI 49"/>
    <d v="2026-06-05T00:00:00"/>
    <n v="14"/>
    <d v="2026-01-13T00:00:00"/>
    <d v="2026-01-23T00:00:00"/>
    <d v="2026-01-27T00:00:00"/>
    <b v="0"/>
    <x v="13"/>
    <n v="10"/>
    <n v="9"/>
    <n v="11"/>
    <x v="12"/>
    <s v="LATE"/>
    <x v="0"/>
    <x v="0"/>
    <m/>
    <x v="0"/>
    <n v="-4"/>
    <x v="0"/>
    <m/>
    <m/>
    <s v="Closed"/>
    <x v="0"/>
    <s v="NA"/>
    <n v="17"/>
    <d v="2026-01-23T09:58:35"/>
    <n v="1"/>
    <m/>
  </r>
  <r>
    <x v="0"/>
    <s v="0051732952"/>
    <s v="000010"/>
    <s v="0051732952-000010"/>
    <x v="103"/>
    <x v="87"/>
    <d v="2026-01-16T00:00:00"/>
    <m/>
    <s v="ISQ"/>
    <x v="668"/>
    <x v="0"/>
    <x v="1"/>
    <s v="ANSI 49"/>
    <d v="2026-04-21T00:00:00"/>
    <n v="9"/>
    <d v="2026-01-13T00:00:00"/>
    <d v="2026-01-23T00:00:00"/>
    <d v="2026-01-26T00:00:00"/>
    <b v="0"/>
    <x v="13"/>
    <n v="10"/>
    <n v="9"/>
    <n v="10"/>
    <x v="6"/>
    <s v="LATE"/>
    <x v="0"/>
    <x v="1"/>
    <m/>
    <x v="0"/>
    <n v="2"/>
    <x v="1"/>
    <m/>
    <m/>
    <s v="Closed"/>
    <x v="1"/>
    <s v="NA"/>
    <n v="17"/>
    <d v="2026-01-23T09:58:35"/>
    <n v="1"/>
    <m/>
  </r>
  <r>
    <x v="0"/>
    <s v="0051218461"/>
    <s v="001980"/>
    <s v="0051218461-001980"/>
    <x v="104"/>
    <x v="86"/>
    <d v="2026-01-21T00:00:00"/>
    <s v="JRC"/>
    <s v="OAL"/>
    <x v="669"/>
    <x v="1"/>
    <x v="1"/>
    <s v="ANSI 49"/>
    <d v="2026-04-24T00:00:00"/>
    <n v="12"/>
    <d v="2026-01-13T00:00:00"/>
    <d v="2026-01-23T00:00:00"/>
    <d v="2026-01-27T00:00:00"/>
    <b v="0"/>
    <x v="13"/>
    <n v="10"/>
    <n v="9"/>
    <n v="11"/>
    <x v="12"/>
    <s v="LATE"/>
    <x v="0"/>
    <x v="0"/>
    <m/>
    <x v="0"/>
    <n v="-2"/>
    <x v="0"/>
    <m/>
    <m/>
    <s v="Closed"/>
    <x v="0"/>
    <s v="NA"/>
    <n v="17"/>
    <d v="2026-01-23T09:58:35"/>
    <n v="1"/>
    <m/>
  </r>
  <r>
    <x v="0"/>
    <s v="0051218461"/>
    <s v="001980"/>
    <s v="0051218461-001980"/>
    <x v="104"/>
    <x v="86"/>
    <d v="2026-01-21T00:00:00"/>
    <s v="JRC"/>
    <s v="OAL"/>
    <x v="670"/>
    <x v="1"/>
    <x v="0"/>
    <s v="ANSI 49"/>
    <d v="2026-04-24T00:00:00"/>
    <n v="12"/>
    <d v="2026-01-13T00:00:00"/>
    <d v="2026-01-20T00:00:00"/>
    <d v="2026-01-29T00:00:00"/>
    <b v="0"/>
    <x v="13"/>
    <n v="10"/>
    <n v="6"/>
    <n v="13"/>
    <x v="13"/>
    <s v="LATE"/>
    <x v="0"/>
    <x v="0"/>
    <m/>
    <x v="0"/>
    <n v="2"/>
    <x v="1"/>
    <m/>
    <m/>
    <s v="Closed"/>
    <x v="1"/>
    <s v="NA"/>
    <n v="18"/>
    <d v="2026-01-23T02:21:19"/>
    <n v="1"/>
    <m/>
  </r>
  <r>
    <x v="0"/>
    <s v="0051193435"/>
    <s v="000290"/>
    <s v="0051193435-000290"/>
    <x v="109"/>
    <x v="82"/>
    <d v="2026-01-23T00:00:00"/>
    <s v="ASP"/>
    <s v="HUP"/>
    <x v="671"/>
    <x v="1"/>
    <x v="0"/>
    <s v="ANSI 49"/>
    <d v="2026-06-05T00:00:00"/>
    <n v="14"/>
    <d v="2026-01-13T00:00:00"/>
    <d v="2026-01-20T00:00:00"/>
    <d v="2026-01-29T00:00:00"/>
    <b v="0"/>
    <x v="13"/>
    <n v="10"/>
    <n v="6"/>
    <n v="13"/>
    <x v="13"/>
    <s v="LATE"/>
    <x v="0"/>
    <x v="0"/>
    <m/>
    <x v="0"/>
    <n v="-2"/>
    <x v="0"/>
    <m/>
    <m/>
    <s v="Closed"/>
    <x v="0"/>
    <s v="NA"/>
    <n v="18"/>
    <d v="2026-01-23T02:21:19"/>
    <n v="1"/>
    <m/>
  </r>
  <r>
    <x v="0"/>
    <s v="SPECIAL"/>
    <s v="SPECIAL"/>
    <s v="SPECIAL-SPECIAL"/>
    <x v="110"/>
    <x v="92"/>
    <d v="2026-01-26T00:00:00"/>
    <s v="UFA"/>
    <m/>
    <x v="672"/>
    <x v="0"/>
    <x v="1"/>
    <s v="ANSI 49"/>
    <s v="NA"/>
    <n v="9"/>
    <d v="2026-01-14T00:00:00"/>
    <d v="2026-01-26T00:00:00"/>
    <d v="2026-01-21T00:00:00"/>
    <b v="0"/>
    <x v="13"/>
    <n v="10"/>
    <n v="9"/>
    <n v="6"/>
    <x v="16"/>
    <s v="ON TIME"/>
    <x v="2"/>
    <x v="1"/>
    <m/>
    <x v="0"/>
    <n v="-4"/>
    <x v="0"/>
    <m/>
    <m/>
    <s v="Closed"/>
    <x v="0"/>
    <s v="NA"/>
    <n v="17"/>
    <d v="2026-01-26T09:58:35"/>
    <n v="1"/>
    <m/>
  </r>
  <r>
    <x v="0"/>
    <s v="0051656319"/>
    <s v="000010"/>
    <s v="0051656319-000010"/>
    <x v="102"/>
    <x v="82"/>
    <d v="2026-01-23T00:00:00"/>
    <s v="OAC"/>
    <s v="AL "/>
    <x v="673"/>
    <x v="1"/>
    <x v="0"/>
    <s v="ANSI 49"/>
    <d v="2026-04-20T00:00:00"/>
    <n v="13"/>
    <d v="2026-01-14T00:00:00"/>
    <d v="2026-01-22T00:00:00"/>
    <d v="2026-01-30T00:00:00"/>
    <b v="0"/>
    <x v="13"/>
    <n v="10"/>
    <n v="7"/>
    <n v="13"/>
    <x v="8"/>
    <s v="LATE"/>
    <x v="0"/>
    <x v="0"/>
    <m/>
    <x v="0"/>
    <n v="1"/>
    <x v="1"/>
    <m/>
    <m/>
    <s v="Closed"/>
    <x v="1"/>
    <s v="NA"/>
    <n v="18"/>
    <d v="2026-01-25T02:21:19"/>
    <n v="1"/>
    <m/>
  </r>
  <r>
    <x v="0"/>
    <s v="0051656319"/>
    <s v="000010"/>
    <s v="0051656319-000010"/>
    <x v="102"/>
    <x v="82"/>
    <d v="2026-01-23T00:00:00"/>
    <s v="OAC"/>
    <s v="AL "/>
    <x v="674"/>
    <x v="1"/>
    <x v="0"/>
    <s v="ANSI 49"/>
    <d v="2026-04-20T00:00:00"/>
    <n v="13"/>
    <d v="2026-01-14T00:00:00"/>
    <d v="2026-01-22T00:00:00"/>
    <d v="2026-01-30T00:00:00"/>
    <b v="0"/>
    <x v="13"/>
    <n v="10"/>
    <n v="7"/>
    <n v="13"/>
    <x v="8"/>
    <s v="LATE"/>
    <x v="0"/>
    <x v="0"/>
    <m/>
    <x v="0"/>
    <n v="1"/>
    <x v="1"/>
    <m/>
    <m/>
    <s v="Closed"/>
    <x v="1"/>
    <s v="NA"/>
    <n v="18"/>
    <d v="2026-01-25T02:21:19"/>
    <n v="1"/>
    <m/>
  </r>
  <r>
    <x v="0"/>
    <s v="0051656319"/>
    <s v="000010"/>
    <s v="0051656319-000010"/>
    <x v="102"/>
    <x v="82"/>
    <d v="2026-01-23T00:00:00"/>
    <s v="OAC"/>
    <s v="AL "/>
    <x v="675"/>
    <x v="1"/>
    <x v="1"/>
    <s v="ANSI 49"/>
    <d v="2026-04-20T00:00:00"/>
    <n v="13"/>
    <d v="2026-01-14T00:00:00"/>
    <d v="2026-01-27T00:00:00"/>
    <d v="2026-01-30T00:00:00"/>
    <b v="0"/>
    <x v="13"/>
    <n v="10"/>
    <n v="10"/>
    <n v="13"/>
    <x v="4"/>
    <s v="LATE"/>
    <x v="0"/>
    <x v="0"/>
    <m/>
    <x v="0"/>
    <n v="1"/>
    <x v="1"/>
    <m/>
    <m/>
    <s v="Closed"/>
    <x v="1"/>
    <s v="NA"/>
    <n v="14"/>
    <d v="2026-01-27T09:58:35"/>
    <n v="0.82352941176470584"/>
    <m/>
  </r>
  <r>
    <x v="0"/>
    <s v="0051656319"/>
    <s v="000010"/>
    <s v="0051656319-000010"/>
    <x v="102"/>
    <x v="82"/>
    <d v="2026-01-23T00:00:00"/>
    <s v="OAC"/>
    <s v="AL "/>
    <x v="676"/>
    <x v="1"/>
    <x v="1"/>
    <s v="ANSI 49"/>
    <d v="2026-04-20T00:00:00"/>
    <n v="13"/>
    <d v="2026-01-14T00:00:00"/>
    <d v="2026-01-28T00:00:00"/>
    <d v="2026-01-30T00:00:00"/>
    <b v="0"/>
    <x v="13"/>
    <n v="10"/>
    <n v="11"/>
    <n v="13"/>
    <x v="12"/>
    <s v="LATE"/>
    <x v="0"/>
    <x v="0"/>
    <m/>
    <x v="0"/>
    <n v="1"/>
    <x v="1"/>
    <m/>
    <m/>
    <s v="Closed"/>
    <x v="1"/>
    <s v="NA"/>
    <n v="14"/>
    <d v="2026-01-28T09:58:35"/>
    <n v="0.82352941176470584"/>
    <m/>
  </r>
  <r>
    <x v="0"/>
    <s v="0051656319"/>
    <s v="000010"/>
    <s v="0051656319-000010"/>
    <x v="102"/>
    <x v="82"/>
    <d v="2026-01-23T00:00:00"/>
    <s v="OAC"/>
    <s v="AL "/>
    <x v="677"/>
    <x v="1"/>
    <x v="0"/>
    <s v="ANSI 49"/>
    <d v="2026-04-20T00:00:00"/>
    <n v="13"/>
    <d v="2026-01-14T00:00:00"/>
    <d v="2026-01-23T00:00:00"/>
    <d v="2026-01-23T00:00:00"/>
    <b v="0"/>
    <x v="13"/>
    <n v="10"/>
    <n v="8"/>
    <n v="8"/>
    <x v="9"/>
    <s v="ON TIME"/>
    <x v="2"/>
    <x v="0"/>
    <m/>
    <x v="0"/>
    <n v="-6"/>
    <x v="0"/>
    <m/>
    <m/>
    <s v="Closed"/>
    <x v="0"/>
    <s v="NA"/>
    <n v="18"/>
    <d v="2026-01-26T02:21:19"/>
    <n v="1"/>
    <m/>
  </r>
  <r>
    <x v="0"/>
    <s v="0050829646"/>
    <s v="001060"/>
    <s v="0050829646-001060"/>
    <x v="99"/>
    <x v="82"/>
    <d v="2026-01-22T00:00:00"/>
    <s v="DRV"/>
    <s v="CML"/>
    <x v="678"/>
    <x v="1"/>
    <x v="0"/>
    <s v="ANSI 49"/>
    <d v="2026-04-27T00:00:00"/>
    <n v="12"/>
    <d v="2026-01-15T00:00:00"/>
    <d v="2026-01-23T00:00:00"/>
    <d v="2026-01-21T00:00:00"/>
    <b v="0"/>
    <x v="13"/>
    <n v="10"/>
    <n v="7"/>
    <n v="5"/>
    <x v="5"/>
    <s v="ON TIME"/>
    <x v="2"/>
    <x v="0"/>
    <m/>
    <x v="0"/>
    <n v="-8"/>
    <x v="0"/>
    <m/>
    <m/>
    <s v="Closed"/>
    <x v="0"/>
    <s v="NA"/>
    <n v="18"/>
    <d v="2026-01-26T02:21:19"/>
    <n v="1"/>
    <m/>
  </r>
  <r>
    <x v="0"/>
    <s v="0050829646"/>
    <s v="001060"/>
    <s v="0050829646-001060"/>
    <x v="99"/>
    <x v="82"/>
    <d v="2026-01-22T00:00:00"/>
    <s v="DRV"/>
    <s v="CML"/>
    <x v="679"/>
    <x v="1"/>
    <x v="0"/>
    <s v="ANSI 49"/>
    <d v="2026-04-27T00:00:00"/>
    <n v="12"/>
    <d v="2026-01-15T00:00:00"/>
    <d v="2026-01-23T00:00:00"/>
    <d v="2026-01-22T00:00:00"/>
    <b v="0"/>
    <x v="13"/>
    <n v="10"/>
    <n v="7"/>
    <n v="6"/>
    <x v="11"/>
    <s v="ON TIME"/>
    <x v="2"/>
    <x v="0"/>
    <m/>
    <x v="0"/>
    <n v="-7"/>
    <x v="0"/>
    <m/>
    <m/>
    <s v="Closed"/>
    <x v="0"/>
    <s v="NA"/>
    <n v="18"/>
    <d v="2026-01-26T02:21:19"/>
    <n v="1"/>
    <m/>
  </r>
  <r>
    <x v="0"/>
    <s v="SPECIAL"/>
    <s v="SPECIAL"/>
    <s v="SPECIAL-SPECIAL"/>
    <x v="111"/>
    <x v="87"/>
    <d v="2026-01-23T00:00:00"/>
    <s v="UFA"/>
    <m/>
    <x v="680"/>
    <x v="0"/>
    <x v="0"/>
    <s v="ANSI 49"/>
    <s v="NA"/>
    <n v="7"/>
    <d v="2026-01-15T00:00:00"/>
    <d v="2026-01-23T00:00:00"/>
    <d v="2026-03-03T00:00:00"/>
    <b v="0"/>
    <x v="13"/>
    <n v="10"/>
    <n v="7"/>
    <n v="34"/>
    <x v="2"/>
    <s v="LATE"/>
    <x v="1"/>
    <x v="1"/>
    <m/>
    <x v="0"/>
    <n v="28"/>
    <x v="1"/>
    <m/>
    <m/>
    <s v="Closed"/>
    <x v="1"/>
    <s v="NA"/>
    <n v="18"/>
    <d v="2026-01-26T02:21:19"/>
    <n v="1"/>
    <m/>
  </r>
  <r>
    <x v="0"/>
    <s v="0051620541"/>
    <s v="000010"/>
    <s v="0051620541-000010"/>
    <x v="97"/>
    <x v="93"/>
    <d v="2026-01-16T00:00:00"/>
    <s v="JRC"/>
    <s v="GHT"/>
    <x v="681"/>
    <x v="1"/>
    <x v="1"/>
    <s v="ANSI 49"/>
    <d v="2026-04-13T00:00:00"/>
    <n v="-6"/>
    <d v="2026-01-16T00:00:00"/>
    <d v="2026-01-26T00:00:00"/>
    <d v="2026-01-13T00:00:00"/>
    <b v="0"/>
    <x v="13"/>
    <n v="10"/>
    <n v="7"/>
    <n v="-4"/>
    <x v="33"/>
    <s v="ON TIME"/>
    <x v="2"/>
    <x v="1"/>
    <m/>
    <x v="0"/>
    <n v="3"/>
    <x v="1"/>
    <m/>
    <m/>
    <s v="Closed"/>
    <x v="1"/>
    <s v="NA"/>
    <n v="17"/>
    <d v="2026-01-26T09:58:35"/>
    <n v="1"/>
    <m/>
  </r>
  <r>
    <x v="0"/>
    <s v="0051618201"/>
    <s v="000040"/>
    <s v="0051618201-000040"/>
    <x v="112"/>
    <x v="94"/>
    <d v="2026-01-30T00:00:00"/>
    <s v="DMA"/>
    <s v="KGF"/>
    <x v="682"/>
    <x v="1"/>
    <x v="0"/>
    <s v="ANSI 49"/>
    <d v="2026-04-29T00:00:00"/>
    <n v="14"/>
    <d v="2026-01-16T00:00:00"/>
    <d v="2026-01-23T00:00:00"/>
    <d v="2026-01-26T00:00:00"/>
    <b v="0"/>
    <x v="13"/>
    <n v="10"/>
    <n v="6"/>
    <n v="7"/>
    <x v="6"/>
    <s v="LATE"/>
    <x v="0"/>
    <x v="0"/>
    <m/>
    <x v="0"/>
    <n v="-8"/>
    <x v="0"/>
    <m/>
    <m/>
    <s v="Closed"/>
    <x v="0"/>
    <s v="NA"/>
    <n v="18"/>
    <d v="2026-01-26T02:21:19"/>
    <n v="1"/>
    <m/>
  </r>
  <r>
    <x v="0"/>
    <s v="0051674363"/>
    <s v="000010"/>
    <s v="0051674363-000010"/>
    <x v="105"/>
    <x v="88"/>
    <d v="2026-03-13T00:00:00"/>
    <s v="HMA"/>
    <m/>
    <x v="683"/>
    <x v="0"/>
    <x v="0"/>
    <s v="ANSI 49"/>
    <d v="2026-02-07T00:00:00"/>
    <n v="46"/>
    <d v="2026-01-16T00:00:00"/>
    <d v="2026-01-26T00:00:00"/>
    <d v="2026-01-26T00:00:00"/>
    <b v="0"/>
    <x v="13"/>
    <n v="10"/>
    <n v="7"/>
    <n v="7"/>
    <x v="9"/>
    <s v="ON TIME"/>
    <x v="2"/>
    <x v="0"/>
    <m/>
    <x v="0"/>
    <n v="-40"/>
    <x v="0"/>
    <m/>
    <m/>
    <s v="Closed"/>
    <x v="0"/>
    <s v="NA"/>
    <n v="18"/>
    <d v="2026-01-29T02:21:19"/>
    <n v="1"/>
    <m/>
  </r>
  <r>
    <x v="0"/>
    <s v="0051618201"/>
    <s v="000040"/>
    <s v="0051618201-000040"/>
    <x v="112"/>
    <x v="94"/>
    <d v="2026-01-30T00:00:00"/>
    <s v="DMA"/>
    <s v="KGF"/>
    <x v="684"/>
    <x v="1"/>
    <x v="0"/>
    <s v="ANSI 49"/>
    <d v="2026-04-29T00:00:00"/>
    <n v="14"/>
    <d v="2026-01-16T00:00:00"/>
    <d v="2026-01-26T00:00:00"/>
    <d v="2026-01-28T00:00:00"/>
    <b v="0"/>
    <x v="13"/>
    <n v="10"/>
    <n v="7"/>
    <n v="9"/>
    <x v="12"/>
    <s v="LATE"/>
    <x v="0"/>
    <x v="0"/>
    <m/>
    <x v="0"/>
    <n v="-6"/>
    <x v="0"/>
    <m/>
    <m/>
    <s v="Closed"/>
    <x v="0"/>
    <s v="NA"/>
    <n v="18"/>
    <d v="2026-01-29T02:21:19"/>
    <n v="1"/>
    <m/>
  </r>
  <r>
    <x v="0"/>
    <s v="0051193435"/>
    <s v="000290"/>
    <s v="0051193435-000290"/>
    <x v="109"/>
    <x v="82"/>
    <d v="2026-01-23T00:00:00"/>
    <s v="ASP"/>
    <s v="HUP"/>
    <x v="685"/>
    <x v="0"/>
    <x v="0"/>
    <s v="ANSI 49"/>
    <d v="2026-06-05T00:00:00"/>
    <n v="10"/>
    <d v="2026-01-19T00:00:00"/>
    <d v="2026-01-26T00:00:00"/>
    <d v="2026-01-28T00:00:00"/>
    <b v="0"/>
    <x v="13"/>
    <n v="10"/>
    <n v="6"/>
    <n v="8"/>
    <x v="12"/>
    <s v="LATE"/>
    <x v="0"/>
    <x v="0"/>
    <m/>
    <x v="0"/>
    <n v="-3"/>
    <x v="0"/>
    <m/>
    <m/>
    <s v="Closed"/>
    <x v="0"/>
    <s v="NA"/>
    <n v="18"/>
    <d v="2026-01-29T02:21:19"/>
    <n v="1"/>
    <m/>
  </r>
  <r>
    <x v="0"/>
    <s v="0051193435"/>
    <s v="000290"/>
    <s v="0051193435-000290"/>
    <x v="109"/>
    <x v="82"/>
    <d v="2026-01-23T00:00:00"/>
    <s v="ASP"/>
    <s v="HUP"/>
    <x v="686"/>
    <x v="0"/>
    <x v="0"/>
    <s v="ANSI 49"/>
    <d v="2026-06-05T00:00:00"/>
    <n v="10"/>
    <d v="2026-01-19T00:00:00"/>
    <d v="2026-01-26T00:00:00"/>
    <d v="2026-01-29T00:00:00"/>
    <b v="0"/>
    <x v="13"/>
    <n v="10"/>
    <n v="6"/>
    <n v="9"/>
    <x v="4"/>
    <s v="LATE"/>
    <x v="0"/>
    <x v="0"/>
    <m/>
    <x v="0"/>
    <n v="-2"/>
    <x v="0"/>
    <m/>
    <m/>
    <s v="Closed"/>
    <x v="0"/>
    <s v="NA"/>
    <n v="18"/>
    <d v="2026-01-29T02:21:19"/>
    <n v="1"/>
    <m/>
  </r>
  <r>
    <x v="0"/>
    <s v="0051193435"/>
    <s v="000290"/>
    <s v="0051193435-000290"/>
    <x v="109"/>
    <x v="82"/>
    <d v="2026-01-23T00:00:00"/>
    <s v="ASP"/>
    <s v="HUP"/>
    <x v="687"/>
    <x v="0"/>
    <x v="0"/>
    <s v="ANSI 49"/>
    <d v="2026-06-05T00:00:00"/>
    <n v="10"/>
    <d v="2026-01-19T00:00:00"/>
    <d v="2026-01-26T00:00:00"/>
    <d v="2026-01-30T00:00:00"/>
    <b v="0"/>
    <x v="13"/>
    <n v="10"/>
    <n v="6"/>
    <n v="10"/>
    <x v="1"/>
    <s v="LATE"/>
    <x v="0"/>
    <x v="0"/>
    <m/>
    <x v="0"/>
    <n v="1"/>
    <x v="1"/>
    <m/>
    <m/>
    <s v="Closed"/>
    <x v="1"/>
    <s v="NA"/>
    <n v="18"/>
    <d v="2026-01-29T02:21:19"/>
    <n v="1"/>
    <m/>
  </r>
  <r>
    <x v="0"/>
    <s v="0051008484"/>
    <s v="000500"/>
    <s v="0051008484-000500"/>
    <x v="113"/>
    <x v="95"/>
    <d v="2026-02-06T00:00:00"/>
    <s v="DMA"/>
    <s v="RCI"/>
    <x v="688"/>
    <x v="1"/>
    <x v="0"/>
    <s v="ANSI 49"/>
    <d v="2026-04-30T00:00:00"/>
    <n v="20"/>
    <d v="2026-01-19T00:00:00"/>
    <d v="2026-01-30T00:00:00"/>
    <d v="2026-02-09T00:00:00"/>
    <b v="0"/>
    <x v="13"/>
    <n v="10"/>
    <n v="10"/>
    <n v="16"/>
    <x v="8"/>
    <s v="LATE"/>
    <x v="0"/>
    <x v="0"/>
    <m/>
    <x v="0"/>
    <n v="-5"/>
    <x v="0"/>
    <m/>
    <m/>
    <s v="Closed"/>
    <x v="0"/>
    <s v="NA"/>
    <n v="18"/>
    <d v="2026-02-02T02:21:19"/>
    <n v="1"/>
    <m/>
  </r>
  <r>
    <x v="0"/>
    <s v="0051008484"/>
    <s v="000500"/>
    <s v="0051008484-000500"/>
    <x v="113"/>
    <x v="95"/>
    <d v="2026-02-06T00:00:00"/>
    <s v="DMA"/>
    <s v="RCI"/>
    <x v="689"/>
    <x v="1"/>
    <x v="0"/>
    <s v="ANSI 49"/>
    <d v="2026-04-30T00:00:00"/>
    <n v="20"/>
    <d v="2026-01-19T00:00:00"/>
    <d v="2026-02-03T00:00:00"/>
    <d v="2026-02-05T00:00:00"/>
    <b v="0"/>
    <x v="13"/>
    <n v="10"/>
    <n v="12"/>
    <n v="14"/>
    <x v="12"/>
    <s v="LATE"/>
    <x v="0"/>
    <x v="0"/>
    <m/>
    <x v="0"/>
    <n v="-7"/>
    <x v="0"/>
    <m/>
    <m/>
    <s v="Closed"/>
    <x v="0"/>
    <s v="NA"/>
    <n v="18"/>
    <d v="2026-02-06T02:21:19"/>
    <n v="1"/>
    <m/>
  </r>
  <r>
    <x v="0"/>
    <s v="0051674363"/>
    <s v="000010"/>
    <s v="0051674363-000010"/>
    <x v="105"/>
    <x v="88"/>
    <d v="2026-01-13T00:00:00"/>
    <s v="HMA"/>
    <m/>
    <x v="690"/>
    <x v="0"/>
    <x v="1"/>
    <s v="ANSI 49"/>
    <d v="2026-07-20T00:00:00"/>
    <n v="45"/>
    <d v="2026-01-19T00:00:00"/>
    <d v="2026-01-29T00:00:00"/>
    <d v="2026-02-03T00:00:00"/>
    <b v="0"/>
    <x v="13"/>
    <n v="10"/>
    <n v="9"/>
    <n v="12"/>
    <x v="4"/>
    <s v="LATE"/>
    <x v="0"/>
    <x v="0"/>
    <m/>
    <x v="0"/>
    <n v="-34"/>
    <x v="0"/>
    <m/>
    <m/>
    <s v="Closed"/>
    <x v="0"/>
    <s v="NA"/>
    <n v="17"/>
    <d v="2026-01-29T09:58:35"/>
    <n v="1"/>
    <m/>
  </r>
  <r>
    <x v="0"/>
    <s v="0050927776"/>
    <s v="000980"/>
    <s v="0050927776-000980"/>
    <x v="94"/>
    <x v="96"/>
    <d v="2026-01-26T00:00:00"/>
    <s v="ASP"/>
    <s v="ODE"/>
    <x v="691"/>
    <x v="1"/>
    <x v="0"/>
    <s v="ANSI 49"/>
    <d v="2026-08-12T00:00:00"/>
    <n v="10"/>
    <d v="2026-01-20T00:00:00"/>
    <d v="2026-01-27T00:00:00"/>
    <d v="2026-01-28T00:00:00"/>
    <b v="0"/>
    <x v="13"/>
    <n v="10"/>
    <n v="6"/>
    <n v="7"/>
    <x v="6"/>
    <s v="LATE"/>
    <x v="0"/>
    <x v="0"/>
    <m/>
    <x v="0"/>
    <n v="-4"/>
    <x v="0"/>
    <m/>
    <m/>
    <s v="Closed"/>
    <x v="0"/>
    <s v="NA"/>
    <n v="18"/>
    <d v="2026-01-30T02:21:19"/>
    <n v="1"/>
    <m/>
  </r>
  <r>
    <x v="0"/>
    <s v="0051008484"/>
    <s v="000500"/>
    <s v="0051008484-000500"/>
    <x v="113"/>
    <x v="97"/>
    <d v="2026-01-06T00:00:00"/>
    <s v="DMA"/>
    <s v="RCI"/>
    <x v="692"/>
    <x v="1"/>
    <x v="0"/>
    <s v="ANSI 49"/>
    <d v="2026-05-07T00:00:00"/>
    <n v="-6"/>
    <d v="2026-01-20T00:00:00"/>
    <d v="2026-01-28T00:00:00"/>
    <d v="2026-01-26T00:00:00"/>
    <b v="0"/>
    <x v="13"/>
    <n v="10"/>
    <n v="7"/>
    <n v="5"/>
    <x v="5"/>
    <s v="ON TIME"/>
    <x v="2"/>
    <x v="1"/>
    <m/>
    <x v="0"/>
    <n v="10"/>
    <x v="1"/>
    <m/>
    <m/>
    <s v="Closed"/>
    <x v="1"/>
    <s v="NA"/>
    <n v="18"/>
    <d v="2026-01-31T02:21:19"/>
    <n v="1"/>
    <m/>
  </r>
  <r>
    <x v="0"/>
    <s v="051008484"/>
    <s v="000500"/>
    <s v="051008484-000500"/>
    <x v="113"/>
    <x v="97"/>
    <d v="2026-01-06T00:00:00"/>
    <s v="DMA"/>
    <s v="RCI"/>
    <x v="693"/>
    <x v="0"/>
    <x v="1"/>
    <s v="ANSI 49"/>
    <d v="2026-05-07T00:00:00"/>
    <n v="-7"/>
    <d v="2026-01-21T00:00:00"/>
    <d v="2026-01-28T00:00:00"/>
    <d v="2026-02-09T00:00:00"/>
    <b v="0"/>
    <x v="13"/>
    <n v="10"/>
    <n v="6"/>
    <n v="14"/>
    <x v="7"/>
    <s v="LATE"/>
    <x v="0"/>
    <x v="1"/>
    <m/>
    <x v="0"/>
    <n v="20"/>
    <x v="1"/>
    <m/>
    <m/>
    <s v="Closed"/>
    <x v="1"/>
    <s v="NA"/>
    <n v="17"/>
    <d v="2026-01-28T09:58:35"/>
    <n v="1"/>
    <m/>
  </r>
  <r>
    <x v="0"/>
    <s v="0051343281"/>
    <s v="000010"/>
    <s v="0051343281-000010"/>
    <x v="114"/>
    <x v="95"/>
    <d v="2026-02-06T00:00:00"/>
    <s v="DRV"/>
    <s v="GHT"/>
    <x v="694"/>
    <x v="1"/>
    <x v="0"/>
    <s v="ANSI 49"/>
    <d v="2026-05-27T00:00:00"/>
    <n v="18"/>
    <d v="2026-01-21T00:00:00"/>
    <d v="2026-01-29T00:00:00"/>
    <d v="2026-01-29T00:00:00"/>
    <b v="0"/>
    <x v="13"/>
    <n v="10"/>
    <n v="7"/>
    <n v="7"/>
    <x v="9"/>
    <s v="ON TIME"/>
    <x v="2"/>
    <x v="0"/>
    <m/>
    <x v="0"/>
    <n v="-12"/>
    <x v="0"/>
    <m/>
    <m/>
    <s v="Closed"/>
    <x v="0"/>
    <s v="NA"/>
    <n v="18"/>
    <d v="2026-02-01T02:21:19"/>
    <n v="1"/>
    <m/>
  </r>
  <r>
    <x v="0"/>
    <s v="0051713006"/>
    <s v="000010"/>
    <s v="0051713006-000010"/>
    <x v="115"/>
    <x v="82"/>
    <m/>
    <s v="MGL"/>
    <m/>
    <x v="695"/>
    <x v="0"/>
    <x v="1"/>
    <s v="ANSI 49"/>
    <d v="2026-04-14T00:00:00"/>
    <n v="8"/>
    <d v="2026-01-21T00:00:00"/>
    <d v="2026-02-03T00:00:00"/>
    <d v="2026-01-27T00:00:00"/>
    <b v="0"/>
    <x v="13"/>
    <n v="10"/>
    <n v="10"/>
    <n v="5"/>
    <x v="23"/>
    <s v="ON TIME"/>
    <x v="2"/>
    <x v="1"/>
    <m/>
    <x v="0"/>
    <n v="-4"/>
    <x v="0"/>
    <m/>
    <m/>
    <s v="Closed"/>
    <x v="0"/>
    <s v="NA"/>
    <n v="17"/>
    <d v="2026-02-03T09:58:35"/>
    <n v="1"/>
    <m/>
  </r>
  <r>
    <x v="0"/>
    <s v="SPECIAL"/>
    <s v="SPECIAL"/>
    <s v="SPECIAL-SPECIAL"/>
    <x v="116"/>
    <x v="86"/>
    <d v="2026-01-28T00:00:00"/>
    <s v="UFA"/>
    <m/>
    <x v="696"/>
    <x v="0"/>
    <x v="3"/>
    <s v="ANSI 49"/>
    <d v="2026-01-28T00:00:00"/>
    <n v="6"/>
    <d v="2026-01-21T00:00:00"/>
    <d v="2026-01-28T00:00:00"/>
    <d v="2026-01-23T00:00:00"/>
    <b v="0"/>
    <x v="13"/>
    <n v="10"/>
    <n v="6"/>
    <n v="3"/>
    <x v="16"/>
    <s v="ON TIME"/>
    <x v="2"/>
    <x v="1"/>
    <m/>
    <x v="1"/>
    <n v="-4"/>
    <x v="0"/>
    <m/>
    <m/>
    <s v="Cancelled"/>
    <x v="0"/>
    <s v="NA"/>
    <n v="2"/>
    <d v="2026-01-28T09:58:35"/>
    <e v="#N/A"/>
    <m/>
  </r>
  <r>
    <x v="0"/>
    <s v="0051618201"/>
    <s v="000040"/>
    <s v="0051618201-000040"/>
    <x v="112"/>
    <x v="94"/>
    <d v="2026-01-30T00:00:00"/>
    <s v="DMA"/>
    <s v="KGF"/>
    <x v="697"/>
    <x v="1"/>
    <x v="0"/>
    <s v="ANSI 49"/>
    <d v="2026-05-07T00:00:00"/>
    <n v="10"/>
    <d v="2026-01-22T00:00:00"/>
    <d v="2026-01-29T00:00:00"/>
    <d v="2026-01-28T00:00:00"/>
    <b v="0"/>
    <x v="13"/>
    <n v="10"/>
    <n v="6"/>
    <n v="5"/>
    <x v="11"/>
    <s v="ON TIME"/>
    <x v="2"/>
    <x v="0"/>
    <m/>
    <x v="0"/>
    <n v="-6"/>
    <x v="0"/>
    <m/>
    <m/>
    <s v="Closed"/>
    <x v="0"/>
    <s v="NA"/>
    <n v="18"/>
    <d v="2026-02-01T02:21:19"/>
    <n v="1"/>
    <m/>
  </r>
  <r>
    <x v="0"/>
    <s v="0050544685"/>
    <s v="001240"/>
    <s v="0050544685-001240"/>
    <x v="117"/>
    <x v="98"/>
    <d v="2026-02-27T00:00:00"/>
    <m/>
    <m/>
    <x v="698"/>
    <x v="0"/>
    <x v="0"/>
    <s v="ANSI 49"/>
    <d v="2026-06-15T00:00:00"/>
    <n v="32"/>
    <d v="2026-01-22T00:00:00"/>
    <d v="2026-01-29T00:00:00"/>
    <d v="2026-01-28T00:00:00"/>
    <b v="0"/>
    <x v="13"/>
    <n v="10"/>
    <n v="6"/>
    <n v="5"/>
    <x v="11"/>
    <s v="ON TIME"/>
    <x v="2"/>
    <x v="0"/>
    <m/>
    <x v="0"/>
    <n v="-28"/>
    <x v="0"/>
    <m/>
    <m/>
    <s v="Closed"/>
    <x v="0"/>
    <s v="NA"/>
    <n v="18"/>
    <d v="2026-02-01T02:21:19"/>
    <n v="1"/>
    <m/>
  </r>
  <r>
    <x v="0"/>
    <s v="0051787649"/>
    <s v="000050"/>
    <s v="0051787649-000050"/>
    <x v="118"/>
    <x v="99"/>
    <m/>
    <s v="SMA"/>
    <s v="VL"/>
    <x v="699"/>
    <x v="1"/>
    <x v="2"/>
    <s v="ANSI 49"/>
    <d v="2026-05-27T00:00:00"/>
    <n v="12"/>
    <d v="2026-01-23T00:00:00"/>
    <d v="2026-01-28T00:00:00"/>
    <d v="2026-01-28T00:00:00"/>
    <b v="0"/>
    <x v="13"/>
    <n v="10"/>
    <n v="4"/>
    <n v="4"/>
    <x v="9"/>
    <s v="ON TIME"/>
    <x v="2"/>
    <x v="0"/>
    <m/>
    <x v="0"/>
    <n v="-9"/>
    <x v="0"/>
    <m/>
    <m/>
    <s v="Closed"/>
    <x v="0"/>
    <s v="NA"/>
    <n v="11"/>
    <d v="2026-01-28T09:58:35"/>
    <n v="1"/>
    <m/>
  </r>
  <r>
    <x v="0"/>
    <s v="0050384250"/>
    <s v="001240&amp;001250&amp;001270"/>
    <s v="0050384250-001240&amp;001250&amp;001270"/>
    <x v="69"/>
    <x v="89"/>
    <d v="2026-02-20T00:00:00"/>
    <s v="ASP"/>
    <m/>
    <x v="700"/>
    <x v="0"/>
    <x v="0"/>
    <s v="ANSI 49"/>
    <d v="2026-08-03T00:00:00"/>
    <n v="25"/>
    <d v="2026-01-26T00:00:00"/>
    <d v="2026-02-03T00:00:00"/>
    <d v="2026-02-05T00:00:00"/>
    <b v="0"/>
    <x v="13"/>
    <n v="10"/>
    <n v="7"/>
    <n v="9"/>
    <x v="12"/>
    <s v="LATE"/>
    <x v="0"/>
    <x v="0"/>
    <m/>
    <x v="0"/>
    <n v="-17"/>
    <x v="0"/>
    <m/>
    <m/>
    <s v="Closed"/>
    <x v="0"/>
    <s v="NA"/>
    <n v="18"/>
    <d v="2026-02-06T02:21:19"/>
    <n v="1"/>
    <m/>
  </r>
  <r>
    <x v="0"/>
    <s v="0051024393"/>
    <s v="000310"/>
    <s v="0051024393-000310"/>
    <x v="84"/>
    <x v="95"/>
    <d v="2025-12-15T00:00:00"/>
    <s v="HMA"/>
    <s v="ISQ"/>
    <x v="701"/>
    <x v="1"/>
    <x v="0"/>
    <s v="ANSI 61"/>
    <d v="2026-03-09T00:00:00"/>
    <n v="14"/>
    <d v="2026-01-27T00:00:00"/>
    <d v="2026-02-04T00:00:00"/>
    <d v="2026-02-05T00:00:00"/>
    <b v="0"/>
    <x v="13"/>
    <n v="10"/>
    <n v="7"/>
    <n v="8"/>
    <x v="6"/>
    <s v="LATE"/>
    <x v="0"/>
    <x v="0"/>
    <m/>
    <x v="0"/>
    <n v="-7"/>
    <x v="0"/>
    <m/>
    <m/>
    <s v="Closed"/>
    <x v="0"/>
    <s v="NA"/>
    <n v="18"/>
    <d v="2026-02-07T02:21:19"/>
    <n v="1"/>
    <m/>
  </r>
  <r>
    <x v="0"/>
    <s v="0051129914"/>
    <s v="000750&amp;760"/>
    <s v="0051129914-000750&amp;760"/>
    <x v="119"/>
    <x v="100"/>
    <d v="2026-02-03T00:00:00"/>
    <s v="UFA"/>
    <s v="AL "/>
    <x v="702"/>
    <x v="0"/>
    <x v="0"/>
    <s v="ANSI 49"/>
    <d v="2026-06-02T00:00:00"/>
    <n v="10"/>
    <d v="2026-01-28T00:00:00"/>
    <d v="2026-02-05T00:00:00"/>
    <d v="2026-02-05T00:00:00"/>
    <b v="0"/>
    <x v="13"/>
    <n v="10"/>
    <n v="7"/>
    <n v="7"/>
    <x v="9"/>
    <s v="ON TIME"/>
    <x v="2"/>
    <x v="0"/>
    <m/>
    <x v="0"/>
    <n v="-4"/>
    <x v="0"/>
    <m/>
    <m/>
    <s v="Closed"/>
    <x v="0"/>
    <s v="NA"/>
    <n v="18"/>
    <d v="2026-02-08T02:21:19"/>
    <n v="1"/>
    <m/>
  </r>
  <r>
    <x v="0"/>
    <s v="0051129914"/>
    <s v="000760"/>
    <s v="0051129914-000760"/>
    <x v="119"/>
    <x v="100"/>
    <d v="2026-02-03T00:00:00"/>
    <s v="UFA"/>
    <s v="AL "/>
    <x v="703"/>
    <x v="1"/>
    <x v="0"/>
    <s v="ANSI 49"/>
    <d v="2026-06-02T00:00:00"/>
    <n v="10"/>
    <d v="2026-01-28T00:00:00"/>
    <d v="2026-02-10T00:00:00"/>
    <d v="2026-02-05T00:00:00"/>
    <b v="0"/>
    <x v="13"/>
    <n v="10"/>
    <n v="10"/>
    <n v="7"/>
    <x v="16"/>
    <s v="ON TIME"/>
    <x v="2"/>
    <x v="0"/>
    <m/>
    <x v="0"/>
    <n v="-4"/>
    <x v="0"/>
    <m/>
    <m/>
    <s v="Closed"/>
    <x v="0"/>
    <s v="NA"/>
    <n v="18"/>
    <d v="2026-02-13T02:21:19"/>
    <n v="1"/>
    <m/>
  </r>
  <r>
    <x v="0"/>
    <s v="0051129914"/>
    <s v="000760"/>
    <s v="0051129914-000760"/>
    <x v="119"/>
    <x v="100"/>
    <d v="2026-02-03T00:00:00"/>
    <s v="UFA"/>
    <s v="AL "/>
    <x v="704"/>
    <x v="1"/>
    <x v="1"/>
    <s v="ANSI 49"/>
    <d v="2026-06-02T00:00:00"/>
    <n v="10"/>
    <d v="2026-01-28T00:00:00"/>
    <d v="2026-02-10T00:00:00"/>
    <d v="2026-02-10T00:00:00"/>
    <b v="0"/>
    <x v="13"/>
    <n v="10"/>
    <n v="10"/>
    <n v="10"/>
    <x v="9"/>
    <s v="ON TIME"/>
    <x v="2"/>
    <x v="0"/>
    <m/>
    <x v="0"/>
    <n v="1"/>
    <x v="1"/>
    <m/>
    <m/>
    <s v="Closed"/>
    <x v="1"/>
    <s v="NA"/>
    <n v="17"/>
    <d v="2026-02-10T09:58:35"/>
    <n v="1"/>
    <m/>
  </r>
  <r>
    <x v="0"/>
    <s v="0051523070"/>
    <s v="000010"/>
    <s v="0051523070-000010"/>
    <x v="107"/>
    <x v="101"/>
    <d v="2026-04-13T00:00:00"/>
    <s v="JAV"/>
    <s v="RCI"/>
    <x v="705"/>
    <x v="1"/>
    <x v="0"/>
    <s v="ANSI 49"/>
    <d v="2026-08-20T00:00:00"/>
    <n v="62"/>
    <d v="2026-01-29T00:00:00"/>
    <d v="2026-01-06T00:00:00"/>
    <d v="2026-02-09T00:00:00"/>
    <b v="0"/>
    <x v="13"/>
    <n v="10"/>
    <n v="-18"/>
    <n v="8"/>
    <x v="34"/>
    <s v="LATE"/>
    <x v="1"/>
    <x v="0"/>
    <m/>
    <x v="0"/>
    <n v="-55"/>
    <x v="0"/>
    <m/>
    <m/>
    <s v="Closed"/>
    <x v="0"/>
    <s v="NA"/>
    <n v="18"/>
    <d v="2026-01-09T02:21:19"/>
    <n v="1"/>
    <m/>
  </r>
  <r>
    <x v="0"/>
    <s v="0051139077"/>
    <s v="000030&amp;000110&amp;000290"/>
    <s v="0051139077-000030&amp;000110&amp;000290"/>
    <x v="45"/>
    <x v="34"/>
    <s v="NA"/>
    <s v="AOB"/>
    <s v="OAL"/>
    <x v="706"/>
    <x v="1"/>
    <x v="0"/>
    <s v="ANSI 49"/>
    <d v="2025-01-05T00:00:00"/>
    <n v="-112"/>
    <d v="2026-02-02T00:00:00"/>
    <d v="2026-02-10T00:00:00"/>
    <d v="2026-02-10T00:00:00"/>
    <b v="0"/>
    <x v="14"/>
    <n v="10"/>
    <n v="7"/>
    <n v="7"/>
    <x v="9"/>
    <s v="ON TIME"/>
    <x v="2"/>
    <x v="1"/>
    <m/>
    <x v="0"/>
    <n v="109"/>
    <x v="1"/>
    <m/>
    <m/>
    <s v="Closed"/>
    <x v="1"/>
    <s v="NA"/>
    <n v="18"/>
    <d v="2026-02-13T02:21:19"/>
    <n v="1"/>
    <m/>
  </r>
  <r>
    <x v="0"/>
    <s v="0050941348"/>
    <s v="000150"/>
    <s v="0050941348-000150"/>
    <x v="120"/>
    <x v="82"/>
    <m/>
    <s v="JAM"/>
    <s v="OAL"/>
    <x v="707"/>
    <x v="1"/>
    <x v="0"/>
    <s v="ANSI 49"/>
    <d v="2026-06-01T00:00:00"/>
    <n v="-3"/>
    <d v="2026-02-03T00:00:00"/>
    <d v="2026-02-10T00:00:00"/>
    <d v="2026-02-13T00:00:00"/>
    <b v="0"/>
    <x v="14"/>
    <n v="10"/>
    <n v="6"/>
    <n v="9"/>
    <x v="4"/>
    <s v="LATE"/>
    <x v="0"/>
    <x v="1"/>
    <m/>
    <x v="0"/>
    <n v="11"/>
    <x v="1"/>
    <m/>
    <m/>
    <s v="Closed"/>
    <x v="1"/>
    <s v="NA"/>
    <n v="18"/>
    <d v="2026-02-13T02:21:19"/>
    <n v="1"/>
    <m/>
  </r>
  <r>
    <x v="0"/>
    <s v="0050941348"/>
    <s v="000150"/>
    <s v="0050941348-000150"/>
    <x v="120"/>
    <x v="82"/>
    <m/>
    <s v="JAM"/>
    <s v="OAL"/>
    <x v="708"/>
    <x v="1"/>
    <x v="0"/>
    <s v="ANSI 49"/>
    <d v="2026-06-01T00:00:00"/>
    <n v="-3"/>
    <d v="2026-02-03T00:00:00"/>
    <d v="2026-02-10T00:00:00"/>
    <d v="2026-02-13T00:00:00"/>
    <b v="0"/>
    <x v="14"/>
    <n v="10"/>
    <n v="6"/>
    <n v="9"/>
    <x v="4"/>
    <s v="LATE"/>
    <x v="0"/>
    <x v="1"/>
    <m/>
    <x v="0"/>
    <n v="11"/>
    <x v="1"/>
    <m/>
    <m/>
    <s v="Closed"/>
    <x v="1"/>
    <s v="NA"/>
    <n v="18"/>
    <d v="2026-02-13T02:21:19"/>
    <n v="1"/>
    <m/>
  </r>
  <r>
    <x v="0"/>
    <s v="0051024393"/>
    <s v="000310"/>
    <s v="0051024393-000310"/>
    <x v="84"/>
    <x v="76"/>
    <d v="2025-12-22T00:00:00"/>
    <s v="HMA"/>
    <s v="ISQ"/>
    <x v="709"/>
    <x v="0"/>
    <x v="1"/>
    <s v="ANSI 61"/>
    <d v="2026-03-05T00:00:00"/>
    <n v="-38"/>
    <d v="2026-02-04T00:00:00"/>
    <d v="2026-02-16T00:00:00"/>
    <d v="2026-02-13T00:00:00"/>
    <b v="0"/>
    <x v="14"/>
    <n v="10"/>
    <n v="9"/>
    <n v="8"/>
    <x v="11"/>
    <s v="ON TIME"/>
    <x v="2"/>
    <x v="1"/>
    <m/>
    <x v="0"/>
    <n v="42"/>
    <x v="1"/>
    <m/>
    <m/>
    <s v="Closed"/>
    <x v="1"/>
    <s v="NA"/>
    <n v="17"/>
    <d v="2026-02-16T09:58:35"/>
    <n v="1"/>
    <m/>
  </r>
  <r>
    <x v="0"/>
    <s v="SPECIAL"/>
    <s v="SPECIAL"/>
    <s v="SPECIAL-SPECIAL"/>
    <x v="121"/>
    <x v="102"/>
    <m/>
    <s v="UFA"/>
    <m/>
    <x v="710"/>
    <x v="0"/>
    <x v="1"/>
    <s v="ANSI 49"/>
    <d v="2026-02-17T00:00:00"/>
    <n v="9"/>
    <d v="2026-02-05T00:00:00"/>
    <d v="2026-02-17T00:00:00"/>
    <d v="2026-02-17T00:00:00"/>
    <b v="0"/>
    <x v="14"/>
    <n v="10"/>
    <n v="9"/>
    <n v="9"/>
    <x v="9"/>
    <s v="ON TIME"/>
    <x v="2"/>
    <x v="1"/>
    <m/>
    <x v="0"/>
    <n v="1"/>
    <x v="1"/>
    <m/>
    <m/>
    <s v="Closed"/>
    <x v="1"/>
    <s v="NA"/>
    <n v="17"/>
    <d v="2026-02-17T09:58:35"/>
    <n v="1"/>
    <m/>
  </r>
  <r>
    <x v="0"/>
    <s v="0051818022"/>
    <s v="000010"/>
    <s v="0051818022-000010"/>
    <x v="122"/>
    <x v="89"/>
    <d v="2026-02-20T00:00:00"/>
    <s v="ANV"/>
    <s v="RCI"/>
    <x v="711"/>
    <x v="0"/>
    <x v="0"/>
    <s v="ANSI 49"/>
    <d v="2026-06-22T00:00:00"/>
    <n v="17"/>
    <d v="2026-02-05T00:00:00"/>
    <d v="2026-02-12T00:00:00"/>
    <d v="2026-02-20T00:00:00"/>
    <b v="0"/>
    <x v="14"/>
    <n v="10"/>
    <n v="6"/>
    <n v="12"/>
    <x v="8"/>
    <s v="LATE"/>
    <x v="0"/>
    <x v="0"/>
    <m/>
    <x v="0"/>
    <n v="-6"/>
    <x v="0"/>
    <m/>
    <m/>
    <s v="Closed"/>
    <x v="0"/>
    <s v="NA"/>
    <n v="18"/>
    <d v="2026-02-15T02:21:19"/>
    <n v="1"/>
    <m/>
  </r>
  <r>
    <x v="0"/>
    <s v="0051827227"/>
    <s v="000010"/>
    <s v="0051827227-000010"/>
    <x v="123"/>
    <x v="98"/>
    <d v="2026-02-27T00:00:00"/>
    <s v="JAV"/>
    <s v="ODE"/>
    <x v="712"/>
    <x v="1"/>
    <x v="0"/>
    <s v="ANSI 49"/>
    <d v="2026-06-25T00:00:00"/>
    <n v="22"/>
    <d v="2026-02-05T00:00:00"/>
    <d v="2026-02-12T00:00:00"/>
    <d v="2026-02-12T00:00:00"/>
    <b v="0"/>
    <x v="14"/>
    <n v="10"/>
    <n v="6"/>
    <n v="6"/>
    <x v="9"/>
    <s v="ON TIME"/>
    <x v="2"/>
    <x v="0"/>
    <m/>
    <x v="0"/>
    <n v="-17"/>
    <x v="0"/>
    <m/>
    <m/>
    <s v="Closed"/>
    <x v="0"/>
    <s v="NA"/>
    <n v="18"/>
    <d v="2026-02-15T02:21:19"/>
    <n v="1"/>
    <m/>
  </r>
  <r>
    <x v="0"/>
    <s v="0051827227"/>
    <s v="000010"/>
    <s v="0051827227-000010"/>
    <x v="123"/>
    <x v="98"/>
    <d v="2026-02-27T00:00:00"/>
    <s v="JAV"/>
    <s v="ODE"/>
    <x v="713"/>
    <x v="1"/>
    <x v="0"/>
    <s v="ANSI 49"/>
    <d v="2026-06-25T00:00:00"/>
    <n v="22"/>
    <d v="2026-02-05T00:00:00"/>
    <d v="2026-02-12T00:00:00"/>
    <d v="2026-02-12T00:00:00"/>
    <b v="0"/>
    <x v="14"/>
    <n v="10"/>
    <n v="6"/>
    <n v="6"/>
    <x v="9"/>
    <s v="ON TIME"/>
    <x v="2"/>
    <x v="0"/>
    <m/>
    <x v="0"/>
    <n v="-17"/>
    <x v="0"/>
    <m/>
    <m/>
    <s v="Closed"/>
    <x v="0"/>
    <s v="NA"/>
    <n v="18"/>
    <d v="2026-02-15T02:21:19"/>
    <n v="1"/>
    <m/>
  </r>
  <r>
    <x v="0"/>
    <s v="0050384250"/>
    <s v="001260"/>
    <s v="0050384250-001260"/>
    <x v="69"/>
    <x v="98"/>
    <d v="2026-02-27T00:00:00"/>
    <s v="HMA"/>
    <s v="CML"/>
    <x v="714"/>
    <x v="1"/>
    <x v="0"/>
    <s v="ANSI 49"/>
    <d v="2026-07-06T00:00:00"/>
    <n v="22"/>
    <d v="2026-02-05T00:00:00"/>
    <d v="2026-02-13T00:00:00"/>
    <d v="2026-02-18T00:00:00"/>
    <b v="0"/>
    <x v="14"/>
    <n v="10"/>
    <n v="7"/>
    <n v="10"/>
    <x v="4"/>
    <s v="LATE"/>
    <x v="0"/>
    <x v="0"/>
    <m/>
    <x v="0"/>
    <n v="-13"/>
    <x v="0"/>
    <m/>
    <m/>
    <s v="Closed"/>
    <x v="0"/>
    <s v="NA"/>
    <n v="18"/>
    <d v="2026-02-16T02:21:19"/>
    <n v="1"/>
    <m/>
  </r>
  <r>
    <x v="0"/>
    <s v="0051735870"/>
    <s v="000010"/>
    <s v="0051735870-000010"/>
    <x v="124"/>
    <x v="103"/>
    <d v="2026-03-17T00:00:00"/>
    <s v="JAM"/>
    <s v="RCI"/>
    <x v="715"/>
    <x v="1"/>
    <x v="0"/>
    <s v="ANSI 49"/>
    <d v="2026-08-07T00:00:00"/>
    <n v="38"/>
    <d v="2026-02-05T00:00:00"/>
    <d v="2026-02-26T00:00:00"/>
    <d v="2026-03-11T00:00:00"/>
    <b v="0"/>
    <x v="14"/>
    <n v="10"/>
    <n v="16"/>
    <n v="25"/>
    <x v="17"/>
    <s v="LATE"/>
    <x v="0"/>
    <x v="0"/>
    <m/>
    <x v="0"/>
    <n v="-14"/>
    <x v="0"/>
    <m/>
    <m/>
    <s v="Closed"/>
    <x v="0"/>
    <s v="NA"/>
    <n v="18"/>
    <d v="2026-03-01T02:21:19"/>
    <n v="1"/>
    <m/>
  </r>
  <r>
    <x v="0"/>
    <s v="0051647770"/>
    <s v="000010"/>
    <s v="0051647770-000010"/>
    <x v="81"/>
    <x v="67"/>
    <d v="2025-12-02T00:00:00"/>
    <s v="DEV"/>
    <s v="VL"/>
    <x v="716"/>
    <x v="1"/>
    <x v="0"/>
    <s v="ANSI 49"/>
    <d v="2026-02-09T00:00:00"/>
    <n v="-44"/>
    <d v="2026-02-06T00:00:00"/>
    <d v="2026-02-13T00:00:00"/>
    <d v="2026-02-18T00:00:00"/>
    <b v="0"/>
    <x v="14"/>
    <n v="10"/>
    <n v="6"/>
    <n v="9"/>
    <x v="4"/>
    <s v="LATE"/>
    <x v="0"/>
    <x v="1"/>
    <m/>
    <x v="0"/>
    <n v="48"/>
    <x v="1"/>
    <m/>
    <m/>
    <s v="Closed"/>
    <x v="1"/>
    <s v="NA"/>
    <n v="18"/>
    <d v="2026-02-16T02:21:19"/>
    <n v="1"/>
    <m/>
  </r>
  <r>
    <x v="0"/>
    <s v="0051791572"/>
    <s v="000010"/>
    <s v="0051791572-000010"/>
    <x v="125"/>
    <x v="104"/>
    <d v="2026-02-18T00:00:00"/>
    <s v="ATA"/>
    <s v="ISQ"/>
    <x v="717"/>
    <x v="1"/>
    <x v="0"/>
    <s v="ANSI 49"/>
    <d v="2026-06-22T00:00:00"/>
    <n v="13"/>
    <d v="2026-02-07T00:00:00"/>
    <d v="2026-02-16T00:00:00"/>
    <d v="2026-02-19T00:00:00"/>
    <b v="0"/>
    <x v="14"/>
    <n v="10"/>
    <n v="6"/>
    <n v="9"/>
    <x v="4"/>
    <s v="LATE"/>
    <x v="0"/>
    <x v="0"/>
    <m/>
    <x v="0"/>
    <n v="-5"/>
    <x v="0"/>
    <m/>
    <m/>
    <s v="Closed"/>
    <x v="0"/>
    <s v="NA"/>
    <n v="18"/>
    <d v="2026-02-19T02:21:19"/>
    <n v="1"/>
    <m/>
  </r>
  <r>
    <x v="0"/>
    <s v="0050384250"/>
    <s v="001260"/>
    <s v="0050384250-001260"/>
    <x v="69"/>
    <x v="98"/>
    <d v="2026-02-27T00:00:00"/>
    <s v="HMA"/>
    <s v="CML"/>
    <x v="718"/>
    <x v="1"/>
    <x v="1"/>
    <s v="ANSI 49"/>
    <d v="2026-07-06T00:00:00"/>
    <n v="20"/>
    <d v="2026-02-07T00:00:00"/>
    <d v="2026-02-19T00:00:00"/>
    <d v="2026-02-17T00:00:00"/>
    <b v="0"/>
    <x v="14"/>
    <n v="10"/>
    <n v="9"/>
    <n v="7"/>
    <x v="5"/>
    <s v="ON TIME"/>
    <x v="2"/>
    <x v="0"/>
    <m/>
    <x v="0"/>
    <n v="-14"/>
    <x v="0"/>
    <m/>
    <m/>
    <s v="Closed"/>
    <x v="0"/>
    <s v="NA"/>
    <n v="17"/>
    <d v="2026-02-19T09:58:35"/>
    <n v="1"/>
    <m/>
  </r>
  <r>
    <x v="0"/>
    <s v="0050384250"/>
    <s v="001260"/>
    <s v="0050384250-001260"/>
    <x v="69"/>
    <x v="98"/>
    <d v="2026-02-27T00:00:00"/>
    <s v="HMA"/>
    <s v="CML"/>
    <x v="719"/>
    <x v="1"/>
    <x v="0"/>
    <s v="ANSI 49"/>
    <d v="2026-07-06T00:00:00"/>
    <n v="20"/>
    <d v="2026-02-07T00:00:00"/>
    <d v="2026-02-16T00:00:00"/>
    <d v="2026-02-19T00:00:00"/>
    <b v="0"/>
    <x v="14"/>
    <n v="10"/>
    <n v="6"/>
    <n v="9"/>
    <x v="4"/>
    <s v="LATE"/>
    <x v="0"/>
    <x v="0"/>
    <m/>
    <x v="0"/>
    <n v="-12"/>
    <x v="0"/>
    <m/>
    <m/>
    <s v="Closed"/>
    <x v="0"/>
    <s v="NA"/>
    <n v="18"/>
    <d v="2026-02-19T02:21:19"/>
    <n v="1"/>
    <m/>
  </r>
  <r>
    <x v="0"/>
    <s v="0051212323"/>
    <s v="010200"/>
    <s v="0051212323-010200"/>
    <x v="126"/>
    <x v="105"/>
    <d v="2026-02-23T00:00:00"/>
    <s v="OHO"/>
    <s v="OAL"/>
    <x v="720"/>
    <x v="1"/>
    <x v="0"/>
    <s v="ANSI 49"/>
    <d v="2026-07-27T00:00:00"/>
    <n v="16"/>
    <d v="2026-02-09T00:00:00"/>
    <d v="2026-02-16T00:00:00"/>
    <d v="2026-02-14T00:00:00"/>
    <b v="0"/>
    <x v="14"/>
    <n v="10"/>
    <n v="6"/>
    <n v="5"/>
    <x v="11"/>
    <s v="ON TIME"/>
    <x v="2"/>
    <x v="0"/>
    <m/>
    <x v="0"/>
    <n v="-11"/>
    <x v="0"/>
    <m/>
    <m/>
    <s v="Closed"/>
    <x v="0"/>
    <s v="NA"/>
    <n v="18"/>
    <d v="2026-02-19T02:21:19"/>
    <n v="1"/>
    <m/>
  </r>
  <r>
    <x v="0"/>
    <s v="0050384250"/>
    <s v="001240"/>
    <s v="0050384250-001240"/>
    <x v="69"/>
    <x v="98"/>
    <d v="2026-02-27T00:00:00"/>
    <s v="ASP"/>
    <s v="KGF"/>
    <x v="721"/>
    <x v="1"/>
    <x v="0"/>
    <s v="ANSI 49"/>
    <d v="2026-07-15T00:00:00"/>
    <n v="20"/>
    <d v="2026-02-09T00:00:00"/>
    <d v="2026-02-16T00:00:00"/>
    <d v="2026-02-14T00:00:00"/>
    <b v="0"/>
    <x v="14"/>
    <n v="10"/>
    <n v="6"/>
    <n v="5"/>
    <x v="11"/>
    <s v="ON TIME"/>
    <x v="2"/>
    <x v="0"/>
    <m/>
    <x v="0"/>
    <n v="-15"/>
    <x v="0"/>
    <m/>
    <m/>
    <s v="Closed"/>
    <x v="0"/>
    <s v="NA"/>
    <n v="18"/>
    <d v="2026-02-19T02:21:19"/>
    <n v="1"/>
    <m/>
  </r>
  <r>
    <x v="0"/>
    <s v="0051842216"/>
    <s v="000030"/>
    <s v="0051842216-000030"/>
    <x v="127"/>
    <x v="98"/>
    <d v="2026-02-27T00:00:00"/>
    <s v="JRC"/>
    <s v="ISQ"/>
    <x v="722"/>
    <x v="0"/>
    <x v="0"/>
    <s v="ANSI 49"/>
    <d v="2026-06-25T00:00:00"/>
    <n v="20"/>
    <d v="2026-02-09T00:00:00"/>
    <d v="2026-02-16T00:00:00"/>
    <d v="2026-02-19T00:00:00"/>
    <b v="0"/>
    <x v="14"/>
    <n v="10"/>
    <n v="6"/>
    <n v="9"/>
    <x v="4"/>
    <s v="LATE"/>
    <x v="0"/>
    <x v="0"/>
    <m/>
    <x v="0"/>
    <n v="-12"/>
    <x v="0"/>
    <m/>
    <m/>
    <s v="Closed"/>
    <x v="0"/>
    <s v="NA"/>
    <n v="18"/>
    <d v="2026-02-19T02:21:19"/>
    <n v="1"/>
    <m/>
  </r>
  <r>
    <x v="0"/>
    <s v="0051212323"/>
    <s v="010170"/>
    <s v="0051212323-010170"/>
    <x v="126"/>
    <x v="105"/>
    <d v="2026-02-23T00:00:00"/>
    <s v="OHO"/>
    <s v="CML"/>
    <x v="723"/>
    <x v="1"/>
    <x v="0"/>
    <s v="ANSI 49"/>
    <d v="2026-07-28T00:00:00"/>
    <n v="16"/>
    <d v="2026-02-09T00:00:00"/>
    <d v="2026-02-17T00:00:00"/>
    <d v="2026-02-17T00:00:00"/>
    <b v="0"/>
    <x v="14"/>
    <n v="10"/>
    <n v="7"/>
    <n v="7"/>
    <x v="9"/>
    <s v="ON TIME"/>
    <x v="2"/>
    <x v="0"/>
    <m/>
    <x v="0"/>
    <n v="-10"/>
    <x v="0"/>
    <m/>
    <m/>
    <s v="Closed"/>
    <x v="0"/>
    <s v="NA"/>
    <n v="18"/>
    <d v="2026-02-20T02:21:19"/>
    <n v="1"/>
    <m/>
  </r>
  <r>
    <x v="0"/>
    <s v="0051008484"/>
    <s v="000500"/>
    <s v="0051008484-000500"/>
    <x v="113"/>
    <x v="95"/>
    <d v="2026-02-06T00:00:00"/>
    <s v="DMA"/>
    <s v="RCI"/>
    <x v="724"/>
    <x v="1"/>
    <x v="0"/>
    <s v="ANSI 49"/>
    <d v="2026-05-07T00:00:00"/>
    <n v="5"/>
    <d v="2026-02-09T00:00:00"/>
    <d v="2026-02-18T00:00:00"/>
    <d v="2026-02-14T00:00:00"/>
    <b v="0"/>
    <x v="14"/>
    <n v="10"/>
    <n v="8"/>
    <n v="5"/>
    <x v="16"/>
    <s v="ON TIME"/>
    <x v="2"/>
    <x v="1"/>
    <m/>
    <x v="0"/>
    <n v="1"/>
    <x v="1"/>
    <m/>
    <m/>
    <s v="Closed"/>
    <x v="1"/>
    <s v="NA"/>
    <n v="18"/>
    <d v="2026-02-21T02:21:19"/>
    <n v="1"/>
    <m/>
  </r>
  <r>
    <x v="0"/>
    <s v="0051129914"/>
    <s v="000750&amp;760"/>
    <s v="0051129914-000750&amp;760"/>
    <x v="119"/>
    <x v="100"/>
    <d v="2026-02-03T00:00:00"/>
    <s v="UFA"/>
    <s v="AL "/>
    <x v="725"/>
    <x v="0"/>
    <x v="0"/>
    <s v="ANSI 49"/>
    <d v="2026-06-02T00:00:00"/>
    <n v="2"/>
    <d v="2026-02-09T00:00:00"/>
    <d v="2026-02-18T00:00:00"/>
    <d v="2026-02-20T00:00:00"/>
    <b v="0"/>
    <x v="14"/>
    <n v="10"/>
    <n v="8"/>
    <n v="10"/>
    <x v="12"/>
    <s v="LATE"/>
    <x v="0"/>
    <x v="1"/>
    <m/>
    <x v="0"/>
    <n v="9"/>
    <x v="1"/>
    <m/>
    <m/>
    <s v="Closed"/>
    <x v="1"/>
    <s v="NA"/>
    <n v="18"/>
    <d v="2026-02-21T02:21:19"/>
    <n v="1"/>
    <m/>
  </r>
  <r>
    <x v="0"/>
    <s v="0051251730"/>
    <s v="001110"/>
    <s v="0051251730-001110"/>
    <x v="128"/>
    <x v="95"/>
    <m/>
    <s v="DVR"/>
    <m/>
    <x v="726"/>
    <x v="0"/>
    <x v="1"/>
    <s v="ANSI 49"/>
    <d v="2026-08-31T00:00:00"/>
    <n v="5"/>
    <d v="2026-02-09T00:00:00"/>
    <d v="2026-02-19T00:00:00"/>
    <d v="2026-03-02T00:00:00"/>
    <b v="0"/>
    <x v="14"/>
    <n v="10"/>
    <n v="9"/>
    <n v="16"/>
    <x v="13"/>
    <s v="LATE"/>
    <x v="0"/>
    <x v="1"/>
    <m/>
    <x v="0"/>
    <n v="12"/>
    <x v="1"/>
    <m/>
    <m/>
    <s v="Closed"/>
    <x v="1"/>
    <s v="NA"/>
    <n v="17"/>
    <d v="2026-02-19T09:58:35"/>
    <n v="1"/>
    <m/>
  </r>
  <r>
    <x v="0"/>
    <s v="0051611250"/>
    <s v="003280"/>
    <s v="0051611250-003280"/>
    <x v="95"/>
    <x v="70"/>
    <d v="2025-12-02T00:00:00"/>
    <s v="ATA"/>
    <s v="HUP"/>
    <x v="727"/>
    <x v="0"/>
    <x v="1"/>
    <s v="ANSI 49"/>
    <d v="2026-02-20T00:00:00"/>
    <n v="-37"/>
    <d v="2026-02-10T00:00:00"/>
    <d v="2026-02-23T00:00:00"/>
    <d v="2026-02-18T00:00:00"/>
    <b v="0"/>
    <x v="14"/>
    <n v="10"/>
    <n v="10"/>
    <n v="7"/>
    <x v="16"/>
    <s v="ON TIME"/>
    <x v="2"/>
    <x v="1"/>
    <m/>
    <x v="0"/>
    <n v="40"/>
    <x v="1"/>
    <m/>
    <m/>
    <s v="Closed"/>
    <x v="1"/>
    <s v="NA"/>
    <n v="17"/>
    <d v="2026-02-23T09:58:35"/>
    <n v="1"/>
    <m/>
  </r>
  <r>
    <x v="0"/>
    <s v="0051791572"/>
    <s v="000010"/>
    <s v="0051791572-000010"/>
    <x v="125"/>
    <x v="104"/>
    <d v="2026-02-18T00:00:00"/>
    <s v="ATA"/>
    <s v="ISQ"/>
    <x v="728"/>
    <x v="0"/>
    <x v="0"/>
    <s v="ANSI 49"/>
    <d v="2026-08-06T00:00:00"/>
    <n v="12"/>
    <d v="2026-02-10T00:00:00"/>
    <d v="2026-02-19T00:00:00"/>
    <d v="2026-02-20T00:00:00"/>
    <b v="0"/>
    <x v="14"/>
    <n v="10"/>
    <n v="8"/>
    <n v="9"/>
    <x v="6"/>
    <s v="LATE"/>
    <x v="0"/>
    <x v="0"/>
    <m/>
    <x v="0"/>
    <n v="-4"/>
    <x v="0"/>
    <m/>
    <m/>
    <s v="Closed"/>
    <x v="0"/>
    <s v="NA"/>
    <n v="18"/>
    <d v="2026-02-22T02:21:19"/>
    <n v="1"/>
    <m/>
  </r>
  <r>
    <x v="0"/>
    <s v="0051212323"/>
    <s v="010200"/>
    <s v="0051212323-010200"/>
    <x v="126"/>
    <x v="105"/>
    <d v="2026-02-23T00:00:00"/>
    <s v="OHO"/>
    <s v="OAL"/>
    <x v="729"/>
    <x v="1"/>
    <x v="1"/>
    <s v="ANSI 49"/>
    <d v="2026-08-20T00:00:00"/>
    <n v="15"/>
    <d v="2026-02-10T00:00:00"/>
    <d v="2026-02-20T00:00:00"/>
    <d v="2026-02-24T00:00:00"/>
    <b v="0"/>
    <x v="14"/>
    <n v="10"/>
    <n v="9"/>
    <n v="11"/>
    <x v="12"/>
    <s v="LATE"/>
    <x v="0"/>
    <x v="0"/>
    <m/>
    <x v="0"/>
    <n v="-5"/>
    <x v="0"/>
    <m/>
    <m/>
    <s v="Closed"/>
    <x v="0"/>
    <s v="NA"/>
    <n v="17"/>
    <d v="2026-02-20T09:58:35"/>
    <n v="1"/>
    <m/>
  </r>
  <r>
    <x v="0"/>
    <s v="0050384250"/>
    <s v="001250"/>
    <s v="0050384250-001250"/>
    <x v="69"/>
    <x v="98"/>
    <d v="2026-02-27T00:00:00"/>
    <s v="ASP"/>
    <s v="VL"/>
    <x v="730"/>
    <x v="1"/>
    <x v="0"/>
    <s v="ANSI 49"/>
    <d v="2026-06-05T00:00:00"/>
    <n v="18"/>
    <d v="2026-02-11T00:00:00"/>
    <d v="2026-02-18T00:00:00"/>
    <d v="2026-02-20T00:00:00"/>
    <b v="0"/>
    <x v="14"/>
    <n v="10"/>
    <n v="6"/>
    <n v="8"/>
    <x v="12"/>
    <s v="LATE"/>
    <x v="0"/>
    <x v="0"/>
    <m/>
    <x v="0"/>
    <n v="-11"/>
    <x v="0"/>
    <m/>
    <m/>
    <s v="Closed"/>
    <x v="0"/>
    <s v="NA"/>
    <n v="18"/>
    <d v="2026-02-21T02:21:19"/>
    <n v="1"/>
    <m/>
  </r>
  <r>
    <x v="0"/>
    <s v="0050384250"/>
    <s v="001250"/>
    <s v="0050384250-001250"/>
    <x v="69"/>
    <x v="98"/>
    <d v="2026-02-27T00:00:00"/>
    <s v="ASP"/>
    <s v="VL"/>
    <x v="731"/>
    <x v="1"/>
    <x v="0"/>
    <s v="ANSI 49"/>
    <d v="2026-06-05T00:00:00"/>
    <n v="18"/>
    <d v="2026-02-11T00:00:00"/>
    <d v="2026-02-18T00:00:00"/>
    <d v="2026-02-19T00:00:00"/>
    <b v="0"/>
    <x v="14"/>
    <n v="10"/>
    <n v="6"/>
    <n v="7"/>
    <x v="6"/>
    <s v="LATE"/>
    <x v="0"/>
    <x v="0"/>
    <m/>
    <x v="0"/>
    <n v="-12"/>
    <x v="0"/>
    <m/>
    <m/>
    <s v="Closed"/>
    <x v="0"/>
    <s v="NA"/>
    <n v="18"/>
    <d v="2026-02-21T02:21:19"/>
    <n v="1"/>
    <m/>
  </r>
  <r>
    <x v="0"/>
    <s v="0050384250"/>
    <s v="001250"/>
    <s v="0050384250-001250"/>
    <x v="69"/>
    <x v="98"/>
    <d v="2026-02-27T00:00:00"/>
    <s v="ASP"/>
    <s v="VL"/>
    <x v="732"/>
    <x v="1"/>
    <x v="0"/>
    <s v="ANSI 49"/>
    <d v="2026-06-05T00:00:00"/>
    <n v="18"/>
    <d v="2026-02-11T00:00:00"/>
    <d v="2026-02-18T00:00:00"/>
    <d v="2026-02-25T00:00:00"/>
    <b v="0"/>
    <x v="14"/>
    <n v="10"/>
    <n v="6"/>
    <n v="11"/>
    <x v="3"/>
    <s v="LATE"/>
    <x v="0"/>
    <x v="0"/>
    <m/>
    <x v="0"/>
    <n v="-8"/>
    <x v="0"/>
    <m/>
    <m/>
    <s v="Closed"/>
    <x v="0"/>
    <s v="NA"/>
    <n v="18"/>
    <d v="2026-02-21T02:21:19"/>
    <n v="1"/>
    <m/>
  </r>
  <r>
    <x v="0"/>
    <s v="0051842216"/>
    <s v="000030"/>
    <s v="0051842216-000030"/>
    <x v="127"/>
    <x v="98"/>
    <d v="2026-02-27T00:00:00"/>
    <s v="JRC"/>
    <s v="ISQ"/>
    <x v="733"/>
    <x v="1"/>
    <x v="0"/>
    <s v="ANSI 49"/>
    <d v="2026-06-25T00:00:00"/>
    <n v="18"/>
    <d v="2026-02-11T00:00:00"/>
    <d v="2026-02-19T00:00:00"/>
    <d v="2026-02-19T00:00:00"/>
    <b v="0"/>
    <x v="14"/>
    <n v="10"/>
    <n v="7"/>
    <n v="7"/>
    <x v="9"/>
    <s v="ON TIME"/>
    <x v="2"/>
    <x v="0"/>
    <m/>
    <x v="0"/>
    <n v="-12"/>
    <x v="0"/>
    <m/>
    <m/>
    <s v="Closed"/>
    <x v="0"/>
    <s v="NA"/>
    <n v="18"/>
    <d v="2026-02-22T02:21:19"/>
    <n v="1"/>
    <m/>
  </r>
  <r>
    <x v="0"/>
    <s v="0050384250"/>
    <s v="001250"/>
    <s v="0050384250-001250"/>
    <x v="69"/>
    <x v="98"/>
    <d v="2026-02-27T00:00:00"/>
    <s v="ASP"/>
    <s v="VL"/>
    <x v="734"/>
    <x v="1"/>
    <x v="0"/>
    <s v="ANSI 49"/>
    <d v="2026-06-05T00:00:00"/>
    <n v="18"/>
    <d v="2026-02-11T00:00:00"/>
    <d v="2026-02-18T00:00:00"/>
    <d v="2026-02-23T00:00:00"/>
    <b v="0"/>
    <x v="14"/>
    <n v="10"/>
    <n v="6"/>
    <n v="9"/>
    <x v="4"/>
    <s v="LATE"/>
    <x v="0"/>
    <x v="0"/>
    <m/>
    <x v="0"/>
    <n v="-10"/>
    <x v="0"/>
    <m/>
    <m/>
    <s v="Closed"/>
    <x v="0"/>
    <s v="NA"/>
    <n v="18"/>
    <d v="2026-02-21T02:21:19"/>
    <n v="1"/>
    <m/>
  </r>
  <r>
    <x v="0"/>
    <s v="0050941348"/>
    <s v="000150"/>
    <s v="0050941348-000150"/>
    <x v="120"/>
    <x v="95"/>
    <d v="2026-02-10T00:00:00"/>
    <s v="JAM"/>
    <s v="OAL"/>
    <x v="735"/>
    <x v="1"/>
    <x v="0"/>
    <s v="ANSI 49"/>
    <d v="2026-06-01T00:00:00"/>
    <n v="1"/>
    <d v="2026-02-13T00:00:00"/>
    <d v="2026-02-20T00:00:00"/>
    <d v="2026-02-25T00:00:00"/>
    <b v="0"/>
    <x v="14"/>
    <n v="10"/>
    <n v="6"/>
    <n v="9"/>
    <x v="4"/>
    <s v="LATE"/>
    <x v="0"/>
    <x v="1"/>
    <m/>
    <x v="0"/>
    <n v="9"/>
    <x v="1"/>
    <m/>
    <m/>
    <s v="Closed"/>
    <x v="1"/>
    <s v="NA"/>
    <n v="18"/>
    <d v="2026-02-23T02:21:19"/>
    <n v="1"/>
    <m/>
  </r>
  <r>
    <x v="0"/>
    <s v="0051829783"/>
    <s v="000010"/>
    <s v="0051829783-000010"/>
    <x v="129"/>
    <x v="106"/>
    <d v="2026-03-06T00:00:00"/>
    <m/>
    <m/>
    <x v="736"/>
    <x v="0"/>
    <x v="1"/>
    <s v="ANSI 49"/>
    <d v="2026-07-24T00:00:00"/>
    <n v="21"/>
    <d v="2026-02-13T00:00:00"/>
    <d v="2026-02-26T00:00:00"/>
    <d v="2026-02-20T00:00:00"/>
    <b v="0"/>
    <x v="14"/>
    <n v="10"/>
    <n v="10"/>
    <n v="6"/>
    <x v="14"/>
    <s v="ON TIME"/>
    <x v="2"/>
    <x v="0"/>
    <m/>
    <x v="1"/>
    <n v="-16"/>
    <x v="0"/>
    <m/>
    <m/>
    <s v="Cancelled"/>
    <x v="0"/>
    <s v="NA"/>
    <n v="2"/>
    <d v="2026-02-26T09:58:35"/>
    <n v="0.11764705882352941"/>
    <m/>
  </r>
  <r>
    <x v="0"/>
    <s v="0051829783"/>
    <s v="000010"/>
    <s v="0051829783-000010"/>
    <x v="129"/>
    <x v="106"/>
    <d v="2026-03-06T00:00:00"/>
    <s v="JAM"/>
    <s v="IJF"/>
    <x v="737"/>
    <x v="0"/>
    <x v="1"/>
    <s v="ANSI 49"/>
    <d v="2026-07-24T00:00:00"/>
    <n v="21"/>
    <d v="2026-02-13T00:00:00"/>
    <d v="2026-02-26T00:00:00"/>
    <d v="2026-03-02T00:00:00"/>
    <b v="0"/>
    <x v="14"/>
    <n v="10"/>
    <n v="10"/>
    <n v="12"/>
    <x v="12"/>
    <s v="LATE"/>
    <x v="0"/>
    <x v="0"/>
    <m/>
    <x v="0"/>
    <n v="-10"/>
    <x v="0"/>
    <m/>
    <m/>
    <s v="Closed"/>
    <x v="0"/>
    <s v="NA"/>
    <n v="17"/>
    <d v="2026-02-26T09:58:35"/>
    <n v="1"/>
    <m/>
  </r>
  <r>
    <x v="0"/>
    <s v="0051212323"/>
    <s v="010200"/>
    <s v="0051212323-010200"/>
    <x v="126"/>
    <x v="105"/>
    <d v="2026-02-23T00:00:00"/>
    <s v="NHO"/>
    <s v="OAL"/>
    <x v="738"/>
    <x v="1"/>
    <x v="1"/>
    <s v="ANSI 49"/>
    <d v="2026-07-27T00:00:00"/>
    <n v="3"/>
    <d v="2026-02-26T00:00:00"/>
    <d v="2026-03-12T00:00:00"/>
    <d v="2026-03-05T00:00:00"/>
    <b v="0"/>
    <x v="14"/>
    <n v="10"/>
    <n v="11"/>
    <n v="6"/>
    <x v="23"/>
    <s v="ON TIME"/>
    <x v="2"/>
    <x v="1"/>
    <m/>
    <x v="0"/>
    <n v="4"/>
    <x v="1"/>
    <m/>
    <m/>
    <s v="Closed"/>
    <x v="1"/>
    <s v="NA"/>
    <n v="17"/>
    <d v="2026-03-12T09:58:35"/>
    <n v="1"/>
    <m/>
  </r>
  <r>
    <x v="0"/>
    <s v="0051035589"/>
    <s v="000210"/>
    <s v="0051035589-000210"/>
    <x v="130"/>
    <x v="98"/>
    <d v="2026-02-25T00:00:00"/>
    <s v="ALT"/>
    <s v="VHL"/>
    <x v="739"/>
    <x v="0"/>
    <x v="0"/>
    <s v="ANSI 49"/>
    <d v="2026-06-24T00:00:00"/>
    <n v="5"/>
    <d v="2026-03-02T00:00:00"/>
    <d v="2026-03-11T00:00:00"/>
    <d v="2026-03-09T00:00:00"/>
    <b v="0"/>
    <x v="15"/>
    <n v="10"/>
    <n v="8"/>
    <n v="6"/>
    <x v="5"/>
    <s v="ON TIME"/>
    <x v="2"/>
    <x v="1"/>
    <m/>
    <x v="0"/>
    <n v="2"/>
    <x v="1"/>
    <m/>
    <m/>
    <s v="Closed"/>
    <x v="1"/>
    <s v="NA"/>
    <n v="18"/>
    <d v="2026-03-14T02:21:19"/>
    <n v="1"/>
    <m/>
  </r>
  <r>
    <x v="0"/>
    <s v="0051428029"/>
    <s v="000290"/>
    <s v="0051428029-000290"/>
    <x v="131"/>
    <x v="89"/>
    <d v="2026-02-16T00:00:00"/>
    <s v="MGL"/>
    <s v="ISQ"/>
    <x v="740"/>
    <x v="0"/>
    <x v="1"/>
    <s v="ANSI 49"/>
    <d v="2026-05-30T00:00:00"/>
    <n v="10"/>
    <d v="2026-02-15T00:00:00"/>
    <d v="2026-02-26T00:00:00"/>
    <d v="2026-02-26T00:00:00"/>
    <b v="0"/>
    <x v="14"/>
    <n v="10"/>
    <n v="9"/>
    <n v="9"/>
    <x v="9"/>
    <s v="ON TIME"/>
    <x v="2"/>
    <x v="0"/>
    <m/>
    <x v="0"/>
    <n v="-2"/>
    <x v="0"/>
    <m/>
    <m/>
    <s v="Closed"/>
    <x v="0"/>
    <s v="NA"/>
    <n v="16"/>
    <d v="2026-02-26T09:58:35"/>
    <n v="0.94117647058823528"/>
    <m/>
  </r>
  <r>
    <x v="0"/>
    <s v="0051212323"/>
    <s v="010170"/>
    <s v="0051212323-010170"/>
    <x v="126"/>
    <x v="105"/>
    <d v="2026-02-23T00:00:00"/>
    <s v="NOH"/>
    <s v="CML"/>
    <x v="741"/>
    <x v="0"/>
    <x v="0"/>
    <s v="ANSI 49"/>
    <d v="2026-08-10T00:00:00"/>
    <n v="11"/>
    <d v="2026-02-16T00:00:00"/>
    <d v="2026-02-23T00:00:00"/>
    <d v="2026-02-25T00:00:00"/>
    <b v="0"/>
    <x v="14"/>
    <n v="10"/>
    <n v="6"/>
    <n v="8"/>
    <x v="12"/>
    <s v="LATE"/>
    <x v="0"/>
    <x v="0"/>
    <m/>
    <x v="0"/>
    <n v="-4"/>
    <x v="0"/>
    <m/>
    <m/>
    <s v="Closed"/>
    <x v="0"/>
    <s v="NA"/>
    <n v="18"/>
    <d v="2026-02-26T02:21:19"/>
    <n v="1"/>
    <m/>
  </r>
  <r>
    <x v="0"/>
    <s v="0051212323"/>
    <s v="010170"/>
    <s v="0051212323-010170"/>
    <x v="126"/>
    <x v="105"/>
    <d v="2026-02-23T00:00:00"/>
    <s v="NOH"/>
    <s v="CML"/>
    <x v="742"/>
    <x v="0"/>
    <x v="0"/>
    <s v="ANSI 49"/>
    <d v="2026-08-10T00:00:00"/>
    <n v="11"/>
    <d v="2026-02-16T00:00:00"/>
    <d v="2026-02-23T00:00:00"/>
    <d v="2026-02-23T00:00:00"/>
    <b v="0"/>
    <x v="14"/>
    <n v="10"/>
    <n v="6"/>
    <n v="6"/>
    <x v="9"/>
    <s v="ON TIME"/>
    <x v="2"/>
    <x v="0"/>
    <m/>
    <x v="0"/>
    <n v="-6"/>
    <x v="0"/>
    <m/>
    <m/>
    <s v="Closed"/>
    <x v="0"/>
    <s v="NA"/>
    <n v="18"/>
    <d v="2026-02-26T02:21:19"/>
    <n v="1"/>
    <m/>
  </r>
  <r>
    <x v="0"/>
    <s v="0051212323"/>
    <s v="010170"/>
    <s v="0051212323-010170"/>
    <x v="126"/>
    <x v="105"/>
    <d v="2026-02-23T00:00:00"/>
    <s v="NOH"/>
    <s v="CML"/>
    <x v="743"/>
    <x v="1"/>
    <x v="0"/>
    <s v="ANSI 49"/>
    <d v="2026-08-10T00:00:00"/>
    <n v="11"/>
    <d v="2026-02-16T00:00:00"/>
    <d v="2026-02-23T00:00:00"/>
    <d v="2026-02-20T00:00:00"/>
    <b v="0"/>
    <x v="14"/>
    <n v="10"/>
    <n v="6"/>
    <n v="5"/>
    <x v="11"/>
    <s v="ON TIME"/>
    <x v="2"/>
    <x v="0"/>
    <m/>
    <x v="0"/>
    <n v="-7"/>
    <x v="0"/>
    <m/>
    <m/>
    <s v="Closed"/>
    <x v="0"/>
    <s v="NA"/>
    <n v="18"/>
    <d v="2026-02-26T02:21:19"/>
    <n v="1"/>
    <m/>
  </r>
  <r>
    <x v="0"/>
    <s v="0051212323"/>
    <s v="010170"/>
    <s v="0051212323-010170"/>
    <x v="126"/>
    <x v="105"/>
    <d v="2026-02-23T00:00:00"/>
    <s v="NOH"/>
    <s v="CML"/>
    <x v="744"/>
    <x v="1"/>
    <x v="1"/>
    <s v="ANSI 49"/>
    <d v="2026-08-10T00:00:00"/>
    <n v="11"/>
    <d v="2026-02-16T00:00:00"/>
    <d v="2026-02-26T00:00:00"/>
    <d v="2026-02-26T00:00:00"/>
    <b v="0"/>
    <x v="14"/>
    <n v="10"/>
    <n v="9"/>
    <n v="9"/>
    <x v="9"/>
    <s v="ON TIME"/>
    <x v="2"/>
    <x v="0"/>
    <m/>
    <x v="0"/>
    <n v="-3"/>
    <x v="0"/>
    <m/>
    <m/>
    <s v="Closed"/>
    <x v="0"/>
    <s v="NA"/>
    <n v="15"/>
    <d v="2026-02-26T09:58:35"/>
    <n v="0.88235294117647056"/>
    <m/>
  </r>
  <r>
    <x v="0"/>
    <s v="0051212323"/>
    <s v="010170"/>
    <s v="0051212323-010170"/>
    <x v="126"/>
    <x v="105"/>
    <d v="2026-02-23T00:00:00"/>
    <s v="NOH"/>
    <s v="CML"/>
    <x v="745"/>
    <x v="0"/>
    <x v="1"/>
    <s v="ANSI 49"/>
    <d v="2026-08-10T00:00:00"/>
    <n v="11"/>
    <d v="2026-02-16T00:00:00"/>
    <d v="2026-02-26T00:00:00"/>
    <d v="2026-02-26T00:00:00"/>
    <b v="0"/>
    <x v="14"/>
    <n v="10"/>
    <n v="9"/>
    <n v="9"/>
    <x v="9"/>
    <s v="ON TIME"/>
    <x v="2"/>
    <x v="0"/>
    <m/>
    <x v="0"/>
    <n v="-3"/>
    <x v="0"/>
    <m/>
    <m/>
    <s v="Closed"/>
    <x v="0"/>
    <s v="NA"/>
    <n v="15"/>
    <d v="2026-02-26T09:58:35"/>
    <n v="0.88235294117647056"/>
    <m/>
  </r>
  <r>
    <x v="0"/>
    <s v="_x000a_0051436816"/>
    <s v="000130"/>
    <s v="_x000a_0051436816-000130"/>
    <x v="46"/>
    <x v="107"/>
    <d v="2025-12-19T00:00:00"/>
    <s v="DMA"/>
    <s v="HUP"/>
    <x v="746"/>
    <x v="0"/>
    <x v="1"/>
    <s v="ANSI 49"/>
    <d v="2026-07-24T00:00:00"/>
    <n v="-37"/>
    <d v="2026-02-17T00:00:00"/>
    <d v="2026-02-27T00:00:00"/>
    <d v="2026-02-26T00:00:00"/>
    <b v="0"/>
    <x v="14"/>
    <n v="10"/>
    <n v="9"/>
    <n v="8"/>
    <x v="11"/>
    <s v="ON TIME"/>
    <x v="2"/>
    <x v="1"/>
    <m/>
    <x v="0"/>
    <n v="43"/>
    <x v="1"/>
    <m/>
    <m/>
    <s v="Closed"/>
    <x v="1"/>
    <s v="NA"/>
    <n v="16"/>
    <d v="2026-02-27T09:58:35"/>
    <n v="0.94117647058823528"/>
    <m/>
  </r>
  <r>
    <x v="0"/>
    <s v="_x000a_0051848516"/>
    <s v="000010"/>
    <s v="_x000a_0051848516-000010"/>
    <x v="132"/>
    <x v="98"/>
    <d v="2026-02-27T00:00:00"/>
    <s v="MGL"/>
    <s v="GHT"/>
    <x v="747"/>
    <x v="0"/>
    <x v="1"/>
    <s v="ANSI 49"/>
    <d v="2026-06-30T00:00:00"/>
    <n v="14"/>
    <d v="2026-02-17T00:00:00"/>
    <d v="2026-02-27T00:00:00"/>
    <d v="2026-02-27T00:00:00"/>
    <b v="0"/>
    <x v="14"/>
    <n v="10"/>
    <n v="9"/>
    <n v="9"/>
    <x v="9"/>
    <s v="ON TIME"/>
    <x v="2"/>
    <x v="0"/>
    <m/>
    <x v="0"/>
    <n v="-6"/>
    <x v="0"/>
    <m/>
    <m/>
    <s v="Closed"/>
    <x v="0"/>
    <s v="NA"/>
    <n v="17"/>
    <d v="2026-02-27T09:58:35"/>
    <n v="1"/>
    <m/>
  </r>
  <r>
    <x v="0"/>
    <s v="0051035589"/>
    <s v="000210"/>
    <s v="0051035589-000210"/>
    <x v="130"/>
    <x v="98"/>
    <d v="2026-02-25T00:00:00"/>
    <s v="ALT"/>
    <s v="VHL"/>
    <x v="748"/>
    <x v="0"/>
    <x v="1"/>
    <s v="ANSI 49"/>
    <d v="2026-06-24T00:00:00"/>
    <n v="5"/>
    <d v="2026-03-02T00:00:00"/>
    <d v="2026-03-12T00:00:00"/>
    <d v="2026-03-09T00:00:00"/>
    <b v="0"/>
    <x v="15"/>
    <n v="10"/>
    <n v="9"/>
    <n v="6"/>
    <x v="16"/>
    <s v="ON TIME"/>
    <x v="2"/>
    <x v="1"/>
    <m/>
    <x v="0"/>
    <n v="2"/>
    <x v="1"/>
    <m/>
    <m/>
    <s v="Closed"/>
    <x v="1"/>
    <s v="NA"/>
    <n v="16"/>
    <d v="2026-03-12T09:58:35"/>
    <n v="0.94117647058823528"/>
    <m/>
  </r>
  <r>
    <x v="0"/>
    <s v="0051536680"/>
    <s v="000120"/>
    <s v="0051536680-000120"/>
    <x v="55"/>
    <x v="106"/>
    <m/>
    <s v="OAL"/>
    <s v="CML"/>
    <x v="749"/>
    <x v="1"/>
    <x v="0"/>
    <s v="ANSI 49"/>
    <d v="2026-06-15T00:00:00"/>
    <n v="12"/>
    <d v="2026-02-26T00:00:00"/>
    <d v="2026-03-09T00:00:00"/>
    <d v="2026-03-04T00:00:00"/>
    <b v="0"/>
    <x v="14"/>
    <n v="10"/>
    <n v="8"/>
    <n v="5"/>
    <x v="16"/>
    <s v="ON TIME"/>
    <x v="2"/>
    <x v="0"/>
    <m/>
    <x v="0"/>
    <n v="-8"/>
    <x v="0"/>
    <m/>
    <m/>
    <s v="Closed"/>
    <x v="0"/>
    <s v="NA"/>
    <n v="18"/>
    <d v="2026-03-12T02:21:19"/>
    <n v="1"/>
    <m/>
  </r>
  <r>
    <x v="0"/>
    <s v="0051631924"/>
    <s v="000020"/>
    <s v="0051631924-000020"/>
    <x v="133"/>
    <x v="106"/>
    <d v="2026-03-09T00:00:00"/>
    <s v="DMA"/>
    <s v="GHT"/>
    <x v="750"/>
    <x v="0"/>
    <x v="0"/>
    <s v="ANSI 49"/>
    <d v="2026-06-30T00:00:00"/>
    <n v="13"/>
    <d v="2026-02-25T00:00:00"/>
    <d v="2026-03-04T00:00:00"/>
    <d v="2026-03-04T00:00:00"/>
    <b v="0"/>
    <x v="14"/>
    <n v="10"/>
    <n v="6"/>
    <n v="6"/>
    <x v="9"/>
    <s v="ON TIME"/>
    <x v="2"/>
    <x v="0"/>
    <m/>
    <x v="0"/>
    <n v="-8"/>
    <x v="0"/>
    <m/>
    <m/>
    <s v="Closed"/>
    <x v="0"/>
    <s v="NA"/>
    <n v="18"/>
    <d v="2026-03-07T02:21:19"/>
    <n v="1"/>
    <m/>
  </r>
  <r>
    <x v="0"/>
    <s v="_x000a_0051829783"/>
    <s v="000010"/>
    <s v="_x000a_0051829783-000010"/>
    <x v="129"/>
    <x v="106"/>
    <d v="2026-03-06T00:00:00"/>
    <s v="JAM"/>
    <s v="IJF"/>
    <x v="751"/>
    <x v="0"/>
    <x v="1"/>
    <s v="ANSI 49"/>
    <d v="2026-07-24T00:00:00"/>
    <n v="21"/>
    <d v="2026-02-13T00:00:00"/>
    <d v="2026-02-26T00:00:00"/>
    <d v="2026-03-18T00:00:00"/>
    <b v="0"/>
    <x v="14"/>
    <n v="10"/>
    <n v="10"/>
    <n v="24"/>
    <x v="20"/>
    <s v="LATE"/>
    <x v="0"/>
    <x v="0"/>
    <m/>
    <x v="0"/>
    <n v="4"/>
    <x v="1"/>
    <m/>
    <m/>
    <s v="Closed"/>
    <x v="1"/>
    <s v="ABIGAIL ESTRELLO ORTIZ"/>
    <n v="17"/>
    <d v="2026-02-26T09:58:35"/>
    <n v="1"/>
    <m/>
  </r>
  <r>
    <x v="0"/>
    <s v="0051095105"/>
    <s v="000400"/>
    <s v="0051095105-000400"/>
    <x v="72"/>
    <x v="67"/>
    <m/>
    <s v="JAM"/>
    <s v="LDT"/>
    <x v="752"/>
    <x v="0"/>
    <x v="1"/>
    <s v="ANSI 49"/>
    <d v="2026-02-20T00:00:00"/>
    <n v="-52"/>
    <d v="2026-02-18T00:00:00"/>
    <d v="2026-03-02T00:00:00"/>
    <d v="2026-02-26T00:00:00"/>
    <b v="0"/>
    <x v="14"/>
    <n v="10"/>
    <n v="9"/>
    <n v="7"/>
    <x v="5"/>
    <s v="ON TIME"/>
    <x v="2"/>
    <x v="1"/>
    <m/>
    <x v="0"/>
    <n v="54"/>
    <x v="1"/>
    <m/>
    <m/>
    <s v="Closed"/>
    <x v="1"/>
    <s v="NA"/>
    <n v="17"/>
    <d v="2026-03-02T09:58:35"/>
    <n v="1"/>
    <m/>
  </r>
  <r>
    <x v="0"/>
    <s v="0051787649"/>
    <s v="000050"/>
    <s v="0051787649-000050"/>
    <x v="118"/>
    <x v="99"/>
    <m/>
    <s v="SMA"/>
    <s v="VHL"/>
    <x v="753"/>
    <x v="1"/>
    <x v="0"/>
    <s v="ANSI 49"/>
    <d v="2026-06-11T00:00:00"/>
    <n v="-8"/>
    <d v="2026-02-18T00:00:00"/>
    <d v="2026-02-25T00:00:00"/>
    <d v="2026-02-20T00:00:00"/>
    <b v="0"/>
    <x v="14"/>
    <n v="10"/>
    <n v="6"/>
    <n v="3"/>
    <x v="16"/>
    <s v="ON TIME"/>
    <x v="2"/>
    <x v="1"/>
    <m/>
    <x v="0"/>
    <n v="10"/>
    <x v="1"/>
    <m/>
    <m/>
    <s v="Closed"/>
    <x v="1"/>
    <s v="NA"/>
    <n v="18"/>
    <d v="2026-02-28T02:21:19"/>
    <n v="1"/>
    <m/>
  </r>
  <r>
    <x v="0"/>
    <s v="0051818022"/>
    <s v="000010"/>
    <s v="0051818022-000010"/>
    <x v="122"/>
    <x v="89"/>
    <d v="2026-02-20T00:00:00"/>
    <s v="ANV"/>
    <s v="RCI"/>
    <x v="754"/>
    <x v="0"/>
    <x v="1"/>
    <s v="ANSI 49"/>
    <d v="2026-06-22T00:00:00"/>
    <n v="8"/>
    <d v="2026-02-18T00:00:00"/>
    <d v="2026-03-02T00:00:00"/>
    <d v="2026-02-27T00:00:00"/>
    <b v="0"/>
    <x v="14"/>
    <n v="10"/>
    <n v="9"/>
    <n v="8"/>
    <x v="11"/>
    <s v="ON TIME"/>
    <x v="2"/>
    <x v="1"/>
    <m/>
    <x v="0"/>
    <n v="1"/>
    <x v="1"/>
    <m/>
    <m/>
    <s v="Closed"/>
    <x v="1"/>
    <s v="NA"/>
    <n v="17"/>
    <d v="2026-03-02T09:58:35"/>
    <n v="1"/>
    <m/>
  </r>
  <r>
    <x v="0"/>
    <s v="0051212323"/>
    <s v="010190"/>
    <s v="0051212323-010190"/>
    <x v="126"/>
    <x v="105"/>
    <d v="2026-02-23T00:00:00"/>
    <s v="NOH"/>
    <s v="OAL"/>
    <x v="755"/>
    <x v="1"/>
    <x v="0"/>
    <s v="ANSI 49"/>
    <d v="2026-08-10T00:00:00"/>
    <n v="9"/>
    <d v="2026-02-18T00:00:00"/>
    <d v="2026-02-26T00:00:00"/>
    <d v="2026-02-26T00:00:00"/>
    <b v="0"/>
    <x v="14"/>
    <n v="10"/>
    <n v="7"/>
    <n v="7"/>
    <x v="9"/>
    <s v="ON TIME"/>
    <x v="2"/>
    <x v="1"/>
    <m/>
    <x v="0"/>
    <n v="-3"/>
    <x v="0"/>
    <m/>
    <m/>
    <s v="Closed"/>
    <x v="0"/>
    <s v="NA"/>
    <n v="18"/>
    <d v="2026-03-01T02:21:19"/>
    <n v="1"/>
    <m/>
  </r>
  <r>
    <x v="0"/>
    <s v="0051212323"/>
    <s v="010190"/>
    <s v="0051212323-010190"/>
    <x v="126"/>
    <x v="105"/>
    <d v="2026-02-23T00:00:00"/>
    <s v="NOH"/>
    <s v="OAL"/>
    <x v="756"/>
    <x v="1"/>
    <x v="0"/>
    <s v="ANSI 49"/>
    <d v="2026-08-10T00:00:00"/>
    <n v="9"/>
    <d v="2026-02-18T00:00:00"/>
    <d v="2026-02-26T00:00:00"/>
    <d v="2026-02-26T00:00:00"/>
    <b v="0"/>
    <x v="14"/>
    <n v="10"/>
    <n v="7"/>
    <n v="7"/>
    <x v="9"/>
    <s v="ON TIME"/>
    <x v="2"/>
    <x v="1"/>
    <m/>
    <x v="0"/>
    <n v="-3"/>
    <x v="0"/>
    <m/>
    <m/>
    <s v="Closed"/>
    <x v="0"/>
    <s v="NA"/>
    <n v="18"/>
    <d v="2026-03-01T02:21:19"/>
    <n v="1"/>
    <m/>
  </r>
  <r>
    <x v="0"/>
    <s v="0051212323"/>
    <s v="010190"/>
    <s v="0051212323-010190"/>
    <x v="126"/>
    <x v="105"/>
    <d v="2026-02-23T00:00:00"/>
    <s v="NOH"/>
    <s v="OAL"/>
    <x v="757"/>
    <x v="1"/>
    <x v="0"/>
    <s v="ANSI 49"/>
    <d v="2026-08-10T00:00:00"/>
    <n v="9"/>
    <d v="2026-02-18T00:00:00"/>
    <d v="2026-02-26T00:00:00"/>
    <d v="2026-02-26T00:00:00"/>
    <b v="0"/>
    <x v="14"/>
    <n v="10"/>
    <n v="7"/>
    <n v="7"/>
    <x v="9"/>
    <s v="ON TIME"/>
    <x v="2"/>
    <x v="1"/>
    <m/>
    <x v="0"/>
    <n v="-3"/>
    <x v="0"/>
    <m/>
    <m/>
    <s v="Closed"/>
    <x v="0"/>
    <s v="NA"/>
    <n v="18"/>
    <d v="2026-03-01T02:21:19"/>
    <n v="1"/>
    <m/>
  </r>
  <r>
    <x v="0"/>
    <s v="0051272041"/>
    <s v="002870"/>
    <s v="0051272041-002870"/>
    <x v="106"/>
    <x v="98"/>
    <d v="2026-02-27T00:00:00"/>
    <s v="UFA"/>
    <s v="GHT"/>
    <x v="758"/>
    <x v="1"/>
    <x v="0"/>
    <s v="ANSI 49"/>
    <d v="2026-06-18T00:00:00"/>
    <n v="13"/>
    <d v="2026-02-18T00:00:00"/>
    <d v="2026-02-26T00:00:00"/>
    <d v="2026-02-26T00:00:00"/>
    <b v="0"/>
    <x v="14"/>
    <n v="10"/>
    <n v="7"/>
    <n v="7"/>
    <x v="9"/>
    <s v="ON TIME"/>
    <x v="2"/>
    <x v="0"/>
    <m/>
    <x v="0"/>
    <n v="-7"/>
    <x v="0"/>
    <m/>
    <m/>
    <s v="Closed"/>
    <x v="0"/>
    <s v="NA"/>
    <n v="18"/>
    <d v="2026-03-01T02:21:19"/>
    <n v="1"/>
    <m/>
  </r>
  <r>
    <x v="0"/>
    <s v="0051733188"/>
    <s v="000410"/>
    <s v="0051733188-000410"/>
    <x v="134"/>
    <x v="108"/>
    <d v="2026-03-04T00:00:00"/>
    <s v="DEB"/>
    <s v="HUP"/>
    <x v="759"/>
    <x v="1"/>
    <x v="0"/>
    <s v="ANSI 49"/>
    <d v="2026-07-09T00:00:00"/>
    <n v="15"/>
    <d v="2026-02-19T00:00:00"/>
    <d v="2026-02-26T00:00:00"/>
    <d v="2026-02-27T00:00:00"/>
    <b v="0"/>
    <x v="14"/>
    <n v="10"/>
    <n v="6"/>
    <n v="7"/>
    <x v="6"/>
    <s v="LATE"/>
    <x v="0"/>
    <x v="0"/>
    <m/>
    <x v="0"/>
    <n v="-9"/>
    <x v="0"/>
    <m/>
    <m/>
    <s v="Closed"/>
    <x v="0"/>
    <s v="NA"/>
    <n v="18"/>
    <d v="2026-03-01T02:21:19"/>
    <n v="1"/>
    <m/>
  </r>
  <r>
    <x v="0"/>
    <s v="0051735870"/>
    <s v="000010"/>
    <s v="0051735870-000010"/>
    <x v="124"/>
    <x v="103"/>
    <d v="2026-03-17T00:00:00"/>
    <s v="JAM"/>
    <s v="RCI"/>
    <x v="760"/>
    <x v="0"/>
    <x v="0"/>
    <s v="ANSI 49"/>
    <d v="2026-07-24T00:00:00"/>
    <n v="30"/>
    <d v="2026-02-17T00:00:00"/>
    <d v="2026-02-24T00:00:00"/>
    <m/>
    <b v="1"/>
    <x v="14"/>
    <n v="10"/>
    <n v="6"/>
    <n v="23"/>
    <x v="18"/>
    <s v="LATE"/>
    <x v="1"/>
    <x v="0"/>
    <m/>
    <x v="2"/>
    <n v="-8"/>
    <x v="0"/>
    <m/>
    <m/>
    <n v="-8"/>
    <x v="0"/>
    <s v="VICTOR HUGO RODRIGEZ TORRALBA"/>
    <n v="12"/>
    <d v="2026-02-27T02:21:19"/>
    <n v="0.66666666666666663"/>
    <m/>
  </r>
  <r>
    <x v="0"/>
    <s v="0051631924"/>
    <s v="000020"/>
    <s v="0051631924-000020"/>
    <x v="133"/>
    <x v="106"/>
    <d v="2026-03-09T00:00:00"/>
    <s v="DMA"/>
    <s v="GHT"/>
    <x v="761"/>
    <x v="1"/>
    <x v="0"/>
    <s v="ANSI 49"/>
    <d v="2026-06-30T00:00:00"/>
    <n v="10"/>
    <d v="2026-03-02T00:00:00"/>
    <d v="2026-03-10T00:00:00"/>
    <d v="2026-03-09T00:00:00"/>
    <b v="0"/>
    <x v="15"/>
    <n v="10"/>
    <n v="7"/>
    <n v="6"/>
    <x v="11"/>
    <s v="ON TIME"/>
    <x v="2"/>
    <x v="0"/>
    <m/>
    <x v="0"/>
    <n v="-5"/>
    <x v="0"/>
    <m/>
    <m/>
    <s v="Closed"/>
    <x v="0"/>
    <s v="NA"/>
    <n v="18"/>
    <d v="2026-03-13T02:21:19"/>
    <n v="1"/>
    <m/>
  </r>
  <r>
    <x v="0"/>
    <s v="0051631924"/>
    <s v="000020"/>
    <s v="0051631924-000020"/>
    <x v="133"/>
    <x v="106"/>
    <d v="2026-03-09T00:00:00"/>
    <s v="DMA"/>
    <s v="GHT"/>
    <x v="762"/>
    <x v="0"/>
    <x v="0"/>
    <s v="ANSI 49"/>
    <d v="2026-06-30T00:00:00"/>
    <n v="10"/>
    <d v="2026-03-02T00:00:00"/>
    <d v="2026-03-10T00:00:00"/>
    <d v="2026-03-05T00:00:00"/>
    <b v="0"/>
    <x v="15"/>
    <n v="10"/>
    <n v="7"/>
    <n v="4"/>
    <x v="16"/>
    <s v="ON TIME"/>
    <x v="2"/>
    <x v="0"/>
    <m/>
    <x v="0"/>
    <n v="-7"/>
    <x v="0"/>
    <m/>
    <m/>
    <s v="Closed"/>
    <x v="0"/>
    <s v="NA"/>
    <n v="18"/>
    <d v="2026-03-13T02:21:19"/>
    <n v="1"/>
    <m/>
  </r>
  <r>
    <x v="0"/>
    <s v="0051829783"/>
    <s v="000010"/>
    <s v="0051829783-000010"/>
    <x v="129"/>
    <x v="106"/>
    <d v="2026-03-06T00:00:00"/>
    <s v="JAM"/>
    <s v="IJF"/>
    <x v="763"/>
    <x v="0"/>
    <x v="1"/>
    <s v="ANSI 49"/>
    <d v="2026-07-24T00:00:00"/>
    <n v="21"/>
    <d v="2026-02-13T00:00:00"/>
    <d v="2026-02-26T00:00:00"/>
    <d v="2026-03-04T00:00:00"/>
    <b v="0"/>
    <x v="14"/>
    <n v="10"/>
    <n v="10"/>
    <n v="14"/>
    <x v="1"/>
    <s v="LATE"/>
    <x v="0"/>
    <x v="0"/>
    <m/>
    <x v="0"/>
    <n v="-8"/>
    <x v="0"/>
    <m/>
    <m/>
    <s v="Closed"/>
    <x v="0"/>
    <s v="NA"/>
    <n v="17"/>
    <d v="2026-02-26T09:58:35"/>
    <n v="1"/>
    <m/>
  </r>
  <r>
    <x v="0"/>
    <s v="0051829783"/>
    <s v="000010"/>
    <s v="0051829783-000010"/>
    <x v="129"/>
    <x v="106"/>
    <d v="2026-03-06T00:00:00"/>
    <s v="NOH"/>
    <s v="IFJ"/>
    <x v="764"/>
    <x v="0"/>
    <x v="1"/>
    <s v="ANSI 49"/>
    <d v="2026-06-26T00:00:00"/>
    <n v="19"/>
    <d v="2026-02-17T00:00:00"/>
    <d v="2026-02-27T00:00:00"/>
    <d v="2026-03-02T00:00:00"/>
    <b v="0"/>
    <x v="14"/>
    <n v="10"/>
    <n v="9"/>
    <n v="10"/>
    <x v="6"/>
    <s v="LATE"/>
    <x v="0"/>
    <x v="0"/>
    <m/>
    <x v="0"/>
    <n v="-10"/>
    <x v="0"/>
    <m/>
    <m/>
    <s v="Closed"/>
    <x v="0"/>
    <s v="NA"/>
    <n v="17"/>
    <d v="2026-02-27T09:58:35"/>
    <n v="1"/>
    <m/>
  </r>
  <r>
    <x v="0"/>
    <s v="0051733188"/>
    <s v="000490"/>
    <s v="0051733188-000490"/>
    <x v="134"/>
    <x v="109"/>
    <d v="2026-03-10T00:00:00"/>
    <s v="DEV"/>
    <s v="KGF"/>
    <x v="765"/>
    <x v="1"/>
    <x v="1"/>
    <s v="ANSI 49"/>
    <d v="2026-06-23T00:00:00"/>
    <n v="18"/>
    <d v="2026-02-20T00:00:00"/>
    <d v="2026-02-04T00:00:00"/>
    <d v="2026-03-02T00:00:00"/>
    <b v="0"/>
    <x v="14"/>
    <n v="10"/>
    <n v="-13"/>
    <n v="7"/>
    <x v="35"/>
    <s v="LATE"/>
    <x v="1"/>
    <x v="0"/>
    <m/>
    <x v="0"/>
    <n v="-12"/>
    <x v="0"/>
    <m/>
    <m/>
    <s v="Closed"/>
    <x v="0"/>
    <s v="NA"/>
    <n v="17"/>
    <d v="2026-02-04T09:58:35"/>
    <n v="1"/>
    <m/>
  </r>
  <r>
    <x v="0"/>
    <s v="0051829783"/>
    <s v="000010"/>
    <s v="0051829783-000010"/>
    <x v="129"/>
    <x v="106"/>
    <d v="2026-03-06T00:00:00"/>
    <s v="NOH"/>
    <s v="IFJ"/>
    <x v="766"/>
    <x v="0"/>
    <x v="0"/>
    <s v="ANSI 49"/>
    <d v="2026-06-26T00:00:00"/>
    <n v="19"/>
    <d v="2026-02-17T00:00:00"/>
    <d v="2026-02-24T00:00:00"/>
    <d v="2026-03-03T00:00:00"/>
    <b v="0"/>
    <x v="14"/>
    <n v="10"/>
    <n v="6"/>
    <n v="11"/>
    <x v="3"/>
    <s v="LATE"/>
    <x v="0"/>
    <x v="0"/>
    <m/>
    <x v="0"/>
    <n v="-9"/>
    <x v="0"/>
    <m/>
    <m/>
    <s v="Closed"/>
    <x v="0"/>
    <s v="NA"/>
    <n v="18"/>
    <d v="2026-02-27T02:21:19"/>
    <n v="1"/>
    <m/>
  </r>
  <r>
    <x v="0"/>
    <s v="0051829783"/>
    <s v="000010"/>
    <s v="0051829783-000010"/>
    <x v="129"/>
    <x v="106"/>
    <d v="2026-03-06T00:00:00"/>
    <s v="JAM"/>
    <s v="IJF"/>
    <x v="767"/>
    <x v="1"/>
    <x v="0"/>
    <s v="ANSI 49"/>
    <d v="2026-06-26T00:00:00"/>
    <n v="17"/>
    <d v="2026-02-19T00:00:00"/>
    <d v="2026-02-26T00:00:00"/>
    <d v="2026-03-02T00:00:00"/>
    <b v="0"/>
    <x v="14"/>
    <n v="10"/>
    <n v="6"/>
    <n v="8"/>
    <x v="12"/>
    <s v="LATE"/>
    <x v="0"/>
    <x v="0"/>
    <m/>
    <x v="0"/>
    <n v="-10"/>
    <x v="0"/>
    <m/>
    <m/>
    <s v="Closed"/>
    <x v="0"/>
    <s v="NA"/>
    <n v="18"/>
    <d v="2026-03-01T02:21:19"/>
    <n v="1"/>
    <m/>
  </r>
  <r>
    <x v="0"/>
    <s v="0051735870"/>
    <s v="000010"/>
    <s v="0051735870-000010"/>
    <x v="124"/>
    <x v="103"/>
    <d v="2026-03-17T00:00:00"/>
    <s v="JAM"/>
    <s v="RCI"/>
    <x v="768"/>
    <x v="0"/>
    <x v="0"/>
    <s v="ANSI 49"/>
    <d v="2026-07-24T00:00:00"/>
    <n v="30"/>
    <d v="2026-02-17T00:00:00"/>
    <d v="2026-02-24T00:00:00"/>
    <d v="2026-03-18T00:00:00"/>
    <b v="0"/>
    <x v="14"/>
    <n v="10"/>
    <n v="6"/>
    <n v="22"/>
    <x v="36"/>
    <s v="LATE"/>
    <x v="1"/>
    <x v="0"/>
    <m/>
    <x v="0"/>
    <n v="-9"/>
    <x v="0"/>
    <m/>
    <m/>
    <s v="Closed"/>
    <x v="0"/>
    <s v="JUAN CARLOS MIRANDA"/>
    <n v="18"/>
    <d v="2026-02-27T02:21:19"/>
    <n v="1"/>
    <m/>
  </r>
  <r>
    <x v="0"/>
    <s v="0051829783"/>
    <s v="000010"/>
    <s v="0051829783-000010"/>
    <x v="129"/>
    <x v="106"/>
    <d v="2026-03-06T00:00:00"/>
    <s v="JAM"/>
    <s v="IJF"/>
    <x v="769"/>
    <x v="1"/>
    <x v="0"/>
    <s v="ANSI 49"/>
    <d v="2026-06-26T00:00:00"/>
    <n v="16"/>
    <d v="2026-02-20T00:00:00"/>
    <d v="2026-02-27T00:00:00"/>
    <d v="2026-03-18T00:00:00"/>
    <b v="0"/>
    <x v="14"/>
    <n v="10"/>
    <n v="6"/>
    <n v="19"/>
    <x v="22"/>
    <s v="LATE"/>
    <x v="0"/>
    <x v="0"/>
    <m/>
    <x v="0"/>
    <n v="4"/>
    <x v="1"/>
    <m/>
    <m/>
    <s v="Closed"/>
    <x v="1"/>
    <s v="VICTOR HUGO RODRIGEZ TORRALBA"/>
    <n v="18"/>
    <d v="2026-03-02T02:21:19"/>
    <n v="1"/>
    <m/>
  </r>
  <r>
    <x v="0"/>
    <s v="0051829783"/>
    <s v="000010"/>
    <s v="0051829783-000010"/>
    <x v="129"/>
    <x v="106"/>
    <d v="2026-03-06T00:00:00"/>
    <s v="JAM"/>
    <s v="IJF"/>
    <x v="770"/>
    <x v="1"/>
    <x v="0"/>
    <s v="ANSI 49"/>
    <d v="2026-06-26T00:00:00"/>
    <n v="16"/>
    <d v="2026-02-20T00:00:00"/>
    <d v="2026-02-27T00:00:00"/>
    <d v="2026-03-10T00:00:00"/>
    <b v="0"/>
    <x v="14"/>
    <n v="10"/>
    <n v="6"/>
    <n v="13"/>
    <x v="13"/>
    <s v="LATE"/>
    <x v="0"/>
    <x v="0"/>
    <m/>
    <x v="0"/>
    <n v="-4"/>
    <x v="0"/>
    <m/>
    <m/>
    <s v="Closed"/>
    <x v="0"/>
    <s v="NA"/>
    <n v="18"/>
    <d v="2026-03-02T02:21:19"/>
    <n v="1"/>
    <m/>
  </r>
  <r>
    <x v="0"/>
    <s v="0051829783"/>
    <s v="000010"/>
    <s v="0051829783-000010"/>
    <x v="129"/>
    <x v="106"/>
    <d v="2026-03-06T00:00:00"/>
    <s v="JAM"/>
    <s v="IJF"/>
    <x v="771"/>
    <x v="1"/>
    <x v="1"/>
    <s v="ANSI 49"/>
    <d v="2026-06-26T00:00:00"/>
    <n v="16"/>
    <d v="2026-02-20T00:00:00"/>
    <d v="2026-03-04T00:00:00"/>
    <d v="2026-03-04T00:00:00"/>
    <b v="0"/>
    <x v="14"/>
    <n v="10"/>
    <n v="9"/>
    <n v="9"/>
    <x v="9"/>
    <s v="ON TIME"/>
    <x v="2"/>
    <x v="0"/>
    <m/>
    <x v="0"/>
    <n v="-8"/>
    <x v="0"/>
    <m/>
    <m/>
    <s v="Closed"/>
    <x v="0"/>
    <s v="NA"/>
    <n v="17"/>
    <d v="2026-03-04T09:58:35"/>
    <n v="1"/>
    <m/>
  </r>
  <r>
    <x v="0"/>
    <s v="0051733188"/>
    <s v="000490"/>
    <s v="0051733188-000490"/>
    <x v="134"/>
    <x v="110"/>
    <d v="2026-03-11T00:00:00"/>
    <s v="DEV"/>
    <s v="KGF"/>
    <x v="772"/>
    <x v="1"/>
    <x v="0"/>
    <s v="ANSI 49"/>
    <d v="2026-06-23T00:00:00"/>
    <n v="17"/>
    <d v="2026-02-20T00:00:00"/>
    <d v="2026-02-27T00:00:00"/>
    <d v="2026-03-12T00:00:00"/>
    <b v="0"/>
    <x v="14"/>
    <n v="10"/>
    <n v="6"/>
    <n v="15"/>
    <x v="17"/>
    <s v="LATE"/>
    <x v="0"/>
    <x v="0"/>
    <m/>
    <x v="0"/>
    <n v="-3"/>
    <x v="0"/>
    <m/>
    <m/>
    <s v="Closed"/>
    <x v="0"/>
    <s v="NA"/>
    <n v="18"/>
    <d v="2026-03-02T02:21:19"/>
    <n v="1"/>
    <m/>
  </r>
  <r>
    <x v="0"/>
    <s v="0051829783"/>
    <s v="000010"/>
    <s v="0051829783-000010"/>
    <x v="129"/>
    <x v="106"/>
    <d v="2026-03-06T00:00:00"/>
    <s v="JAM"/>
    <s v="IJF"/>
    <x v="773"/>
    <x v="1"/>
    <x v="0"/>
    <s v="ANSI 49"/>
    <d v="2026-06-26T00:00:00"/>
    <n v="16"/>
    <d v="2026-02-20T00:00:00"/>
    <d v="2026-02-27T00:00:00"/>
    <d v="2026-03-06T00:00:00"/>
    <b v="0"/>
    <x v="14"/>
    <n v="10"/>
    <n v="6"/>
    <n v="11"/>
    <x v="3"/>
    <s v="LATE"/>
    <x v="0"/>
    <x v="0"/>
    <m/>
    <x v="0"/>
    <n v="-6"/>
    <x v="0"/>
    <m/>
    <m/>
    <s v="Closed"/>
    <x v="0"/>
    <s v="NA"/>
    <n v="18"/>
    <d v="2026-03-02T02:21:19"/>
    <n v="1"/>
    <m/>
  </r>
  <r>
    <x v="0"/>
    <s v="0050365418"/>
    <s v="000070"/>
    <s v="0050365418-000070"/>
    <x v="135"/>
    <x v="111"/>
    <m/>
    <s v="DRV"/>
    <s v="DP"/>
    <x v="774"/>
    <x v="0"/>
    <x v="1"/>
    <s v="ANSI 49"/>
    <d v="2026-08-08T00:00:00"/>
    <n v="-7"/>
    <d v="2026-02-24T00:00:00"/>
    <d v="2026-03-06T00:00:00"/>
    <d v="2026-03-27T00:00:00"/>
    <b v="0"/>
    <x v="14"/>
    <n v="10"/>
    <n v="9"/>
    <n v="24"/>
    <x v="27"/>
    <s v="LATE"/>
    <x v="1"/>
    <x v="1"/>
    <m/>
    <x v="0"/>
    <n v="30"/>
    <x v="1"/>
    <m/>
    <m/>
    <s v="Closed"/>
    <x v="1"/>
    <s v="NA"/>
    <n v="17"/>
    <d v="2026-03-06T09:58:35"/>
    <n v="1"/>
    <m/>
  </r>
  <r>
    <x v="0"/>
    <s v="0051829783"/>
    <s v="000010"/>
    <s v="0051829783-000010"/>
    <x v="129"/>
    <x v="106"/>
    <d v="2026-03-06T00:00:00"/>
    <s v="JAM"/>
    <s v="IJF"/>
    <x v="775"/>
    <x v="1"/>
    <x v="0"/>
    <s v="ANSI 49"/>
    <d v="2026-06-26T00:00:00"/>
    <n v="15"/>
    <d v="2026-02-23T00:00:00"/>
    <d v="2026-03-04T00:00:00"/>
    <d v="2026-03-03T00:00:00"/>
    <b v="0"/>
    <x v="14"/>
    <n v="10"/>
    <n v="8"/>
    <n v="7"/>
    <x v="11"/>
    <s v="ON TIME"/>
    <x v="2"/>
    <x v="0"/>
    <m/>
    <x v="0"/>
    <n v="-9"/>
    <x v="0"/>
    <m/>
    <m/>
    <s v="Closed"/>
    <x v="0"/>
    <s v="NA"/>
    <n v="18"/>
    <d v="2026-03-07T02:21:19"/>
    <n v="1"/>
    <m/>
  </r>
  <r>
    <x v="0"/>
    <s v="0051735870"/>
    <s v="000010&amp;20"/>
    <s v="0051735870-000010&amp;20"/>
    <x v="124"/>
    <x v="103"/>
    <d v="2026-03-17T00:00:00"/>
    <s v="JAM"/>
    <s v="RCI"/>
    <x v="776"/>
    <x v="0"/>
    <x v="0"/>
    <s v="ANSI 49"/>
    <d v="2026-07-24T00:00:00"/>
    <n v="25"/>
    <d v="2026-02-24T00:00:00"/>
    <d v="2026-03-04T00:00:00"/>
    <d v="2026-02-25T00:00:00"/>
    <b v="0"/>
    <x v="14"/>
    <n v="10"/>
    <n v="7"/>
    <n v="2"/>
    <x v="23"/>
    <s v="ON TIME"/>
    <x v="2"/>
    <x v="0"/>
    <m/>
    <x v="1"/>
    <n v="-24"/>
    <x v="0"/>
    <m/>
    <m/>
    <s v="Cancelled"/>
    <x v="0"/>
    <s v="NA"/>
    <n v="0"/>
    <d v="2026-03-07T02:21:19"/>
    <n v="0"/>
    <m/>
  </r>
  <r>
    <x v="0"/>
    <s v="0051829783"/>
    <s v="000010"/>
    <s v="0051829783-000010"/>
    <x v="129"/>
    <x v="106"/>
    <d v="2026-03-06T00:00:00"/>
    <s v="JAM"/>
    <s v="IJF"/>
    <x v="777"/>
    <x v="1"/>
    <x v="0"/>
    <s v="ANSI 49"/>
    <d v="2026-06-26T00:00:00"/>
    <n v="16"/>
    <d v="2026-02-20T00:00:00"/>
    <d v="2026-03-02T00:00:00"/>
    <d v="2026-03-06T00:00:00"/>
    <b v="0"/>
    <x v="14"/>
    <n v="10"/>
    <n v="7"/>
    <n v="11"/>
    <x v="1"/>
    <s v="LATE"/>
    <x v="0"/>
    <x v="0"/>
    <m/>
    <x v="0"/>
    <n v="-6"/>
    <x v="0"/>
    <m/>
    <m/>
    <s v="Closed"/>
    <x v="0"/>
    <s v="NA"/>
    <n v="18"/>
    <d v="2026-03-05T02:21:19"/>
    <n v="1"/>
    <m/>
  </r>
  <r>
    <x v="0"/>
    <s v="0051275480"/>
    <s v="000950"/>
    <s v="0051275480-000950"/>
    <x v="88"/>
    <x v="73"/>
    <d v="2025-12-18T00:00:00"/>
    <s v="OAC"/>
    <s v="RCI"/>
    <x v="778"/>
    <x v="1"/>
    <x v="2"/>
    <s v="ANSI 49"/>
    <d v="2026-03-13T00:00:00"/>
    <n v="-42"/>
    <d v="2026-02-24T00:00:00"/>
    <d v="2026-02-27T00:00:00"/>
    <d v="2026-02-27T00:00:00"/>
    <b v="0"/>
    <x v="14"/>
    <n v="10"/>
    <n v="4"/>
    <n v="4"/>
    <x v="9"/>
    <s v="ON TIME"/>
    <x v="2"/>
    <x v="1"/>
    <m/>
    <x v="0"/>
    <n v="44"/>
    <x v="1"/>
    <m/>
    <m/>
    <s v="Closed"/>
    <x v="1"/>
    <s v="NA"/>
    <n v="11"/>
    <d v="2026-02-27T09:58:35"/>
    <n v="1"/>
    <m/>
  </r>
  <r>
    <x v="0"/>
    <s v="0051829783"/>
    <s v="000010"/>
    <s v="0051829783-000010"/>
    <x v="129"/>
    <x v="106"/>
    <d v="2026-03-06T00:00:00"/>
    <s v="JAM"/>
    <s v="IJF"/>
    <x v="779"/>
    <x v="1"/>
    <x v="0"/>
    <s v="ANSI 49"/>
    <d v="2026-06-26T00:00:00"/>
    <n v="15"/>
    <d v="2026-02-23T00:00:00"/>
    <d v="2026-03-03T00:00:00"/>
    <m/>
    <b v="1"/>
    <x v="14"/>
    <n v="10"/>
    <n v="7"/>
    <n v="19"/>
    <x v="26"/>
    <s v="LATE"/>
    <x v="0"/>
    <x v="0"/>
    <m/>
    <x v="2"/>
    <n v="5"/>
    <x v="1"/>
    <m/>
    <m/>
    <n v="5"/>
    <x v="1"/>
    <s v="JUAN CARLOS MIRANDA"/>
    <n v="17"/>
    <d v="2026-03-06T02:21:19"/>
    <n v="0.94444444444444442"/>
    <m/>
  </r>
  <r>
    <x v="0"/>
    <s v="0051829783"/>
    <s v="000010"/>
    <s v="0051829783-000010"/>
    <x v="129"/>
    <x v="106"/>
    <d v="2026-03-06T00:00:00"/>
    <s v="JAM"/>
    <s v="IJF"/>
    <x v="780"/>
    <x v="1"/>
    <x v="0"/>
    <s v="ANSI 49"/>
    <d v="2026-07-06T00:00:00"/>
    <n v="12"/>
    <d v="2026-02-26T00:00:00"/>
    <d v="2026-03-05T00:00:00"/>
    <d v="2026-03-03T00:00:00"/>
    <b v="0"/>
    <x v="14"/>
    <n v="10"/>
    <n v="6"/>
    <n v="4"/>
    <x v="5"/>
    <s v="ON TIME"/>
    <x v="2"/>
    <x v="0"/>
    <m/>
    <x v="0"/>
    <n v="-9"/>
    <x v="0"/>
    <m/>
    <m/>
    <s v="Closed"/>
    <x v="0"/>
    <s v="NA"/>
    <n v="18"/>
    <d v="2026-03-08T02:21:19"/>
    <n v="1"/>
    <m/>
  </r>
  <r>
    <x v="0"/>
    <s v="0050384250"/>
    <s v="001230"/>
    <s v="0050384250-001230"/>
    <x v="69"/>
    <x v="106"/>
    <d v="2026-02-06T00:00:00"/>
    <s v="ASP"/>
    <s v="VHL"/>
    <x v="781"/>
    <x v="1"/>
    <x v="0"/>
    <s v="ANSI 49"/>
    <d v="2026-07-30T00:00:00"/>
    <n v="13"/>
    <d v="2026-02-25T00:00:00"/>
    <d v="2026-03-05T00:00:00"/>
    <m/>
    <b v="1"/>
    <x v="14"/>
    <n v="10"/>
    <n v="7"/>
    <n v="17"/>
    <x v="0"/>
    <s v="LATE"/>
    <x v="0"/>
    <x v="0"/>
    <m/>
    <x v="2"/>
    <n v="5"/>
    <x v="1"/>
    <m/>
    <m/>
    <n v="5"/>
    <x v="1"/>
    <s v="VICTOR HUGO RODRIGEZ TORRALBA"/>
    <n v="12"/>
    <d v="2026-03-08T02:21:19"/>
    <n v="0.66666666666666663"/>
    <m/>
  </r>
  <r>
    <x v="0"/>
    <s v="0051829783"/>
    <s v="000010"/>
    <s v="0051829783-000010"/>
    <x v="129"/>
    <x v="106"/>
    <d v="2026-03-06T00:00:00"/>
    <s v="JAM"/>
    <s v="IJF"/>
    <x v="782"/>
    <x v="0"/>
    <x v="1"/>
    <s v="ANSI 49"/>
    <d v="2026-06-26T00:00:00"/>
    <n v="14"/>
    <d v="2026-02-24T00:00:00"/>
    <d v="2026-03-10T00:00:00"/>
    <d v="2026-03-05T00:00:00"/>
    <b v="0"/>
    <x v="14"/>
    <n v="10"/>
    <n v="11"/>
    <n v="8"/>
    <x v="16"/>
    <s v="ON TIME"/>
    <x v="2"/>
    <x v="0"/>
    <m/>
    <x v="0"/>
    <n v="-7"/>
    <x v="0"/>
    <m/>
    <m/>
    <s v="Closed"/>
    <x v="0"/>
    <s v="NA"/>
    <n v="17"/>
    <d v="2026-03-10T09:58:35"/>
    <n v="1"/>
    <m/>
  </r>
  <r>
    <x v="0"/>
    <s v="0051829783"/>
    <s v="000010"/>
    <s v="0051829783-000010"/>
    <x v="129"/>
    <x v="106"/>
    <d v="2026-03-06T00:00:00"/>
    <s v="JAM"/>
    <s v="IJF"/>
    <x v="783"/>
    <x v="1"/>
    <x v="0"/>
    <s v="ANSI 49"/>
    <d v="2026-06-26T00:00:00"/>
    <n v="13"/>
    <d v="2026-02-25T00:00:00"/>
    <d v="2026-03-04T00:00:00"/>
    <m/>
    <b v="1"/>
    <x v="14"/>
    <n v="10"/>
    <n v="6"/>
    <n v="17"/>
    <x v="21"/>
    <s v="LATE"/>
    <x v="0"/>
    <x v="0"/>
    <m/>
    <x v="2"/>
    <n v="5"/>
    <x v="1"/>
    <m/>
    <m/>
    <n v="5"/>
    <x v="1"/>
    <s v="VICTOR HUGO RODRIGEZ TORRALBA"/>
    <n v="12"/>
    <d v="2026-03-07T02:21:19"/>
    <n v="0.66666666666666663"/>
    <m/>
  </r>
  <r>
    <x v="0"/>
    <s v="0051829783"/>
    <s v="000010"/>
    <s v="0051829783-000010"/>
    <x v="129"/>
    <x v="106"/>
    <d v="2026-03-06T00:00:00"/>
    <s v="JAM"/>
    <s v="IJF"/>
    <x v="784"/>
    <x v="1"/>
    <x v="0"/>
    <s v="ANSI 49"/>
    <d v="2026-06-26T00:00:00"/>
    <n v="15"/>
    <d v="2026-02-23T00:00:00"/>
    <d v="2026-03-04T00:00:00"/>
    <d v="2026-03-09T00:00:00"/>
    <b v="0"/>
    <x v="14"/>
    <n v="10"/>
    <n v="8"/>
    <n v="11"/>
    <x v="4"/>
    <s v="LATE"/>
    <x v="0"/>
    <x v="0"/>
    <m/>
    <x v="0"/>
    <n v="-5"/>
    <x v="0"/>
    <m/>
    <m/>
    <s v="Closed"/>
    <x v="0"/>
    <s v="NA"/>
    <n v="18"/>
    <d v="2026-03-07T02:21:19"/>
    <n v="1"/>
    <m/>
  </r>
  <r>
    <x v="0"/>
    <s v="0051733188"/>
    <s v="000490"/>
    <s v="0051733188-000490"/>
    <x v="134"/>
    <x v="109"/>
    <d v="2026-03-10T00:00:00"/>
    <s v="DEV"/>
    <s v="KGF"/>
    <x v="785"/>
    <x v="1"/>
    <x v="0"/>
    <s v="ANSI 49"/>
    <d v="2026-06-23T00:00:00"/>
    <n v="18"/>
    <d v="2026-02-20T00:00:00"/>
    <d v="2026-02-27T00:00:00"/>
    <d v="2026-03-03T00:00:00"/>
    <b v="0"/>
    <x v="14"/>
    <n v="10"/>
    <n v="6"/>
    <n v="8"/>
    <x v="12"/>
    <s v="LATE"/>
    <x v="0"/>
    <x v="0"/>
    <m/>
    <x v="0"/>
    <n v="-11"/>
    <x v="0"/>
    <m/>
    <m/>
    <s v="Closed"/>
    <x v="0"/>
    <s v="NA"/>
    <n v="18"/>
    <d v="2026-03-02T02:21:19"/>
    <n v="1"/>
    <m/>
  </r>
  <r>
    <x v="0"/>
    <s v="0051733188"/>
    <s v="000490"/>
    <s v="0051733188-000490"/>
    <x v="134"/>
    <x v="109"/>
    <d v="2026-03-10T00:00:00"/>
    <s v="DEV"/>
    <s v="KGF"/>
    <x v="786"/>
    <x v="1"/>
    <x v="0"/>
    <s v="ANSI 49"/>
    <d v="2026-06-23T00:00:00"/>
    <n v="18"/>
    <d v="2026-02-20T00:00:00"/>
    <d v="2026-02-27T00:00:00"/>
    <d v="2026-03-04T00:00:00"/>
    <b v="0"/>
    <x v="14"/>
    <n v="10"/>
    <n v="6"/>
    <n v="9"/>
    <x v="4"/>
    <s v="LATE"/>
    <x v="0"/>
    <x v="0"/>
    <m/>
    <x v="0"/>
    <n v="-10"/>
    <x v="0"/>
    <m/>
    <m/>
    <s v="Closed"/>
    <x v="0"/>
    <s v="NA"/>
    <n v="18"/>
    <d v="2026-03-02T02:21:19"/>
    <n v="1"/>
    <m/>
  </r>
  <r>
    <x v="0"/>
    <s v="0051674363"/>
    <s v="000010"/>
    <s v="0051674363-000010"/>
    <x v="105"/>
    <x v="88"/>
    <d v="2026-03-13T00:00:00"/>
    <s v="HMA"/>
    <s v="ISQ"/>
    <x v="787"/>
    <x v="1"/>
    <x v="1"/>
    <s v="ANSI 49"/>
    <d v="2026-01-07T00:00:00"/>
    <n v="18"/>
    <d v="2026-02-25T00:00:00"/>
    <d v="2026-03-09T00:00:00"/>
    <d v="2026-03-13T00:00:00"/>
    <b v="0"/>
    <x v="14"/>
    <n v="10"/>
    <n v="9"/>
    <n v="13"/>
    <x v="1"/>
    <s v="LATE"/>
    <x v="0"/>
    <x v="0"/>
    <m/>
    <x v="0"/>
    <n v="-6"/>
    <x v="0"/>
    <m/>
    <m/>
    <s v="Closed"/>
    <x v="0"/>
    <s v="NA"/>
    <n v="16"/>
    <d v="2026-03-09T09:58:35"/>
    <n v="0.94117647058823528"/>
    <m/>
  </r>
  <r>
    <x v="0"/>
    <s v="0051733188"/>
    <s v="000490"/>
    <s v="0051733188-000490"/>
    <x v="134"/>
    <x v="109"/>
    <d v="2026-03-10T00:00:00"/>
    <s v="DEV"/>
    <s v="KFG"/>
    <x v="788"/>
    <x v="1"/>
    <x v="0"/>
    <s v="ANSI 49"/>
    <d v="2026-06-23T00:00:00"/>
    <n v="18"/>
    <d v="2026-02-20T00:00:00"/>
    <d v="2026-02-27T00:00:00"/>
    <d v="2026-03-02T00:00:00"/>
    <b v="0"/>
    <x v="14"/>
    <n v="10"/>
    <n v="6"/>
    <n v="7"/>
    <x v="6"/>
    <s v="LATE"/>
    <x v="0"/>
    <x v="0"/>
    <m/>
    <x v="0"/>
    <n v="-12"/>
    <x v="0"/>
    <m/>
    <m/>
    <s v="Closed"/>
    <x v="0"/>
    <s v="NA"/>
    <n v="18"/>
    <d v="2026-03-02T02:21:19"/>
    <n v="1"/>
    <m/>
  </r>
  <r>
    <x v="0"/>
    <s v="0051536680"/>
    <s v="000120"/>
    <s v="0051536680-000120"/>
    <x v="55"/>
    <x v="106"/>
    <m/>
    <s v="OAC"/>
    <s v="CML"/>
    <x v="789"/>
    <x v="1"/>
    <x v="0"/>
    <s v="ANSI 49"/>
    <d v="2026-06-15T00:00:00"/>
    <n v="10"/>
    <d v="2026-03-02T00:00:00"/>
    <d v="2026-03-09T00:00:00"/>
    <d v="2026-03-05T00:00:00"/>
    <b v="0"/>
    <x v="15"/>
    <n v="10"/>
    <n v="6"/>
    <n v="4"/>
    <x v="5"/>
    <s v="ON TIME"/>
    <x v="2"/>
    <x v="0"/>
    <m/>
    <x v="0"/>
    <n v="-7"/>
    <x v="0"/>
    <m/>
    <m/>
    <s v="Closed"/>
    <x v="0"/>
    <s v="NA"/>
    <n v="18"/>
    <d v="2026-03-12T02:21:19"/>
    <n v="1"/>
    <m/>
  </r>
  <r>
    <x v="0"/>
    <s v="0051434217"/>
    <s v="000320"/>
    <s v="0051434217-000320"/>
    <x v="136"/>
    <x v="112"/>
    <d v="2026-03-24T00:00:00"/>
    <s v="JAM"/>
    <s v="AL"/>
    <x v="790"/>
    <x v="0"/>
    <x v="1"/>
    <s v="ANSI 49"/>
    <d v="2026-07-22T00:00:00"/>
    <n v="25"/>
    <d v="2026-02-25T00:00:00"/>
    <d v="2026-03-09T00:00:00"/>
    <d v="2026-03-13T00:00:00"/>
    <b v="0"/>
    <x v="14"/>
    <n v="10"/>
    <n v="9"/>
    <n v="13"/>
    <x v="1"/>
    <s v="LATE"/>
    <x v="0"/>
    <x v="0"/>
    <m/>
    <x v="0"/>
    <n v="-13"/>
    <x v="0"/>
    <m/>
    <m/>
    <s v="Closed"/>
    <x v="0"/>
    <s v="JOSE PABLO AGUILAR"/>
    <n v="17"/>
    <d v="2026-03-09T09:58:35"/>
    <n v="1"/>
    <m/>
  </r>
  <r>
    <x v="0"/>
    <s v="_x000a_0051674363"/>
    <s v="000010"/>
    <s v="_x000a_0051674363-000010"/>
    <x v="105"/>
    <x v="88"/>
    <d v="2026-03-13T00:00:00"/>
    <s v="HMA"/>
    <s v="ISQ"/>
    <x v="791"/>
    <x v="1"/>
    <x v="0"/>
    <s v="ANSI 49"/>
    <d v="2026-07-20T00:00:00"/>
    <n v="17"/>
    <d v="2026-02-26T00:00:00"/>
    <d v="2026-03-09T00:00:00"/>
    <d v="2026-02-27T00:00:00"/>
    <b v="0"/>
    <x v="14"/>
    <n v="10"/>
    <n v="8"/>
    <n v="2"/>
    <x v="24"/>
    <s v="ON TIME"/>
    <x v="2"/>
    <x v="0"/>
    <m/>
    <x v="1"/>
    <n v="-16"/>
    <x v="0"/>
    <m/>
    <m/>
    <s v="Cancelled"/>
    <x v="0"/>
    <s v="NA"/>
    <n v="1"/>
    <d v="2026-03-12T02:21:19"/>
    <n v="5.5555555555555552E-2"/>
    <m/>
  </r>
  <r>
    <x v="0"/>
    <s v="0051434217"/>
    <s v="000320"/>
    <s v="0051434217-000320"/>
    <x v="136"/>
    <x v="112"/>
    <d v="2026-03-24T00:00:00"/>
    <s v="JAM"/>
    <s v="AL"/>
    <x v="792"/>
    <x v="0"/>
    <x v="0"/>
    <s v="ANSI 49"/>
    <d v="2026-07-22T00:00:00"/>
    <n v="25"/>
    <d v="2026-02-25T00:00:00"/>
    <d v="2026-03-04T00:00:00"/>
    <m/>
    <b v="1"/>
    <x v="14"/>
    <n v="10"/>
    <n v="6"/>
    <n v="17"/>
    <x v="21"/>
    <s v="LATE"/>
    <x v="0"/>
    <x v="0"/>
    <m/>
    <x v="2"/>
    <n v="-9"/>
    <x v="0"/>
    <m/>
    <m/>
    <n v="-9"/>
    <x v="0"/>
    <s v="VICTOR HUGO RODRIGEZ TORRALBA"/>
    <n v="12"/>
    <d v="2026-03-07T02:21:19"/>
    <n v="0.66666666666666663"/>
    <m/>
  </r>
  <r>
    <x v="0"/>
    <s v="0051434217"/>
    <s v="000320"/>
    <s v="0051434217-000320"/>
    <x v="136"/>
    <x v="112"/>
    <d v="2026-03-24T00:00:00"/>
    <s v="JAM"/>
    <s v="AL"/>
    <x v="793"/>
    <x v="0"/>
    <x v="0"/>
    <s v="ANSI 49"/>
    <d v="2026-07-22T00:00:00"/>
    <n v="25"/>
    <d v="2026-02-25T00:00:00"/>
    <d v="2026-03-04T00:00:00"/>
    <m/>
    <b v="1"/>
    <x v="14"/>
    <n v="10"/>
    <n v="6"/>
    <n v="17"/>
    <x v="21"/>
    <s v="LATE"/>
    <x v="0"/>
    <x v="0"/>
    <m/>
    <x v="2"/>
    <n v="-9"/>
    <x v="0"/>
    <m/>
    <m/>
    <n v="-9"/>
    <x v="0"/>
    <s v="VICTOR HUGO RODRIGEZ TORRALBA"/>
    <n v="12"/>
    <d v="2026-03-07T02:21:19"/>
    <n v="0.66666666666666663"/>
    <m/>
  </r>
  <r>
    <x v="0"/>
    <s v="0051733188"/>
    <s v="000410"/>
    <s v="0051733188-000410"/>
    <x v="134"/>
    <x v="109"/>
    <d v="2026-03-10T00:00:00"/>
    <s v="DEV"/>
    <s v="KGF"/>
    <x v="794"/>
    <x v="0"/>
    <x v="1"/>
    <s v="ANSI 49"/>
    <d v="2026-06-22T00:00:00"/>
    <n v="15"/>
    <d v="2026-02-25T00:00:00"/>
    <d v="2026-03-09T00:00:00"/>
    <d v="2026-03-06T00:00:00"/>
    <b v="0"/>
    <x v="14"/>
    <n v="10"/>
    <n v="9"/>
    <n v="8"/>
    <x v="11"/>
    <s v="ON TIME"/>
    <x v="2"/>
    <x v="0"/>
    <m/>
    <x v="0"/>
    <n v="-8"/>
    <x v="0"/>
    <m/>
    <m/>
    <s v="Closed"/>
    <x v="0"/>
    <s v="NA"/>
    <n v="17"/>
    <d v="2026-03-09T09:58:35"/>
    <n v="1"/>
    <m/>
  </r>
  <r>
    <x v="2"/>
    <s v="0051674363"/>
    <s v="000010"/>
    <s v="0051434217-000320"/>
    <x v="136"/>
    <x v="112"/>
    <d v="2026-03-24T00:00:00"/>
    <s v="JAM"/>
    <s v="AL"/>
    <x v="795"/>
    <x v="1"/>
    <x v="0"/>
    <s v="ANSI 49"/>
    <d v="2026-07-22T00:00:00"/>
    <n v="25"/>
    <d v="2026-02-25T00:00:00"/>
    <d v="2026-03-04T00:00:00"/>
    <m/>
    <b v="1"/>
    <x v="14"/>
    <n v="10"/>
    <n v="6"/>
    <n v="17"/>
    <x v="21"/>
    <s v="LATE"/>
    <x v="0"/>
    <x v="0"/>
    <m/>
    <x v="2"/>
    <n v="-9"/>
    <x v="0"/>
    <m/>
    <m/>
    <n v="-9"/>
    <x v="0"/>
    <s v="VICTOR HUGO RODRIGEZ TORRALBA"/>
    <n v="12"/>
    <d v="2026-03-07T02:21:19"/>
    <n v="0.66666666666666663"/>
    <m/>
  </r>
  <r>
    <x v="0"/>
    <s v="0051434217"/>
    <s v="000320"/>
    <s v="0051434217-000320"/>
    <x v="136"/>
    <x v="112"/>
    <d v="2026-03-24T00:00:00"/>
    <s v="JAM"/>
    <s v="AL"/>
    <x v="796"/>
    <x v="0"/>
    <x v="0"/>
    <s v="ANSI 49"/>
    <d v="2026-07-22T00:00:00"/>
    <n v="25"/>
    <d v="2026-02-25T00:00:00"/>
    <d v="2026-03-04T00:00:00"/>
    <m/>
    <b v="1"/>
    <x v="14"/>
    <n v="10"/>
    <n v="6"/>
    <n v="17"/>
    <x v="21"/>
    <s v="LATE"/>
    <x v="0"/>
    <x v="0"/>
    <m/>
    <x v="2"/>
    <n v="-9"/>
    <x v="0"/>
    <m/>
    <m/>
    <n v="-9"/>
    <x v="0"/>
    <s v="VICTOR HUGO RODRIGEZ TORRALBA"/>
    <n v="12"/>
    <d v="2026-03-07T02:21:19"/>
    <n v="0.66666666666666663"/>
    <m/>
  </r>
  <r>
    <x v="0"/>
    <s v="0051536680"/>
    <s v="000120"/>
    <s v="0051536680-000120"/>
    <x v="55"/>
    <x v="106"/>
    <m/>
    <s v="OAC"/>
    <s v="CML"/>
    <x v="797"/>
    <x v="1"/>
    <x v="0"/>
    <s v="ANSI 49"/>
    <d v="2026-06-05T00:00:00"/>
    <n v="11"/>
    <d v="2026-02-27T00:00:00"/>
    <d v="2026-03-09T00:00:00"/>
    <d v="2026-03-10T00:00:00"/>
    <b v="0"/>
    <x v="14"/>
    <n v="10"/>
    <n v="7"/>
    <n v="8"/>
    <x v="6"/>
    <s v="LATE"/>
    <x v="0"/>
    <x v="0"/>
    <m/>
    <x v="0"/>
    <n v="-4"/>
    <x v="0"/>
    <m/>
    <m/>
    <s v="Closed"/>
    <x v="0"/>
    <s v="NA"/>
    <n v="18"/>
    <d v="2026-03-12T02:21:19"/>
    <n v="1"/>
    <m/>
  </r>
  <r>
    <x v="0"/>
    <s v="0051733188"/>
    <s v="000430"/>
    <s v="0051733188-000430"/>
    <x v="134"/>
    <x v="110"/>
    <d v="2026-03-16T00:00:00"/>
    <s v="DEV"/>
    <s v="HUP"/>
    <x v="798"/>
    <x v="1"/>
    <x v="0"/>
    <s v="ANSI 49"/>
    <d v="2026-07-08T00:00:00"/>
    <n v="16"/>
    <d v="2026-02-23T00:00:00"/>
    <d v="2026-03-02T00:00:00"/>
    <d v="2026-03-09T00:00:00"/>
    <b v="0"/>
    <x v="14"/>
    <n v="10"/>
    <n v="6"/>
    <n v="11"/>
    <x v="3"/>
    <s v="LATE"/>
    <x v="0"/>
    <x v="0"/>
    <m/>
    <x v="0"/>
    <n v="-6"/>
    <x v="0"/>
    <m/>
    <m/>
    <s v="Closed"/>
    <x v="0"/>
    <s v="NA"/>
    <n v="18"/>
    <d v="2026-03-05T02:21:19"/>
    <n v="1"/>
    <m/>
  </r>
  <r>
    <x v="0"/>
    <s v="_x0009_0051733188"/>
    <s v="000450"/>
    <s v="_x0009_0051733188-000450"/>
    <x v="134"/>
    <x v="88"/>
    <d v="2026-03-16T00:00:00"/>
    <s v="DVA"/>
    <s v="KGF"/>
    <x v="799"/>
    <x v="1"/>
    <x v="0"/>
    <s v="ANSI 49"/>
    <d v="2026-07-06T00:00:00"/>
    <n v="-6"/>
    <d v="2026-03-27T00:00:00"/>
    <d v="2026-03-06T00:00:00"/>
    <d v="2026-03-05T00:00:00"/>
    <b v="0"/>
    <x v="15"/>
    <n v="10"/>
    <n v="-16"/>
    <n v="-17"/>
    <x v="11"/>
    <s v="ON TIME"/>
    <x v="2"/>
    <x v="1"/>
    <m/>
    <x v="0"/>
    <n v="-12"/>
    <x v="0"/>
    <m/>
    <m/>
    <s v="Closed"/>
    <x v="0"/>
    <s v="NA"/>
    <n v="18"/>
    <d v="2026-03-09T02:21:19"/>
    <n v="1"/>
    <m/>
  </r>
  <r>
    <x v="0"/>
    <s v="0051733188"/>
    <s v="000410"/>
    <s v="0051733188-000410"/>
    <x v="134"/>
    <x v="110"/>
    <d v="2026-03-09T00:00:00"/>
    <s v="DEV"/>
    <s v="HUP"/>
    <x v="800"/>
    <x v="1"/>
    <x v="1"/>
    <s v="ANSI 49"/>
    <d v="2026-06-22T00:00:00"/>
    <n v="12"/>
    <d v="2026-02-27T00:00:00"/>
    <d v="2026-03-11T00:00:00"/>
    <d v="2026-03-13T00:00:00"/>
    <b v="0"/>
    <x v="14"/>
    <n v="10"/>
    <n v="9"/>
    <n v="11"/>
    <x v="12"/>
    <s v="LATE"/>
    <x v="0"/>
    <x v="0"/>
    <m/>
    <x v="0"/>
    <n v="-2"/>
    <x v="0"/>
    <m/>
    <m/>
    <s v="Closed"/>
    <x v="0"/>
    <s v="VICTOR HUGO RODRIGEZ TORRALBA"/>
    <n v="17"/>
    <d v="2026-03-11T09:58:35"/>
    <n v="1"/>
    <s v="FLAGGED"/>
  </r>
  <r>
    <x v="0"/>
    <s v="_x0009_0051733188"/>
    <s v="000410"/>
    <s v="_x0009_0051733188-000410"/>
    <x v="134"/>
    <x v="110"/>
    <d v="2026-03-09T00:00:00"/>
    <s v="DEV"/>
    <s v="HUP"/>
    <x v="801"/>
    <x v="1"/>
    <x v="0"/>
    <s v="ANSI 49"/>
    <d v="2026-06-22T00:00:00"/>
    <n v="12"/>
    <d v="2026-02-27T00:00:00"/>
    <d v="2026-03-11T00:00:00"/>
    <m/>
    <b v="1"/>
    <x v="14"/>
    <n v="10"/>
    <n v="9"/>
    <n v="15"/>
    <x v="8"/>
    <s v="LATE"/>
    <x v="0"/>
    <x v="0"/>
    <m/>
    <x v="2"/>
    <n v="4"/>
    <x v="1"/>
    <m/>
    <m/>
    <n v="4"/>
    <x v="1"/>
    <s v="FERNANDO CASAS"/>
    <n v="15"/>
    <d v="2026-03-14T02:21:19"/>
    <n v="0.83333333333333337"/>
    <m/>
  </r>
  <r>
    <x v="0"/>
    <s v="0051035589"/>
    <s v="000210"/>
    <s v="0051035589-000210"/>
    <x v="130"/>
    <x v="98"/>
    <d v="2026-02-25T00:00:00"/>
    <s v="ALT"/>
    <s v="VHL"/>
    <x v="802"/>
    <x v="0"/>
    <x v="0"/>
    <s v="ANSI 49"/>
    <d v="2026-06-24T00:00:00"/>
    <n v="5"/>
    <d v="2026-03-02T00:00:00"/>
    <d v="2026-03-11T00:00:00"/>
    <d v="2026-03-12T00:00:00"/>
    <b v="0"/>
    <x v="15"/>
    <n v="10"/>
    <n v="8"/>
    <n v="9"/>
    <x v="6"/>
    <s v="LATE"/>
    <x v="0"/>
    <x v="1"/>
    <m/>
    <x v="0"/>
    <n v="5"/>
    <x v="1"/>
    <m/>
    <m/>
    <s v="Closed"/>
    <x v="1"/>
    <s v="NA"/>
    <n v="18"/>
    <d v="2026-03-14T02:21:19"/>
    <n v="1"/>
    <m/>
  </r>
  <r>
    <x v="0"/>
    <s v="_x000a_0050384250"/>
    <s v="001230"/>
    <s v="_x000a_0050384250-001230"/>
    <x v="69"/>
    <x v="106"/>
    <d v="2026-03-06T00:00:00"/>
    <s v="ASP"/>
    <s v="VHL"/>
    <x v="803"/>
    <x v="1"/>
    <x v="0"/>
    <s v="ANSI 49"/>
    <d v="2026-08-06T00:00:00"/>
    <n v="9"/>
    <d v="2026-03-03T00:00:00"/>
    <d v="2026-03-10T00:00:00"/>
    <m/>
    <b v="1"/>
    <x v="15"/>
    <n v="10"/>
    <n v="6"/>
    <n v="13"/>
    <x v="13"/>
    <s v="LATE"/>
    <x v="0"/>
    <x v="1"/>
    <m/>
    <x v="2"/>
    <n v="5"/>
    <x v="1"/>
    <m/>
    <m/>
    <n v="5"/>
    <x v="1"/>
    <s v="JUAN CARLOS MIRANDA"/>
    <n v="16"/>
    <d v="2026-03-13T02:21:19"/>
    <n v="0.88888888888888884"/>
    <m/>
  </r>
  <r>
    <x v="0"/>
    <s v="_x000a_0051829783"/>
    <s v="000010"/>
    <s v="_x000a_0051829783-000010"/>
    <x v="129"/>
    <x v="106"/>
    <d v="2026-03-06T00:00:00"/>
    <s v="JAM"/>
    <s v="IJF"/>
    <x v="804"/>
    <x v="0"/>
    <x v="0"/>
    <s v="ANSI 49"/>
    <d v="2026-07-06T00:00:00"/>
    <n v="9"/>
    <d v="2026-03-03T00:00:00"/>
    <d v="2026-03-13T00:00:00"/>
    <d v="2026-03-13T00:00:00"/>
    <b v="0"/>
    <x v="15"/>
    <n v="10"/>
    <n v="9"/>
    <n v="9"/>
    <x v="9"/>
    <s v="ON TIME"/>
    <x v="2"/>
    <x v="1"/>
    <m/>
    <x v="0"/>
    <n v="1"/>
    <x v="1"/>
    <m/>
    <m/>
    <s v="Closed"/>
    <x v="1"/>
    <s v="JOSE PABLO AGUILAR"/>
    <n v="18"/>
    <d v="2026-03-16T02:21:19"/>
    <n v="1"/>
    <m/>
  </r>
  <r>
    <x v="0"/>
    <s v=" 0051271091"/>
    <s v="000890"/>
    <s v=" 0051271091-000890"/>
    <x v="137"/>
    <x v="88"/>
    <d v="2026-03-13T00:00:00"/>
    <s v="ATA"/>
    <s v="OAL"/>
    <x v="805"/>
    <x v="1"/>
    <x v="0"/>
    <s v="ANSI 49"/>
    <d v="2026-08-18T00:00:00"/>
    <n v="14"/>
    <d v="2026-03-03T00:00:00"/>
    <d v="2026-03-10T00:00:00"/>
    <m/>
    <b v="1"/>
    <x v="15"/>
    <n v="10"/>
    <n v="6"/>
    <n v="13"/>
    <x v="13"/>
    <s v="LATE"/>
    <x v="0"/>
    <x v="0"/>
    <m/>
    <x v="2"/>
    <n v="-2"/>
    <x v="0"/>
    <m/>
    <m/>
    <n v="-2"/>
    <x v="0"/>
    <s v="VICTOR HUGO RODRIGEZ TORRALBA"/>
    <n v="12"/>
    <d v="2026-03-13T02:21:19"/>
    <n v="0.66666666666666663"/>
    <m/>
  </r>
  <r>
    <x v="0"/>
    <s v=" 0051271091"/>
    <s v="000890"/>
    <s v=" 0051271091-000890"/>
    <x v="137"/>
    <x v="88"/>
    <d v="2026-03-13T00:00:00"/>
    <s v="ATA"/>
    <s v="OAL"/>
    <x v="806"/>
    <x v="1"/>
    <x v="0"/>
    <s v="ANSI 49"/>
    <d v="2026-08-18T00:00:00"/>
    <n v="14"/>
    <d v="2026-03-03T00:00:00"/>
    <d v="2026-03-10T00:00:00"/>
    <m/>
    <b v="1"/>
    <x v="15"/>
    <n v="10"/>
    <n v="6"/>
    <n v="13"/>
    <x v="13"/>
    <s v="LATE"/>
    <x v="0"/>
    <x v="0"/>
    <m/>
    <x v="2"/>
    <n v="-2"/>
    <x v="0"/>
    <m/>
    <m/>
    <n v="-2"/>
    <x v="0"/>
    <s v="FERNANDO CASAS"/>
    <n v="15"/>
    <d v="2026-03-13T02:21:19"/>
    <n v="0.83333333333333337"/>
    <m/>
  </r>
  <r>
    <x v="0"/>
    <s v=" 0051271091"/>
    <s v="000890"/>
    <s v=" 0051271091-000890"/>
    <x v="137"/>
    <x v="88"/>
    <d v="2026-03-13T00:00:00"/>
    <s v="ATA"/>
    <s v="OAL"/>
    <x v="807"/>
    <x v="1"/>
    <x v="1"/>
    <s v="ANSI 49"/>
    <d v="2026-08-18T00:00:00"/>
    <n v="14"/>
    <d v="2026-03-03T00:00:00"/>
    <d v="2026-03-10T00:00:00"/>
    <m/>
    <b v="1"/>
    <x v="15"/>
    <n v="10"/>
    <n v="6"/>
    <n v="13"/>
    <x v="13"/>
    <s v="LATE"/>
    <x v="0"/>
    <x v="0"/>
    <m/>
    <x v="2"/>
    <n v="-2"/>
    <x v="0"/>
    <m/>
    <m/>
    <n v="-2"/>
    <x v="0"/>
    <s v="FERNANDO CASAS"/>
    <n v="11"/>
    <d v="2026-03-10T09:58:35"/>
    <n v="0.6470588235294118"/>
    <m/>
  </r>
  <r>
    <x v="0"/>
    <s v="_x000a_0051271091"/>
    <s v="000890"/>
    <s v="_x000a_0051271091-000890"/>
    <x v="137"/>
    <x v="88"/>
    <d v="2026-03-13T00:00:00"/>
    <s v="ATA"/>
    <s v="OAL"/>
    <x v="808"/>
    <x v="0"/>
    <x v="0"/>
    <s v="ANSI 49"/>
    <d v="2026-03-18T00:00:00"/>
    <n v="14"/>
    <d v="2026-03-03T00:00:00"/>
    <d v="2026-03-12T00:00:00"/>
    <d v="2026-03-11T00:00:00"/>
    <b v="0"/>
    <x v="15"/>
    <n v="10"/>
    <n v="8"/>
    <n v="7"/>
    <x v="11"/>
    <s v="ON TIME"/>
    <x v="2"/>
    <x v="0"/>
    <m/>
    <x v="0"/>
    <n v="-8"/>
    <x v="0"/>
    <m/>
    <m/>
    <s v="Closed"/>
    <x v="0"/>
    <s v="NA"/>
    <n v="18"/>
    <d v="2026-03-15T02:21:19"/>
    <n v="1"/>
    <m/>
  </r>
  <r>
    <x v="0"/>
    <s v="_x000a_0051519925"/>
    <s v="000010"/>
    <s v="_x000a_0051519925-000010"/>
    <x v="138"/>
    <x v="113"/>
    <d v="2026-03-20T00:00:00"/>
    <s v="DMA"/>
    <s v="ODE"/>
    <x v="809"/>
    <x v="1"/>
    <x v="0"/>
    <s v="ANSI 49"/>
    <d v="2026-08-14T00:00:00"/>
    <n v="19"/>
    <d v="2026-03-03T00:00:00"/>
    <d v="2026-03-10T00:00:00"/>
    <m/>
    <b v="1"/>
    <x v="15"/>
    <n v="10"/>
    <n v="6"/>
    <n v="13"/>
    <x v="13"/>
    <s v="LATE"/>
    <x v="0"/>
    <x v="0"/>
    <m/>
    <x v="2"/>
    <n v="-7"/>
    <x v="0"/>
    <m/>
    <m/>
    <n v="-7"/>
    <x v="0"/>
    <s v="VICTOR HUGO RODRIGEZ TORRALBA"/>
    <n v="12"/>
    <d v="2026-03-13T02:21:19"/>
    <n v="0.66666666666666663"/>
    <m/>
  </r>
  <r>
    <x v="0"/>
    <s v="0051735870"/>
    <s v="000010&amp;20"/>
    <s v="0051735870-000010&amp;20"/>
    <x v="124"/>
    <x v="103"/>
    <d v="2026-03-17T00:00:00"/>
    <s v="JAM"/>
    <s v="RCI"/>
    <x v="810"/>
    <x v="0"/>
    <x v="1"/>
    <s v="ANSI 49"/>
    <d v="2026-07-24T00:00:00"/>
    <n v="25"/>
    <d v="2026-02-24T00:00:00"/>
    <d v="2026-03-09T00:00:00"/>
    <d v="2026-03-05T00:00:00"/>
    <b v="0"/>
    <x v="14"/>
    <n v="10"/>
    <n v="10"/>
    <n v="8"/>
    <x v="5"/>
    <s v="ON TIME"/>
    <x v="2"/>
    <x v="0"/>
    <m/>
    <x v="0"/>
    <n v="-18"/>
    <x v="0"/>
    <m/>
    <m/>
    <s v="Closed"/>
    <x v="0"/>
    <s v="NA"/>
    <n v="17"/>
    <d v="2026-03-09T09:58:35"/>
    <n v="1"/>
    <m/>
  </r>
  <r>
    <x v="0"/>
    <s v="0051735870"/>
    <s v="000010"/>
    <s v="0051735870-000010"/>
    <x v="124"/>
    <x v="103"/>
    <d v="2026-03-17T00:00:00"/>
    <s v="JAM"/>
    <s v="RCI"/>
    <x v="811"/>
    <x v="0"/>
    <x v="0"/>
    <s v="ANSI 49"/>
    <d v="2026-07-22T00:00:00"/>
    <n v="24"/>
    <d v="2026-02-25T00:00:00"/>
    <d v="2026-03-04T00:00:00"/>
    <d v="2026-03-05T00:00:00"/>
    <b v="0"/>
    <x v="14"/>
    <n v="10"/>
    <n v="6"/>
    <n v="7"/>
    <x v="6"/>
    <s v="LATE"/>
    <x v="0"/>
    <x v="0"/>
    <m/>
    <x v="0"/>
    <n v="-18"/>
    <x v="0"/>
    <m/>
    <m/>
    <s v="Closed"/>
    <x v="0"/>
    <s v="NA"/>
    <n v="18"/>
    <d v="2026-03-07T02:21:19"/>
    <n v="1"/>
    <m/>
  </r>
  <r>
    <x v="0"/>
    <s v="0051519925"/>
    <s v="000010"/>
    <s v="0051519925-000010"/>
    <x v="138"/>
    <x v="113"/>
    <d v="2026-03-20T00:00:00"/>
    <s v="DMA"/>
    <s v="ODE"/>
    <x v="812"/>
    <x v="1"/>
    <x v="0"/>
    <s v="ANSI 49"/>
    <d v="2026-08-14T00:00:00"/>
    <n v="19"/>
    <d v="2026-03-03T00:00:00"/>
    <d v="2026-03-10T00:00:00"/>
    <m/>
    <b v="1"/>
    <x v="15"/>
    <n v="10"/>
    <n v="6"/>
    <n v="13"/>
    <x v="13"/>
    <s v="LATE"/>
    <x v="0"/>
    <x v="0"/>
    <m/>
    <x v="2"/>
    <n v="-7"/>
    <x v="0"/>
    <m/>
    <m/>
    <n v="-7"/>
    <x v="0"/>
    <s v="VICTOR HUGO RODRIGEZ TORRALBA"/>
    <n v="12"/>
    <d v="2026-03-13T02:21:19"/>
    <n v="0.66666666666666663"/>
    <m/>
  </r>
  <r>
    <x v="0"/>
    <s v="0051519925"/>
    <s v="000010"/>
    <s v="0051519925-000010"/>
    <x v="138"/>
    <x v="113"/>
    <d v="2026-03-20T00:00:00"/>
    <s v="DMA"/>
    <s v="ODE"/>
    <x v="813"/>
    <x v="1"/>
    <x v="0"/>
    <s v="ANSI 49"/>
    <d v="2026-08-14T00:00:00"/>
    <n v="19"/>
    <d v="2026-03-03T00:00:00"/>
    <d v="2026-03-10T00:00:00"/>
    <m/>
    <b v="1"/>
    <x v="15"/>
    <n v="10"/>
    <n v="6"/>
    <n v="13"/>
    <x v="13"/>
    <s v="LATE"/>
    <x v="0"/>
    <x v="0"/>
    <m/>
    <x v="2"/>
    <n v="-7"/>
    <x v="0"/>
    <m/>
    <m/>
    <n v="-7"/>
    <x v="0"/>
    <s v="FERNANDO CASAS"/>
    <n v="15"/>
    <d v="2026-03-13T02:21:19"/>
    <n v="0.83333333333333337"/>
    <m/>
  </r>
  <r>
    <x v="0"/>
    <s v="0051460807"/>
    <s v="010720"/>
    <s v="0051460807-010720"/>
    <x v="139"/>
    <x v="113"/>
    <d v="2026-03-20T00:00:00"/>
    <s v="SPH"/>
    <m/>
    <x v="814"/>
    <x v="0"/>
    <x v="0"/>
    <s v="ANSI 49"/>
    <d v="2026-03-19T00:00:00"/>
    <n v="19"/>
    <d v="2026-03-03T00:00:00"/>
    <d v="2026-03-10T00:00:00"/>
    <d v="2026-03-11T00:00:00"/>
    <b v="0"/>
    <x v="15"/>
    <n v="10"/>
    <n v="6"/>
    <n v="7"/>
    <x v="6"/>
    <s v="LATE"/>
    <x v="0"/>
    <x v="0"/>
    <m/>
    <x v="0"/>
    <n v="-13"/>
    <x v="0"/>
    <m/>
    <m/>
    <s v="Closed"/>
    <x v="0"/>
    <s v="NA"/>
    <n v="18"/>
    <d v="2026-03-13T02:21:19"/>
    <n v="1"/>
    <m/>
  </r>
  <r>
    <x v="0"/>
    <s v="0051460807"/>
    <s v="010720"/>
    <s v="0051460807-010720"/>
    <x v="139"/>
    <x v="113"/>
    <d v="2026-03-20T00:00:00"/>
    <s v="SPH"/>
    <m/>
    <x v="815"/>
    <x v="0"/>
    <x v="1"/>
    <s v="ANSI 49"/>
    <d v="2026-03-19T00:00:00"/>
    <n v="19"/>
    <d v="2026-03-03T00:00:00"/>
    <d v="2026-03-10T00:00:00"/>
    <m/>
    <b v="1"/>
    <x v="15"/>
    <n v="10"/>
    <n v="6"/>
    <n v="13"/>
    <x v="13"/>
    <s v="LATE"/>
    <x v="0"/>
    <x v="0"/>
    <m/>
    <x v="2"/>
    <n v="-7"/>
    <x v="0"/>
    <m/>
    <m/>
    <n v="-7"/>
    <x v="0"/>
    <s v="REGINA LOPEZ"/>
    <n v="2"/>
    <d v="2026-03-10T09:58:35"/>
    <n v="0.11764705882352941"/>
    <m/>
  </r>
  <r>
    <x v="0"/>
    <s v="0051442285"/>
    <s v="000110"/>
    <s v="0051442285-000110"/>
    <x v="63"/>
    <x v="98"/>
    <m/>
    <s v="DMA"/>
    <s v="VHL"/>
    <x v="816"/>
    <x v="0"/>
    <x v="1"/>
    <s v="ANSI 49"/>
    <d v="2026-04-30T00:00:00"/>
    <n v="3"/>
    <d v="2026-03-04T00:00:00"/>
    <d v="2026-03-18T00:00:00"/>
    <d v="2026-03-12T00:00:00"/>
    <b v="0"/>
    <x v="15"/>
    <n v="10"/>
    <n v="11"/>
    <n v="7"/>
    <x v="14"/>
    <s v="ON TIME"/>
    <x v="2"/>
    <x v="1"/>
    <m/>
    <x v="0"/>
    <n v="5"/>
    <x v="1"/>
    <m/>
    <m/>
    <s v="Closed"/>
    <x v="1"/>
    <s v="NA"/>
    <n v="16"/>
    <d v="2026-03-18T09:58:35"/>
    <n v="0.94117647058823528"/>
    <m/>
  </r>
  <r>
    <x v="0"/>
    <s v="0051442285"/>
    <s v="000110"/>
    <s v="0051442285-000110"/>
    <x v="63"/>
    <x v="98"/>
    <m/>
    <s v="DMA"/>
    <s v="VL"/>
    <x v="817"/>
    <x v="1"/>
    <x v="0"/>
    <s v="ANSI 49"/>
    <d v="2026-04-23T00:00:00"/>
    <n v="3"/>
    <d v="2026-03-04T00:00:00"/>
    <d v="2026-03-12T00:00:00"/>
    <d v="2026-03-10T00:00:00"/>
    <b v="0"/>
    <x v="15"/>
    <n v="10"/>
    <n v="7"/>
    <n v="5"/>
    <x v="5"/>
    <s v="ON TIME"/>
    <x v="2"/>
    <x v="1"/>
    <m/>
    <x v="0"/>
    <n v="3"/>
    <x v="1"/>
    <m/>
    <m/>
    <s v="Closed"/>
    <x v="1"/>
    <s v="NA"/>
    <n v="18"/>
    <d v="2026-03-15T02:21:19"/>
    <n v="1"/>
    <m/>
  </r>
  <r>
    <x v="0"/>
    <s v="0051519925"/>
    <s v="000010"/>
    <s v="0051519925-000010"/>
    <x v="138"/>
    <x v="113"/>
    <d v="2026-03-20T00:00:00"/>
    <s v="DMA"/>
    <s v="ODE"/>
    <x v="818"/>
    <x v="0"/>
    <x v="0"/>
    <s v="ANSI 49"/>
    <d v="2026-08-07T00:00:00"/>
    <n v="18"/>
    <d v="2026-03-04T00:00:00"/>
    <d v="2026-03-11T00:00:00"/>
    <m/>
    <b v="1"/>
    <x v="15"/>
    <n v="10"/>
    <n v="6"/>
    <n v="12"/>
    <x v="8"/>
    <s v="LATE"/>
    <x v="0"/>
    <x v="0"/>
    <m/>
    <x v="2"/>
    <n v="-7"/>
    <x v="0"/>
    <m/>
    <m/>
    <n v="-7"/>
    <x v="0"/>
    <s v="VICTOR HUGO RODRIGEZ TORRALBA"/>
    <n v="12"/>
    <d v="2026-03-14T02:21:19"/>
    <n v="0.66666666666666663"/>
    <m/>
  </r>
  <r>
    <x v="0"/>
    <s v="0051519925"/>
    <s v="000010"/>
    <s v="0051519925-000010"/>
    <x v="138"/>
    <x v="113"/>
    <d v="2026-03-20T00:00:00"/>
    <s v="DMA"/>
    <s v="ODE"/>
    <x v="819"/>
    <x v="1"/>
    <x v="0"/>
    <s v="ANSI 49"/>
    <d v="2026-08-07T00:00:00"/>
    <n v="18"/>
    <d v="2026-03-04T00:00:00"/>
    <d v="2026-03-12T00:00:00"/>
    <d v="2026-03-11T00:00:00"/>
    <b v="0"/>
    <x v="15"/>
    <n v="10"/>
    <n v="7"/>
    <n v="6"/>
    <x v="11"/>
    <s v="ON TIME"/>
    <x v="2"/>
    <x v="0"/>
    <m/>
    <x v="0"/>
    <n v="-13"/>
    <x v="0"/>
    <m/>
    <m/>
    <s v="Closed"/>
    <x v="0"/>
    <s v="NA"/>
    <n v="18"/>
    <d v="2026-03-15T02:21:19"/>
    <n v="1"/>
    <m/>
  </r>
  <r>
    <x v="0"/>
    <s v="0050384250"/>
    <s v="001230"/>
    <s v="0050384250-001230"/>
    <x v="69"/>
    <x v="106"/>
    <d v="2026-03-06T00:00:00"/>
    <s v="ASP"/>
    <s v="VHL"/>
    <x v="820"/>
    <x v="1"/>
    <x v="0"/>
    <s v="ANSI 49"/>
    <d v="2026-03-08T00:00:00"/>
    <n v="7"/>
    <d v="2026-03-05T00:00:00"/>
    <d v="2026-03-13T00:00:00"/>
    <d v="2026-03-11T00:00:00"/>
    <b v="0"/>
    <x v="15"/>
    <n v="10"/>
    <n v="7"/>
    <n v="5"/>
    <x v="5"/>
    <s v="ON TIME"/>
    <x v="2"/>
    <x v="1"/>
    <m/>
    <x v="0"/>
    <n v="-3"/>
    <x v="0"/>
    <m/>
    <m/>
    <s v="Closed"/>
    <x v="0"/>
    <s v="NA"/>
    <n v="18"/>
    <d v="2026-03-16T02:21:19"/>
    <n v="1"/>
    <m/>
  </r>
  <r>
    <x v="0"/>
    <s v="0051829783"/>
    <s v="000010"/>
    <s v="0051829783-000010"/>
    <x v="129"/>
    <x v="106"/>
    <d v="2026-03-06T00:00:00"/>
    <s v="JAM"/>
    <s v="IJF"/>
    <x v="821"/>
    <x v="0"/>
    <x v="1"/>
    <s v="ANSI 49"/>
    <d v="2026-07-06T00:00:00"/>
    <n v="7"/>
    <d v="2026-03-05T00:00:00"/>
    <d v="2026-03-19T00:00:00"/>
    <m/>
    <b v="1"/>
    <x v="15"/>
    <n v="10"/>
    <n v="11"/>
    <n v="11"/>
    <x v="9"/>
    <s v="ON TIME"/>
    <x v="2"/>
    <x v="1"/>
    <m/>
    <x v="2"/>
    <n v="5"/>
    <x v="1"/>
    <m/>
    <m/>
    <n v="5"/>
    <x v="1"/>
    <s v="FERNANDO CASAS"/>
    <n v="11"/>
    <d v="2026-03-19T09:58:35"/>
    <n v="0.6470588235294118"/>
    <m/>
  </r>
  <r>
    <x v="0"/>
    <s v="0051733188"/>
    <s v="000390"/>
    <s v="0051733188-000390"/>
    <x v="134"/>
    <x v="110"/>
    <d v="2026-03-13T00:00:00"/>
    <s v="DEV"/>
    <s v="LDT"/>
    <x v="822"/>
    <x v="1"/>
    <x v="0"/>
    <s v="ANSI 49"/>
    <d v="2026-07-21T00:00:00"/>
    <n v="8"/>
    <d v="2026-03-05T00:00:00"/>
    <d v="2026-03-12T00:00:00"/>
    <d v="2026-03-12T00:00:00"/>
    <b v="0"/>
    <x v="15"/>
    <n v="10"/>
    <n v="6"/>
    <n v="6"/>
    <x v="9"/>
    <s v="ON TIME"/>
    <x v="2"/>
    <x v="1"/>
    <m/>
    <x v="0"/>
    <n v="-3"/>
    <x v="0"/>
    <m/>
    <m/>
    <s v="Closed"/>
    <x v="0"/>
    <s v="NA"/>
    <n v="18"/>
    <d v="2026-03-15T02:21:19"/>
    <n v="1"/>
    <m/>
  </r>
  <r>
    <x v="0"/>
    <s v="0051872300"/>
    <s v="000010"/>
    <s v="0051872300-000010"/>
    <x v="140"/>
    <x v="113"/>
    <d v="2026-03-20T00:00:00"/>
    <s v="JRC"/>
    <s v="CL"/>
    <x v="823"/>
    <x v="1"/>
    <x v="0"/>
    <s v="ANSI 49"/>
    <d v="2026-08-20T00:00:00"/>
    <n v="17"/>
    <d v="2026-03-05T00:00:00"/>
    <d v="2026-03-13T00:00:00"/>
    <d v="2026-03-11T00:00:00"/>
    <b v="0"/>
    <x v="15"/>
    <n v="10"/>
    <n v="7"/>
    <n v="5"/>
    <x v="5"/>
    <s v="ON TIME"/>
    <x v="2"/>
    <x v="0"/>
    <m/>
    <x v="0"/>
    <n v="-13"/>
    <x v="0"/>
    <m/>
    <m/>
    <s v="Closed"/>
    <x v="0"/>
    <s v="NA"/>
    <n v="18"/>
    <d v="2026-03-16T02:21:19"/>
    <n v="1"/>
    <m/>
  </r>
  <r>
    <x v="0"/>
    <s v="0051733188"/>
    <s v="000530"/>
    <s v="0051733188-000530"/>
    <x v="134"/>
    <x v="110"/>
    <d v="2026-03-13T00:00:00"/>
    <s v="DEV"/>
    <s v="KGF"/>
    <x v="824"/>
    <x v="1"/>
    <x v="0"/>
    <s v="ANSI 49"/>
    <d v="2026-06-22T00:00:00"/>
    <n v="7"/>
    <d v="2026-03-06T00:00:00"/>
    <d v="2026-03-13T00:00:00"/>
    <m/>
    <b v="1"/>
    <x v="15"/>
    <n v="10"/>
    <n v="6"/>
    <n v="10"/>
    <x v="1"/>
    <s v="LATE"/>
    <x v="0"/>
    <x v="1"/>
    <m/>
    <x v="2"/>
    <n v="4"/>
    <x v="1"/>
    <m/>
    <m/>
    <n v="4"/>
    <x v="1"/>
    <s v="VICTOR HUGO RODRIGEZ TORRALBA"/>
    <n v="17"/>
    <d v="2026-03-16T02:21:19"/>
    <n v="0.94444444444444442"/>
    <m/>
  </r>
  <r>
    <x v="0"/>
    <s v="0051679732"/>
    <s v="000170"/>
    <s v="0051679732-000170"/>
    <x v="87"/>
    <x v="114"/>
    <d v="2026-04-24T00:00:00"/>
    <s v="HMA"/>
    <m/>
    <x v="825"/>
    <x v="0"/>
    <x v="0"/>
    <s v="ANSI 49"/>
    <d v="2026-08-09T00:00:00"/>
    <n v="31"/>
    <d v="2026-03-06T00:00:00"/>
    <d v="2026-03-13T00:00:00"/>
    <m/>
    <b v="1"/>
    <x v="15"/>
    <n v="10"/>
    <n v="6"/>
    <n v="10"/>
    <x v="1"/>
    <s v="LATE"/>
    <x v="0"/>
    <x v="0"/>
    <m/>
    <x v="2"/>
    <n v="-22"/>
    <x v="0"/>
    <m/>
    <m/>
    <n v="-22"/>
    <x v="0"/>
    <s v="FERNANDO CASAS"/>
    <n v="15"/>
    <d v="2026-03-16T02:21:19"/>
    <n v="0.83333333333333337"/>
    <m/>
  </r>
  <r>
    <x v="0"/>
    <s v="0051679732"/>
    <s v="000170"/>
    <s v="0051679732-000170"/>
    <x v="87"/>
    <x v="114"/>
    <d v="2026-04-24T00:00:00"/>
    <s v="HMA"/>
    <m/>
    <x v="826"/>
    <x v="0"/>
    <x v="1"/>
    <s v="ANSI 49"/>
    <d v="2026-08-09T00:00:00"/>
    <n v="31"/>
    <d v="2026-03-06T00:00:00"/>
    <d v="2026-03-20T00:00:00"/>
    <m/>
    <b v="1"/>
    <x v="15"/>
    <n v="10"/>
    <n v="11"/>
    <n v="10"/>
    <x v="11"/>
    <s v="ON TIME"/>
    <x v="2"/>
    <x v="0"/>
    <m/>
    <x v="2"/>
    <n v="-22"/>
    <x v="0"/>
    <m/>
    <m/>
    <n v="-22"/>
    <x v="0"/>
    <s v="JUAN CARLOS MIRANDA"/>
    <n v="4"/>
    <d v="2026-03-20T09:58:35"/>
    <n v="0.23529411764705882"/>
    <m/>
  </r>
  <r>
    <x v="0"/>
    <s v="0051735870"/>
    <s v="000010"/>
    <s v="0051735870-000010"/>
    <x v="124"/>
    <x v="103"/>
    <d v="2026-03-17T00:00:00"/>
    <s v="JAM"/>
    <s v="RCI"/>
    <x v="827"/>
    <x v="0"/>
    <x v="1"/>
    <s v="ANSI 49"/>
    <d v="2026-07-22T00:00:00"/>
    <n v="16"/>
    <d v="2026-03-09T00:00:00"/>
    <d v="2026-03-23T00:00:00"/>
    <m/>
    <b v="1"/>
    <x v="15"/>
    <n v="10"/>
    <n v="11"/>
    <n v="9"/>
    <x v="5"/>
    <s v="ON TIME"/>
    <x v="2"/>
    <x v="0"/>
    <m/>
    <x v="2"/>
    <n v="-8"/>
    <x v="0"/>
    <m/>
    <m/>
    <n v="-8"/>
    <x v="0"/>
    <s v="REGINA LOPEZ"/>
    <n v="3"/>
    <d v="2026-03-23T09:58:35"/>
    <n v="0.17647058823529413"/>
    <m/>
  </r>
  <r>
    <x v="0"/>
    <s v="0051829783"/>
    <s v="000010"/>
    <s v="0051829783-000010"/>
    <x v="129"/>
    <x v="106"/>
    <d v="2026-03-06T00:00:00"/>
    <s v="JAM"/>
    <s v="IJF"/>
    <x v="828"/>
    <x v="1"/>
    <x v="1"/>
    <s v="ANSI 49"/>
    <d v="2026-07-24T00:00:00"/>
    <n v="5"/>
    <d v="2026-03-09T00:00:00"/>
    <d v="2026-03-23T00:00:00"/>
    <m/>
    <b v="1"/>
    <x v="15"/>
    <n v="10"/>
    <n v="11"/>
    <n v="9"/>
    <x v="5"/>
    <s v="ON TIME"/>
    <x v="2"/>
    <x v="1"/>
    <m/>
    <x v="2"/>
    <n v="5"/>
    <x v="1"/>
    <m/>
    <m/>
    <n v="5"/>
    <x v="1"/>
    <s v="JUAN CARLOS MIRANDA"/>
    <n v="4"/>
    <d v="2026-03-23T09:58:35"/>
    <n v="0.23529411764705882"/>
    <m/>
  </r>
  <r>
    <x v="0"/>
    <s v="0051732952"/>
    <s v="000010"/>
    <s v="0051732952-000010"/>
    <x v="103"/>
    <x v="88"/>
    <m/>
    <s v="DEV"/>
    <s v="ISQ"/>
    <x v="829"/>
    <x v="1"/>
    <x v="0"/>
    <s v="ANSI 49"/>
    <d v="2026-07-30T00:00:00"/>
    <n v="10"/>
    <d v="2026-03-09T00:00:00"/>
    <d v="2026-03-19T00:00:00"/>
    <m/>
    <b v="1"/>
    <x v="15"/>
    <n v="10"/>
    <n v="9"/>
    <n v="9"/>
    <x v="9"/>
    <s v="ON TIME"/>
    <x v="2"/>
    <x v="0"/>
    <m/>
    <x v="2"/>
    <n v="-2"/>
    <x v="0"/>
    <m/>
    <m/>
    <n v="-2"/>
    <x v="0"/>
    <s v="VICTOR HUGO RODRIGEZ TORRALBA"/>
    <n v="12"/>
    <d v="2026-03-22T02:21:19"/>
    <n v="0.66666666666666663"/>
    <m/>
  </r>
  <r>
    <x v="0"/>
    <s v="0050798656"/>
    <s v="002730"/>
    <s v="0050798656-002730"/>
    <x v="141"/>
    <x v="115"/>
    <d v="2026-04-08T00:00:00"/>
    <s v="LEC"/>
    <m/>
    <x v="830"/>
    <x v="0"/>
    <x v="0"/>
    <s v="ANSI 49"/>
    <d v="2026-10-29T00:00:00"/>
    <n v="28"/>
    <d v="2026-03-09T00:00:00"/>
    <d v="2026-03-19T00:00:00"/>
    <m/>
    <b v="1"/>
    <x v="15"/>
    <n v="10"/>
    <n v="9"/>
    <n v="9"/>
    <x v="9"/>
    <s v="ON TIME"/>
    <x v="2"/>
    <x v="0"/>
    <m/>
    <x v="2"/>
    <n v="-20"/>
    <x v="0"/>
    <m/>
    <m/>
    <n v="-20"/>
    <x v="0"/>
    <s v="REBECA CISNEROS"/>
    <n v="11"/>
    <d v="2026-03-22T02:21:19"/>
    <n v="0.61111111111111116"/>
    <m/>
  </r>
  <r>
    <x v="0"/>
    <s v="0050798656"/>
    <s v="002730"/>
    <s v="0050798656-002730"/>
    <x v="141"/>
    <x v="115"/>
    <d v="2026-04-08T00:00:00"/>
    <s v="LEC"/>
    <m/>
    <x v="831"/>
    <x v="0"/>
    <x v="1"/>
    <s v="ANSI 49"/>
    <d v="2026-10-29T00:00:00"/>
    <n v="28"/>
    <d v="2026-03-09T00:00:00"/>
    <d v="2026-03-23T00:00:00"/>
    <m/>
    <b v="1"/>
    <x v="15"/>
    <n v="10"/>
    <n v="11"/>
    <n v="9"/>
    <x v="5"/>
    <s v="ON TIME"/>
    <x v="2"/>
    <x v="0"/>
    <m/>
    <x v="2"/>
    <n v="-20"/>
    <x v="0"/>
    <m/>
    <m/>
    <n v="-20"/>
    <x v="0"/>
    <s v="REGINA LOPEZ"/>
    <n v="2"/>
    <d v="2026-03-23T09:58:35"/>
    <n v="0.11764705882352941"/>
    <m/>
  </r>
  <r>
    <x v="0"/>
    <s v="0050753978"/>
    <s v="003780"/>
    <s v="0050753978-003780"/>
    <x v="40"/>
    <x v="82"/>
    <m/>
    <s v="RAS"/>
    <s v="CML"/>
    <x v="832"/>
    <x v="1"/>
    <x v="2"/>
    <s v="ANSI 49"/>
    <d v="2026-10-29T00:00:00"/>
    <n v="-28"/>
    <d v="2026-03-10T00:00:00"/>
    <d v="2026-03-13T00:00:00"/>
    <d v="2026-03-12T00:00:00"/>
    <b v="0"/>
    <x v="15"/>
    <n v="10"/>
    <n v="4"/>
    <n v="3"/>
    <x v="11"/>
    <s v="ON TIME"/>
    <x v="2"/>
    <x v="1"/>
    <m/>
    <x v="0"/>
    <n v="30"/>
    <x v="1"/>
    <m/>
    <m/>
    <s v="Closed"/>
    <x v="1"/>
    <s v="NA"/>
    <n v="11"/>
    <d v="2026-03-13T09:58:35"/>
    <n v="1"/>
    <m/>
  </r>
  <r>
    <x v="0"/>
    <s v="0051436677"/>
    <s v="000010"/>
    <s v="0051436677-000010"/>
    <x v="142"/>
    <x v="116"/>
    <d v="2026-03-30T00:00:00"/>
    <s v="KYC"/>
    <s v="GHT"/>
    <x v="833"/>
    <x v="1"/>
    <x v="0"/>
    <s v="ANSI 49"/>
    <d v="2026-07-27T00:00:00"/>
    <n v="19"/>
    <d v="2026-03-10T00:00:00"/>
    <d v="2026-03-20T00:00:00"/>
    <m/>
    <b v="1"/>
    <x v="15"/>
    <n v="10"/>
    <n v="9"/>
    <n v="8"/>
    <x v="11"/>
    <s v="ON TIME"/>
    <x v="2"/>
    <x v="0"/>
    <m/>
    <x v="2"/>
    <n v="-12"/>
    <x v="0"/>
    <m/>
    <m/>
    <n v="-12"/>
    <x v="0"/>
    <s v="REBECA CISNEROS"/>
    <n v="12"/>
    <d v="2026-03-23T02:21:19"/>
    <n v="0.66666666666666663"/>
    <m/>
  </r>
  <r>
    <x v="0"/>
    <s v="0051519925"/>
    <s v="000010"/>
    <s v="0051519925-000010"/>
    <x v="138"/>
    <x v="113"/>
    <d v="2026-03-20T00:00:00"/>
    <s v="DMA"/>
    <s v="ODE"/>
    <x v="834"/>
    <x v="0"/>
    <x v="1"/>
    <s v="ANSI 49"/>
    <d v="2026-08-14T00:00:00"/>
    <n v="14"/>
    <d v="2026-03-10T00:00:00"/>
    <d v="2026-03-25T00:00:00"/>
    <m/>
    <b v="1"/>
    <x v="15"/>
    <n v="10"/>
    <n v="12"/>
    <n v="8"/>
    <x v="14"/>
    <s v="ON TIME"/>
    <x v="2"/>
    <x v="0"/>
    <m/>
    <x v="2"/>
    <n v="-7"/>
    <x v="0"/>
    <m/>
    <m/>
    <n v="-7"/>
    <x v="0"/>
    <s v="JUAN CARLOS MIRANDA"/>
    <n v="2"/>
    <d v="2026-03-25T09:58:35"/>
    <n v="0.11764705882352941"/>
    <m/>
  </r>
  <r>
    <x v="0"/>
    <s v="0051434217"/>
    <s v="000330"/>
    <s v="0051434217-000330"/>
    <x v="136"/>
    <x v="117"/>
    <d v="2026-03-31T00:00:00"/>
    <s v="JAM"/>
    <s v="AL"/>
    <x v="835"/>
    <x v="1"/>
    <x v="0"/>
    <s v="ANSI 49"/>
    <d v="2026-07-29T00:00:00"/>
    <n v="13"/>
    <d v="2026-03-10T00:00:00"/>
    <d v="2026-03-23T00:00:00"/>
    <m/>
    <b v="1"/>
    <x v="15"/>
    <n v="10"/>
    <n v="10"/>
    <n v="8"/>
    <x v="5"/>
    <s v="ON TIME"/>
    <x v="2"/>
    <x v="0"/>
    <m/>
    <x v="2"/>
    <n v="-6"/>
    <x v="0"/>
    <m/>
    <m/>
    <n v="-6"/>
    <x v="0"/>
    <s v="REBECA CISNEROS"/>
    <n v="15"/>
    <d v="2026-03-26T02:21:19"/>
    <n v="0.83333333333333337"/>
    <m/>
  </r>
  <r>
    <x v="0"/>
    <s v="0051434217"/>
    <s v="000330"/>
    <s v="0051434217-000330"/>
    <x v="136"/>
    <x v="112"/>
    <d v="2026-03-26T00:00:00"/>
    <s v="JAM"/>
    <s v="AL"/>
    <x v="836"/>
    <x v="1"/>
    <x v="0"/>
    <s v="ANSI 49"/>
    <d v="2026-07-13T00:00:00"/>
    <n v="16"/>
    <d v="2026-03-10T00:00:00"/>
    <d v="2026-03-23T00:00:00"/>
    <m/>
    <b v="1"/>
    <x v="15"/>
    <n v="10"/>
    <n v="10"/>
    <n v="8"/>
    <x v="5"/>
    <s v="ON TIME"/>
    <x v="2"/>
    <x v="0"/>
    <m/>
    <x v="2"/>
    <n v="-9"/>
    <x v="0"/>
    <m/>
    <m/>
    <n v="-9"/>
    <x v="0"/>
    <s v="JUAN CARLOS MIRANDA"/>
    <n v="2"/>
    <d v="2026-03-26T02:21:19"/>
    <n v="0.1111111111111111"/>
    <m/>
  </r>
  <r>
    <x v="0"/>
    <s v="0050384250"/>
    <s v="001230"/>
    <s v="0050384250-001230"/>
    <x v="69"/>
    <x v="118"/>
    <m/>
    <s v="ASP"/>
    <s v="VHL"/>
    <x v="837"/>
    <x v="1"/>
    <x v="0"/>
    <s v="ANSI 49"/>
    <d v="2026-08-06T00:00:00"/>
    <n v="11"/>
    <d v="2026-03-11T00:00:00"/>
    <d v="2026-03-20T00:00:00"/>
    <m/>
    <b v="1"/>
    <x v="15"/>
    <n v="10"/>
    <n v="8"/>
    <n v="7"/>
    <x v="11"/>
    <s v="ON TIME"/>
    <x v="2"/>
    <x v="0"/>
    <m/>
    <x v="2"/>
    <n v="-5"/>
    <x v="0"/>
    <m/>
    <m/>
    <n v="-5"/>
    <x v="0"/>
    <s v="JUAN CARLOS MIRANDA"/>
    <n v="15"/>
    <d v="2026-03-23T02:21:19"/>
    <n v="0.83333333333333337"/>
    <m/>
  </r>
  <r>
    <x v="0"/>
    <s v="0051434217"/>
    <s v="000320"/>
    <s v="0051434217-000320"/>
    <x v="136"/>
    <x v="112"/>
    <d v="2026-03-26T00:00:00"/>
    <s v="JAM"/>
    <s v="AL"/>
    <x v="838"/>
    <x v="1"/>
    <x v="0"/>
    <s v="ANSI 49"/>
    <d v="2026-03-30T00:00:00"/>
    <n v="15"/>
    <d v="2026-03-11T00:00:00"/>
    <d v="2026-03-20T00:00:00"/>
    <m/>
    <b v="1"/>
    <x v="15"/>
    <n v="10"/>
    <n v="8"/>
    <n v="7"/>
    <x v="11"/>
    <s v="ON TIME"/>
    <x v="2"/>
    <x v="0"/>
    <m/>
    <x v="2"/>
    <n v="-9"/>
    <x v="0"/>
    <m/>
    <m/>
    <n v="-9"/>
    <x v="0"/>
    <s v="JUAN CARLOS MIRANDA"/>
    <n v="11"/>
    <d v="2026-03-23T02:21:19"/>
    <n v="0.61111111111111116"/>
    <m/>
  </r>
  <r>
    <x v="0"/>
    <s v="0051035589"/>
    <s v="000220"/>
    <s v="0051035589-000220"/>
    <x v="130"/>
    <x v="98"/>
    <d v="2026-02-25T00:00:00"/>
    <s v="ALT"/>
    <s v="VL"/>
    <x v="839"/>
    <x v="1"/>
    <x v="0"/>
    <s v="ANSI 49"/>
    <d v="2026-06-24T00:00:00"/>
    <n v="-5"/>
    <d v="2026-03-12T00:00:00"/>
    <d v="2026-03-23T00:00:00"/>
    <m/>
    <b v="1"/>
    <x v="15"/>
    <n v="10"/>
    <n v="8"/>
    <n v="6"/>
    <x v="5"/>
    <s v="ON TIME"/>
    <x v="2"/>
    <x v="1"/>
    <m/>
    <x v="2"/>
    <n v="10"/>
    <x v="1"/>
    <m/>
    <m/>
    <n v="10"/>
    <x v="1"/>
    <s v="JUAN ANTONIO CABELLO"/>
    <n v="11"/>
    <d v="2026-03-26T02:21:19"/>
    <n v="0.61111111111111116"/>
    <m/>
  </r>
  <r>
    <x v="0"/>
    <s v="0051420926"/>
    <s v="000090"/>
    <s v="0051420926-000090"/>
    <x v="143"/>
    <x v="114"/>
    <d v="2026-04-10T00:00:00"/>
    <s v="ASP"/>
    <m/>
    <x v="840"/>
    <x v="0"/>
    <x v="1"/>
    <s v="ANSI 49"/>
    <d v="2026-08-21T00:00:00"/>
    <n v="27"/>
    <d v="2026-03-12T00:00:00"/>
    <d v="2026-03-30T00:00:00"/>
    <m/>
    <b v="1"/>
    <x v="15"/>
    <n v="10"/>
    <n v="13"/>
    <n v="6"/>
    <x v="25"/>
    <s v="ON TIME"/>
    <x v="2"/>
    <x v="0"/>
    <m/>
    <x v="2"/>
    <n v="-22"/>
    <x v="0"/>
    <m/>
    <m/>
    <n v="-22"/>
    <x v="0"/>
    <s v="DANIELA PAOLA GONZALEZ"/>
    <n v="2"/>
    <d v="2026-03-30T09:58:35"/>
    <n v="0.11764705882352941"/>
    <m/>
  </r>
  <r>
    <x v="0"/>
    <s v="0051700206"/>
    <s v="000010"/>
    <s v="0051700206-000010"/>
    <x v="144"/>
    <x v="119"/>
    <d v="2026-04-03T00:00:00"/>
    <s v="ALT"/>
    <s v="OAL"/>
    <x v="841"/>
    <x v="1"/>
    <x v="1"/>
    <s v="ANSI 49"/>
    <d v="2026-08-18T00:00:00"/>
    <n v="22"/>
    <d v="2026-03-12T00:00:00"/>
    <d v="2026-03-26T00:00:00"/>
    <m/>
    <b v="1"/>
    <x v="15"/>
    <n v="10"/>
    <n v="11"/>
    <n v="6"/>
    <x v="23"/>
    <s v="ON TIME"/>
    <x v="2"/>
    <x v="0"/>
    <m/>
    <x v="2"/>
    <n v="-17"/>
    <x v="0"/>
    <m/>
    <m/>
    <n v="-17"/>
    <x v="0"/>
    <s v="REGINA LOPEZ"/>
    <n v="2"/>
    <d v="2026-03-26T09:58:35"/>
    <n v="0.11764705882352941"/>
    <m/>
  </r>
  <r>
    <x v="0"/>
    <s v="0051420926"/>
    <s v="000090"/>
    <s v="0051420926-000090"/>
    <x v="143"/>
    <x v="114"/>
    <d v="2026-04-10T00:00:00"/>
    <s v="ASP"/>
    <m/>
    <x v="842"/>
    <x v="0"/>
    <x v="1"/>
    <s v="ANSI 49"/>
    <d v="2026-08-21T00:00:00"/>
    <n v="26"/>
    <d v="2026-03-13T00:00:00"/>
    <d v="2026-03-27T00:00:00"/>
    <m/>
    <b v="1"/>
    <x v="15"/>
    <n v="10"/>
    <n v="11"/>
    <n v="5"/>
    <x v="24"/>
    <s v="ON TIME"/>
    <x v="2"/>
    <x v="0"/>
    <m/>
    <x v="2"/>
    <n v="-22"/>
    <x v="0"/>
    <m/>
    <m/>
    <n v="-22"/>
    <x v="0"/>
    <s v="JUAN CARLOS MIRANDA"/>
    <n v="2"/>
    <d v="2026-03-27T09:58:35"/>
    <n v="0.11764705882352941"/>
    <m/>
  </r>
  <r>
    <x v="0"/>
    <s v="0051420926"/>
    <s v="000090"/>
    <s v="0051420926-000090"/>
    <x v="143"/>
    <x v="114"/>
    <d v="2026-04-10T00:00:00"/>
    <s v="ASP"/>
    <m/>
    <x v="843"/>
    <x v="0"/>
    <x v="0"/>
    <s v="ANSI 49"/>
    <d v="2026-08-21T00:00:00"/>
    <n v="26"/>
    <d v="2026-03-13T00:00:00"/>
    <d v="2026-03-24T00:00:00"/>
    <d v="2026-03-13T00:00:00"/>
    <b v="0"/>
    <x v="15"/>
    <n v="10"/>
    <n v="8"/>
    <n v="1"/>
    <x v="25"/>
    <s v="ON TIME"/>
    <x v="2"/>
    <x v="0"/>
    <m/>
    <x v="1"/>
    <n v="-26"/>
    <x v="0"/>
    <m/>
    <m/>
    <s v="Cancelled"/>
    <x v="0"/>
    <s v="NA"/>
    <n v="0"/>
    <d v="2026-03-27T02:21:19"/>
    <n v="0"/>
    <m/>
  </r>
  <r>
    <x v="0"/>
    <s v="0051700206"/>
    <s v="000010"/>
    <s v="0051700206-000010"/>
    <x v="144"/>
    <x v="119"/>
    <d v="2026-04-03T00:00:00"/>
    <s v="ALT"/>
    <s v="OAL"/>
    <x v="844"/>
    <x v="1"/>
    <x v="0"/>
    <s v="ANSI 49"/>
    <d v="2026-08-18T00:00:00"/>
    <n v="22"/>
    <d v="2026-03-12T00:00:00"/>
    <d v="2026-03-24T00:00:00"/>
    <m/>
    <b v="1"/>
    <x v="15"/>
    <n v="10"/>
    <n v="9"/>
    <n v="6"/>
    <x v="16"/>
    <s v="ON TIME"/>
    <x v="2"/>
    <x v="0"/>
    <m/>
    <x v="1"/>
    <n v="-17"/>
    <x v="0"/>
    <m/>
    <m/>
    <s v="Cancelled"/>
    <x v="0"/>
    <s v="NA"/>
    <n v="6"/>
    <d v="2026-03-27T02:21:19"/>
    <n v="0.33333333333333331"/>
    <m/>
  </r>
  <r>
    <x v="0"/>
    <s v="0051420926"/>
    <s v="000090"/>
    <s v="0051420926-000090"/>
    <x v="143"/>
    <x v="114"/>
    <d v="2026-04-10T00:00:00"/>
    <s v="ASP"/>
    <m/>
    <x v="845"/>
    <x v="0"/>
    <x v="0"/>
    <s v="ANSI 49"/>
    <d v="2026-08-21T00:00:00"/>
    <n v="26"/>
    <d v="2026-03-13T00:00:00"/>
    <d v="2026-03-24T00:00:00"/>
    <m/>
    <b v="1"/>
    <x v="15"/>
    <n v="10"/>
    <n v="8"/>
    <n v="5"/>
    <x v="16"/>
    <s v="ON TIME"/>
    <x v="2"/>
    <x v="0"/>
    <m/>
    <x v="2"/>
    <n v="-22"/>
    <x v="0"/>
    <m/>
    <m/>
    <n v="-22"/>
    <x v="0"/>
    <s v="JUAN CARLOS MIRANDA"/>
    <n v="7"/>
    <d v="2026-03-27T02:21:19"/>
    <n v="0.3888888888888889"/>
    <m/>
  </r>
  <r>
    <x v="0"/>
    <s v="0051420926"/>
    <s v="000090"/>
    <s v="0051420926-000090"/>
    <x v="143"/>
    <x v="114"/>
    <d v="2026-04-10T00:00:00"/>
    <s v="ASP"/>
    <m/>
    <x v="846"/>
    <x v="0"/>
    <x v="0"/>
    <s v="ANSI 49"/>
    <d v="2026-08-21T00:00:00"/>
    <n v="26"/>
    <d v="2026-03-13T00:00:00"/>
    <d v="2026-03-24T00:00:00"/>
    <m/>
    <b v="1"/>
    <x v="15"/>
    <n v="10"/>
    <n v="8"/>
    <n v="5"/>
    <x v="16"/>
    <s v="ON TIME"/>
    <x v="2"/>
    <x v="0"/>
    <m/>
    <x v="2"/>
    <n v="-22"/>
    <x v="0"/>
    <m/>
    <m/>
    <n v="-22"/>
    <x v="0"/>
    <s v="JUAN CARLOS MIRANDA"/>
    <n v="1"/>
    <d v="2026-03-27T02:21:19"/>
    <n v="5.5555555555555552E-2"/>
    <m/>
  </r>
  <r>
    <x v="0"/>
    <s v="0051897029"/>
    <s v="000010&amp;000020"/>
    <s v="0051897029-000010&amp;000020"/>
    <x v="145"/>
    <x v="101"/>
    <d v="2026-04-17T00:00:00"/>
    <s v="KRS"/>
    <m/>
    <x v="847"/>
    <x v="0"/>
    <x v="1"/>
    <s v="ANSI 49"/>
    <d v="2026-07-28T00:00:00"/>
    <n v="31"/>
    <d v="2026-03-13T00:00:00"/>
    <d v="2026-03-27T00:00:00"/>
    <m/>
    <b v="1"/>
    <x v="15"/>
    <n v="10"/>
    <n v="11"/>
    <n v="5"/>
    <x v="24"/>
    <s v="ON TIME"/>
    <x v="2"/>
    <x v="0"/>
    <m/>
    <x v="2"/>
    <n v="-27"/>
    <x v="0"/>
    <m/>
    <m/>
    <n v="-27"/>
    <x v="0"/>
    <s v="JUAN ANTONIO CABELLO"/>
    <m/>
    <d v="2026-03-27T09:58:35"/>
    <n v="0"/>
    <m/>
  </r>
  <r>
    <x v="0"/>
    <s v="0051436677"/>
    <s v="000010"/>
    <s v="0051436677-000010"/>
    <x v="142"/>
    <x v="116"/>
    <d v="2026-03-30T00:00:00"/>
    <s v="KYC"/>
    <s v="GHT"/>
    <x v="848"/>
    <x v="1"/>
    <x v="0"/>
    <s v="ANSI 49"/>
    <d v="2026-07-20T00:00:00"/>
    <n v="16"/>
    <d v="2026-03-13T00:00:00"/>
    <d v="2026-03-24T00:00:00"/>
    <m/>
    <b v="1"/>
    <x v="15"/>
    <n v="10"/>
    <n v="8"/>
    <n v="5"/>
    <x v="16"/>
    <s v="ON TIME"/>
    <x v="2"/>
    <x v="0"/>
    <m/>
    <x v="2"/>
    <n v="-12"/>
    <x v="0"/>
    <m/>
    <m/>
    <n v="-12"/>
    <x v="0"/>
    <s v="JUAN ANTONIO CABELLO"/>
    <m/>
    <d v="2026-03-27T02:21:19"/>
    <n v="0"/>
    <m/>
  </r>
  <r>
    <x v="0"/>
    <s v="0051700206"/>
    <s v="000010"/>
    <s v="0051700206-000010"/>
    <x v="144"/>
    <x v="119"/>
    <d v="2026-04-03T00:00:00"/>
    <s v="ALT"/>
    <s v="OAL"/>
    <x v="849"/>
    <x v="1"/>
    <x v="0"/>
    <s v="ANSI 49"/>
    <d v="2026-08-18T00:00:00"/>
    <n v="21"/>
    <d v="2026-03-13T00:00:00"/>
    <d v="2026-03-24T00:00:00"/>
    <m/>
    <b v="1"/>
    <x v="15"/>
    <n v="10"/>
    <n v="8"/>
    <n v="5"/>
    <x v="16"/>
    <s v="ON TIME"/>
    <x v="2"/>
    <x v="0"/>
    <m/>
    <x v="2"/>
    <n v="-17"/>
    <x v="0"/>
    <m/>
    <m/>
    <n v="-17"/>
    <x v="0"/>
    <s v="JUAN ANTONIO CABELLO"/>
    <n v="6"/>
    <d v="2026-03-27T02:21:19"/>
    <n v="0.33333333333333331"/>
    <m/>
  </r>
  <r>
    <x v="0"/>
    <s v="0051436816"/>
    <s v="000030"/>
    <s v="0051436816-000030"/>
    <x v="46"/>
    <x v="39"/>
    <d v="2025-12-19T00:00:00"/>
    <s v="DMA"/>
    <s v="KGF"/>
    <x v="850"/>
    <x v="0"/>
    <x v="1"/>
    <s v="ANSI 49"/>
    <d v="2026-03-27T00:00:00"/>
    <n v="-58"/>
    <d v="2026-03-17T00:00:00"/>
    <d v="2026-03-30T00:00:00"/>
    <m/>
    <b v="1"/>
    <x v="15"/>
    <n v="10"/>
    <n v="10"/>
    <n v="3"/>
    <x v="25"/>
    <s v="ON TIME"/>
    <x v="2"/>
    <x v="1"/>
    <m/>
    <x v="2"/>
    <n v="59"/>
    <x v="1"/>
    <m/>
    <m/>
    <n v="59"/>
    <x v="1"/>
    <s v="JUAN CARLOS MIRANDA"/>
    <n v="0"/>
    <d v="2026-03-30T09:58:35"/>
    <n v="0"/>
    <m/>
  </r>
  <r>
    <x v="0"/>
    <s v="0051878856"/>
    <s v="000010"/>
    <s v="0051878856-000010"/>
    <x v="146"/>
    <x v="113"/>
    <d v="2026-03-20T00:00:00"/>
    <s v="ATA"/>
    <s v="ODE"/>
    <x v="851"/>
    <x v="0"/>
    <x v="0"/>
    <s v="ANSI 49"/>
    <d v="2026-08-27T00:00:00"/>
    <n v="9"/>
    <d v="2026-03-17T00:00:00"/>
    <d v="2026-03-26T00:00:00"/>
    <m/>
    <b v="1"/>
    <x v="15"/>
    <n v="10"/>
    <n v="8"/>
    <n v="3"/>
    <x v="23"/>
    <s v="ON TIME"/>
    <x v="2"/>
    <x v="1"/>
    <m/>
    <x v="2"/>
    <n v="-7"/>
    <x v="0"/>
    <m/>
    <m/>
    <n v="-7"/>
    <x v="0"/>
    <s v="JUAN CARLOS MIRANDA"/>
    <n v="0"/>
    <d v="2026-03-29T02:21:19"/>
    <n v="0"/>
    <m/>
  </r>
  <r>
    <x v="0"/>
    <s v="0051878856"/>
    <s v="000010"/>
    <s v="0051878856-000010"/>
    <x v="146"/>
    <x v="113"/>
    <d v="2026-03-20T00:00:00"/>
    <s v="ATA"/>
    <s v="ODE"/>
    <x v="852"/>
    <x v="0"/>
    <x v="0"/>
    <s v="ANSI 49"/>
    <d v="2026-08-27T00:00:00"/>
    <n v="8"/>
    <d v="2026-03-18T00:00:00"/>
    <d v="2026-03-25T00:00:00"/>
    <m/>
    <b v="1"/>
    <x v="15"/>
    <n v="10"/>
    <n v="6"/>
    <n v="2"/>
    <x v="14"/>
    <s v="ON TIME"/>
    <x v="2"/>
    <x v="1"/>
    <m/>
    <x v="2"/>
    <n v="-7"/>
    <x v="0"/>
    <m/>
    <m/>
    <n v="-7"/>
    <x v="0"/>
    <s v="JUAN CARLOS MIRANDA"/>
    <n v="0"/>
    <d v="2026-03-28T02:21:19"/>
    <n v="0"/>
    <m/>
  </r>
  <r>
    <x v="0"/>
    <s v="0051425171"/>
    <s v="000660"/>
    <s v="0051425171-000660"/>
    <x v="147"/>
    <x v="109"/>
    <d v="2026-03-06T00:00:00"/>
    <s v="JAM"/>
    <s v="ISQ"/>
    <x v="853"/>
    <x v="1"/>
    <x v="0"/>
    <s v="ANSI 49"/>
    <d v="2026-09-02T00:00:00"/>
    <n v="-2"/>
    <d v="2026-03-18T00:00:00"/>
    <d v="2026-03-25T00:00:00"/>
    <m/>
    <b v="1"/>
    <x v="15"/>
    <n v="10"/>
    <n v="6"/>
    <n v="2"/>
    <x v="14"/>
    <s v="ON TIME"/>
    <x v="2"/>
    <x v="1"/>
    <m/>
    <x v="2"/>
    <n v="3"/>
    <x v="1"/>
    <m/>
    <m/>
    <n v="3"/>
    <x v="1"/>
    <s v="JUAN CARLOS MIRANDA"/>
    <n v="0"/>
    <d v="2026-03-28T02:21:19"/>
    <n v="0"/>
    <m/>
  </r>
  <r>
    <x v="0"/>
    <s v="0051425171"/>
    <s v="000660"/>
    <s v="0051425171-000660"/>
    <x v="147"/>
    <x v="114"/>
    <d v="2026-04-06T00:00:00"/>
    <s v="JAM"/>
    <s v="ISQ"/>
    <x v="854"/>
    <x v="1"/>
    <x v="0"/>
    <s v="ANSI 49"/>
    <d v="2026-08-17T00:00:00"/>
    <n v="23"/>
    <d v="2026-03-18T00:00:00"/>
    <d v="2026-03-25T00:00:00"/>
    <m/>
    <b v="1"/>
    <x v="15"/>
    <n v="10"/>
    <n v="6"/>
    <n v="2"/>
    <x v="14"/>
    <s v="ON TIME"/>
    <x v="2"/>
    <x v="0"/>
    <m/>
    <x v="2"/>
    <n v="-22"/>
    <x v="0"/>
    <m/>
    <m/>
    <n v="-22"/>
    <x v="0"/>
    <s v="JUAN CARLOS MIRANDA"/>
    <n v="0"/>
    <d v="2026-03-28T02:21:19"/>
    <n v="0"/>
    <m/>
  </r>
  <r>
    <x v="0"/>
    <s v="0051897029"/>
    <s v="000010"/>
    <s v="0051897029-000010"/>
    <x v="145"/>
    <x v="101"/>
    <d v="2026-04-17T00:00:00"/>
    <m/>
    <s v="ODE"/>
    <x v="855"/>
    <x v="1"/>
    <x v="0"/>
    <s v="ANSI 49"/>
    <d v="2026-07-28T00:00:00"/>
    <n v="28"/>
    <d v="2026-03-18T00:00:00"/>
    <d v="2026-03-26T00:00:00"/>
    <m/>
    <b v="1"/>
    <x v="15"/>
    <n v="10"/>
    <n v="7"/>
    <n v="2"/>
    <x v="23"/>
    <s v="ON TIME"/>
    <x v="2"/>
    <x v="0"/>
    <m/>
    <x v="2"/>
    <n v="-27"/>
    <x v="0"/>
    <m/>
    <m/>
    <n v="-27"/>
    <x v="0"/>
    <s v="JUAN CARLOS MIRANDA"/>
    <n v="0"/>
    <d v="2026-03-29T02:21:19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4FAD8-51FF-43D7-AE9D-EBE15528A0BC}" name="PivotTable62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86:Y87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8" hier="-1"/>
    <pageField fld="10" item="2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FA773-35CF-4033-96ED-22D38337D959}" name="PivotTable18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8:K39" firstHeaderRow="0" firstDataRow="1" firstDataCol="0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8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035D1-1E37-4BD7-AAC1-9C2037F02055}" name="PivotTable3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8:G19" firstHeaderRow="1" firstDataRow="1" firstDataCol="0" rowPageCount="3" colPageCount="1"/>
  <pivotFields count="40">
    <pivotField axis="axisPage" compact="0" outline="0" showAll="0">
      <items count="5">
        <item x="0"/>
        <item x="1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x="0"/>
        <item h="1" x="2"/>
        <item x="1"/>
        <item m="1" x="4"/>
        <item m="1" x="3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Items count="1">
    <i/>
  </colItems>
  <pageFields count="3">
    <pageField fld="0" hier="-1"/>
    <pageField fld="28" hier="-1"/>
    <pageField fld="25" hier="-1"/>
  </pageFields>
  <dataFields count="1">
    <dataField name="Average of Overdue Time [Expected-Completion]" fld="23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B93CF-5FFF-4A33-AF89-395F0910822D}" name="PivotTable2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10:L111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1" item="2" hier="-1"/>
    <pageField fld="28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F1064-E7EB-405E-B444-C4A3DC585114}" name="PivotTable25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204:B233" firstHeaderRow="1" firstDataRow="1" firstDataCol="1" rowPageCount="3" colPageCount="1"/>
  <pivotFields count="40">
    <pivotField compact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4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</items>
    </pivotField>
    <pivotField compact="0" outline="0" subtotalTop="0" showAll="0" defaultSubtotal="0"/>
    <pivotField compact="0" showAl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subtotalTop="0" showAll="0" defaultSubtotal="0">
      <items count="9">
        <item x="0"/>
        <item m="1" x="8"/>
        <item x="1"/>
        <item m="1" x="7"/>
        <item m="1" x="3"/>
        <item m="1" x="6"/>
        <item m="1" x="5"/>
        <item x="2"/>
        <item m="1" x="4"/>
      </items>
    </pivotField>
    <pivotField axis="axisPage" compact="0" outline="0" subtotalTop="0" showAll="0" defaultSubtotal="0">
      <items count="6">
        <item x="1"/>
        <item x="0"/>
        <item m="1" x="4"/>
        <item x="2"/>
        <item m="1" x="5"/>
        <item x="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4" outline="0" subtotalTop="0" showAll="0" defaultSubtotal="0"/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compact="0" showAll="0"/>
    <pivotField compact="0" outline="0" subtotalTop="0" showAll="0" defaultSubtotal="0"/>
    <pivotField compact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showAll="0" defaultSubtotal="0">
      <items count="4">
        <item h="1" x="0"/>
        <item h="1" x="2"/>
        <item x="1"/>
        <item m="1" x="3"/>
      </items>
    </pivotField>
    <pivotField compact="0" outline="0" subtotalTop="0" showAll="0" defaultSubtotal="0"/>
    <pivotField compact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29">
    <i>
      <x v="1"/>
    </i>
    <i>
      <x v="2"/>
    </i>
    <i>
      <x v="7"/>
    </i>
    <i>
      <x v="22"/>
    </i>
    <i>
      <x v="32"/>
    </i>
    <i>
      <x v="38"/>
    </i>
    <i>
      <x v="45"/>
    </i>
    <i>
      <x v="53"/>
    </i>
    <i>
      <x v="61"/>
    </i>
    <i>
      <x v="65"/>
    </i>
    <i>
      <x v="73"/>
    </i>
    <i>
      <x v="74"/>
    </i>
    <i>
      <x v="77"/>
    </i>
    <i>
      <x v="78"/>
    </i>
    <i>
      <x v="84"/>
    </i>
    <i>
      <x v="88"/>
    </i>
    <i>
      <x v="89"/>
    </i>
    <i>
      <x v="100"/>
    </i>
    <i>
      <x v="105"/>
    </i>
    <i>
      <x v="106"/>
    </i>
    <i>
      <x v="108"/>
    </i>
    <i>
      <x v="122"/>
    </i>
    <i>
      <x v="123"/>
    </i>
    <i>
      <x v="134"/>
    </i>
    <i>
      <x v="143"/>
    </i>
    <i>
      <x v="146"/>
    </i>
    <i>
      <x v="159"/>
    </i>
    <i>
      <x v="160"/>
    </i>
    <i t="grand">
      <x/>
    </i>
  </rowItems>
  <colItems count="1">
    <i/>
  </colItems>
  <pageFields count="3">
    <pageField fld="11" hier="-1"/>
    <pageField fld="28" item="2" hier="-1"/>
    <pageField fld="10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50FFE-FFB5-4683-A64E-AA86ECD50784}" name="PivotTable10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74:K75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item="0" hier="-1"/>
    <pageField fld="10" item="2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F111F-B526-42F9-A4AB-90EFEDF2B6F4}" name="PivotTable24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0">
  <location ref="A18:B22" firstHeaderRow="1" firstDataRow="1" firstDataCol="1" rowPageCount="5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showAll="0">
      <items count="30">
        <item m="1" x="20"/>
        <item m="1" x="24"/>
        <item x="4"/>
        <item x="8"/>
        <item x="12"/>
        <item m="1" x="27"/>
        <item m="1" x="17"/>
        <item x="2"/>
        <item m="1" x="18"/>
        <item m="1" x="28"/>
        <item x="1"/>
        <item x="13"/>
        <item x="7"/>
        <item m="1" x="23"/>
        <item x="6"/>
        <item m="1" x="22"/>
        <item x="3"/>
        <item m="1" x="19"/>
        <item x="5"/>
        <item m="1" x="21"/>
        <item x="11"/>
        <item m="1" x="26"/>
        <item x="0"/>
        <item x="10"/>
        <item m="1" x="16"/>
        <item x="9"/>
        <item m="1" x="25"/>
        <item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2"/>
        <item x="1"/>
        <item m="1" x="4"/>
        <item m="1" x="3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pageFields count="5">
    <pageField fld="4" hier="-1"/>
    <pageField fld="11" hier="-1"/>
    <pageField fld="28" hier="-1"/>
    <pageField fld="10" hier="-1"/>
    <pageField fld="19" hier="-1"/>
  </pageFields>
  <dataFields count="1">
    <dataField name="Count of Classification [Completion-Due Date]" fld="25" subtotal="count" showDataAs="percentOfTotal" baseField="0" baseItem="0" numFmtId="10"/>
  </dataFields>
  <chartFormats count="100"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8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8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9" format="3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9" format="3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0" format="38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0" format="39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2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2" format="4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2" format="4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3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3" format="5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3" format="5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4" format="5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4" format="5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6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6" format="4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6" format="4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7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7" format="5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7" format="5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8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8" format="7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8" format="7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9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9" format="7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9" format="7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0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0" format="7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0" format="7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1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7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1" format="7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1" format="7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2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2" format="7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2" format="7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3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7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3" format="7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3" format="7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4" format="7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7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4" format="78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4" format="79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5" format="7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5" format="78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5" format="79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8" format="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8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8" format="82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8" format="83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9" format="8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9" format="8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9" format="8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813FC-9208-4C99-AE59-232C2586EE00}" name="PivotTable4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3:L24" firstHeaderRow="0" firstDataRow="1" firstDataCol="0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8" item="2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4476C-2F77-49B6-9E8F-5FAF983685FA}" name="PivotTable39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68:Z69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8" item="2" hier="-1"/>
    <pageField fld="10" item="2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25379-0781-4068-9E56-6CC57048C84A}" name="PivotTable57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56:Y57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8" hier="-1"/>
    <pageField fld="10" item="4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2A46D-63A8-4BD7-B830-DF159EB644F8}" name="PivotTable60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44:Z45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8" item="2" hier="-1"/>
    <pageField fld="10" item="4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BDDA0-7FEE-478E-B64D-7170A4420551}" name="PivotTable49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33:Y34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item="1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C9A57-835E-4893-9834-8DC8F7982FDD}" name="PivotTable9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0:K81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hier="-1"/>
    <pageField fld="10" item="2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E139C-4D2E-4DC8-A9FD-873F2C6AD2D5}" name="PivotTable7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44:L45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8" item="2" hier="-1"/>
    <pageField fld="10" item="4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B2BFD-4717-4B91-A558-C6D4CE834191}" name="PivotTable29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45:L146" firstHeaderRow="0" firstDataRow="1" firstDataCol="0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6" item="1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14592-3297-4916-A916-1B6EBFF40C06}" name="PivotTable59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50:Y51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8" item="0" hier="-1"/>
    <pageField fld="10" item="4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35754-4914-4756-8FD3-B79CC3BAC28A}" name="PivotTable17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28:K129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1" item="0" hier="-1"/>
    <pageField fld="28" item="1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A91A5-1941-4AA5-8A73-F280D6ABF32E}" name="PivotTable4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40:Z141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6" item="0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752B2-E861-4B4F-BFE8-54C2CC4DD2C3}" name="PivotTable58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33:P34" firstHeaderRow="1" firstDataRow="1" firstDataCol="1" rowPageCount="5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h="1" x="2"/>
        <item h="1" x="1"/>
        <item m="1" x="4"/>
        <item h="1" m="1" x="3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">
    <i t="grand">
      <x/>
    </i>
  </rowItems>
  <colItems count="1">
    <i/>
  </colItems>
  <pageFields count="5">
    <pageField fld="11" hier="-1"/>
    <pageField fld="28" item="2" hier="-1"/>
    <pageField fld="10" hier="-1"/>
    <pageField fld="25" hier="-1"/>
    <pageField fld="19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E1F3D-AD63-4D3B-898B-F1A1726C4342}" name="PivotTable48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55:P58" firstHeaderRow="1" firstDataRow="1" firstDataCol="1" rowPageCount="5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x="2"/>
        <item h="1" x="1"/>
        <item m="1" x="4"/>
        <item h="1" m="1" x="3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">
        <item h="1" x="0"/>
        <item h="1"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 v="159"/>
    </i>
    <i>
      <x v="160"/>
    </i>
    <i t="grand">
      <x/>
    </i>
  </rowItems>
  <colItems count="1">
    <i/>
  </colItems>
  <pageFields count="5">
    <pageField fld="11" hier="-1"/>
    <pageField fld="28" hier="-1"/>
    <pageField fld="10" hier="-1"/>
    <pageField fld="25" hier="-1"/>
    <pageField fld="19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AA7C5-C3D7-4380-ADFB-9AE82A8F8003}" name="PivotTable23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40:L141" firstHeaderRow="0" firstDataRow="1" firstDataCol="0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6" item="0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6CB11-7B89-4D44-929B-D0459B0FEFA1}" name="PivotTable35" cacheId="3148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58">
  <location ref="C406:F418" firstHeaderRow="0" firstDataRow="1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ascending">
      <items count="30">
        <item m="1" x="20"/>
        <item m="1" x="24"/>
        <item x="4"/>
        <item x="8"/>
        <item x="12"/>
        <item m="1" x="27"/>
        <item h="1" m="1" x="17"/>
        <item h="1" x="2"/>
        <item x="14"/>
        <item h="1" m="1" x="18"/>
        <item m="1" x="28"/>
        <item h="1" x="1"/>
        <item x="13"/>
        <item x="7"/>
        <item m="1" x="23"/>
        <item x="6"/>
        <item m="1" x="22"/>
        <item h="1" x="3"/>
        <item x="15"/>
        <item m="1" x="19"/>
        <item x="5"/>
        <item m="1" x="21"/>
        <item x="11"/>
        <item m="1" x="26"/>
        <item h="1" x="0"/>
        <item x="10"/>
        <item m="1" x="16"/>
        <item x="9"/>
        <item m="1" x="2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12">
    <i>
      <x v="2"/>
    </i>
    <i>
      <x v="3"/>
    </i>
    <i>
      <x v="4"/>
    </i>
    <i>
      <x v="8"/>
    </i>
    <i>
      <x v="12"/>
    </i>
    <i>
      <x v="13"/>
    </i>
    <i>
      <x v="15"/>
    </i>
    <i>
      <x v="18"/>
    </i>
    <i>
      <x v="20"/>
    </i>
    <i>
      <x v="22"/>
    </i>
    <i>
      <x v="25"/>
    </i>
    <i>
      <x v="27"/>
    </i>
  </rowItems>
  <colFields count="1">
    <field x="-2"/>
  </colFields>
  <colItems count="3">
    <i>
      <x/>
    </i>
    <i i="1">
      <x v="1"/>
    </i>
    <i i="2">
      <x v="2"/>
    </i>
  </colItems>
  <pageFields count="4">
    <pageField fld="4" hier="-1"/>
    <pageField fld="11" hier="-1"/>
    <pageField fld="28" hier="-1"/>
    <pageField fld="10" hier="-1"/>
  </pageFields>
  <dataFields count="3">
    <dataField name="Average of Overdue Time [Expected-Completion]" fld="23" subtotal="average" baseField="0" baseItem="0" numFmtId="2"/>
    <dataField name="Average of Impact Time Post RM" fld="29" subtotal="average" baseField="0" baseItem="0" numFmtId="2"/>
    <dataField name="Average of Pre RM Opening Time" fld="14" subtotal="average" baseField="0" baseItem="0" numFmtId="2"/>
  </dataFields>
  <formats count="3">
    <format dxfId="1226">
      <pivotArea dataOnly="0" labelOnly="1" outline="0" fieldPosition="0">
        <references count="1">
          <reference field="19" count="0"/>
        </references>
      </pivotArea>
    </format>
    <format dxfId="1227">
      <pivotArea outline="0" fieldPosition="0">
        <references count="1">
          <reference field="4294967294" count="1" selected="0">
            <x v="0"/>
          </reference>
        </references>
      </pivotArea>
    </format>
    <format dxfId="1228">
      <pivotArea outline="0" fieldPosition="0">
        <references count="1">
          <reference field="4294967294" count="2" selected="0">
            <x v="1"/>
            <x v="2"/>
          </reference>
        </references>
      </pivotArea>
    </format>
  </formats>
  <chartFormats count="16">
    <chartFormat chart="5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7" format="15">
      <pivotArea type="data" outline="0" fieldPosition="0">
        <references count="2">
          <reference field="4294967294" count="1" selected="0">
            <x v="2"/>
          </reference>
          <reference field="19" count="1" selected="0">
            <x v="2"/>
          </reference>
        </references>
      </pivotArea>
    </chartFormat>
    <chartFormat chart="57" format="16">
      <pivotArea type="data" outline="0" fieldPosition="0">
        <references count="2">
          <reference field="4294967294" count="1" selected="0">
            <x v="1"/>
          </reference>
          <reference field="19" count="1" selected="0">
            <x v="4"/>
          </reference>
        </references>
      </pivotArea>
    </chartFormat>
    <chartFormat chart="57" format="17">
      <pivotArea type="data" outline="0" fieldPosition="0">
        <references count="2">
          <reference field="4294967294" count="1" selected="0">
            <x v="1"/>
          </reference>
          <reference field="19" count="1" selected="0">
            <x v="5"/>
          </reference>
        </references>
      </pivotArea>
    </chartFormat>
    <chartFormat chart="57" format="18">
      <pivotArea type="data" outline="0" fieldPosition="0">
        <references count="2">
          <reference field="4294967294" count="1" selected="0">
            <x v="2"/>
          </reference>
          <reference field="19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82DAA-5D29-4BD4-BF70-EB84E6F0522A}" name="PivotTable2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56:K57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hier="-1"/>
    <pageField fld="10" item="4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A19AF-8D07-47E0-98A8-A97B21B04E04}" name="PivotTable38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90:P98" firstHeaderRow="1" firstDataRow="1" firstDataCol="1" rowPageCount="5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multipleItemSelectionAllowed="1" showAll="0">
      <items count="30">
        <item h="1" m="1" x="20"/>
        <item h="1" m="1" x="24"/>
        <item h="1" x="4"/>
        <item h="1" x="8"/>
        <item h="1" x="12"/>
        <item h="1" m="1" x="27"/>
        <item h="1" m="1" x="17"/>
        <item h="1" x="2"/>
        <item m="1" x="18"/>
        <item h="1" m="1" x="28"/>
        <item h="1" x="1"/>
        <item h="1" x="13"/>
        <item h="1" x="7"/>
        <item h="1" m="1" x="23"/>
        <item h="1" x="6"/>
        <item h="1" m="1" x="22"/>
        <item h="1" x="3"/>
        <item h="1" m="1" x="19"/>
        <item h="1" x="5"/>
        <item h="1" m="1" x="21"/>
        <item h="1" x="11"/>
        <item h="1" m="1" x="26"/>
        <item h="1" x="0"/>
        <item h="1" x="10"/>
        <item h="1" m="1" x="16"/>
        <item h="1" x="9"/>
        <item h="1" m="1" x="25"/>
        <item h="1"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h="1" x="2"/>
        <item x="1"/>
        <item m="1" x="4"/>
        <item h="1" m="1" x="3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">
        <item x="0"/>
        <item x="2"/>
        <item h="1"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 v="72"/>
    </i>
    <i>
      <x v="89"/>
    </i>
    <i>
      <x v="147"/>
    </i>
    <i>
      <x v="152"/>
    </i>
    <i>
      <x v="153"/>
    </i>
    <i>
      <x v="154"/>
    </i>
    <i>
      <x v="155"/>
    </i>
    <i t="grand">
      <x/>
    </i>
  </rowItems>
  <colItems count="1">
    <i/>
  </colItems>
  <pageFields count="5">
    <pageField fld="11" hier="-1"/>
    <pageField fld="28" hier="-1"/>
    <pageField fld="10" hier="-1"/>
    <pageField fld="25" hier="-1"/>
    <pageField fld="19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E057A-1AAB-4BFF-BCE8-47F028267DC6}" name="PivotTable52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92:Z93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1" item="2" hier="-1"/>
    <pageField fld="28" item="2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5FE25-B00A-492B-8D54-46BEDF67C7BA}" name="PivotTable5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45:Z146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6" item="1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DD0B1-90F1-4B49-8B73-9CBF02615B8B}" name="PivotTable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8:D9" firstHeaderRow="0" firstDataRow="1" firstDataCol="0" rowPageCount="5" colPageCount="1"/>
  <pivotFields count="40">
    <pivotField axis="axisPage" compact="0" outline="0" showAll="0">
      <items count="5">
        <item x="0"/>
        <item x="1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name="Job name" axis="axisPage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5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5">
    <pageField fld="4" hier="-1"/>
    <pageField fld="11" hier="-1"/>
    <pageField fld="28" hier="-1"/>
    <pageField fld="10" hier="-1"/>
    <pageField fld="0" hier="-1"/>
  </pageFields>
  <dataFields count="4">
    <dataField name="Average of Overdue Time [Expected-Completion]" fld="23" subtotal="average" baseField="0" baseItem="0"/>
    <dataField name="Average of Active Time" fld="22" subtotal="average" baseField="0" baseItem="0"/>
    <dataField name="Average of Pre RM Opening Time" fld="14" subtotal="average" baseField="0" baseItem="0"/>
    <dataField name="Count of WF" fld="9" subtotal="count" baseField="0" baseItem="0"/>
  </dataFields>
  <formats count="2">
    <format dxfId="1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D009A-8DE0-47C0-A2B2-28F9A8ADCAEC}" name="PivotTable30" cacheId="3148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O268:P268" firstHeaderRow="1" firstDataRow="1" firstDataCol="1" rowPageCount="6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multipleItemSelectionAllowed="1" showAll="0">
      <items count="30">
        <item h="1" m="1" x="20"/>
        <item h="1" m="1" x="24"/>
        <item h="1" x="4"/>
        <item h="1" x="8"/>
        <item h="1" x="12"/>
        <item h="1" m="1" x="27"/>
        <item h="1" m="1" x="17"/>
        <item h="1" x="2"/>
        <item m="1" x="18"/>
        <item h="1" m="1" x="28"/>
        <item h="1" x="1"/>
        <item h="1" x="13"/>
        <item h="1" x="7"/>
        <item h="1" m="1" x="23"/>
        <item h="1" x="6"/>
        <item h="1" m="1" x="22"/>
        <item h="1" x="3"/>
        <item h="1" m="1" x="19"/>
        <item h="1" x="5"/>
        <item h="1" m="1" x="21"/>
        <item h="1" x="11"/>
        <item h="1" m="1" x="26"/>
        <item h="1" x="0"/>
        <item h="1" x="10"/>
        <item h="1" m="1" x="16"/>
        <item h="1" x="9"/>
        <item h="1" m="1" x="25"/>
        <item h="1"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showAll="0">
      <items count="3">
        <item h="1" x="1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0"/>
        <item x="2"/>
        <item h="1" x="1"/>
        <item m="1" x="3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colItems count="1">
    <i/>
  </colItems>
  <pageFields count="6">
    <pageField fld="11" hier="-1"/>
    <pageField fld="28" hier="-1"/>
    <pageField fld="10" hier="-1"/>
    <pageField fld="19" hier="-1"/>
    <pageField fld="30" item="0" hier="-1"/>
    <pageField fld="26" item="1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9AD60-ADBC-4411-A6F9-F4C74EFE7112}" name="PivotTable45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80:Y81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8" hier="-1"/>
    <pageField fld="10" item="2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9B6CF-5ABA-4365-92DF-00C9434D424D}" name="PivotTable66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04:Y105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1" item="2" hier="-1"/>
    <pageField fld="28" item="1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65915-ECEB-481E-A51A-DEBFFE8FEADC}" name="PivotTable5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8:K29" firstHeaderRow="0" firstDataRow="1" firstDataCol="0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8" item="0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A1924-A17B-43FB-952D-26E9501C2D8C}" name="PivotTable3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3">
  <location ref="A406:B419" firstHeaderRow="1" firstDataRow="1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ascending">
      <items count="30">
        <item m="1" x="20"/>
        <item m="1" x="24"/>
        <item x="4"/>
        <item x="8"/>
        <item x="12"/>
        <item m="1" x="27"/>
        <item h="1" m="1" x="17"/>
        <item h="1" x="2"/>
        <item x="14"/>
        <item h="1" m="1" x="18"/>
        <item m="1" x="28"/>
        <item h="1" x="1"/>
        <item x="13"/>
        <item x="7"/>
        <item m="1" x="23"/>
        <item x="6"/>
        <item m="1" x="22"/>
        <item h="1" x="3"/>
        <item x="15"/>
        <item m="1" x="19"/>
        <item x="5"/>
        <item m="1" x="21"/>
        <item x="11"/>
        <item m="1" x="26"/>
        <item h="1" x="0"/>
        <item x="10"/>
        <item m="1" x="16"/>
        <item x="9"/>
        <item m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13">
    <i>
      <x v="2"/>
    </i>
    <i>
      <x v="3"/>
    </i>
    <i>
      <x v="4"/>
    </i>
    <i>
      <x v="8"/>
    </i>
    <i>
      <x v="12"/>
    </i>
    <i>
      <x v="13"/>
    </i>
    <i>
      <x v="15"/>
    </i>
    <i>
      <x v="18"/>
    </i>
    <i>
      <x v="20"/>
    </i>
    <i>
      <x v="22"/>
    </i>
    <i>
      <x v="25"/>
    </i>
    <i>
      <x v="27"/>
    </i>
    <i t="grand">
      <x/>
    </i>
  </rowItems>
  <colItems count="1">
    <i/>
  </colItems>
  <pageFields count="4">
    <pageField fld="4" hier="-1"/>
    <pageField fld="11" hier="-1"/>
    <pageField fld="28" hier="-1"/>
    <pageField fld="10" hier="-1"/>
  </pageFields>
  <dataFields count="1">
    <dataField name="Count of WF" fld="9" subtotal="count" baseField="0" baseItem="0"/>
  </dataFields>
  <formats count="1">
    <format dxfId="1223">
      <pivotArea dataOnly="0" labelOnly="1" outline="0" fieldPosition="0">
        <references count="1">
          <reference field="19" count="0"/>
        </references>
      </pivotArea>
    </format>
  </formats>
  <chartFormats count="8">
    <chartFormat chart="4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22C94-DBF9-4458-A61F-E324F0264340}" name="PivotTable20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6:K87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hier="-1"/>
    <pageField fld="10" item="2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6BC6E-0766-486D-82AE-62BA1110628A}" name="PivotTable50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74:Y75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8" item="0" hier="-1"/>
    <pageField fld="10" item="2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482E2-E304-4AA5-9014-DD289833D363}" name="PivotTable28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0:B196" firstHeaderRow="1" firstDataRow="1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h="1" x="2"/>
        <item x="1"/>
        <item m="1" x="4"/>
        <item h="1" m="1" x="3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">
        <item x="0"/>
        <item x="2"/>
        <item h="1" x="1"/>
        <item h="1"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06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1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6"/>
    </i>
    <i>
      <x v="27"/>
    </i>
    <i>
      <x v="29"/>
    </i>
    <i>
      <x v="30"/>
    </i>
    <i>
      <x v="31"/>
    </i>
    <i>
      <x v="32"/>
    </i>
    <i>
      <x v="38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5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80"/>
    </i>
    <i>
      <x v="83"/>
    </i>
    <i>
      <x v="84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100"/>
    </i>
    <i>
      <x v="101"/>
    </i>
    <i>
      <x v="103"/>
    </i>
    <i>
      <x v="105"/>
    </i>
    <i>
      <x v="106"/>
    </i>
    <i>
      <x v="107"/>
    </i>
    <i>
      <x v="108"/>
    </i>
    <i>
      <x v="109"/>
    </i>
    <i>
      <x v="110"/>
    </i>
    <i>
      <x v="112"/>
    </i>
    <i>
      <x v="113"/>
    </i>
    <i>
      <x v="115"/>
    </i>
    <i>
      <x v="116"/>
    </i>
    <i>
      <x v="117"/>
    </i>
    <i>
      <x v="120"/>
    </i>
    <i>
      <x v="121"/>
    </i>
    <i>
      <x v="122"/>
    </i>
    <i>
      <x v="123"/>
    </i>
    <i>
      <x v="125"/>
    </i>
    <i>
      <x v="127"/>
    </i>
    <i>
      <x v="128"/>
    </i>
    <i>
      <x v="129"/>
    </i>
    <i>
      <x v="135"/>
    </i>
    <i>
      <x v="138"/>
    </i>
    <i>
      <x v="139"/>
    </i>
    <i>
      <x v="140"/>
    </i>
    <i>
      <x v="141"/>
    </i>
    <i>
      <x v="142"/>
    </i>
    <i>
      <x v="143"/>
    </i>
    <i>
      <x v="146"/>
    </i>
    <i>
      <x v="147"/>
    </i>
    <i>
      <x v="148"/>
    </i>
    <i>
      <x v="150"/>
    </i>
    <i>
      <x v="152"/>
    </i>
    <i>
      <x v="153"/>
    </i>
    <i>
      <x v="154"/>
    </i>
    <i>
      <x v="155"/>
    </i>
    <i t="grand">
      <x/>
    </i>
  </rowItems>
  <colItems count="1">
    <i/>
  </colItems>
  <pageFields count="4">
    <pageField fld="11" hier="-1"/>
    <pageField fld="28" hier="-1"/>
    <pageField fld="10" hier="-1"/>
    <pageField fld="25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80055-928A-494C-AC21-C1BBA16161F0}" name="PivotTable55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O8:R9" firstHeaderRow="0" firstDataRow="1" firstDataCol="0" rowPageCount="6" colPageCount="1"/>
  <pivotFields count="40">
    <pivotField axis="axisPage" compact="0" outline="0" showAll="0">
      <items count="5">
        <item x="0"/>
        <item x="1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name="Job name" axis="axisPage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5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6">
    <pageField fld="4" hier="-1"/>
    <pageField fld="11" hier="-1"/>
    <pageField fld="28" hier="-1"/>
    <pageField fld="10" hier="-1"/>
    <pageField fld="0" hier="-1"/>
    <pageField fld="19" hier="-1"/>
  </pageFields>
  <dataFields count="4">
    <dataField name="Average of Overdue Time [Expected-Completion]" fld="23" subtotal="average" baseField="0" baseItem="0"/>
    <dataField name="Average of Active Time" fld="22" subtotal="average" baseField="0" baseItem="0"/>
    <dataField name="Average of Pre RM Opening Time" fld="14" subtotal="average" baseField="0" baseItem="0"/>
    <dataField name="Count of WF" fld="9" subtotal="count" baseField="0" baseItem="0"/>
  </dataFields>
  <formats count="2">
    <format dxfId="12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4"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633A0-5BF3-4C2E-87A3-6233D1BE99CF}" name="PivotTable47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16:Z117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1" item="0" hier="-1"/>
    <pageField fld="28" item="2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41304-E564-4E00-91A4-FD6A7FD782CB}" name="PivotTable56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O200:P203" firstHeaderRow="1" firstDataRow="1" firstDataCol="1" rowPageCount="4" colPageCount="1"/>
  <pivotFields count="40">
    <pivotField compact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4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</items>
    </pivotField>
    <pivotField compact="0" outline="0" subtotalTop="0" showAll="0" defaultSubtotal="0"/>
    <pivotField compact="0" showAl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axis="axisPage" compact="0" outline="0" subtotalTop="0" showAll="0" defaultSubtotal="0">
      <items count="9">
        <item x="0"/>
        <item m="1" x="8"/>
        <item x="1"/>
        <item m="1" x="7"/>
        <item m="1" x="3"/>
        <item m="1" x="6"/>
        <item m="1" x="5"/>
        <item x="2"/>
        <item m="1" x="4"/>
      </items>
    </pivotField>
    <pivotField axis="axisPage" compact="0" outline="0" subtotalTop="0" showAll="0" defaultSubtotal="0">
      <items count="6">
        <item x="1"/>
        <item x="0"/>
        <item m="1" x="4"/>
        <item x="2"/>
        <item m="1" x="5"/>
        <item x="3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4" outline="0" subtotalTop="0" showAll="0" defaultSubtotal="0"/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ubtotalTop="0" showAll="0" defaultSubtotal="0"/>
    <pivotField compact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showAll="0" defaultSubtotal="0">
      <items count="4">
        <item h="1" x="0"/>
        <item h="1" x="2"/>
        <item x="1"/>
        <item m="1" x="3"/>
      </items>
    </pivotField>
    <pivotField compact="0" outline="0" subtotalTop="0" showAll="0" defaultSubtotal="0"/>
    <pivotField compact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3">
    <i>
      <x v="159"/>
    </i>
    <i>
      <x v="160"/>
    </i>
    <i t="grand">
      <x/>
    </i>
  </rowItems>
  <colItems count="1">
    <i/>
  </colItems>
  <pageFields count="4">
    <pageField fld="11" hier="-1"/>
    <pageField fld="28" item="2" hier="-1"/>
    <pageField fld="10" hier="-1"/>
    <pageField fld="19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02545-7B96-435D-B6DE-92A1AE4381FC}" name="PivotTable15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16:L117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1" item="0" hier="-1"/>
    <pageField fld="28" item="2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1130C-181F-4420-BA06-50E5724EA70E}" name="PivotTable1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68:L69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x="0"/>
        <item m="1" x="8"/>
        <item h="1"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8" item="2" hier="-1"/>
    <pageField fld="10" item="2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70C46-096D-40CA-A68E-FA9D32DD9163}" name="PivotTable61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10:Z111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1" item="2" hier="-1"/>
    <pageField fld="28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6731-B642-4CCC-A125-C0F321E69186}" name="PivotTable8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50:K51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item="0" hier="-1"/>
    <pageField fld="10" item="4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03715-01A7-413E-8E55-8AD21B7D2D36}" name="PivotTable53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2">
  <location ref="O18:P21" firstHeaderRow="1" firstDataRow="1" firstDataCol="1" rowPageCount="5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2"/>
        <item x="1"/>
        <item m="1" x="4"/>
        <item m="1" x="3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3">
    <i>
      <x/>
    </i>
    <i>
      <x v="1"/>
    </i>
    <i t="grand">
      <x/>
    </i>
  </rowItems>
  <colItems count="1">
    <i/>
  </colItems>
  <pageFields count="5">
    <pageField fld="4" hier="-1"/>
    <pageField fld="11" hier="-1"/>
    <pageField fld="28" hier="-1"/>
    <pageField fld="10" hier="-1"/>
    <pageField fld="19" hier="-1"/>
  </pageFields>
  <dataFields count="1">
    <dataField name="Count of Classification [Completion-Due Date]" fld="25" subtotal="count" showDataAs="percentOfTotal" baseField="0" baseItem="0" numFmtId="10"/>
  </dataFields>
  <chartFormats count="120"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8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8" format="3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8" format="3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19" format="3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9" format="3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7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0" format="38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0" format="39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2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2" format="4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2" format="4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3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3" format="5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3" format="5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4" format="5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4" format="5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6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6" format="4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6" format="4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7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7" format="5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7" format="5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5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5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5" format="66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5" format="67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8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9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8" format="70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8" format="7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29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3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29" format="74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29" format="75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8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4" format="19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4" format="20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0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0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1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1" format="2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2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2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3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3" format="2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5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5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6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6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7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7" format="2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8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8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39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39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39" format="2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4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40" format="23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40" format="24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4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6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41" format="27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41" format="28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4C47A-2667-4100-8AE2-CD512B440EA3}" name="PivotTable65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22:Y123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1" item="0" hier="-1"/>
    <pageField fld="28" item="0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86AC2-97E9-4C32-AF63-9326DDDFE424}" name="PivotTable63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38:Y39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5F374-9E97-4F6B-817F-05F1D3598B79}" name="PivotTable42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34:Z135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1" item="0" hier="-1"/>
    <pageField fld="28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6B79C-33E0-4685-B21E-D53BC2E34BE3}" name="PivotTable44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U62:Y63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8" hier="-1"/>
    <pageField fld="10" item="4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0D77A-8C80-439E-A885-C2C4BA9570FF}" name="PivotTable16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22:K123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1" item="0" hier="-1"/>
    <pageField fld="28" item="0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3FCFB-9D50-4D8E-BAB3-C1547B75472C}" name="PivotTable64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23:Z24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8" item="2" hier="-1"/>
    <pageField fld="19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D1FDD-C226-4229-806E-D434622CB71C}" name="PivotTable13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98:K99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1" item="2" hier="-1"/>
    <pageField fld="28" item="0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78EF4-91A4-4864-BAF4-50A744B315F4}" name="PivotTable22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34:L135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1" item="0" hier="-1"/>
    <pageField fld="28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Completion Days Template" fld="2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04E25-F612-4760-A431-E9774F025170}" name="PivotTable14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04:K105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1" item="2" hier="-1"/>
    <pageField fld="28" item="1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84BA9-02B2-410F-B5BB-52E7A5B4925E}" name="PivotTable26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B36" firstHeaderRow="1" firstDataRow="1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h="1" x="2"/>
        <item h="1" x="1"/>
        <item m="1" x="4"/>
        <item h="1" m="1" x="3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 v="32"/>
    </i>
    <i>
      <x v="53"/>
    </i>
    <i t="grand">
      <x/>
    </i>
  </rowItems>
  <colItems count="1">
    <i/>
  </colItems>
  <pageFields count="4">
    <pageField fld="11" hier="-1"/>
    <pageField fld="28" item="2" hier="-1"/>
    <pageField fld="10" hier="-1"/>
    <pageField fld="25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27B2-8226-4D97-B72E-F4F54403B9A5}" name="PivotTable40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8:U19" firstHeaderRow="1" firstDataRow="1" firstDataCol="0" rowPageCount="4" colPageCount="1"/>
  <pivotFields count="40">
    <pivotField axis="axisPage" compact="0" outline="0" showAll="0">
      <items count="5">
        <item x="0"/>
        <item x="1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6">
        <item x="0"/>
        <item h="1" x="2"/>
        <item x="1"/>
        <item m="1" x="4"/>
        <item m="1" x="3"/>
        <item t="default"/>
      </items>
    </pivotField>
    <pivotField compact="0" outline="0" showAll="0"/>
    <pivotField compact="0" outline="0" showAll="0"/>
    <pivotField axis="axisPage" compact="0" outline="0" showAll="0">
      <items count="5">
        <item x="0"/>
        <item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Items count="1">
    <i/>
  </colItems>
  <pageFields count="4">
    <pageField fld="0" hier="-1"/>
    <pageField fld="28" hier="-1"/>
    <pageField fld="25" hier="-1"/>
    <pageField fld="19" hier="-1"/>
  </pageFields>
  <dataFields count="1">
    <dataField name="Average of Overdue Time [Expected-Completion]" fld="23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2B6E7-C3FE-4617-BBA8-6E57CE827282}" name="PivotTable6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3:K34" firstHeaderRow="0" firstDataRow="1" firstDataCol="0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8" item="1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E453E-11F3-4969-B752-64B4C4F4B224}" name="PivotTable19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G62:K63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m="1" x="6"/>
        <item m="1" x="5"/>
        <item h="1" x="0"/>
        <item m="1" x="8"/>
        <item x="1"/>
        <item h="1" x="2"/>
        <item m="1" x="7"/>
        <item m="1" x="3"/>
        <item h="1" m="1"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0"/>
        <item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hier="-1"/>
    <pageField fld="10" item="4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8D902-B9A5-43B3-AE28-71EA30756712}" name="PivotTable54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28:Y129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x="1"/>
        <item h="1" x="2"/>
        <item h="1"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1" item="0" hier="-1"/>
    <pageField fld="28" item="1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9C78E-1564-4C4F-842B-4B782FD20979}" name="PivotTable12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92:L93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0"/>
        <item h="1" x="2"/>
        <item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compact="0" outline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1" item="2" hier="-1"/>
    <pageField fld="28" item="2" hier="-1"/>
  </pageFields>
  <dataFields count="6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  <dataField name="Average of % Of completion " fld="38" subtotal="average" baseField="0" baseItem="0" numFmtId="1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1A918-728D-4DD1-87F0-D8CA7DEBC6E8}" name="PivotTable43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98:Y99" firstHeaderRow="0" firstDataRow="1" firstDataCol="0" rowPageCount="3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7">
        <item h="1" x="1"/>
        <item h="1" x="2"/>
        <item x="0"/>
        <item h="1" m="1" x="5"/>
        <item m="1" x="4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1" item="2" hier="-1"/>
    <pageField fld="28" item="0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4F948-AD9D-41C8-861A-2EC308C3C062}" name="PivotTable27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82" firstHeaderRow="1" firstDataRow="1" firstDataCol="1" rowPageCount="4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5">
        <item x="0"/>
        <item x="64"/>
        <item x="5"/>
        <item x="53"/>
        <item x="16"/>
        <item m="1" x="160"/>
        <item x="28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22"/>
        <item x="58"/>
        <item x="27"/>
        <item x="63"/>
        <item x="42"/>
        <item x="65"/>
        <item x="10"/>
        <item x="9"/>
        <item x="35"/>
        <item x="40"/>
        <item x="48"/>
        <item x="19"/>
        <item x="49"/>
        <item m="1" x="158"/>
        <item m="1" x="151"/>
        <item x="37"/>
        <item m="1" x="154"/>
        <item m="1" x="163"/>
        <item x="33"/>
        <item x="50"/>
        <item x="15"/>
        <item m="1" x="162"/>
        <item x="45"/>
        <item x="6"/>
        <item x="8"/>
        <item x="47"/>
        <item x="24"/>
        <item x="13"/>
        <item x="41"/>
        <item x="52"/>
        <item x="43"/>
        <item m="1" x="161"/>
        <item x="46"/>
        <item x="18"/>
        <item x="14"/>
        <item x="3"/>
        <item x="59"/>
        <item x="25"/>
        <item x="1"/>
        <item x="30"/>
        <item x="7"/>
        <item x="55"/>
        <item x="39"/>
        <item m="1" x="157"/>
        <item x="2"/>
        <item x="17"/>
        <item m="1" x="148"/>
        <item x="66"/>
        <item x="67"/>
        <item x="69"/>
        <item x="72"/>
        <item x="71"/>
        <item x="73"/>
        <item x="75"/>
        <item x="68"/>
        <item x="77"/>
        <item x="78"/>
        <item x="79"/>
        <item m="1" x="156"/>
        <item x="80"/>
        <item x="81"/>
        <item x="82"/>
        <item x="83"/>
        <item m="1" x="155"/>
        <item x="85"/>
        <item x="86"/>
        <item x="87"/>
        <item x="76"/>
        <item x="88"/>
        <item x="119"/>
        <item x="54"/>
        <item x="60"/>
        <item x="61"/>
        <item x="62"/>
        <item x="70"/>
        <item x="74"/>
        <item x="91"/>
        <item x="84"/>
        <item x="90"/>
        <item m="1" x="150"/>
        <item x="93"/>
        <item x="92"/>
        <item x="94"/>
        <item x="95"/>
        <item x="96"/>
        <item x="97"/>
        <item x="98"/>
        <item x="99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10">
        <item x="0"/>
        <item m="1" x="8"/>
        <item x="1"/>
        <item m="1" x="7"/>
        <item m="1" x="3"/>
        <item m="1" x="6"/>
        <item m="1" x="5"/>
        <item x="2"/>
        <item m="1" x="4"/>
        <item t="default"/>
      </items>
    </pivotField>
    <pivotField axis="axisPage" compact="0" outline="0" showAll="0">
      <items count="7">
        <item x="1"/>
        <item x="0"/>
        <item m="1" x="4"/>
        <item x="2"/>
        <item m="1"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x="2"/>
        <item h="1" x="1"/>
        <item m="1" x="4"/>
        <item h="1" m="1" x="3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">
        <item h="1" x="0"/>
        <item h="1" x="2"/>
        <item x="1"/>
        <item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7">
    <i>
      <x v="1"/>
    </i>
    <i>
      <x v="2"/>
    </i>
    <i>
      <x v="7"/>
    </i>
    <i>
      <x v="22"/>
    </i>
    <i>
      <x v="38"/>
    </i>
    <i>
      <x v="45"/>
    </i>
    <i>
      <x v="61"/>
    </i>
    <i>
      <x v="65"/>
    </i>
    <i>
      <x v="73"/>
    </i>
    <i>
      <x v="74"/>
    </i>
    <i>
      <x v="77"/>
    </i>
    <i>
      <x v="78"/>
    </i>
    <i>
      <x v="84"/>
    </i>
    <i>
      <x v="88"/>
    </i>
    <i>
      <x v="89"/>
    </i>
    <i>
      <x v="100"/>
    </i>
    <i>
      <x v="105"/>
    </i>
    <i>
      <x v="106"/>
    </i>
    <i>
      <x v="108"/>
    </i>
    <i>
      <x v="122"/>
    </i>
    <i>
      <x v="123"/>
    </i>
    <i>
      <x v="134"/>
    </i>
    <i>
      <x v="143"/>
    </i>
    <i>
      <x v="146"/>
    </i>
    <i>
      <x v="159"/>
    </i>
    <i>
      <x v="160"/>
    </i>
    <i t="grand">
      <x/>
    </i>
  </rowItems>
  <colItems count="1">
    <i/>
  </colItems>
  <pageFields count="4">
    <pageField fld="11" hier="-1"/>
    <pageField fld="28" hier="-1"/>
    <pageField fld="10" hier="-1"/>
    <pageField fld="25" hier="-1"/>
  </pageFields>
  <dataFields count="1">
    <dataField name="Count of WF" fld="9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DB22E-23D3-40CE-809F-42555180ADC4}" name="PivotTable46" cacheId="3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28:Y29" firstHeaderRow="0" firstDataRow="1" firstDataCol="0" rowPageCount="2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0">
        <item m="1" x="20"/>
        <item m="1" x="24"/>
        <item h="1" x="4"/>
        <item h="1" x="8"/>
        <item h="1" x="12"/>
        <item m="1" x="27"/>
        <item m="1" x="17"/>
        <item h="1" x="2"/>
        <item m="1" x="18"/>
        <item h="1" m="1" x="28"/>
        <item h="1" x="1"/>
        <item h="1" x="13"/>
        <item h="1" x="7"/>
        <item m="1" x="23"/>
        <item h="1" x="6"/>
        <item m="1" x="22"/>
        <item h="1" x="3"/>
        <item m="1" x="19"/>
        <item h="1" x="5"/>
        <item m="1" x="21"/>
        <item h="1" x="11"/>
        <item m="1" x="26"/>
        <item h="1" x="0"/>
        <item h="1" x="10"/>
        <item m="1" x="16"/>
        <item h="1" x="9"/>
        <item m="1" x="25"/>
        <item h="1" x="14"/>
        <item x="15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0"/>
        <item h="1" x="2"/>
        <item h="1" x="1"/>
        <item m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8" item="0" hier="-1"/>
    <pageField fld="19" hier="-1"/>
  </pageFields>
  <dataFields count="5">
    <dataField name="Count of WF" fld="9" subtotal="count" baseField="0" baseItem="0"/>
    <dataField name="Average of Pre RM Opening Time" fld="14" subtotal="average" baseField="0" baseItem="0"/>
    <dataField name="Average of Active Time" fld="22" subtotal="average" baseField="0" baseItem="0"/>
    <dataField name="Average of Overdue Time [Expected-Completion]" fld="23" subtotal="average" baseField="0" baseItem="0"/>
    <dataField name="Average of Impact Time Post RM" fld="2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9EEED-81A3-49F8-907D-9880A476EDA0}" name="PivotTable67" cacheId="3148" applyNumberFormats="0" applyBorderFormats="0" applyFontFormats="0" applyPatternFormats="0" applyAlignmentFormats="0" applyWidthHeightFormats="1" dataCaption="Values" errorCaption="VALIDATE DATA" showError="1" missingCaption="VALIDATE DATA" updatedVersion="8" minRefreshableVersion="3" showDrill="0" useAutoFormatting="1" colGrandTotals="0" itemPrintTitles="1" createdVersion="8" indent="127" compact="0" compactData="0" multipleFieldFilters="0">
  <location ref="U44:Y67" firstHeaderRow="0" firstDataRow="1" firstDataCol="2" rowPageCount="2" colPageCount="1"/>
  <pivotFields count="40">
    <pivotField axis="axisPage" compact="0" outline="0" showAll="0" defaultSubtotal="0">
      <items count="4">
        <item x="0"/>
        <item x="1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m="1" x="155"/>
        <item x="83"/>
        <item x="73"/>
        <item x="82"/>
        <item x="86"/>
        <item m="1" x="150"/>
        <item x="0"/>
        <item x="99"/>
        <item x="87"/>
        <item x="64"/>
        <item x="5"/>
        <item x="53"/>
        <item x="16"/>
        <item m="1" x="160"/>
        <item x="85"/>
        <item x="28"/>
        <item x="96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80"/>
        <item x="22"/>
        <item x="71"/>
        <item x="66"/>
        <item x="58"/>
        <item x="27"/>
        <item x="90"/>
        <item x="63"/>
        <item x="72"/>
        <item x="84"/>
        <item x="42"/>
        <item x="65"/>
        <item x="10"/>
        <item x="9"/>
        <item x="35"/>
        <item x="40"/>
        <item x="48"/>
        <item x="19"/>
        <item x="119"/>
        <item x="49"/>
        <item m="1" x="158"/>
        <item m="1" x="151"/>
        <item x="67"/>
        <item x="37"/>
        <item x="93"/>
        <item x="62"/>
        <item x="76"/>
        <item m="1" x="154"/>
        <item x="54"/>
        <item x="61"/>
        <item m="1" x="163"/>
        <item x="33"/>
        <item x="50"/>
        <item x="15"/>
        <item m="1" x="162"/>
        <item x="75"/>
        <item x="69"/>
        <item x="45"/>
        <item x="91"/>
        <item x="6"/>
        <item x="8"/>
        <item x="47"/>
        <item x="92"/>
        <item x="97"/>
        <item x="94"/>
        <item x="24"/>
        <item x="13"/>
        <item x="41"/>
        <item x="52"/>
        <item x="81"/>
        <item x="43"/>
        <item m="1" x="161"/>
        <item x="98"/>
        <item x="46"/>
        <item x="18"/>
        <item x="14"/>
        <item x="77"/>
        <item x="74"/>
        <item x="70"/>
        <item x="60"/>
        <item x="3"/>
        <item x="59"/>
        <item x="88"/>
        <item x="95"/>
        <item x="25"/>
        <item x="79"/>
        <item x="1"/>
        <item x="30"/>
        <item x="78"/>
        <item x="7"/>
        <item x="55"/>
        <item x="39"/>
        <item m="1" x="157"/>
        <item m="1" x="156"/>
        <item x="2"/>
        <item x="68"/>
        <item x="17"/>
        <item m="1" x="148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38">
        <item x="75"/>
        <item m="1" x="136"/>
        <item x="0"/>
        <item x="1"/>
        <item x="3"/>
        <item x="2"/>
        <item x="7"/>
        <item x="4"/>
        <item x="8"/>
        <item x="6"/>
        <item x="9"/>
        <item x="10"/>
        <item x="5"/>
        <item x="12"/>
        <item x="11"/>
        <item x="13"/>
        <item x="14"/>
        <item x="41"/>
        <item x="15"/>
        <item x="65"/>
        <item x="47"/>
        <item x="16"/>
        <item x="19"/>
        <item x="18"/>
        <item x="17"/>
        <item x="21"/>
        <item x="20"/>
        <item x="25"/>
        <item x="51"/>
        <item x="23"/>
        <item x="24"/>
        <item x="26"/>
        <item x="22"/>
        <item x="31"/>
        <item x="53"/>
        <item x="27"/>
        <item x="29"/>
        <item x="33"/>
        <item m="1" x="124"/>
        <item x="28"/>
        <item x="40"/>
        <item x="30"/>
        <item x="34"/>
        <item x="35"/>
        <item m="1" x="137"/>
        <item m="1" x="126"/>
        <item x="45"/>
        <item x="48"/>
        <item x="38"/>
        <item x="37"/>
        <item x="43"/>
        <item x="80"/>
        <item x="90"/>
        <item m="1" x="122"/>
        <item x="44"/>
        <item x="42"/>
        <item x="50"/>
        <item x="55"/>
        <item x="32"/>
        <item x="36"/>
        <item x="49"/>
        <item x="72"/>
        <item x="56"/>
        <item x="46"/>
        <item m="1" x="129"/>
        <item m="1" x="130"/>
        <item x="54"/>
        <item m="1" x="131"/>
        <item x="61"/>
        <item m="1" x="123"/>
        <item m="1" x="128"/>
        <item m="1" x="132"/>
        <item m="1" x="133"/>
        <item m="1" x="134"/>
        <item x="62"/>
        <item m="1" x="135"/>
        <item x="58"/>
        <item x="66"/>
        <item x="52"/>
        <item x="60"/>
        <item x="64"/>
        <item x="69"/>
        <item x="63"/>
        <item x="84"/>
        <item m="1" x="127"/>
        <item x="59"/>
        <item x="71"/>
        <item x="67"/>
        <item x="57"/>
        <item x="76"/>
        <item x="83"/>
        <item x="68"/>
        <item x="70"/>
        <item x="78"/>
        <item x="39"/>
        <item x="107"/>
        <item x="73"/>
        <item x="74"/>
        <item x="77"/>
        <item x="93"/>
        <item x="97"/>
        <item x="85"/>
        <item x="79"/>
        <item x="91"/>
        <item x="81"/>
        <item x="87"/>
        <item x="92"/>
        <item x="86"/>
        <item x="82"/>
        <item x="96"/>
        <item x="94"/>
        <item m="1" x="125"/>
        <item x="99"/>
        <item x="100"/>
        <item x="95"/>
        <item x="111"/>
        <item x="102"/>
        <item x="104"/>
        <item x="89"/>
        <item x="105"/>
        <item x="98"/>
        <item x="108"/>
        <item x="106"/>
        <item x="110"/>
        <item x="109"/>
        <item x="88"/>
        <item m="1" x="120"/>
        <item x="118"/>
        <item x="117"/>
        <item x="113"/>
        <item x="103"/>
        <item x="112"/>
        <item x="116"/>
        <item x="119"/>
        <item x="115"/>
        <item x="114"/>
        <item x="101"/>
        <item m="1" x="1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h="1" x="0"/>
        <item x="2"/>
        <item h="1"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5"/>
  </rowFields>
  <rowItems count="23">
    <i>
      <x v="8"/>
      <x v="135"/>
    </i>
    <i>
      <x v="69"/>
      <x v="122"/>
    </i>
    <i r="1">
      <x v="127"/>
    </i>
    <i>
      <x v="86"/>
      <x v="94"/>
    </i>
    <i>
      <x v="117"/>
      <x v="125"/>
    </i>
    <i>
      <x v="143"/>
      <x v="122"/>
    </i>
    <i>
      <x v="146"/>
      <x v="130"/>
    </i>
    <i>
      <x v="147"/>
      <x v="123"/>
    </i>
    <i>
      <x v="150"/>
      <x v="128"/>
    </i>
    <i r="1">
      <x v="131"/>
    </i>
    <i>
      <x v="152"/>
      <x v="120"/>
    </i>
    <i>
      <x v="153"/>
      <x v="129"/>
    </i>
    <i>
      <x v="154"/>
      <x v="125"/>
    </i>
    <i>
      <x v="155"/>
      <x v="129"/>
    </i>
    <i>
      <x v="157"/>
      <x v="134"/>
    </i>
    <i>
      <x v="158"/>
      <x v="132"/>
    </i>
    <i>
      <x v="159"/>
      <x v="135"/>
    </i>
    <i>
      <x v="160"/>
      <x v="133"/>
    </i>
    <i>
      <x v="161"/>
      <x v="136"/>
    </i>
    <i>
      <x v="162"/>
      <x v="129"/>
    </i>
    <i>
      <x v="163"/>
      <x v="124"/>
    </i>
    <i r="1">
      <x v="13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28" item="1" hier="-1"/>
  </pageFields>
  <dataFields count="3">
    <dataField name="Average of Pre RM Opening Time" fld="14" subtotal="average" baseField="0" baseItem="0" numFmtId="1"/>
    <dataField name="Average of % Of completion " fld="38" subtotal="average" baseField="0" baseItem="0" numFmtId="10"/>
    <dataField name="Count of WF" fld="9" subtotal="count" baseField="0" baseItem="0"/>
  </dataFields>
  <formats count="320">
    <format dxfId="901">
      <pivotArea field="4" type="button" dataOnly="0" labelOnly="1" outline="0" axis="axisRow" fieldPosition="0"/>
    </format>
    <format dxfId="902">
      <pivotArea field="5" type="button" dataOnly="0" labelOnly="1" outline="0" axis="axisRow" fieldPosition="1"/>
    </format>
    <format dxfId="9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4">
      <pivotArea field="4" type="button" dataOnly="0" labelOnly="1" outline="0" axis="axisRow" fieldPosition="0"/>
    </format>
    <format dxfId="905">
      <pivotArea field="5" type="button" dataOnly="0" labelOnly="1" outline="0" axis="axisRow" fieldPosition="1"/>
    </format>
    <format dxfId="9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7">
      <pivotArea field="4" type="button" dataOnly="0" labelOnly="1" outline="0" axis="axisRow" fieldPosition="0"/>
    </format>
    <format dxfId="908">
      <pivotArea field="5" type="button" dataOnly="0" labelOnly="1" outline="0" axis="axisRow" fieldPosition="1"/>
    </format>
    <format dxfId="9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10">
      <pivotArea field="4" type="button" dataOnly="0" labelOnly="1" outline="0" axis="axisRow" fieldPosition="0"/>
    </format>
    <format dxfId="911">
      <pivotArea field="5" type="button" dataOnly="0" labelOnly="1" outline="0" axis="axisRow" fieldPosition="1"/>
    </format>
    <format dxfId="9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13">
      <pivotArea dataOnly="0" labelOnly="1" outline="0" fieldPosition="0">
        <references count="2">
          <reference field="0" count="0"/>
          <reference field="28" count="1" selected="0">
            <x v="1"/>
          </reference>
        </references>
      </pivotArea>
    </format>
    <format dxfId="914">
      <pivotArea dataOnly="0" labelOnly="1" outline="0" fieldPosition="0">
        <references count="1">
          <reference field="28" count="1">
            <x v="1"/>
          </reference>
        </references>
      </pivotArea>
    </format>
    <format dxfId="915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916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917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918">
      <pivotArea outline="0" collapsedLevelsAreSubtotals="1" fieldPosition="0"/>
    </format>
    <format dxfId="919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920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921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922">
      <pivotArea dataOnly="0" labelOnly="1" outline="0" fieldPosition="0">
        <references count="2">
          <reference field="4" count="1" selected="0">
            <x v="42"/>
          </reference>
          <reference field="5" count="2">
            <x v="92"/>
            <x v="104"/>
          </reference>
        </references>
      </pivotArea>
    </format>
    <format dxfId="923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924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925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926">
      <pivotArea dataOnly="0" labelOnly="1" outline="0" fieldPosition="0">
        <references count="2">
          <reference field="4" count="1" selected="0">
            <x v="82"/>
          </reference>
          <reference field="5" count="1">
            <x v="98"/>
          </reference>
        </references>
      </pivotArea>
    </format>
    <format dxfId="927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928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929">
      <pivotArea dataOnly="0" labelOnly="1" outline="0" fieldPosition="0">
        <references count="2">
          <reference field="4" count="1" selected="0">
            <x v="95"/>
          </reference>
          <reference field="5" count="1">
            <x v="96"/>
          </reference>
        </references>
      </pivotArea>
    </format>
    <format dxfId="930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931">
      <pivotArea outline="0" collapsedLevelsAreSubtotals="1" fieldPosition="0"/>
    </format>
    <format dxfId="932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933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934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935">
      <pivotArea dataOnly="0" labelOnly="1" outline="0" fieldPosition="0">
        <references count="2">
          <reference field="4" count="1" selected="0">
            <x v="42"/>
          </reference>
          <reference field="5" count="2">
            <x v="92"/>
            <x v="104"/>
          </reference>
        </references>
      </pivotArea>
    </format>
    <format dxfId="936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937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938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939">
      <pivotArea dataOnly="0" labelOnly="1" outline="0" fieldPosition="0">
        <references count="2">
          <reference field="4" count="1" selected="0">
            <x v="82"/>
          </reference>
          <reference field="5" count="1">
            <x v="98"/>
          </reference>
        </references>
      </pivotArea>
    </format>
    <format dxfId="940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941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942">
      <pivotArea dataOnly="0" labelOnly="1" outline="0" fieldPosition="0">
        <references count="2">
          <reference field="4" count="1" selected="0">
            <x v="95"/>
          </reference>
          <reference field="5" count="1">
            <x v="96"/>
          </reference>
        </references>
      </pivotArea>
    </format>
    <format dxfId="943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944">
      <pivotArea outline="0" collapsedLevelsAreSubtotals="1" fieldPosition="0"/>
    </format>
    <format dxfId="945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946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947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948">
      <pivotArea dataOnly="0" labelOnly="1" outline="0" fieldPosition="0">
        <references count="2">
          <reference field="4" count="1" selected="0">
            <x v="42"/>
          </reference>
          <reference field="5" count="2">
            <x v="92"/>
            <x v="104"/>
          </reference>
        </references>
      </pivotArea>
    </format>
    <format dxfId="949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950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951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952">
      <pivotArea dataOnly="0" labelOnly="1" outline="0" fieldPosition="0">
        <references count="2">
          <reference field="4" count="1" selected="0">
            <x v="82"/>
          </reference>
          <reference field="5" count="1">
            <x v="98"/>
          </reference>
        </references>
      </pivotArea>
    </format>
    <format dxfId="953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954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955">
      <pivotArea dataOnly="0" labelOnly="1" outline="0" fieldPosition="0">
        <references count="2">
          <reference field="4" count="1" selected="0">
            <x v="95"/>
          </reference>
          <reference field="5" count="1">
            <x v="96"/>
          </reference>
        </references>
      </pivotArea>
    </format>
    <format dxfId="956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957">
      <pivotArea outline="0" collapsedLevelsAreSubtotals="1" fieldPosition="0"/>
    </format>
    <format dxfId="958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959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960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961">
      <pivotArea dataOnly="0" labelOnly="1" outline="0" fieldPosition="0">
        <references count="2">
          <reference field="4" count="1" selected="0">
            <x v="42"/>
          </reference>
          <reference field="5" count="2">
            <x v="92"/>
            <x v="104"/>
          </reference>
        </references>
      </pivotArea>
    </format>
    <format dxfId="962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963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964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965">
      <pivotArea dataOnly="0" labelOnly="1" outline="0" fieldPosition="0">
        <references count="2">
          <reference field="4" count="1" selected="0">
            <x v="82"/>
          </reference>
          <reference field="5" count="1">
            <x v="98"/>
          </reference>
        </references>
      </pivotArea>
    </format>
    <format dxfId="966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967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968">
      <pivotArea dataOnly="0" labelOnly="1" outline="0" fieldPosition="0">
        <references count="2">
          <reference field="4" count="1" selected="0">
            <x v="95"/>
          </reference>
          <reference field="5" count="1">
            <x v="96"/>
          </reference>
        </references>
      </pivotArea>
    </format>
    <format dxfId="969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970">
      <pivotArea outline="0" collapsedLevelsAreSubtotals="1" fieldPosition="0"/>
    </format>
    <format dxfId="971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972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973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974">
      <pivotArea dataOnly="0" labelOnly="1" outline="0" fieldPosition="0">
        <references count="2">
          <reference field="4" count="1" selected="0">
            <x v="42"/>
          </reference>
          <reference field="5" count="2">
            <x v="92"/>
            <x v="104"/>
          </reference>
        </references>
      </pivotArea>
    </format>
    <format dxfId="975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976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977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978">
      <pivotArea dataOnly="0" labelOnly="1" outline="0" fieldPosition="0">
        <references count="2">
          <reference field="4" count="1" selected="0">
            <x v="82"/>
          </reference>
          <reference field="5" count="1">
            <x v="98"/>
          </reference>
        </references>
      </pivotArea>
    </format>
    <format dxfId="979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980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981">
      <pivotArea dataOnly="0" labelOnly="1" outline="0" fieldPosition="0">
        <references count="2">
          <reference field="4" count="1" selected="0">
            <x v="95"/>
          </reference>
          <reference field="5" count="1">
            <x v="96"/>
          </reference>
        </references>
      </pivotArea>
    </format>
    <format dxfId="982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983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984">
      <pivotArea dataOnly="0" labelOnly="1" outline="0" fieldPosition="0">
        <references count="2">
          <reference field="4" count="1" selected="0">
            <x v="42"/>
          </reference>
          <reference field="5" count="2">
            <x v="92"/>
            <x v="104"/>
          </reference>
        </references>
      </pivotArea>
    </format>
    <format dxfId="985">
      <pivotArea dataOnly="0" labelOnly="1" outline="0" fieldPosition="0">
        <references count="2">
          <reference field="4" count="1" selected="0">
            <x v="82"/>
          </reference>
          <reference field="5" count="1">
            <x v="98"/>
          </reference>
        </references>
      </pivotArea>
    </format>
    <format dxfId="986">
      <pivotArea dataOnly="0" labelOnly="1" outline="0" fieldPosition="0">
        <references count="2">
          <reference field="4" count="1" selected="0">
            <x v="95"/>
          </reference>
          <reference field="5" count="1">
            <x v="96"/>
          </reference>
        </references>
      </pivotArea>
    </format>
    <format dxfId="987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988">
      <pivotArea dataOnly="0" labelOnly="1" outline="0" fieldPosition="0">
        <references count="2">
          <reference field="4" count="1" selected="0">
            <x v="85"/>
          </reference>
          <reference field="5" count="1">
            <x v="122"/>
          </reference>
        </references>
      </pivotArea>
    </format>
    <format dxfId="989">
      <pivotArea dataOnly="0" labelOnly="1" grandRow="1" outline="0" offset="A256" fieldPosition="0"/>
    </format>
    <format dxfId="990">
      <pivotArea grandRow="1" outline="0" collapsedLevelsAreSubtotals="1" fieldPosition="0"/>
    </format>
    <format dxfId="991">
      <pivotArea grandRow="1" outline="0" collapsedLevelsAreSubtotals="1" fieldPosition="0"/>
    </format>
    <format dxfId="992">
      <pivotArea dataOnly="0" labelOnly="1" grandRow="1" outline="0" fieldPosition="0"/>
    </format>
    <format dxfId="993">
      <pivotArea dataOnly="0" labelOnly="1" outline="0" fieldPosition="0">
        <references count="1">
          <reference field="4" count="16"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</references>
      </pivotArea>
    </format>
    <format dxfId="994">
      <pivotArea dataOnly="0" labelOnly="1" grandRow="1" outline="0" offset="A256" fieldPosition="0"/>
    </format>
    <format dxfId="995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996">
      <pivotArea outline="0" fieldPosition="0">
        <references count="1">
          <reference field="4294967294" count="1" selected="0">
            <x v="1"/>
          </reference>
        </references>
      </pivotArea>
    </format>
    <format dxfId="997">
      <pivotArea outline="0" collapsedLevelsAreSubtotals="1" fieldPosition="0"/>
    </format>
    <format dxfId="998">
      <pivotArea dataOnly="0" labelOnly="1" outline="0" fieldPosition="0">
        <references count="1">
          <reference field="4" count="17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</references>
      </pivotArea>
    </format>
    <format dxfId="999">
      <pivotArea dataOnly="0" labelOnly="1" grandRow="1" outline="0" fieldPosition="0"/>
    </format>
    <format dxfId="1000">
      <pivotArea dataOnly="0" labelOnly="1" outline="0" fieldPosition="0">
        <references count="2">
          <reference field="4" count="1" selected="0">
            <x v="4"/>
          </reference>
          <reference field="5" count="1">
            <x v="83"/>
          </reference>
        </references>
      </pivotArea>
    </format>
    <format dxfId="1001">
      <pivotArea dataOnly="0" labelOnly="1" outline="0" fieldPosition="0">
        <references count="2">
          <reference field="4" count="1" selected="0">
            <x v="7"/>
          </reference>
          <reference field="5" count="1">
            <x v="104"/>
          </reference>
        </references>
      </pivotArea>
    </format>
    <format dxfId="1002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1003">
      <pivotArea dataOnly="0" labelOnly="1" outline="0" fieldPosition="0">
        <references count="2">
          <reference field="4" count="1" selected="0">
            <x v="18"/>
          </reference>
          <reference field="5" count="1">
            <x v="101"/>
          </reference>
        </references>
      </pivotArea>
    </format>
    <format dxfId="1004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1005">
      <pivotArea dataOnly="0" labelOnly="1" outline="0" fieldPosition="0">
        <references count="2">
          <reference field="4" count="1" selected="0">
            <x v="42"/>
          </reference>
          <reference field="5" count="1">
            <x v="92"/>
          </reference>
        </references>
      </pivotArea>
    </format>
    <format dxfId="1006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1007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1008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1009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1010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1011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1012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1013">
      <pivotArea dataOnly="0" labelOnly="1" outline="0" fieldPosition="0">
        <references count="2">
          <reference field="4" count="1" selected="0">
            <x v="103"/>
          </reference>
          <reference field="5" count="1">
            <x v="51"/>
          </reference>
        </references>
      </pivotArea>
    </format>
    <format dxfId="1014">
      <pivotArea dataOnly="0" labelOnly="1" outline="0" fieldPosition="0">
        <references count="2">
          <reference field="4" count="1" selected="0">
            <x v="112"/>
          </reference>
          <reference field="5" count="2">
            <x v="102"/>
            <x v="108"/>
          </reference>
        </references>
      </pivotArea>
    </format>
    <format dxfId="1015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16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017">
      <pivotArea outline="0" fieldPosition="0">
        <references count="1">
          <reference field="4294967294" count="1" selected="0">
            <x v="0"/>
          </reference>
        </references>
      </pivotArea>
    </format>
    <format dxfId="1018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1019">
      <pivotArea dataOnly="0" labelOnly="1" outline="0" fieldPosition="0">
        <references count="2">
          <reference field="4" count="1" selected="0">
            <x v="18"/>
          </reference>
          <reference field="5" count="1">
            <x v="101"/>
          </reference>
        </references>
      </pivotArea>
    </format>
    <format dxfId="1020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1021">
      <pivotArea dataOnly="0" labelOnly="1" outline="0" fieldPosition="0">
        <references count="2">
          <reference field="4" count="1" selected="0">
            <x v="42"/>
          </reference>
          <reference field="5" count="1">
            <x v="92"/>
          </reference>
        </references>
      </pivotArea>
    </format>
    <format dxfId="1022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1023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1024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1025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1026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1027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1028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1029">
      <pivotArea dataOnly="0" labelOnly="1" outline="0" fieldPosition="0">
        <references count="2">
          <reference field="4" count="1" selected="0">
            <x v="103"/>
          </reference>
          <reference field="5" count="1">
            <x v="51"/>
          </reference>
        </references>
      </pivotArea>
    </format>
    <format dxfId="1030">
      <pivotArea dataOnly="0" labelOnly="1" outline="0" fieldPosition="0">
        <references count="2">
          <reference field="4" count="1" selected="0">
            <x v="112"/>
          </reference>
          <reference field="5" count="2">
            <x v="102"/>
            <x v="108"/>
          </reference>
        </references>
      </pivotArea>
    </format>
    <format dxfId="1031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32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033">
      <pivotArea outline="0" fieldPosition="0">
        <references count="3">
          <reference field="4294967294" count="1" selected="0">
            <x v="2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51"/>
            <x v="83"/>
            <x v="85"/>
            <x v="87"/>
            <x v="89"/>
            <x v="92"/>
            <x v="93"/>
            <x v="94"/>
            <x v="96"/>
            <x v="97"/>
            <x v="101"/>
            <x v="102"/>
            <x v="104"/>
            <x v="108"/>
          </reference>
        </references>
      </pivotArea>
    </format>
    <format dxfId="1034">
      <pivotArea dataOnly="0" labelOnly="1" outline="0" fieldPosition="0">
        <references count="2">
          <reference field="4" count="1" selected="0">
            <x v="4"/>
          </reference>
          <reference field="5" count="1">
            <x v="83"/>
          </reference>
        </references>
      </pivotArea>
    </format>
    <format dxfId="1035">
      <pivotArea dataOnly="0" labelOnly="1" outline="0" fieldPosition="0">
        <references count="2">
          <reference field="4" count="1" selected="0">
            <x v="7"/>
          </reference>
          <reference field="5" count="1">
            <x v="104"/>
          </reference>
        </references>
      </pivotArea>
    </format>
    <format dxfId="1036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1037">
      <pivotArea dataOnly="0" labelOnly="1" outline="0" fieldPosition="0">
        <references count="2">
          <reference field="4" count="1" selected="0">
            <x v="18"/>
          </reference>
          <reference field="5" count="1">
            <x v="101"/>
          </reference>
        </references>
      </pivotArea>
    </format>
    <format dxfId="1038">
      <pivotArea dataOnly="0" labelOnly="1" outline="0" fieldPosition="0">
        <references count="2">
          <reference field="4" count="1" selected="0">
            <x v="39"/>
          </reference>
          <reference field="5" count="1">
            <x v="97"/>
          </reference>
        </references>
      </pivotArea>
    </format>
    <format dxfId="1039">
      <pivotArea dataOnly="0" labelOnly="1" outline="0" fieldPosition="0">
        <references count="2">
          <reference field="4" count="1" selected="0">
            <x v="42"/>
          </reference>
          <reference field="5" count="1">
            <x v="92"/>
          </reference>
        </references>
      </pivotArea>
    </format>
    <format dxfId="1040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1041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1042">
      <pivotArea dataOnly="0" labelOnly="1" outline="0" fieldPosition="0">
        <references count="2">
          <reference field="4" count="1" selected="0">
            <x v="76"/>
          </reference>
          <reference field="5" count="1">
            <x v="102"/>
          </reference>
        </references>
      </pivotArea>
    </format>
    <format dxfId="1043">
      <pivotArea dataOnly="0" labelOnly="1" outline="0" fieldPosition="0">
        <references count="2">
          <reference field="4" count="1" selected="0">
            <x v="77"/>
          </reference>
          <reference field="5" count="1">
            <x v="93"/>
          </reference>
        </references>
      </pivotArea>
    </format>
    <format dxfId="1044">
      <pivotArea dataOnly="0" labelOnly="1" outline="0" fieldPosition="0">
        <references count="2">
          <reference field="4" count="1" selected="0">
            <x v="85"/>
          </reference>
          <reference field="5" count="1">
            <x v="96"/>
          </reference>
        </references>
      </pivotArea>
    </format>
    <format dxfId="1045">
      <pivotArea dataOnly="0" labelOnly="1" outline="0" fieldPosition="0">
        <references count="2">
          <reference field="4" count="1" selected="0">
            <x v="86"/>
          </reference>
          <reference field="5" count="2">
            <x v="94"/>
            <x v="96"/>
          </reference>
        </references>
      </pivotArea>
    </format>
    <format dxfId="1046">
      <pivotArea dataOnly="0" labelOnly="1" outline="0" fieldPosition="0">
        <references count="2">
          <reference field="4" count="1" selected="0">
            <x v="96"/>
          </reference>
          <reference field="5" count="1">
            <x v="85"/>
          </reference>
        </references>
      </pivotArea>
    </format>
    <format dxfId="1047">
      <pivotArea dataOnly="0" labelOnly="1" outline="0" fieldPosition="0">
        <references count="2">
          <reference field="4" count="1" selected="0">
            <x v="103"/>
          </reference>
          <reference field="5" count="1">
            <x v="51"/>
          </reference>
        </references>
      </pivotArea>
    </format>
    <format dxfId="1048">
      <pivotArea dataOnly="0" labelOnly="1" outline="0" fieldPosition="0">
        <references count="2">
          <reference field="4" count="1" selected="0">
            <x v="112"/>
          </reference>
          <reference field="5" count="2">
            <x v="102"/>
            <x v="108"/>
          </reference>
        </references>
      </pivotArea>
    </format>
    <format dxfId="1049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50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051">
      <pivotArea outline="0" fieldPosition="0">
        <references count="3">
          <reference field="4294967294" count="1" selected="0">
            <x v="1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51"/>
            <x v="83"/>
            <x v="85"/>
            <x v="87"/>
            <x v="89"/>
            <x v="92"/>
            <x v="93"/>
            <x v="94"/>
            <x v="96"/>
            <x v="97"/>
            <x v="101"/>
            <x v="102"/>
            <x v="104"/>
            <x v="108"/>
          </reference>
        </references>
      </pivotArea>
    </format>
    <format dxfId="1052">
      <pivotArea outline="0" fieldPosition="0">
        <references count="3">
          <reference field="4294967294" count="1" selected="0">
            <x v="0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51"/>
            <x v="83"/>
            <x v="85"/>
            <x v="87"/>
            <x v="89"/>
            <x v="92"/>
            <x v="93"/>
            <x v="94"/>
            <x v="96"/>
            <x v="97"/>
            <x v="101"/>
            <x v="102"/>
            <x v="104"/>
            <x v="108"/>
          </reference>
        </references>
      </pivotArea>
    </format>
    <format dxfId="1053">
      <pivotArea dataOnly="0" labelOnly="1" outline="0" fieldPosition="0">
        <references count="1">
          <reference field="4" count="2">
            <x v="116"/>
            <x v="117"/>
          </reference>
        </references>
      </pivotArea>
    </format>
    <format dxfId="1054">
      <pivotArea dataOnly="0" labelOnly="1" outline="0" fieldPosition="0">
        <references count="2">
          <reference field="4" count="1" selected="0">
            <x v="117"/>
          </reference>
          <reference field="5" count="1">
            <x v="93"/>
          </reference>
        </references>
      </pivotArea>
    </format>
    <format dxfId="1055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1056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1057">
      <pivotArea dataOnly="0" labelOnly="1" outline="0" fieldPosition="0">
        <references count="2">
          <reference field="4" count="1" selected="0">
            <x v="18"/>
          </reference>
          <reference field="5" count="1">
            <x v="101"/>
          </reference>
        </references>
      </pivotArea>
    </format>
    <format dxfId="1058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1059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1060">
      <pivotArea dataOnly="0" labelOnly="1" outline="0" fieldPosition="0">
        <references count="2">
          <reference field="4" count="1" selected="0">
            <x v="77"/>
          </reference>
          <reference field="5" count="2">
            <x v="93"/>
            <x v="94"/>
          </reference>
        </references>
      </pivotArea>
    </format>
    <format dxfId="1061">
      <pivotArea dataOnly="0" labelOnly="1" outline="0" fieldPosition="0">
        <references count="2">
          <reference field="4" count="1" selected="0">
            <x v="112"/>
          </reference>
          <reference field="5" count="1">
            <x v="102"/>
          </reference>
        </references>
      </pivotArea>
    </format>
    <format dxfId="1062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63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1064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1065">
      <pivotArea dataOnly="0" labelOnly="1" outline="0" fieldPosition="0">
        <references count="2">
          <reference field="4" count="1" selected="0">
            <x v="18"/>
          </reference>
          <reference field="5" count="1">
            <x v="101"/>
          </reference>
        </references>
      </pivotArea>
    </format>
    <format dxfId="1066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1067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1068">
      <pivotArea dataOnly="0" labelOnly="1" outline="0" fieldPosition="0">
        <references count="2">
          <reference field="4" count="1" selected="0">
            <x v="77"/>
          </reference>
          <reference field="5" count="2">
            <x v="93"/>
            <x v="94"/>
          </reference>
        </references>
      </pivotArea>
    </format>
    <format dxfId="1069">
      <pivotArea dataOnly="0" labelOnly="1" outline="0" fieldPosition="0">
        <references count="2">
          <reference field="4" count="1" selected="0">
            <x v="112"/>
          </reference>
          <reference field="5" count="1">
            <x v="102"/>
          </reference>
        </references>
      </pivotArea>
    </format>
    <format dxfId="1070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71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1072">
      <pivotArea dataOnly="0" labelOnly="1" outline="0" fieldPosition="0">
        <references count="2">
          <reference field="4" count="1" selected="0">
            <x v="16"/>
          </reference>
          <reference field="5" count="1">
            <x v="87"/>
          </reference>
        </references>
      </pivotArea>
    </format>
    <format dxfId="1073">
      <pivotArea dataOnly="0" labelOnly="1" outline="0" fieldPosition="0">
        <references count="2">
          <reference field="4" count="1" selected="0">
            <x v="18"/>
          </reference>
          <reference field="5" count="1">
            <x v="101"/>
          </reference>
        </references>
      </pivotArea>
    </format>
    <format dxfId="1074">
      <pivotArea dataOnly="0" labelOnly="1" outline="0" fieldPosition="0">
        <references count="2">
          <reference field="4" count="1" selected="0">
            <x v="51"/>
          </reference>
          <reference field="5" count="1">
            <x v="96"/>
          </reference>
        </references>
      </pivotArea>
    </format>
    <format dxfId="1075">
      <pivotArea dataOnly="0" labelOnly="1" outline="0" fieldPosition="0">
        <references count="2">
          <reference field="4" count="1" selected="0">
            <x v="70"/>
          </reference>
          <reference field="5" count="1">
            <x v="89"/>
          </reference>
        </references>
      </pivotArea>
    </format>
    <format dxfId="1076">
      <pivotArea dataOnly="0" labelOnly="1" outline="0" fieldPosition="0">
        <references count="2">
          <reference field="4" count="1" selected="0">
            <x v="77"/>
          </reference>
          <reference field="5" count="2">
            <x v="93"/>
            <x v="94"/>
          </reference>
        </references>
      </pivotArea>
    </format>
    <format dxfId="1077">
      <pivotArea dataOnly="0" labelOnly="1" outline="0" fieldPosition="0">
        <references count="2">
          <reference field="4" count="1" selected="0">
            <x v="112"/>
          </reference>
          <reference field="5" count="1">
            <x v="102"/>
          </reference>
        </references>
      </pivotArea>
    </format>
    <format dxfId="1078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79">
      <pivotArea dataOnly="0" labelOnly="1" outline="0" fieldPosition="0">
        <references count="1">
          <reference field="4" count="1">
            <x v="2"/>
          </reference>
        </references>
      </pivotArea>
    </format>
    <format dxfId="1080">
      <pivotArea dataOnly="0" labelOnly="1" outline="0" fieldPosition="0">
        <references count="2">
          <reference field="4" count="1" selected="0">
            <x v="2"/>
          </reference>
          <reference field="5" count="1">
            <x v="79"/>
          </reference>
        </references>
      </pivotArea>
    </format>
    <format dxfId="1081">
      <pivotArea dataOnly="0" labelOnly="1" outline="0" fieldPosition="0">
        <references count="1">
          <reference field="4" count="1">
            <x v="48"/>
          </reference>
        </references>
      </pivotArea>
    </format>
    <format dxfId="1082">
      <pivotArea dataOnly="0" labelOnly="1" outline="0" fieldPosition="0">
        <references count="1">
          <reference field="4" count="1">
            <x v="120"/>
          </reference>
        </references>
      </pivotArea>
    </format>
    <format dxfId="1083">
      <pivotArea dataOnly="0" labelOnly="1" outline="0" fieldPosition="0">
        <references count="2">
          <reference field="4" count="1" selected="0">
            <x v="120"/>
          </reference>
          <reference field="5" count="1">
            <x v="96"/>
          </reference>
        </references>
      </pivotArea>
    </format>
    <format dxfId="1084">
      <pivotArea dataOnly="0" labelOnly="1" outline="0" fieldPosition="0">
        <references count="1">
          <reference field="4" count="1">
            <x v="40"/>
          </reference>
        </references>
      </pivotArea>
    </format>
    <format dxfId="1085">
      <pivotArea dataOnly="0" labelOnly="1" outline="0" fieldPosition="0">
        <references count="1">
          <reference field="4" count="4">
            <x v="121"/>
            <x v="122"/>
            <x v="124"/>
            <x v="125"/>
          </reference>
        </references>
      </pivotArea>
    </format>
    <format dxfId="1086">
      <pivotArea dataOnly="0" labelOnly="1" outline="0" fieldPosition="0">
        <references count="2">
          <reference field="4" count="1" selected="0">
            <x v="48"/>
          </reference>
          <reference field="5" count="1">
            <x v="42"/>
          </reference>
        </references>
      </pivotArea>
    </format>
    <format dxfId="1087">
      <pivotArea dataOnly="0" labelOnly="1" outline="0" fieldPosition="0">
        <references count="2">
          <reference field="4" count="1" selected="0">
            <x v="76"/>
          </reference>
          <reference field="5" count="1">
            <x v="99"/>
          </reference>
        </references>
      </pivotArea>
    </format>
    <format dxfId="1088">
      <pivotArea dataOnly="0" labelOnly="1" outline="0" fieldPosition="0">
        <references count="2">
          <reference field="4" count="1" selected="0">
            <x v="77"/>
          </reference>
          <reference field="5" count="1">
            <x v="94"/>
          </reference>
        </references>
      </pivotArea>
    </format>
    <format dxfId="1089">
      <pivotArea dataOnly="0" labelOnly="1" outline="0" fieldPosition="0">
        <references count="2">
          <reference field="4" count="1" selected="0">
            <x v="113"/>
          </reference>
          <reference field="5" count="1">
            <x v="96"/>
          </reference>
        </references>
      </pivotArea>
    </format>
    <format dxfId="1090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091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092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093">
      <pivotArea dataOnly="0" labelOnly="1" outline="0" fieldPosition="0">
        <references count="2">
          <reference field="4" count="1" selected="0">
            <x v="121"/>
          </reference>
          <reference field="5" count="1">
            <x v="118"/>
          </reference>
        </references>
      </pivotArea>
    </format>
    <format dxfId="1094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095">
      <pivotArea dataOnly="0" labelOnly="1" outline="0" fieldPosition="0">
        <references count="2">
          <reference field="4" count="1" selected="0">
            <x v="124"/>
          </reference>
          <reference field="5" count="1">
            <x v="103"/>
          </reference>
        </references>
      </pivotArea>
    </format>
    <format dxfId="1096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097">
      <pivotArea dataOnly="0" labelOnly="1" outline="0" fieldPosition="0">
        <references count="2">
          <reference field="4" count="1" selected="0">
            <x v="40"/>
          </reference>
          <reference field="5" count="1">
            <x v="59"/>
          </reference>
        </references>
      </pivotArea>
    </format>
    <format dxfId="1098">
      <pivotArea dataOnly="0" labelOnly="1" outline="0" fieldPosition="0">
        <references count="2">
          <reference field="4" count="1" selected="0">
            <x v="126"/>
          </reference>
          <reference field="5" count="1">
            <x v="106"/>
          </reference>
        </references>
      </pivotArea>
    </format>
    <format dxfId="1099">
      <pivotArea dataOnly="0" labelOnly="1" outline="0" fieldPosition="0">
        <references count="1">
          <reference field="4" count="1">
            <x v="126"/>
          </reference>
        </references>
      </pivotArea>
    </format>
    <format dxfId="1100">
      <pivotArea field="5" type="button" dataOnly="0" labelOnly="1" outline="0" axis="axisRow" fieldPosition="1"/>
    </format>
    <format dxfId="1101">
      <pivotArea dataOnly="0" labelOnly="1" grandRow="1" outline="0" fieldPosition="0"/>
    </format>
    <format dxfId="1102">
      <pivotArea dataOnly="0" labelOnly="1" outline="0" fieldPosition="0">
        <references count="2">
          <reference field="4" count="1" selected="0">
            <x v="7"/>
          </reference>
          <reference field="5" count="1">
            <x v="108"/>
          </reference>
        </references>
      </pivotArea>
    </format>
    <format dxfId="1103">
      <pivotArea dataOnly="0" labelOnly="1" outline="0" fieldPosition="0">
        <references count="2">
          <reference field="4" count="1" selected="0">
            <x v="48"/>
          </reference>
          <reference field="5" count="1">
            <x v="42"/>
          </reference>
        </references>
      </pivotArea>
    </format>
    <format dxfId="1104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05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106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107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108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109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110">
      <pivotArea dataOnly="0" labelOnly="1" outline="0" fieldPosition="0">
        <references count="2">
          <reference field="4" count="1" selected="0">
            <x v="126"/>
          </reference>
          <reference field="5" count="1">
            <x v="106"/>
          </reference>
        </references>
      </pivotArea>
    </format>
    <format dxfId="1111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112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113">
      <pivotArea dataOnly="0" labelOnly="1" outline="0" fieldPosition="0">
        <references count="2">
          <reference field="4" count="1" selected="0">
            <x v="129"/>
          </reference>
          <reference field="5" count="1">
            <x v="114"/>
          </reference>
        </references>
      </pivotArea>
    </format>
    <format dxfId="1114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15">
      <pivotArea dataOnly="0" labelOnly="1" outline="0" fieldPosition="0">
        <references count="1">
          <reference field="4" count="3">
            <x v="127"/>
            <x v="128"/>
            <x v="129"/>
          </reference>
        </references>
      </pivotArea>
    </format>
    <format dxfId="1116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117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118">
      <pivotArea dataOnly="0" labelOnly="1" outline="0" fieldPosition="0">
        <references count="2">
          <reference field="4" count="1" selected="0">
            <x v="129"/>
          </reference>
          <reference field="5" count="1">
            <x v="114"/>
          </reference>
        </references>
      </pivotArea>
    </format>
    <format dxfId="1119">
      <pivotArea field="4" type="button" dataOnly="0" labelOnly="1" outline="0" axis="axisRow" fieldPosition="0"/>
    </format>
    <format dxfId="1120">
      <pivotArea field="5" type="button" dataOnly="0" labelOnly="1" outline="0" axis="axisRow" fieldPosition="1"/>
    </format>
    <format dxfId="11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22">
      <pivotArea outline="0" collapsedLevelsAreSubtotals="1" fieldPosition="0"/>
    </format>
    <format dxfId="1123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1124">
      <pivotArea dataOnly="0" labelOnly="1" grandRow="1" outline="0" fieldPosition="0"/>
    </format>
    <format dxfId="1125">
      <pivotArea dataOnly="0" labelOnly="1" outline="0" fieldPosition="0">
        <references count="2">
          <reference field="4" count="1" selected="0">
            <x v="69"/>
          </reference>
          <reference field="5" count="1">
            <x v="118"/>
          </reference>
        </references>
      </pivotArea>
    </format>
    <format dxfId="1126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27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128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129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130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131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132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133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134">
      <pivotArea dataOnly="0" labelOnly="1" outline="0" fieldPosition="0">
        <references count="2">
          <reference field="4" count="1" selected="0">
            <x v="129"/>
          </reference>
          <reference field="5" count="2">
            <x v="100"/>
            <x v="114"/>
          </reference>
        </references>
      </pivotArea>
    </format>
    <format dxfId="1135">
      <pivotArea dataOnly="0" labelOnly="1" outline="0" fieldPosition="0">
        <references count="2">
          <reference field="4" count="1" selected="0">
            <x v="130"/>
          </reference>
          <reference field="5" count="1">
            <x v="108"/>
          </reference>
        </references>
      </pivotArea>
    </format>
    <format dxfId="1136">
      <pivotArea dataOnly="0" labelOnly="1" outline="0" fieldPosition="0">
        <references count="2">
          <reference field="4" count="1" selected="0">
            <x v="131"/>
          </reference>
          <reference field="5" count="1">
            <x v="114"/>
          </reference>
        </references>
      </pivotArea>
    </format>
    <format dxfId="1137">
      <pivotArea dataOnly="0" labelOnly="1" outline="0" fieldPosition="0">
        <references count="2">
          <reference field="4" count="1" selected="0">
            <x v="132"/>
          </reference>
          <reference field="5" count="1">
            <x v="120"/>
          </reference>
        </references>
      </pivotArea>
    </format>
    <format dxfId="1138">
      <pivotArea dataOnly="0" labelOnly="1" outline="0" fieldPosition="0">
        <references count="2">
          <reference field="4" count="1" selected="0">
            <x v="133"/>
          </reference>
          <reference field="5" count="1">
            <x v="112"/>
          </reference>
        </references>
      </pivotArea>
    </format>
    <format dxfId="1139">
      <pivotArea outline="0" collapsedLevelsAreSubtotals="1" fieldPosition="0"/>
    </format>
    <format dxfId="1140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1141">
      <pivotArea dataOnly="0" labelOnly="1" grandRow="1" outline="0" fieldPosition="0"/>
    </format>
    <format dxfId="1142">
      <pivotArea dataOnly="0" labelOnly="1" outline="0" fieldPosition="0">
        <references count="2">
          <reference field="4" count="1" selected="0">
            <x v="69"/>
          </reference>
          <reference field="5" count="1">
            <x v="118"/>
          </reference>
        </references>
      </pivotArea>
    </format>
    <format dxfId="1143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44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145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146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147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148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149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150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151">
      <pivotArea dataOnly="0" labelOnly="1" outline="0" fieldPosition="0">
        <references count="2">
          <reference field="4" count="1" selected="0">
            <x v="129"/>
          </reference>
          <reference field="5" count="2">
            <x v="100"/>
            <x v="114"/>
          </reference>
        </references>
      </pivotArea>
    </format>
    <format dxfId="1152">
      <pivotArea dataOnly="0" labelOnly="1" outline="0" fieldPosition="0">
        <references count="2">
          <reference field="4" count="1" selected="0">
            <x v="130"/>
          </reference>
          <reference field="5" count="1">
            <x v="108"/>
          </reference>
        </references>
      </pivotArea>
    </format>
    <format dxfId="1153">
      <pivotArea dataOnly="0" labelOnly="1" outline="0" fieldPosition="0">
        <references count="2">
          <reference field="4" count="1" selected="0">
            <x v="131"/>
          </reference>
          <reference field="5" count="1">
            <x v="114"/>
          </reference>
        </references>
      </pivotArea>
    </format>
    <format dxfId="1154">
      <pivotArea dataOnly="0" labelOnly="1" outline="0" fieldPosition="0">
        <references count="2">
          <reference field="4" count="1" selected="0">
            <x v="132"/>
          </reference>
          <reference field="5" count="1">
            <x v="120"/>
          </reference>
        </references>
      </pivotArea>
    </format>
    <format dxfId="1155">
      <pivotArea dataOnly="0" labelOnly="1" outline="0" fieldPosition="0">
        <references count="2">
          <reference field="4" count="1" selected="0">
            <x v="133"/>
          </reference>
          <reference field="5" count="1">
            <x v="112"/>
          </reference>
        </references>
      </pivotArea>
    </format>
    <format dxfId="1156">
      <pivotArea type="all" dataOnly="0" outline="0" fieldPosition="0"/>
    </format>
    <format dxfId="1157">
      <pivotArea outline="0" collapsedLevelsAreSubtotals="1" fieldPosition="0"/>
    </format>
    <format dxfId="1158">
      <pivotArea field="4" type="button" dataOnly="0" labelOnly="1" outline="0" axis="axisRow" fieldPosition="0"/>
    </format>
    <format dxfId="1159">
      <pivotArea field="5" type="button" dataOnly="0" labelOnly="1" outline="0" axis="axisRow" fieldPosition="1"/>
    </format>
    <format dxfId="1160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1161">
      <pivotArea dataOnly="0" labelOnly="1" grandRow="1" outline="0" fieldPosition="0"/>
    </format>
    <format dxfId="1162">
      <pivotArea dataOnly="0" labelOnly="1" outline="0" fieldPosition="0">
        <references count="2">
          <reference field="4" count="1" selected="0">
            <x v="69"/>
          </reference>
          <reference field="5" count="1">
            <x v="118"/>
          </reference>
        </references>
      </pivotArea>
    </format>
    <format dxfId="1163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64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165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166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167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168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169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170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171">
      <pivotArea dataOnly="0" labelOnly="1" outline="0" fieldPosition="0">
        <references count="2">
          <reference field="4" count="1" selected="0">
            <x v="129"/>
          </reference>
          <reference field="5" count="2">
            <x v="100"/>
            <x v="114"/>
          </reference>
        </references>
      </pivotArea>
    </format>
    <format dxfId="1172">
      <pivotArea dataOnly="0" labelOnly="1" outline="0" fieldPosition="0">
        <references count="2">
          <reference field="4" count="1" selected="0">
            <x v="130"/>
          </reference>
          <reference field="5" count="1">
            <x v="108"/>
          </reference>
        </references>
      </pivotArea>
    </format>
    <format dxfId="1173">
      <pivotArea dataOnly="0" labelOnly="1" outline="0" fieldPosition="0">
        <references count="2">
          <reference field="4" count="1" selected="0">
            <x v="131"/>
          </reference>
          <reference field="5" count="1">
            <x v="114"/>
          </reference>
        </references>
      </pivotArea>
    </format>
    <format dxfId="1174">
      <pivotArea dataOnly="0" labelOnly="1" outline="0" fieldPosition="0">
        <references count="2">
          <reference field="4" count="1" selected="0">
            <x v="132"/>
          </reference>
          <reference field="5" count="1">
            <x v="120"/>
          </reference>
        </references>
      </pivotArea>
    </format>
    <format dxfId="1175">
      <pivotArea dataOnly="0" labelOnly="1" outline="0" fieldPosition="0">
        <references count="2">
          <reference field="4" count="1" selected="0">
            <x v="133"/>
          </reference>
          <reference field="5" count="1">
            <x v="112"/>
          </reference>
        </references>
      </pivotArea>
    </format>
    <format dxfId="11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77">
      <pivotArea outline="0" collapsedLevelsAreSubtotals="1" fieldPosition="0"/>
    </format>
    <format dxfId="1178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1179">
      <pivotArea dataOnly="0" labelOnly="1" grandRow="1" outline="0" fieldPosition="0"/>
    </format>
    <format dxfId="1180">
      <pivotArea dataOnly="0" labelOnly="1" outline="0" fieldPosition="0">
        <references count="2">
          <reference field="4" count="1" selected="0">
            <x v="69"/>
          </reference>
          <reference field="5" count="1">
            <x v="118"/>
          </reference>
        </references>
      </pivotArea>
    </format>
    <format dxfId="1181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82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183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184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185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186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187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188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189">
      <pivotArea dataOnly="0" labelOnly="1" outline="0" fieldPosition="0">
        <references count="2">
          <reference field="4" count="1" selected="0">
            <x v="129"/>
          </reference>
          <reference field="5" count="2">
            <x v="100"/>
            <x v="114"/>
          </reference>
        </references>
      </pivotArea>
    </format>
    <format dxfId="1190">
      <pivotArea dataOnly="0" labelOnly="1" outline="0" fieldPosition="0">
        <references count="2">
          <reference field="4" count="1" selected="0">
            <x v="130"/>
          </reference>
          <reference field="5" count="1">
            <x v="108"/>
          </reference>
        </references>
      </pivotArea>
    </format>
    <format dxfId="1191">
      <pivotArea dataOnly="0" labelOnly="1" outline="0" fieldPosition="0">
        <references count="2">
          <reference field="4" count="1" selected="0">
            <x v="131"/>
          </reference>
          <reference field="5" count="1">
            <x v="114"/>
          </reference>
        </references>
      </pivotArea>
    </format>
    <format dxfId="1192">
      <pivotArea dataOnly="0" labelOnly="1" outline="0" fieldPosition="0">
        <references count="2">
          <reference field="4" count="1" selected="0">
            <x v="132"/>
          </reference>
          <reference field="5" count="1">
            <x v="120"/>
          </reference>
        </references>
      </pivotArea>
    </format>
    <format dxfId="1193">
      <pivotArea dataOnly="0" labelOnly="1" outline="0" fieldPosition="0">
        <references count="2">
          <reference field="4" count="1" selected="0">
            <x v="133"/>
          </reference>
          <reference field="5" count="1">
            <x v="112"/>
          </reference>
        </references>
      </pivotArea>
    </format>
    <format dxfId="1194">
      <pivotArea outline="0" collapsedLevelsAreSubtotals="1" fieldPosition="0"/>
    </format>
    <format dxfId="1195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1196">
      <pivotArea dataOnly="0" labelOnly="1" grandRow="1" outline="0" fieldPosition="0"/>
    </format>
    <format dxfId="1197">
      <pivotArea dataOnly="0" labelOnly="1" outline="0" fieldPosition="0">
        <references count="2">
          <reference field="4" count="1" selected="0">
            <x v="69"/>
          </reference>
          <reference field="5" count="1">
            <x v="118"/>
          </reference>
        </references>
      </pivotArea>
    </format>
    <format dxfId="1198">
      <pivotArea dataOnly="0" labelOnly="1" outline="0" fieldPosition="0">
        <references count="2">
          <reference field="4" count="1" selected="0">
            <x v="77"/>
          </reference>
          <reference field="5" count="1">
            <x v="109"/>
          </reference>
        </references>
      </pivotArea>
    </format>
    <format dxfId="1199">
      <pivotArea dataOnly="0" labelOnly="1" outline="0" fieldPosition="0">
        <references count="2">
          <reference field="4" count="1" selected="0">
            <x v="115"/>
          </reference>
          <reference field="5" count="1">
            <x v="108"/>
          </reference>
        </references>
      </pivotArea>
    </format>
    <format dxfId="1200">
      <pivotArea dataOnly="0" labelOnly="1" outline="0" fieldPosition="0">
        <references count="2">
          <reference field="4" count="1" selected="0">
            <x v="116"/>
          </reference>
          <reference field="5" count="1">
            <x v="107"/>
          </reference>
        </references>
      </pivotArea>
    </format>
    <format dxfId="1201">
      <pivotArea dataOnly="0" labelOnly="1" outline="0" fieldPosition="0">
        <references count="2">
          <reference field="4" count="1" selected="0">
            <x v="117"/>
          </reference>
          <reference field="5" count="1">
            <x v="105"/>
          </reference>
        </references>
      </pivotArea>
    </format>
    <format dxfId="1202">
      <pivotArea dataOnly="0" labelOnly="1" outline="0" fieldPosition="0">
        <references count="2">
          <reference field="4" count="1" selected="0">
            <x v="122"/>
          </reference>
          <reference field="5" count="1">
            <x v="125"/>
          </reference>
        </references>
      </pivotArea>
    </format>
    <format dxfId="1203">
      <pivotArea dataOnly="0" labelOnly="1" outline="0" fieldPosition="0">
        <references count="2">
          <reference field="4" count="1" selected="0">
            <x v="125"/>
          </reference>
          <reference field="5" count="1">
            <x v="108"/>
          </reference>
        </references>
      </pivotArea>
    </format>
    <format dxfId="1204">
      <pivotArea dataOnly="0" labelOnly="1" outline="0" fieldPosition="0">
        <references count="2">
          <reference field="4" count="1" selected="0">
            <x v="127"/>
          </reference>
          <reference field="5" count="1">
            <x v="105"/>
          </reference>
        </references>
      </pivotArea>
    </format>
    <format dxfId="1205">
      <pivotArea dataOnly="0" labelOnly="1" outline="0" fieldPosition="0">
        <references count="2">
          <reference field="4" count="1" selected="0">
            <x v="128"/>
          </reference>
          <reference field="5" count="1">
            <x v="110"/>
          </reference>
        </references>
      </pivotArea>
    </format>
    <format dxfId="1206">
      <pivotArea dataOnly="0" labelOnly="1" outline="0" fieldPosition="0">
        <references count="2">
          <reference field="4" count="1" selected="0">
            <x v="129"/>
          </reference>
          <reference field="5" count="2">
            <x v="100"/>
            <x v="114"/>
          </reference>
        </references>
      </pivotArea>
    </format>
    <format dxfId="1207">
      <pivotArea dataOnly="0" labelOnly="1" outline="0" fieldPosition="0">
        <references count="2">
          <reference field="4" count="1" selected="0">
            <x v="130"/>
          </reference>
          <reference field="5" count="1">
            <x v="108"/>
          </reference>
        </references>
      </pivotArea>
    </format>
    <format dxfId="1208">
      <pivotArea dataOnly="0" labelOnly="1" outline="0" fieldPosition="0">
        <references count="2">
          <reference field="4" count="1" selected="0">
            <x v="131"/>
          </reference>
          <reference field="5" count="1">
            <x v="114"/>
          </reference>
        </references>
      </pivotArea>
    </format>
    <format dxfId="1209">
      <pivotArea dataOnly="0" labelOnly="1" outline="0" fieldPosition="0">
        <references count="2">
          <reference field="4" count="1" selected="0">
            <x v="132"/>
          </reference>
          <reference field="5" count="1">
            <x v="120"/>
          </reference>
        </references>
      </pivotArea>
    </format>
    <format dxfId="1210">
      <pivotArea dataOnly="0" labelOnly="1" outline="0" fieldPosition="0">
        <references count="2">
          <reference field="4" count="1" selected="0">
            <x v="133"/>
          </reference>
          <reference field="5" count="1">
            <x v="112"/>
          </reference>
        </references>
      </pivotArea>
    </format>
    <format dxfId="1211">
      <pivotArea field="4" type="button" dataOnly="0" labelOnly="1" outline="0" axis="axisRow" fieldPosition="0"/>
    </format>
    <format dxfId="1212">
      <pivotArea field="5" type="button" dataOnly="0" labelOnly="1" outline="0" axis="axisRow" fieldPosition="1"/>
    </format>
    <format dxfId="12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4">
      <pivotArea dataOnly="0" labelOnly="1" outline="0" fieldPosition="0">
        <references count="2">
          <reference field="4" count="1" selected="0">
            <x v="42"/>
          </reference>
          <reference field="5" count="1">
            <x v="92"/>
          </reference>
        </references>
      </pivotArea>
    </format>
    <format dxfId="1215">
      <pivotArea dataOnly="0" labelOnly="1" outline="0" fieldPosition="0">
        <references count="2">
          <reference field="4" count="1" selected="0">
            <x v="42"/>
          </reference>
          <reference field="5" count="1">
            <x v="92"/>
          </reference>
        </references>
      </pivotArea>
    </format>
    <format dxfId="1216">
      <pivotArea dataOnly="0" labelOnly="1" outline="0" fieldPosition="0">
        <references count="2">
          <reference field="4" count="1" selected="0">
            <x v="42"/>
          </reference>
          <reference field="5" count="1">
            <x v="92"/>
          </reference>
        </references>
      </pivotArea>
    </format>
    <format dxfId="1217">
      <pivotArea dataOnly="0" labelOnly="1" outline="0" fieldPosition="0">
        <references count="1">
          <reference field="4" count="8">
            <x v="42"/>
            <x v="51"/>
            <x v="69"/>
            <x v="70"/>
            <x v="122"/>
            <x v="123"/>
            <x v="127"/>
            <x v="129"/>
          </reference>
        </references>
      </pivotArea>
    </format>
    <format dxfId="1218">
      <pivotArea dataOnly="0" labelOnly="1" outline="0" fieldPosition="0">
        <references count="1">
          <reference field="4" count="1">
            <x v="82"/>
          </reference>
        </references>
      </pivotArea>
    </format>
    <format dxfId="1219">
      <pivotArea dataOnly="0" labelOnly="1" outline="0" fieldPosition="0">
        <references count="1">
          <reference field="4" count="1">
            <x v="82"/>
          </reference>
        </references>
      </pivotArea>
    </format>
    <format dxfId="1220">
      <pivotArea dataOnly="0" labelOnly="1" outline="0" fieldPosition="0">
        <references count="1">
          <reference field="4" count="17">
            <x v="41"/>
            <x v="51"/>
            <x v="69"/>
            <x v="86"/>
            <x v="121"/>
            <x v="127"/>
            <x v="133"/>
            <x v="135"/>
            <x v="138"/>
            <x v="139"/>
            <x v="140"/>
            <x v="142"/>
            <x v="143"/>
            <x v="144"/>
            <x v="145"/>
            <x v="146"/>
            <x v="147"/>
          </reference>
        </references>
      </pivotArea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1DE0-5C79-45E2-B5B5-BCAAAFCFA124}" name="ActiveQueue" cacheId="3148" applyNumberFormats="0" applyBorderFormats="0" applyFontFormats="0" applyPatternFormats="0" applyAlignmentFormats="0" applyWidthHeightFormats="1" dataCaption="Values" errorCaption="VALIDATE DATA" showError="1" missingCaption="VALIDATE DATA" updatedVersion="8" minRefreshableVersion="3" showDrill="0" useAutoFormatting="1" colGrandTotals="0" itemPrintTitles="1" createdVersion="8" indent="127" compact="0" compactData="0" multipleFieldFilters="0">
  <location ref="O10:S33" firstHeaderRow="0" firstDataRow="1" firstDataCol="2" rowPageCount="2" colPageCount="1"/>
  <pivotFields count="40">
    <pivotField axis="axisPage" compact="0" outline="0" showAll="0" defaultSubtotal="0">
      <items count="4">
        <item x="0"/>
        <item x="1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m="1" x="155"/>
        <item x="83"/>
        <item x="73"/>
        <item x="82"/>
        <item x="86"/>
        <item m="1" x="150"/>
        <item x="0"/>
        <item x="99"/>
        <item x="87"/>
        <item x="64"/>
        <item x="5"/>
        <item x="53"/>
        <item x="16"/>
        <item m="1" x="160"/>
        <item x="85"/>
        <item x="28"/>
        <item x="96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80"/>
        <item x="22"/>
        <item x="71"/>
        <item x="66"/>
        <item x="58"/>
        <item x="27"/>
        <item x="90"/>
        <item x="63"/>
        <item x="72"/>
        <item x="84"/>
        <item x="42"/>
        <item x="65"/>
        <item x="10"/>
        <item x="9"/>
        <item x="35"/>
        <item x="40"/>
        <item x="48"/>
        <item x="19"/>
        <item x="119"/>
        <item x="49"/>
        <item m="1" x="158"/>
        <item m="1" x="151"/>
        <item x="67"/>
        <item x="37"/>
        <item x="93"/>
        <item x="62"/>
        <item x="76"/>
        <item m="1" x="154"/>
        <item x="54"/>
        <item x="61"/>
        <item m="1" x="163"/>
        <item x="33"/>
        <item x="50"/>
        <item x="15"/>
        <item m="1" x="162"/>
        <item x="75"/>
        <item x="69"/>
        <item x="45"/>
        <item x="91"/>
        <item x="6"/>
        <item x="8"/>
        <item x="47"/>
        <item x="92"/>
        <item x="97"/>
        <item x="94"/>
        <item x="24"/>
        <item x="13"/>
        <item x="41"/>
        <item x="52"/>
        <item x="81"/>
        <item x="43"/>
        <item m="1" x="161"/>
        <item x="98"/>
        <item x="46"/>
        <item x="18"/>
        <item x="14"/>
        <item x="77"/>
        <item x="74"/>
        <item x="70"/>
        <item x="60"/>
        <item x="3"/>
        <item x="59"/>
        <item x="88"/>
        <item x="95"/>
        <item x="25"/>
        <item x="79"/>
        <item x="1"/>
        <item x="30"/>
        <item x="78"/>
        <item x="7"/>
        <item x="55"/>
        <item x="39"/>
        <item m="1" x="157"/>
        <item m="1" x="156"/>
        <item x="2"/>
        <item x="68"/>
        <item x="17"/>
        <item m="1" x="148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8">
        <item m="1" x="121"/>
        <item x="101"/>
        <item x="114"/>
        <item x="115"/>
        <item x="119"/>
        <item x="116"/>
        <item x="112"/>
        <item x="103"/>
        <item x="113"/>
        <item x="117"/>
        <item x="118"/>
        <item m="1" x="120"/>
        <item x="88"/>
        <item x="109"/>
        <item x="110"/>
        <item x="106"/>
        <item x="108"/>
        <item x="98"/>
        <item x="105"/>
        <item x="89"/>
        <item x="104"/>
        <item x="102"/>
        <item x="111"/>
        <item x="95"/>
        <item x="100"/>
        <item x="99"/>
        <item m="1" x="125"/>
        <item x="94"/>
        <item x="96"/>
        <item x="82"/>
        <item x="86"/>
        <item x="92"/>
        <item x="87"/>
        <item x="81"/>
        <item x="91"/>
        <item x="79"/>
        <item x="85"/>
        <item x="97"/>
        <item x="93"/>
        <item x="77"/>
        <item x="74"/>
        <item x="73"/>
        <item x="107"/>
        <item x="39"/>
        <item x="78"/>
        <item x="70"/>
        <item x="68"/>
        <item x="83"/>
        <item x="76"/>
        <item x="57"/>
        <item x="67"/>
        <item x="71"/>
        <item x="59"/>
        <item m="1" x="127"/>
        <item x="84"/>
        <item x="63"/>
        <item x="69"/>
        <item x="64"/>
        <item x="60"/>
        <item x="52"/>
        <item x="66"/>
        <item x="58"/>
        <item m="1" x="135"/>
        <item x="62"/>
        <item m="1" x="134"/>
        <item m="1" x="133"/>
        <item m="1" x="132"/>
        <item m="1" x="128"/>
        <item m="1" x="123"/>
        <item x="61"/>
        <item m="1" x="131"/>
        <item x="54"/>
        <item m="1" x="130"/>
        <item m="1" x="129"/>
        <item x="46"/>
        <item x="56"/>
        <item x="72"/>
        <item x="49"/>
        <item x="36"/>
        <item x="32"/>
        <item x="55"/>
        <item x="50"/>
        <item x="42"/>
        <item x="44"/>
        <item m="1" x="122"/>
        <item x="90"/>
        <item x="80"/>
        <item x="43"/>
        <item x="37"/>
        <item x="38"/>
        <item x="48"/>
        <item x="45"/>
        <item m="1" x="126"/>
        <item m="1" x="137"/>
        <item x="35"/>
        <item x="34"/>
        <item x="30"/>
        <item x="40"/>
        <item x="28"/>
        <item m="1" x="124"/>
        <item x="33"/>
        <item x="29"/>
        <item x="27"/>
        <item x="53"/>
        <item x="31"/>
        <item x="22"/>
        <item x="26"/>
        <item x="24"/>
        <item x="23"/>
        <item x="51"/>
        <item x="25"/>
        <item x="20"/>
        <item x="21"/>
        <item x="17"/>
        <item x="18"/>
        <item x="19"/>
        <item x="16"/>
        <item x="47"/>
        <item x="65"/>
        <item x="15"/>
        <item x="41"/>
        <item x="14"/>
        <item x="13"/>
        <item x="11"/>
        <item x="12"/>
        <item x="5"/>
        <item x="10"/>
        <item x="9"/>
        <item x="6"/>
        <item x="8"/>
        <item x="4"/>
        <item x="7"/>
        <item x="2"/>
        <item x="3"/>
        <item x="1"/>
        <item x="0"/>
        <item m="1" x="136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h="1" x="0"/>
        <item x="2"/>
        <item h="1"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5"/>
  </rowFields>
  <rowItems count="23">
    <i>
      <x v="8"/>
      <x v="2"/>
    </i>
    <i>
      <x v="69"/>
      <x v="10"/>
    </i>
    <i r="1">
      <x v="15"/>
    </i>
    <i>
      <x v="86"/>
      <x v="43"/>
    </i>
    <i>
      <x v="117"/>
      <x v="12"/>
    </i>
    <i>
      <x v="143"/>
      <x v="15"/>
    </i>
    <i>
      <x v="146"/>
      <x v="7"/>
    </i>
    <i>
      <x v="147"/>
      <x v="14"/>
    </i>
    <i>
      <x v="150"/>
      <x v="6"/>
    </i>
    <i r="1">
      <x v="9"/>
    </i>
    <i>
      <x v="152"/>
      <x v="17"/>
    </i>
    <i>
      <x v="153"/>
      <x v="8"/>
    </i>
    <i>
      <x v="154"/>
      <x v="12"/>
    </i>
    <i>
      <x v="155"/>
      <x v="8"/>
    </i>
    <i>
      <x v="157"/>
      <x v="3"/>
    </i>
    <i>
      <x v="158"/>
      <x v="5"/>
    </i>
    <i>
      <x v="159"/>
      <x v="2"/>
    </i>
    <i>
      <x v="160"/>
      <x v="4"/>
    </i>
    <i>
      <x v="161"/>
      <x v="1"/>
    </i>
    <i>
      <x v="162"/>
      <x v="8"/>
    </i>
    <i>
      <x v="163"/>
      <x v="2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28" item="1" hier="-1"/>
  </pageFields>
  <dataFields count="3">
    <dataField name="Average of Pre RM Opening Time" fld="14" subtotal="average" baseField="0" baseItem="0" numFmtId="1"/>
    <dataField name="Average of % Of completion " fld="38" subtotal="average" baseField="0" baseItem="0" numFmtId="10"/>
    <dataField name="Count of WF" fld="9" subtotal="count" baseField="0" baseItem="0"/>
  </dataFields>
  <formats count="218">
    <format dxfId="683">
      <pivotArea field="4" type="button" dataOnly="0" labelOnly="1" outline="0" axis="axisRow" fieldPosition="0"/>
    </format>
    <format dxfId="684">
      <pivotArea field="5" type="button" dataOnly="0" labelOnly="1" outline="0" axis="axisRow" fieldPosition="1"/>
    </format>
    <format dxfId="6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6">
      <pivotArea field="4" type="button" dataOnly="0" labelOnly="1" outline="0" axis="axisRow" fieldPosition="0"/>
    </format>
    <format dxfId="687">
      <pivotArea field="5" type="button" dataOnly="0" labelOnly="1" outline="0" axis="axisRow" fieldPosition="1"/>
    </format>
    <format dxfId="6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9">
      <pivotArea field="4" type="button" dataOnly="0" labelOnly="1" outline="0" axis="axisRow" fieldPosition="0"/>
    </format>
    <format dxfId="690">
      <pivotArea field="5" type="button" dataOnly="0" labelOnly="1" outline="0" axis="axisRow" fieldPosition="1"/>
    </format>
    <format dxfId="6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2">
      <pivotArea field="4" type="button" dataOnly="0" labelOnly="1" outline="0" axis="axisRow" fieldPosition="0"/>
    </format>
    <format dxfId="693">
      <pivotArea field="5" type="button" dataOnly="0" labelOnly="1" outline="0" axis="axisRow" fieldPosition="1"/>
    </format>
    <format dxfId="6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5">
      <pivotArea dataOnly="0" labelOnly="1" outline="0" fieldPosition="0">
        <references count="2">
          <reference field="0" count="0"/>
          <reference field="28" count="1" selected="0">
            <x v="1"/>
          </reference>
        </references>
      </pivotArea>
    </format>
    <format dxfId="696">
      <pivotArea dataOnly="0" labelOnly="1" outline="0" fieldPosition="0">
        <references count="1">
          <reference field="28" count="1">
            <x v="1"/>
          </reference>
        </references>
      </pivotArea>
    </format>
    <format dxfId="697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698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699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700">
      <pivotArea outline="0" collapsedLevelsAreSubtotals="1" fieldPosition="0"/>
    </format>
    <format dxfId="701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702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703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704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705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706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707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708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709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710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711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712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713">
      <pivotArea outline="0" collapsedLevelsAreSubtotals="1" fieldPosition="0"/>
    </format>
    <format dxfId="714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715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716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717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718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719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720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721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722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723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724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725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726">
      <pivotArea outline="0" collapsedLevelsAreSubtotals="1" fieldPosition="0"/>
    </format>
    <format dxfId="727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728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729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730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731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732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733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734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735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736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737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738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739">
      <pivotArea outline="0" collapsedLevelsAreSubtotals="1" fieldPosition="0"/>
    </format>
    <format dxfId="740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741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742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743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744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745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746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747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748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749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750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751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752">
      <pivotArea outline="0" collapsedLevelsAreSubtotals="1" fieldPosition="0"/>
    </format>
    <format dxfId="753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754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755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756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757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758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759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760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761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762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763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764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765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766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767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768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769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770">
      <pivotArea dataOnly="0" labelOnly="1" outline="0" fieldPosition="0">
        <references count="2">
          <reference field="4" count="1" selected="0">
            <x v="85"/>
          </reference>
          <reference field="5" count="1">
            <x v="15"/>
          </reference>
        </references>
      </pivotArea>
    </format>
    <format dxfId="771">
      <pivotArea dataOnly="0" labelOnly="1" grandRow="1" outline="0" offset="A256" fieldPosition="0"/>
    </format>
    <format dxfId="772">
      <pivotArea grandRow="1" outline="0" collapsedLevelsAreSubtotals="1" fieldPosition="0"/>
    </format>
    <format dxfId="773">
      <pivotArea grandRow="1" outline="0" collapsedLevelsAreSubtotals="1" fieldPosition="0"/>
    </format>
    <format dxfId="774">
      <pivotArea dataOnly="0" labelOnly="1" grandRow="1" outline="0" fieldPosition="0"/>
    </format>
    <format dxfId="775">
      <pivotArea dataOnly="0" labelOnly="1" outline="0" fieldPosition="0">
        <references count="1">
          <reference field="4" count="16"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</references>
      </pivotArea>
    </format>
    <format dxfId="776">
      <pivotArea dataOnly="0" labelOnly="1" grandRow="1" outline="0" offset="A256" fieldPosition="0"/>
    </format>
    <format dxfId="777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778">
      <pivotArea outline="0" fieldPosition="0">
        <references count="1">
          <reference field="4294967294" count="1" selected="0">
            <x v="1"/>
          </reference>
        </references>
      </pivotArea>
    </format>
    <format dxfId="779">
      <pivotArea outline="0" collapsedLevelsAreSubtotals="1" fieldPosition="0"/>
    </format>
    <format dxfId="780">
      <pivotArea dataOnly="0" labelOnly="1" outline="0" fieldPosition="0">
        <references count="1">
          <reference field="4" count="17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</references>
      </pivotArea>
    </format>
    <format dxfId="781">
      <pivotArea dataOnly="0" labelOnly="1" grandRow="1" outline="0" fieldPosition="0"/>
    </format>
    <format dxfId="782">
      <pivotArea dataOnly="0" labelOnly="1" outline="0" fieldPosition="0">
        <references count="2">
          <reference field="4" count="1" selected="0">
            <x v="4"/>
          </reference>
          <reference field="5" count="1">
            <x v="54"/>
          </reference>
        </references>
      </pivotArea>
    </format>
    <format dxfId="783">
      <pivotArea dataOnly="0" labelOnly="1" outline="0" fieldPosition="0">
        <references count="2">
          <reference field="4" count="1" selected="0">
            <x v="7"/>
          </reference>
          <reference field="5" count="1">
            <x v="33"/>
          </reference>
        </references>
      </pivotArea>
    </format>
    <format dxfId="784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785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786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787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788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789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790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791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792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793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794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795">
      <pivotArea dataOnly="0" labelOnly="1" outline="0" fieldPosition="0">
        <references count="2">
          <reference field="4" count="1" selected="0">
            <x v="103"/>
          </reference>
          <reference field="5" count="1">
            <x v="86"/>
          </reference>
        </references>
      </pivotArea>
    </format>
    <format dxfId="796">
      <pivotArea dataOnly="0" labelOnly="1" outline="0" fieldPosition="0">
        <references count="2">
          <reference field="4" count="1" selected="0">
            <x v="112"/>
          </reference>
          <reference field="5" count="2">
            <x v="29"/>
            <x v="35"/>
          </reference>
        </references>
      </pivotArea>
    </format>
    <format dxfId="797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798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799">
      <pivotArea outline="0" fieldPosition="0">
        <references count="1">
          <reference field="4294967294" count="1" selected="0">
            <x v="0"/>
          </reference>
        </references>
      </pivotArea>
    </format>
    <format dxfId="800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801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802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803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804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805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806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807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808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809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810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811">
      <pivotArea dataOnly="0" labelOnly="1" outline="0" fieldPosition="0">
        <references count="2">
          <reference field="4" count="1" selected="0">
            <x v="103"/>
          </reference>
          <reference field="5" count="1">
            <x v="86"/>
          </reference>
        </references>
      </pivotArea>
    </format>
    <format dxfId="812">
      <pivotArea dataOnly="0" labelOnly="1" outline="0" fieldPosition="0">
        <references count="2">
          <reference field="4" count="1" selected="0">
            <x v="112"/>
          </reference>
          <reference field="5" count="2">
            <x v="29"/>
            <x v="35"/>
          </reference>
        </references>
      </pivotArea>
    </format>
    <format dxfId="813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814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815">
      <pivotArea outline="0" fieldPosition="0">
        <references count="3">
          <reference field="4294967294" count="1" selected="0">
            <x v="2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29"/>
            <x v="33"/>
            <x v="35"/>
            <x v="36"/>
            <x v="40"/>
            <x v="41"/>
            <x v="43"/>
            <x v="44"/>
            <x v="45"/>
            <x v="48"/>
            <x v="50"/>
            <x v="52"/>
            <x v="54"/>
            <x v="86"/>
          </reference>
        </references>
      </pivotArea>
    </format>
    <format dxfId="816">
      <pivotArea dataOnly="0" labelOnly="1" outline="0" fieldPosition="0">
        <references count="2">
          <reference field="4" count="1" selected="0">
            <x v="4"/>
          </reference>
          <reference field="5" count="1">
            <x v="54"/>
          </reference>
        </references>
      </pivotArea>
    </format>
    <format dxfId="817">
      <pivotArea dataOnly="0" labelOnly="1" outline="0" fieldPosition="0">
        <references count="2">
          <reference field="4" count="1" selected="0">
            <x v="7"/>
          </reference>
          <reference field="5" count="1">
            <x v="33"/>
          </reference>
        </references>
      </pivotArea>
    </format>
    <format dxfId="818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819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820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821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822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823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824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825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826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827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828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829">
      <pivotArea dataOnly="0" labelOnly="1" outline="0" fieldPosition="0">
        <references count="2">
          <reference field="4" count="1" selected="0">
            <x v="103"/>
          </reference>
          <reference field="5" count="1">
            <x v="86"/>
          </reference>
        </references>
      </pivotArea>
    </format>
    <format dxfId="830">
      <pivotArea dataOnly="0" labelOnly="1" outline="0" fieldPosition="0">
        <references count="2">
          <reference field="4" count="1" selected="0">
            <x v="112"/>
          </reference>
          <reference field="5" count="2">
            <x v="29"/>
            <x v="35"/>
          </reference>
        </references>
      </pivotArea>
    </format>
    <format dxfId="831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832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833">
      <pivotArea outline="0" fieldPosition="0">
        <references count="3">
          <reference field="4294967294" count="1" selected="0">
            <x v="1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29"/>
            <x v="33"/>
            <x v="35"/>
            <x v="36"/>
            <x v="40"/>
            <x v="41"/>
            <x v="43"/>
            <x v="44"/>
            <x v="45"/>
            <x v="48"/>
            <x v="50"/>
            <x v="52"/>
            <x v="54"/>
            <x v="86"/>
          </reference>
        </references>
      </pivotArea>
    </format>
    <format dxfId="834">
      <pivotArea outline="0" fieldPosition="0">
        <references count="3">
          <reference field="4294967294" count="1" selected="0">
            <x v="0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29"/>
            <x v="33"/>
            <x v="35"/>
            <x v="36"/>
            <x v="40"/>
            <x v="41"/>
            <x v="43"/>
            <x v="44"/>
            <x v="45"/>
            <x v="48"/>
            <x v="50"/>
            <x v="52"/>
            <x v="54"/>
            <x v="86"/>
          </reference>
        </references>
      </pivotArea>
    </format>
    <format dxfId="835">
      <pivotArea dataOnly="0" labelOnly="1" outline="0" fieldPosition="0">
        <references count="1">
          <reference field="4" count="2">
            <x v="116"/>
            <x v="117"/>
          </reference>
        </references>
      </pivotArea>
    </format>
    <format dxfId="836">
      <pivotArea dataOnly="0" labelOnly="1" outline="0" fieldPosition="0">
        <references count="2">
          <reference field="4" count="1" selected="0">
            <x v="117"/>
          </reference>
          <reference field="5" count="1">
            <x v="44"/>
          </reference>
        </references>
      </pivotArea>
    </format>
    <format dxfId="837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838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839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840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841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842">
      <pivotArea dataOnly="0" labelOnly="1" outline="0" fieldPosition="0">
        <references count="2">
          <reference field="4" count="1" selected="0">
            <x v="77"/>
          </reference>
          <reference field="5" count="2">
            <x v="43"/>
            <x v="44"/>
          </reference>
        </references>
      </pivotArea>
    </format>
    <format dxfId="843">
      <pivotArea dataOnly="0" labelOnly="1" outline="0" fieldPosition="0">
        <references count="2">
          <reference field="4" count="1" selected="0">
            <x v="112"/>
          </reference>
          <reference field="5" count="1">
            <x v="35"/>
          </reference>
        </references>
      </pivotArea>
    </format>
    <format dxfId="844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845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846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847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848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849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850">
      <pivotArea dataOnly="0" labelOnly="1" outline="0" fieldPosition="0">
        <references count="2">
          <reference field="4" count="1" selected="0">
            <x v="77"/>
          </reference>
          <reference field="5" count="2">
            <x v="43"/>
            <x v="44"/>
          </reference>
        </references>
      </pivotArea>
    </format>
    <format dxfId="851">
      <pivotArea dataOnly="0" labelOnly="1" outline="0" fieldPosition="0">
        <references count="2">
          <reference field="4" count="1" selected="0">
            <x v="112"/>
          </reference>
          <reference field="5" count="1">
            <x v="35"/>
          </reference>
        </references>
      </pivotArea>
    </format>
    <format dxfId="852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853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854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855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856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857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858">
      <pivotArea dataOnly="0" labelOnly="1" outline="0" fieldPosition="0">
        <references count="2">
          <reference field="4" count="1" selected="0">
            <x v="77"/>
          </reference>
          <reference field="5" count="2">
            <x v="43"/>
            <x v="44"/>
          </reference>
        </references>
      </pivotArea>
    </format>
    <format dxfId="859">
      <pivotArea dataOnly="0" labelOnly="1" outline="0" fieldPosition="0">
        <references count="2">
          <reference field="4" count="1" selected="0">
            <x v="112"/>
          </reference>
          <reference field="5" count="1">
            <x v="35"/>
          </reference>
        </references>
      </pivotArea>
    </format>
    <format dxfId="860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861">
      <pivotArea dataOnly="0" labelOnly="1" outline="0" fieldPosition="0">
        <references count="1">
          <reference field="4" count="1">
            <x v="2"/>
          </reference>
        </references>
      </pivotArea>
    </format>
    <format dxfId="862">
      <pivotArea dataOnly="0" labelOnly="1" outline="0" fieldPosition="0">
        <references count="2">
          <reference field="4" count="1" selected="0">
            <x v="2"/>
          </reference>
          <reference field="5" count="1">
            <x v="58"/>
          </reference>
        </references>
      </pivotArea>
    </format>
    <format dxfId="863">
      <pivotArea dataOnly="0" labelOnly="1" outline="0" fieldPosition="0">
        <references count="1">
          <reference field="4" count="1">
            <x v="48"/>
          </reference>
        </references>
      </pivotArea>
    </format>
    <format dxfId="864">
      <pivotArea dataOnly="0" labelOnly="1" outline="0" fieldPosition="0">
        <references count="1">
          <reference field="4" count="1">
            <x v="120"/>
          </reference>
        </references>
      </pivotArea>
    </format>
    <format dxfId="865">
      <pivotArea dataOnly="0" labelOnly="1" outline="0" fieldPosition="0">
        <references count="2">
          <reference field="4" count="1" selected="0">
            <x v="120"/>
          </reference>
          <reference field="5" count="1">
            <x v="41"/>
          </reference>
        </references>
      </pivotArea>
    </format>
    <format dxfId="866">
      <pivotArea dataOnly="0" labelOnly="1" outline="0" fieldPosition="0">
        <references count="1">
          <reference field="4" count="1">
            <x v="40"/>
          </reference>
        </references>
      </pivotArea>
    </format>
    <format dxfId="867">
      <pivotArea dataOnly="0" labelOnly="1" outline="0" fieldPosition="0">
        <references count="1">
          <reference field="4" count="4">
            <x v="121"/>
            <x v="122"/>
            <x v="124"/>
            <x v="125"/>
          </reference>
        </references>
      </pivotArea>
    </format>
    <format dxfId="868">
      <pivotArea dataOnly="0" labelOnly="1" outline="0" fieldPosition="0">
        <references count="2">
          <reference field="4" count="1" selected="0">
            <x v="48"/>
          </reference>
          <reference field="5" count="1">
            <x v="95"/>
          </reference>
        </references>
      </pivotArea>
    </format>
    <format dxfId="869">
      <pivotArea dataOnly="0" labelOnly="1" outline="0" fieldPosition="0">
        <references count="2">
          <reference field="4" count="1" selected="0">
            <x v="76"/>
          </reference>
          <reference field="5" count="1">
            <x v="38"/>
          </reference>
        </references>
      </pivotArea>
    </format>
    <format dxfId="870">
      <pivotArea dataOnly="0" labelOnly="1" outline="0" fieldPosition="0">
        <references count="2">
          <reference field="4" count="1" selected="0">
            <x v="77"/>
          </reference>
          <reference field="5" count="1">
            <x v="43"/>
          </reference>
        </references>
      </pivotArea>
    </format>
    <format dxfId="871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872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873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874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875">
      <pivotArea dataOnly="0" labelOnly="1" outline="0" fieldPosition="0">
        <references count="2">
          <reference field="4" count="1" selected="0">
            <x v="121"/>
          </reference>
          <reference field="5" count="1">
            <x v="19"/>
          </reference>
        </references>
      </pivotArea>
    </format>
    <format dxfId="876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877">
      <pivotArea dataOnly="0" labelOnly="1" outline="0" fieldPosition="0">
        <references count="2">
          <reference field="4" count="1" selected="0">
            <x v="124"/>
          </reference>
          <reference field="5" count="1">
            <x v="34"/>
          </reference>
        </references>
      </pivotArea>
    </format>
    <format dxfId="878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879">
      <pivotArea dataOnly="0" labelOnly="1" outline="0" fieldPosition="0">
        <references count="2">
          <reference field="4" count="1" selected="0">
            <x v="40"/>
          </reference>
          <reference field="5" count="1">
            <x v="78"/>
          </reference>
        </references>
      </pivotArea>
    </format>
    <format dxfId="880">
      <pivotArea dataOnly="0" labelOnly="1" outline="0" fieldPosition="0">
        <references count="2">
          <reference field="4" count="1" selected="0">
            <x v="126"/>
          </reference>
          <reference field="5" count="1">
            <x v="31"/>
          </reference>
        </references>
      </pivotArea>
    </format>
    <format dxfId="881">
      <pivotArea dataOnly="0" labelOnly="1" outline="0" fieldPosition="0">
        <references count="1">
          <reference field="4" count="1">
            <x v="126"/>
          </reference>
        </references>
      </pivotArea>
    </format>
    <format dxfId="882">
      <pivotArea field="5" type="button" dataOnly="0" labelOnly="1" outline="0" axis="axisRow" fieldPosition="1"/>
    </format>
    <format dxfId="883">
      <pivotArea dataOnly="0" labelOnly="1" grandRow="1" outline="0" fieldPosition="0"/>
    </format>
    <format dxfId="884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885">
      <pivotArea dataOnly="0" labelOnly="1" outline="0" fieldPosition="0">
        <references count="2">
          <reference field="4" count="1" selected="0">
            <x v="48"/>
          </reference>
          <reference field="5" count="1">
            <x v="95"/>
          </reference>
        </references>
      </pivotArea>
    </format>
    <format dxfId="886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887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888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889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890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891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892">
      <pivotArea dataOnly="0" labelOnly="1" outline="0" fieldPosition="0">
        <references count="2">
          <reference field="4" count="1" selected="0">
            <x v="126"/>
          </reference>
          <reference field="5" count="1">
            <x v="31"/>
          </reference>
        </references>
      </pivotArea>
    </format>
    <format dxfId="893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894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895">
      <pivotArea dataOnly="0" labelOnly="1" outline="0" fieldPosition="0">
        <references count="2">
          <reference field="4" count="1" selected="0">
            <x v="129"/>
          </reference>
          <reference field="5" count="1">
            <x v="23"/>
          </reference>
        </references>
      </pivotArea>
    </format>
    <format dxfId="896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897">
      <pivotArea dataOnly="0" labelOnly="1" outline="0" fieldPosition="0">
        <references count="1">
          <reference field="4" count="3">
            <x v="127"/>
            <x v="128"/>
            <x v="129"/>
          </reference>
        </references>
      </pivotArea>
    </format>
    <format dxfId="898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899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900">
      <pivotArea dataOnly="0" labelOnly="1" outline="0" fieldPosition="0">
        <references count="2">
          <reference field="4" count="1" selected="0">
            <x v="129"/>
          </reference>
          <reference field="5" count="1">
            <x v="23"/>
          </reference>
        </references>
      </pivotArea>
    </format>
  </formats>
  <pivotTableStyleInfo name="PivotStyleMedium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822D4-CCD2-4017-A9CA-CADBBA1A9E9B}" name="PivotTable1" cacheId="3148" applyNumberFormats="0" applyBorderFormats="0" applyFontFormats="0" applyPatternFormats="0" applyAlignmentFormats="0" applyWidthHeightFormats="1" dataCaption="Values" errorCaption="VALIDATE DATA" showError="1" missingCaption="VALIDATE DATA" updatedVersion="8" minRefreshableVersion="3" showDrill="0" useAutoFormatting="1" rowGrandTotals="0" colGrandTotals="0" itemPrintTitles="1" createdVersion="8" indent="127" compact="0" compactData="0" multipleFieldFilters="0">
  <location ref="B32:D43" firstHeaderRow="1" firstDataRow="1" firstDataCol="3" rowPageCount="3" colPageCount="1"/>
  <pivotFields count="40">
    <pivotField axis="axisPage" compact="0" outline="0" showAll="0" defaultSubtotal="0">
      <items count="4">
        <item x="0"/>
        <item x="1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4">
        <item m="1" x="155"/>
        <item x="133"/>
        <item m="1" x="149"/>
        <item x="116"/>
        <item x="83"/>
        <item x="73"/>
        <item x="125"/>
        <item x="82"/>
        <item x="86"/>
        <item x="128"/>
        <item m="1" x="150"/>
        <item x="0"/>
        <item x="99"/>
        <item x="87"/>
        <item x="64"/>
        <item x="5"/>
        <item x="132"/>
        <item x="101"/>
        <item x="53"/>
        <item x="16"/>
        <item m="1" x="160"/>
        <item x="85"/>
        <item x="135"/>
        <item x="28"/>
        <item x="117"/>
        <item x="147"/>
        <item x="108"/>
        <item x="111"/>
        <item x="96"/>
        <item x="26"/>
        <item x="36"/>
        <item x="29"/>
        <item x="23"/>
        <item x="4"/>
        <item x="44"/>
        <item m="1" x="159"/>
        <item x="12"/>
        <item x="11"/>
        <item x="31"/>
        <item x="130"/>
        <item x="121"/>
        <item x="57"/>
        <item x="32"/>
        <item x="21"/>
        <item x="146"/>
        <item x="51"/>
        <item x="138"/>
        <item x="114"/>
        <item x="34"/>
        <item x="38"/>
        <item x="80"/>
        <item x="112"/>
        <item x="22"/>
        <item x="71"/>
        <item x="66"/>
        <item x="58"/>
        <item x="144"/>
        <item x="120"/>
        <item x="127"/>
        <item x="27"/>
        <item x="126"/>
        <item m="1" x="153"/>
        <item x="90"/>
        <item x="63"/>
        <item x="72"/>
        <item x="122"/>
        <item x="142"/>
        <item x="104"/>
        <item x="84"/>
        <item x="42"/>
        <item x="65"/>
        <item x="10"/>
        <item x="9"/>
        <item x="35"/>
        <item x="40"/>
        <item x="48"/>
        <item x="19"/>
        <item x="131"/>
        <item x="89"/>
        <item x="119"/>
        <item x="49"/>
        <item m="1" x="158"/>
        <item x="20"/>
        <item m="1" x="151"/>
        <item x="67"/>
        <item x="37"/>
        <item x="93"/>
        <item x="62"/>
        <item x="76"/>
        <item x="56"/>
        <item m="1" x="154"/>
        <item x="54"/>
        <item x="61"/>
        <item x="110"/>
        <item m="1" x="163"/>
        <item x="33"/>
        <item x="50"/>
        <item x="15"/>
        <item x="118"/>
        <item m="1" x="162"/>
        <item x="75"/>
        <item x="102"/>
        <item x="123"/>
        <item x="69"/>
        <item x="113"/>
        <item x="45"/>
        <item x="109"/>
        <item x="91"/>
        <item x="103"/>
        <item x="6"/>
        <item x="107"/>
        <item x="129"/>
        <item x="145"/>
        <item x="8"/>
        <item x="137"/>
        <item x="134"/>
        <item x="115"/>
        <item x="124"/>
        <item x="47"/>
        <item x="92"/>
        <item x="100"/>
        <item x="97"/>
        <item x="94"/>
        <item x="24"/>
        <item x="13"/>
        <item x="41"/>
        <item x="52"/>
        <item x="81"/>
        <item x="43"/>
        <item m="1" x="161"/>
        <item x="136"/>
        <item x="98"/>
        <item x="46"/>
        <item x="143"/>
        <item x="18"/>
        <item x="14"/>
        <item x="77"/>
        <item x="74"/>
        <item x="70"/>
        <item x="60"/>
        <item x="3"/>
        <item m="1" x="152"/>
        <item x="59"/>
        <item x="88"/>
        <item x="95"/>
        <item x="25"/>
        <item x="141"/>
        <item x="79"/>
        <item x="1"/>
        <item x="30"/>
        <item x="78"/>
        <item x="106"/>
        <item x="7"/>
        <item x="55"/>
        <item x="39"/>
        <item m="1" x="157"/>
        <item m="1" x="156"/>
        <item x="2"/>
        <item x="139"/>
        <item x="68"/>
        <item x="105"/>
        <item x="140"/>
        <item x="17"/>
        <item m="1" x="1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8">
        <item m="1" x="121"/>
        <item x="101"/>
        <item x="114"/>
        <item x="115"/>
        <item x="119"/>
        <item x="116"/>
        <item x="112"/>
        <item x="103"/>
        <item x="113"/>
        <item x="117"/>
        <item x="118"/>
        <item m="1" x="120"/>
        <item x="88"/>
        <item x="109"/>
        <item x="110"/>
        <item x="106"/>
        <item x="108"/>
        <item x="98"/>
        <item x="105"/>
        <item x="89"/>
        <item x="104"/>
        <item x="102"/>
        <item x="111"/>
        <item x="95"/>
        <item x="100"/>
        <item x="99"/>
        <item m="1" x="125"/>
        <item x="94"/>
        <item x="96"/>
        <item x="82"/>
        <item x="86"/>
        <item x="92"/>
        <item x="87"/>
        <item x="81"/>
        <item x="91"/>
        <item x="79"/>
        <item x="85"/>
        <item x="97"/>
        <item x="93"/>
        <item x="77"/>
        <item x="74"/>
        <item x="73"/>
        <item x="107"/>
        <item x="39"/>
        <item x="78"/>
        <item x="70"/>
        <item x="68"/>
        <item x="83"/>
        <item x="76"/>
        <item x="57"/>
        <item x="67"/>
        <item x="71"/>
        <item x="59"/>
        <item m="1" x="127"/>
        <item x="84"/>
        <item x="63"/>
        <item x="69"/>
        <item x="64"/>
        <item x="60"/>
        <item x="52"/>
        <item x="66"/>
        <item x="58"/>
        <item m="1" x="135"/>
        <item x="62"/>
        <item m="1" x="134"/>
        <item m="1" x="133"/>
        <item m="1" x="132"/>
        <item m="1" x="128"/>
        <item m="1" x="123"/>
        <item x="61"/>
        <item m="1" x="131"/>
        <item x="54"/>
        <item m="1" x="130"/>
        <item m="1" x="129"/>
        <item x="46"/>
        <item x="56"/>
        <item x="72"/>
        <item x="49"/>
        <item x="36"/>
        <item x="32"/>
        <item x="55"/>
        <item x="50"/>
        <item x="42"/>
        <item x="44"/>
        <item m="1" x="122"/>
        <item x="90"/>
        <item x="80"/>
        <item x="43"/>
        <item x="37"/>
        <item x="38"/>
        <item x="48"/>
        <item x="45"/>
        <item m="1" x="126"/>
        <item m="1" x="137"/>
        <item x="35"/>
        <item x="34"/>
        <item x="30"/>
        <item x="40"/>
        <item x="28"/>
        <item m="1" x="124"/>
        <item x="33"/>
        <item x="29"/>
        <item x="27"/>
        <item x="53"/>
        <item x="31"/>
        <item x="22"/>
        <item x="26"/>
        <item x="24"/>
        <item x="23"/>
        <item x="51"/>
        <item x="25"/>
        <item x="20"/>
        <item x="21"/>
        <item x="17"/>
        <item x="18"/>
        <item x="19"/>
        <item x="16"/>
        <item x="47"/>
        <item x="65"/>
        <item x="15"/>
        <item x="41"/>
        <item x="14"/>
        <item x="13"/>
        <item x="11"/>
        <item x="12"/>
        <item x="5"/>
        <item x="10"/>
        <item x="9"/>
        <item x="6"/>
        <item x="8"/>
        <item x="4"/>
        <item x="7"/>
        <item x="2"/>
        <item x="3"/>
        <item x="1"/>
        <item x="0"/>
        <item m="1" x="136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61">
        <item x="233"/>
        <item x="277"/>
        <item x="0"/>
        <item x="4"/>
        <item x="1"/>
        <item x="2"/>
        <item x="3"/>
        <item x="7"/>
        <item x="5"/>
        <item x="6"/>
        <item x="8"/>
        <item x="9"/>
        <item x="11"/>
        <item x="10"/>
        <item x="12"/>
        <item x="13"/>
        <item x="19"/>
        <item x="15"/>
        <item x="16"/>
        <item x="17"/>
        <item x="14"/>
        <item x="18"/>
        <item x="20"/>
        <item x="22"/>
        <item x="21"/>
        <item x="23"/>
        <item x="25"/>
        <item x="24"/>
        <item x="26"/>
        <item x="30"/>
        <item x="27"/>
        <item x="28"/>
        <item x="29"/>
        <item x="31"/>
        <item x="33"/>
        <item x="34"/>
        <item x="32"/>
        <item x="37"/>
        <item x="36"/>
        <item x="35"/>
        <item x="38"/>
        <item x="40"/>
        <item x="39"/>
        <item x="41"/>
        <item x="43"/>
        <item x="44"/>
        <item x="42"/>
        <item x="45"/>
        <item x="47"/>
        <item x="46"/>
        <item x="52"/>
        <item x="51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6"/>
        <item x="68"/>
        <item x="72"/>
        <item x="70"/>
        <item x="71"/>
        <item x="69"/>
        <item x="76"/>
        <item x="84"/>
        <item x="83"/>
        <item x="77"/>
        <item x="78"/>
        <item x="73"/>
        <item x="79"/>
        <item x="80"/>
        <item x="82"/>
        <item x="81"/>
        <item x="75"/>
        <item x="74"/>
        <item x="86"/>
        <item x="85"/>
        <item x="87"/>
        <item x="88"/>
        <item x="91"/>
        <item x="90"/>
        <item x="89"/>
        <item x="93"/>
        <item x="92"/>
        <item x="95"/>
        <item x="96"/>
        <item x="9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35"/>
        <item x="108"/>
        <item x="109"/>
        <item x="110"/>
        <item x="113"/>
        <item x="111"/>
        <item x="114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7"/>
        <item x="138"/>
        <item x="136"/>
        <item x="140"/>
        <item x="139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42"/>
        <item x="154"/>
        <item x="155"/>
        <item x="156"/>
        <item x="157"/>
        <item x="158"/>
        <item x="159"/>
        <item x="161"/>
        <item x="164"/>
        <item x="165"/>
        <item x="162"/>
        <item x="163"/>
        <item x="166"/>
        <item x="160"/>
        <item x="167"/>
        <item x="168"/>
        <item x="170"/>
        <item x="172"/>
        <item x="169"/>
        <item x="171"/>
        <item x="177"/>
        <item x="174"/>
        <item x="175"/>
        <item x="176"/>
        <item x="173"/>
        <item x="178"/>
        <item x="179"/>
        <item x="180"/>
        <item x="182"/>
        <item x="181"/>
        <item x="184"/>
        <item x="183"/>
        <item x="186"/>
        <item x="185"/>
        <item x="187"/>
        <item x="190"/>
        <item x="189"/>
        <item x="188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0"/>
        <item x="215"/>
        <item x="214"/>
        <item x="213"/>
        <item x="212"/>
        <item x="216"/>
        <item x="218"/>
        <item x="217"/>
        <item x="219"/>
        <item x="220"/>
        <item x="221"/>
        <item x="222"/>
        <item x="227"/>
        <item x="223"/>
        <item x="225"/>
        <item x="226"/>
        <item x="224"/>
        <item x="229"/>
        <item x="228"/>
        <item x="230"/>
        <item x="232"/>
        <item x="234"/>
        <item x="231"/>
        <item x="235"/>
        <item x="239"/>
        <item x="238"/>
        <item x="237"/>
        <item x="236"/>
        <item x="241"/>
        <item x="240"/>
        <item x="242"/>
        <item x="243"/>
        <item x="244"/>
        <item x="245"/>
        <item x="246"/>
        <item x="247"/>
        <item x="248"/>
        <item x="251"/>
        <item x="249"/>
        <item x="250"/>
        <item x="256"/>
        <item x="253"/>
        <item x="254"/>
        <item x="252"/>
        <item x="255"/>
        <item x="259"/>
        <item x="257"/>
        <item x="260"/>
        <item x="258"/>
        <item x="262"/>
        <item x="265"/>
        <item x="264"/>
        <item x="263"/>
        <item x="261"/>
        <item x="266"/>
        <item x="267"/>
        <item x="269"/>
        <item x="268"/>
        <item x="273"/>
        <item x="271"/>
        <item x="270"/>
        <item x="272"/>
        <item x="274"/>
        <item x="275"/>
        <item x="276"/>
        <item x="278"/>
        <item x="280"/>
        <item x="281"/>
        <item x="279"/>
        <item x="287"/>
        <item x="284"/>
        <item x="283"/>
        <item x="282"/>
        <item x="286"/>
        <item x="285"/>
        <item x="288"/>
        <item x="289"/>
        <item x="290"/>
        <item x="293"/>
        <item x="294"/>
        <item x="292"/>
        <item x="295"/>
        <item x="291"/>
        <item x="296"/>
        <item x="298"/>
        <item x="299"/>
        <item x="300"/>
        <item x="301"/>
        <item x="302"/>
        <item x="297"/>
        <item x="304"/>
        <item x="303"/>
        <item x="305"/>
        <item x="306"/>
        <item x="307"/>
        <item x="311"/>
        <item x="310"/>
        <item x="309"/>
        <item x="308"/>
        <item x="327"/>
        <item x="326"/>
        <item x="312"/>
        <item x="318"/>
        <item x="328"/>
        <item x="317"/>
        <item x="316"/>
        <item x="313"/>
        <item x="315"/>
        <item x="314"/>
        <item x="322"/>
        <item x="321"/>
        <item x="320"/>
        <item x="319"/>
        <item x="325"/>
        <item x="324"/>
        <item x="323"/>
        <item x="330"/>
        <item x="332"/>
        <item x="334"/>
        <item x="331"/>
        <item x="329"/>
        <item x="333"/>
        <item x="335"/>
        <item x="336"/>
        <item x="337"/>
        <item x="340"/>
        <item x="341"/>
        <item x="339"/>
        <item x="338"/>
        <item x="344"/>
        <item x="345"/>
        <item x="346"/>
        <item x="342"/>
        <item x="343"/>
        <item x="347"/>
        <item x="348"/>
        <item x="352"/>
        <item x="349"/>
        <item x="350"/>
        <item x="353"/>
        <item x="354"/>
        <item x="351"/>
        <item x="361"/>
        <item x="357"/>
        <item x="358"/>
        <item x="356"/>
        <item x="355"/>
        <item x="359"/>
        <item x="360"/>
        <item x="365"/>
        <item x="362"/>
        <item x="364"/>
        <item x="366"/>
        <item x="367"/>
        <item x="368"/>
        <item x="369"/>
        <item x="370"/>
        <item x="363"/>
        <item x="372"/>
        <item x="373"/>
        <item x="374"/>
        <item x="379"/>
        <item x="377"/>
        <item x="376"/>
        <item x="375"/>
        <item x="378"/>
        <item x="381"/>
        <item x="380"/>
        <item x="371"/>
        <item x="382"/>
        <item x="383"/>
        <item x="384"/>
        <item x="385"/>
        <item x="386"/>
        <item x="387"/>
        <item x="394"/>
        <item x="391"/>
        <item x="389"/>
        <item x="388"/>
        <item x="390"/>
        <item x="393"/>
        <item x="392"/>
        <item x="399"/>
        <item x="397"/>
        <item x="398"/>
        <item x="396"/>
        <item x="395"/>
        <item x="400"/>
        <item x="406"/>
        <item x="405"/>
        <item x="407"/>
        <item x="402"/>
        <item x="401"/>
        <item x="408"/>
        <item x="421"/>
        <item x="409"/>
        <item x="410"/>
        <item x="411"/>
        <item x="415"/>
        <item x="416"/>
        <item x="414"/>
        <item x="413"/>
        <item x="412"/>
        <item x="403"/>
        <item x="417"/>
        <item x="420"/>
        <item x="419"/>
        <item x="418"/>
        <item x="404"/>
        <item x="422"/>
        <item x="423"/>
        <item x="424"/>
        <item x="427"/>
        <item x="426"/>
        <item x="425"/>
        <item x="434"/>
        <item x="428"/>
        <item x="429"/>
        <item x="430"/>
        <item x="433"/>
        <item x="432"/>
        <item x="431"/>
        <item x="435"/>
        <item x="441"/>
        <item x="439"/>
        <item x="437"/>
        <item x="442"/>
        <item x="440"/>
        <item x="438"/>
        <item x="436"/>
        <item x="445"/>
        <item x="444"/>
        <item x="449"/>
        <item x="450"/>
        <item x="447"/>
        <item x="446"/>
        <item x="448"/>
        <item x="451"/>
        <item x="443"/>
        <item x="452"/>
        <item x="455"/>
        <item x="454"/>
        <item x="456"/>
        <item x="453"/>
        <item x="457"/>
        <item x="458"/>
        <item x="459"/>
        <item x="460"/>
        <item x="461"/>
        <item x="462"/>
        <item x="463"/>
        <item x="466"/>
        <item x="465"/>
        <item x="464"/>
        <item x="470"/>
        <item x="471"/>
        <item x="469"/>
        <item x="467"/>
        <item x="472"/>
        <item x="473"/>
        <item x="468"/>
        <item x="474"/>
        <item x="475"/>
        <item x="478"/>
        <item x="476"/>
        <item x="477"/>
        <item x="482"/>
        <item x="483"/>
        <item x="486"/>
        <item x="479"/>
        <item x="481"/>
        <item x="480"/>
        <item x="485"/>
        <item x="484"/>
        <item x="489"/>
        <item x="488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6"/>
        <item x="504"/>
        <item x="505"/>
        <item x="503"/>
        <item x="509"/>
        <item x="510"/>
        <item x="508"/>
        <item x="507"/>
        <item x="511"/>
        <item x="517"/>
        <item x="512"/>
        <item x="519"/>
        <item x="518"/>
        <item x="513"/>
        <item x="514"/>
        <item x="515"/>
        <item x="520"/>
        <item x="516"/>
        <item x="523"/>
        <item x="521"/>
        <item x="524"/>
        <item x="522"/>
        <item x="526"/>
        <item x="525"/>
        <item x="529"/>
        <item x="532"/>
        <item x="528"/>
        <item x="527"/>
        <item x="533"/>
        <item x="530"/>
        <item x="531"/>
        <item x="534"/>
        <item x="535"/>
        <item x="536"/>
        <item x="543"/>
        <item x="540"/>
        <item x="541"/>
        <item x="542"/>
        <item x="538"/>
        <item x="539"/>
        <item x="537"/>
        <item x="544"/>
        <item x="547"/>
        <item x="545"/>
        <item x="546"/>
        <item x="549"/>
        <item x="550"/>
        <item x="551"/>
        <item x="548"/>
        <item m="1" x="860"/>
        <item x="552"/>
        <item x="554"/>
        <item x="553"/>
        <item x="556"/>
        <item x="557"/>
        <item x="555"/>
        <item x="560"/>
        <item x="558"/>
        <item x="559"/>
        <item x="561"/>
        <item x="564"/>
        <item x="563"/>
        <item x="562"/>
        <item x="565"/>
        <item x="566"/>
        <item x="567"/>
        <item x="568"/>
        <item x="569"/>
        <item x="570"/>
        <item x="571"/>
        <item x="572"/>
        <item x="573"/>
        <item x="575"/>
        <item x="574"/>
        <item x="578"/>
        <item x="576"/>
        <item x="577"/>
        <item x="579"/>
        <item x="580"/>
        <item x="582"/>
        <item x="583"/>
        <item x="581"/>
        <item x="587"/>
        <item x="584"/>
        <item x="586"/>
        <item x="585"/>
        <item x="589"/>
        <item x="588"/>
        <item x="590"/>
        <item x="591"/>
        <item x="593"/>
        <item x="594"/>
        <item x="592"/>
        <item x="596"/>
        <item x="597"/>
        <item x="595"/>
        <item x="598"/>
        <item x="600"/>
        <item x="604"/>
        <item x="602"/>
        <item x="603"/>
        <item x="601"/>
        <item x="599"/>
        <item x="608"/>
        <item x="609"/>
        <item x="611"/>
        <item x="610"/>
        <item x="606"/>
        <item x="607"/>
        <item x="612"/>
        <item x="613"/>
        <item x="615"/>
        <item x="614"/>
        <item x="616"/>
        <item x="617"/>
        <item x="618"/>
        <item x="619"/>
        <item x="620"/>
        <item x="621"/>
        <item x="627"/>
        <item x="622"/>
        <item x="628"/>
        <item x="624"/>
        <item x="625"/>
        <item x="623"/>
        <item x="626"/>
        <item x="634"/>
        <item x="633"/>
        <item x="631"/>
        <item x="629"/>
        <item x="630"/>
        <item x="632"/>
        <item x="635"/>
        <item m="1" x="856"/>
        <item x="638"/>
        <item x="637"/>
        <item x="639"/>
        <item x="640"/>
        <item x="642"/>
        <item x="641"/>
        <item x="636"/>
        <item x="646"/>
        <item x="644"/>
        <item x="645"/>
        <item x="643"/>
        <item x="647"/>
        <item x="649"/>
        <item x="648"/>
        <item x="650"/>
        <item x="651"/>
        <item x="652"/>
        <item x="653"/>
        <item x="654"/>
        <item x="656"/>
        <item x="655"/>
        <item x="681"/>
        <item x="657"/>
        <item x="660"/>
        <item x="661"/>
        <item x="658"/>
        <item x="659"/>
        <item x="662"/>
        <item x="665"/>
        <item x="664"/>
        <item x="663"/>
        <item x="666"/>
        <item x="667"/>
        <item x="671"/>
        <item x="668"/>
        <item x="669"/>
        <item x="670"/>
        <item x="672"/>
        <item x="673"/>
        <item x="674"/>
        <item x="675"/>
        <item x="676"/>
        <item x="677"/>
        <item x="678"/>
        <item x="680"/>
        <item x="679"/>
        <item x="682"/>
        <item x="683"/>
        <item x="684"/>
        <item x="685"/>
        <item x="686"/>
        <item x="687"/>
        <item x="690"/>
        <item x="688"/>
        <item x="689"/>
        <item x="691"/>
        <item x="692"/>
        <item x="695"/>
        <item x="693"/>
        <item x="694"/>
        <item x="605"/>
        <item x="697"/>
        <item x="698"/>
        <item x="699"/>
        <item x="696"/>
        <item x="700"/>
        <item x="701"/>
        <item x="702"/>
        <item x="704"/>
        <item x="703"/>
        <item x="705"/>
        <item x="706"/>
        <item x="707"/>
        <item x="708"/>
        <item x="709"/>
        <item x="712"/>
        <item x="713"/>
        <item x="710"/>
        <item x="711"/>
        <item x="714"/>
        <item x="716"/>
        <item x="717"/>
        <item x="718"/>
        <item x="719"/>
        <item x="720"/>
        <item x="721"/>
        <item x="722"/>
        <item x="723"/>
        <item x="726"/>
        <item x="724"/>
        <item x="725"/>
        <item x="729"/>
        <item x="727"/>
        <item x="728"/>
        <item x="730"/>
        <item x="731"/>
        <item m="1" x="858"/>
        <item x="732"/>
        <item x="734"/>
        <item x="733"/>
        <item x="735"/>
        <item m="1" x="859"/>
        <item x="763"/>
        <item x="736"/>
        <item x="737"/>
        <item x="740"/>
        <item x="741"/>
        <item x="751"/>
        <item x="742"/>
        <item x="744"/>
        <item x="743"/>
        <item x="745"/>
        <item x="764"/>
        <item x="766"/>
        <item x="747"/>
        <item x="768"/>
        <item x="760"/>
        <item x="746"/>
        <item x="753"/>
        <item x="752"/>
        <item x="754"/>
        <item x="756"/>
        <item x="755"/>
        <item x="757"/>
        <item x="758"/>
        <item x="759"/>
        <item x="767"/>
        <item x="785"/>
        <item x="786"/>
        <item x="765"/>
        <item x="772"/>
        <item x="769"/>
        <item x="788"/>
        <item x="770"/>
        <item x="773"/>
        <item x="771"/>
        <item x="777"/>
        <item x="798"/>
        <item x="779"/>
        <item x="784"/>
        <item x="775"/>
        <item x="778"/>
        <item x="774"/>
        <item x="782"/>
        <item x="776"/>
        <item x="810"/>
        <item x="811"/>
        <item x="750"/>
        <item x="794"/>
        <item x="790"/>
        <item x="783"/>
        <item x="795"/>
        <item x="792"/>
        <item x="793"/>
        <item x="796"/>
        <item x="781"/>
        <item x="787"/>
        <item x="715"/>
        <item x="780"/>
        <item x="738"/>
        <item x="791"/>
        <item x="749"/>
        <item x="799"/>
        <item x="797"/>
        <item x="800"/>
        <item x="801"/>
        <item x="802"/>
        <item x="739"/>
        <item x="761"/>
        <item x="748"/>
        <item x="762"/>
        <item x="789"/>
        <item x="803"/>
        <item x="809"/>
        <item x="804"/>
        <item x="812"/>
        <item x="805"/>
        <item x="806"/>
        <item x="807"/>
        <item x="813"/>
        <item x="814"/>
        <item x="815"/>
        <item x="808"/>
        <item x="818"/>
        <item x="816"/>
        <item x="819"/>
        <item x="817"/>
        <item m="1" x="857"/>
        <item x="822"/>
        <item x="821"/>
        <item x="820"/>
        <item x="823"/>
        <item x="825"/>
        <item x="826"/>
        <item x="824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2"/>
        <item x="845"/>
        <item x="843"/>
        <item x="844"/>
        <item x="841"/>
        <item x="846"/>
        <item x="847"/>
        <item x="848"/>
        <item x="849"/>
        <item x="850"/>
        <item x="851"/>
        <item x="852"/>
        <item x="853"/>
        <item x="854"/>
        <item x="8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19">
        <item x="29"/>
        <item x="15"/>
        <item x="10"/>
        <item x="25"/>
        <item x="24"/>
        <item x="23"/>
        <item x="14"/>
        <item x="16"/>
        <item x="5"/>
        <item x="11"/>
        <item x="9"/>
        <item x="6"/>
        <item x="12"/>
        <item x="4"/>
        <item x="1"/>
        <item x="3"/>
        <item x="8"/>
        <item x="13"/>
        <item x="7"/>
        <item x="17"/>
        <item x="0"/>
        <item x="21"/>
        <item x="26"/>
        <item x="22"/>
        <item x="20"/>
        <item x="27"/>
        <item x="36"/>
        <item x="18"/>
        <item x="28"/>
        <item m="1" x="64"/>
        <item m="1" x="56"/>
        <item m="1" x="68"/>
        <item x="19"/>
        <item m="1" x="111"/>
        <item x="2"/>
        <item m="1" x="108"/>
        <item m="1" x="97"/>
        <item m="1" x="93"/>
        <item m="1" x="74"/>
        <item m="1" x="91"/>
        <item m="1" x="88"/>
        <item x="35"/>
        <item m="1" x="118"/>
        <item m="1" x="117"/>
        <item m="1" x="101"/>
        <item m="1" x="116"/>
        <item m="1" x="99"/>
        <item m="1" x="115"/>
        <item m="1" x="113"/>
        <item m="1" x="114"/>
        <item m="1" x="95"/>
        <item x="33"/>
        <item m="1" x="112"/>
        <item m="1" x="110"/>
        <item m="1" x="109"/>
        <item m="1" x="85"/>
        <item m="1" x="67"/>
        <item m="1" x="83"/>
        <item m="1" x="107"/>
        <item m="1" x="81"/>
        <item m="1" x="60"/>
        <item m="1" x="106"/>
        <item m="1" x="79"/>
        <item m="1" x="105"/>
        <item m="1" x="77"/>
        <item m="1" x="104"/>
        <item m="1" x="73"/>
        <item m="1" x="103"/>
        <item m="1" x="70"/>
        <item m="1" x="66"/>
        <item m="1" x="63"/>
        <item m="1" x="55"/>
        <item m="1" x="53"/>
        <item m="1" x="52"/>
        <item x="34"/>
        <item m="1" x="49"/>
        <item m="1" x="46"/>
        <item m="1" x="102"/>
        <item m="1" x="43"/>
        <item m="1" x="45"/>
        <item m="1" x="41"/>
        <item m="1" x="39"/>
        <item m="1" x="100"/>
        <item x="32"/>
        <item m="1" x="98"/>
        <item m="1" x="38"/>
        <item m="1" x="96"/>
        <item x="31"/>
        <item m="1" x="94"/>
        <item m="1" x="90"/>
        <item m="1" x="92"/>
        <item m="1" x="87"/>
        <item m="1" x="89"/>
        <item m="1" x="84"/>
        <item m="1" x="86"/>
        <item m="1" x="82"/>
        <item m="1" x="80"/>
        <item m="1" x="78"/>
        <item m="1" x="76"/>
        <item m="1" x="72"/>
        <item m="1" x="75"/>
        <item m="1" x="71"/>
        <item m="1" x="69"/>
        <item m="1" x="65"/>
        <item m="1" x="59"/>
        <item m="1" x="62"/>
        <item m="1" x="58"/>
        <item m="1" x="61"/>
        <item m="1" x="54"/>
        <item m="1" x="57"/>
        <item m="1" x="51"/>
        <item m="1" x="48"/>
        <item m="1" x="50"/>
        <item m="1" x="44"/>
        <item m="1" x="47"/>
        <item m="1" x="42"/>
        <item m="1" x="40"/>
        <item m="1" x="37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h="1" x="0"/>
        <item x="2"/>
        <item h="1"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9"/>
    <field x="5"/>
    <field x="4"/>
  </rowFields>
  <rowItems count="11">
    <i>
      <x v="775"/>
      <x v="15"/>
      <x v="111"/>
    </i>
    <i>
      <x v="787"/>
      <x v="15"/>
      <x v="111"/>
    </i>
    <i>
      <x v="792"/>
      <x v="15"/>
      <x v="103"/>
    </i>
    <i>
      <x v="802"/>
      <x v="14"/>
      <x v="115"/>
    </i>
    <i>
      <x v="809"/>
      <x v="15"/>
      <x v="103"/>
    </i>
    <i>
      <x v="826"/>
      <x v="15"/>
      <x v="111"/>
    </i>
    <i>
      <x v="831"/>
      <x v="14"/>
      <x v="115"/>
    </i>
    <i>
      <x v="833"/>
      <x v="15"/>
      <x v="111"/>
    </i>
    <i>
      <x v="844"/>
      <x v="17"/>
      <x v="39"/>
    </i>
    <i>
      <x v="855"/>
      <x v="43"/>
      <x v="132"/>
    </i>
    <i>
      <x v="858"/>
      <x v="13"/>
      <x v="25"/>
    </i>
  </rowItems>
  <colItems count="1">
    <i/>
  </colItems>
  <pageFields count="3">
    <pageField fld="0" hier="-1"/>
    <pageField fld="28" item="1" hier="-1"/>
    <pageField fld="34" item="0" hier="-1"/>
  </pageFields>
  <formats count="45">
    <format dxfId="638">
      <pivotArea field="4" type="button" dataOnly="0" labelOnly="1" outline="0" axis="axisRow" fieldPosition="2"/>
    </format>
    <format dxfId="639">
      <pivotArea field="5" type="button" dataOnly="0" labelOnly="1" outline="0" axis="axisRow" fieldPosition="1"/>
    </format>
    <format dxfId="640">
      <pivotArea field="4" type="button" dataOnly="0" labelOnly="1" outline="0" axis="axisRow" fieldPosition="2"/>
    </format>
    <format dxfId="641">
      <pivotArea field="5" type="button" dataOnly="0" labelOnly="1" outline="0" axis="axisRow" fieldPosition="1"/>
    </format>
    <format dxfId="642">
      <pivotArea field="4" type="button" dataOnly="0" labelOnly="1" outline="0" axis="axisRow" fieldPosition="2"/>
    </format>
    <format dxfId="643">
      <pivotArea field="5" type="button" dataOnly="0" labelOnly="1" outline="0" axis="axisRow" fieldPosition="1"/>
    </format>
    <format dxfId="644">
      <pivotArea field="4" type="button" dataOnly="0" labelOnly="1" outline="0" axis="axisRow" fieldPosition="2"/>
    </format>
    <format dxfId="645">
      <pivotArea field="5" type="button" dataOnly="0" labelOnly="1" outline="0" axis="axisRow" fieldPosition="1"/>
    </format>
    <format dxfId="646">
      <pivotArea dataOnly="0" labelOnly="1" outline="0" fieldPosition="0">
        <references count="2">
          <reference field="0" count="0"/>
          <reference field="28" count="1" selected="0">
            <x v="1"/>
          </reference>
        </references>
      </pivotArea>
    </format>
    <format dxfId="647">
      <pivotArea dataOnly="0" labelOnly="1" outline="0" fieldPosition="0">
        <references count="1">
          <reference field="28" count="1">
            <x v="1"/>
          </reference>
        </references>
      </pivotArea>
    </format>
    <format dxfId="648">
      <pivotArea outline="0" collapsedLevelsAreSubtotals="1" fieldPosition="0"/>
    </format>
    <format dxfId="649">
      <pivotArea outline="0" collapsedLevelsAreSubtotals="1" fieldPosition="0"/>
    </format>
    <format dxfId="650">
      <pivotArea outline="0" collapsedLevelsAreSubtotals="1" fieldPosition="0"/>
    </format>
    <format dxfId="651">
      <pivotArea outline="0" collapsedLevelsAreSubtotals="1" fieldPosition="0"/>
    </format>
    <format dxfId="652">
      <pivotArea outline="0" collapsedLevelsAreSubtotals="1" fieldPosition="0"/>
    </format>
    <format dxfId="653">
      <pivotArea dataOnly="0" labelOnly="1" grandRow="1" outline="0" offset="A256" fieldPosition="0"/>
    </format>
    <format dxfId="654">
      <pivotArea grandRow="1" outline="0" collapsedLevelsAreSubtotals="1" fieldPosition="0"/>
    </format>
    <format dxfId="655">
      <pivotArea grandRow="1" outline="0" collapsedLevelsAreSubtotals="1" fieldPosition="0"/>
    </format>
    <format dxfId="656">
      <pivotArea dataOnly="0" labelOnly="1" grandRow="1" outline="0" fieldPosition="0"/>
    </format>
    <format dxfId="657">
      <pivotArea dataOnly="0" labelOnly="1" grandRow="1" outline="0" offset="A256" fieldPosition="0"/>
    </format>
    <format dxfId="658">
      <pivotArea outline="0" collapsedLevelsAreSubtotals="1" fieldPosition="0"/>
    </format>
    <format dxfId="659">
      <pivotArea dataOnly="0" labelOnly="1" grandRow="1" outline="0" fieldPosition="0"/>
    </format>
    <format dxfId="660">
      <pivotArea field="9" type="button" dataOnly="0" labelOnly="1" outline="0" axis="axisRow" fieldPosition="0"/>
    </format>
    <format dxfId="661">
      <pivotArea field="5" type="button" dataOnly="0" labelOnly="1" outline="0" axis="axisRow" fieldPosition="1"/>
    </format>
    <format dxfId="662">
      <pivotArea field="4" type="button" dataOnly="0" labelOnly="1" outline="0" axis="axisRow" fieldPosition="2"/>
    </format>
    <format dxfId="663">
      <pivotArea field="9" type="button" dataOnly="0" labelOnly="1" outline="0" axis="axisRow" fieldPosition="0"/>
    </format>
    <format dxfId="664">
      <pivotArea field="5" type="button" dataOnly="0" labelOnly="1" outline="0" axis="axisRow" fieldPosition="1"/>
    </format>
    <format dxfId="665">
      <pivotArea field="4" type="button" dataOnly="0" labelOnly="1" outline="0" axis="axisRow" fieldPosition="2"/>
    </format>
    <format dxfId="666">
      <pivotArea field="9" type="button" dataOnly="0" labelOnly="1" outline="0" axis="axisRow" fieldPosition="0"/>
    </format>
    <format dxfId="667">
      <pivotArea field="9" type="button" dataOnly="0" labelOnly="1" outline="0" axis="axisRow" fieldPosition="0"/>
    </format>
    <format dxfId="668">
      <pivotArea field="9" type="button" dataOnly="0" labelOnly="1" outline="0" axis="axisRow" fieldPosition="0"/>
    </format>
    <format dxfId="669">
      <pivotArea field="9" type="button" dataOnly="0" labelOnly="1" outline="0" axis="axisRow" fieldPosition="0"/>
    </format>
    <format dxfId="670">
      <pivotArea field="9" type="button" dataOnly="0" labelOnly="1" outline="0" axis="axisRow" fieldPosition="0"/>
    </format>
    <format dxfId="671">
      <pivotArea field="9" type="button" dataOnly="0" labelOnly="1" outline="0" axis="axisRow" fieldPosition="0"/>
    </format>
    <format dxfId="672">
      <pivotArea dataOnly="0" labelOnly="1" outline="0" axis="axisValues" fieldPosition="0"/>
    </format>
    <format dxfId="673">
      <pivotArea dataOnly="0" labelOnly="1" outline="0" axis="axisValues" fieldPosition="0"/>
    </format>
    <format dxfId="674">
      <pivotArea dataOnly="0" labelOnly="1" outline="0" axis="axisValues" fieldPosition="0"/>
    </format>
    <format dxfId="675">
      <pivotArea dataOnly="0" labelOnly="1" outline="0" axis="axisValues" fieldPosition="0"/>
    </format>
    <format dxfId="676">
      <pivotArea dataOnly="0" labelOnly="1" outline="0" axis="axisValues" fieldPosition="0"/>
    </format>
    <format dxfId="677">
      <pivotArea field="23" type="button" dataOnly="0" labelOnly="1" outline="0"/>
    </format>
    <format dxfId="678">
      <pivotArea field="23" type="button" dataOnly="0" labelOnly="1" outline="0"/>
    </format>
    <format dxfId="679">
      <pivotArea field="23" type="button" dataOnly="0" labelOnly="1" outline="0"/>
    </format>
    <format dxfId="680">
      <pivotArea field="23" type="button" dataOnly="0" labelOnly="1" outline="0"/>
    </format>
    <format dxfId="681">
      <pivotArea field="23" type="button" dataOnly="0" labelOnly="1" outline="0"/>
    </format>
    <format dxfId="682">
      <pivotArea dataOnly="0" labelOnly="1" outline="0" fieldPosition="0">
        <references count="2">
          <reference field="28" count="1" selected="0">
            <x v="1"/>
          </reference>
          <reference field="34" count="1">
            <x v="0"/>
          </reference>
        </references>
      </pivotArea>
    </format>
  </formats>
  <pivotTableStyleInfo name="PivotStyleMedium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28EA1-22A4-4B6F-BCE8-1C722BEBD9D0}" name="PivotTable68" cacheId="3148" applyNumberFormats="0" applyBorderFormats="0" applyFontFormats="0" applyPatternFormats="0" applyAlignmentFormats="0" applyWidthHeightFormats="1" dataCaption="Values" errorCaption="VALIDATE DATA" showError="1" missingCaption="VALIDATE DATA" updatedVersion="8" minRefreshableVersion="3" showDrill="0" useAutoFormatting="1" colGrandTotals="0" itemPrintTitles="1" createdVersion="8" indent="127" compact="0" compactData="0" multipleFieldFilters="0">
  <location ref="AA48:AE55" firstHeaderRow="0" firstDataRow="1" firstDataCol="2" rowPageCount="3" colPageCount="1"/>
  <pivotFields count="40">
    <pivotField axis="axisPage" compact="0" outline="0" showAll="0" defaultSubtotal="0">
      <items count="4">
        <item x="0"/>
        <item x="1"/>
        <item m="1"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4">
        <item m="1" x="155"/>
        <item x="83"/>
        <item x="73"/>
        <item x="82"/>
        <item x="86"/>
        <item m="1" x="150"/>
        <item x="0"/>
        <item x="99"/>
        <item x="87"/>
        <item x="64"/>
        <item x="5"/>
        <item x="53"/>
        <item x="16"/>
        <item m="1" x="160"/>
        <item x="85"/>
        <item x="28"/>
        <item x="96"/>
        <item x="26"/>
        <item x="36"/>
        <item x="29"/>
        <item x="23"/>
        <item x="4"/>
        <item x="44"/>
        <item m="1" x="159"/>
        <item x="12"/>
        <item x="11"/>
        <item x="31"/>
        <item x="57"/>
        <item x="32"/>
        <item x="21"/>
        <item x="51"/>
        <item x="34"/>
        <item x="38"/>
        <item x="80"/>
        <item x="22"/>
        <item x="71"/>
        <item x="66"/>
        <item x="58"/>
        <item x="27"/>
        <item x="90"/>
        <item x="63"/>
        <item x="72"/>
        <item x="84"/>
        <item x="42"/>
        <item x="65"/>
        <item x="10"/>
        <item x="9"/>
        <item x="35"/>
        <item x="40"/>
        <item x="48"/>
        <item x="19"/>
        <item x="119"/>
        <item x="49"/>
        <item m="1" x="158"/>
        <item m="1" x="151"/>
        <item x="67"/>
        <item x="37"/>
        <item x="93"/>
        <item x="62"/>
        <item x="76"/>
        <item m="1" x="154"/>
        <item x="54"/>
        <item x="61"/>
        <item m="1" x="163"/>
        <item x="33"/>
        <item x="50"/>
        <item x="15"/>
        <item m="1" x="162"/>
        <item x="75"/>
        <item x="69"/>
        <item x="45"/>
        <item x="91"/>
        <item x="6"/>
        <item x="8"/>
        <item x="47"/>
        <item x="92"/>
        <item x="97"/>
        <item x="94"/>
        <item x="24"/>
        <item x="13"/>
        <item x="41"/>
        <item x="52"/>
        <item x="81"/>
        <item x="43"/>
        <item m="1" x="161"/>
        <item x="98"/>
        <item x="46"/>
        <item x="18"/>
        <item x="14"/>
        <item x="77"/>
        <item x="74"/>
        <item x="70"/>
        <item x="60"/>
        <item x="3"/>
        <item x="59"/>
        <item x="88"/>
        <item x="95"/>
        <item x="25"/>
        <item x="79"/>
        <item x="1"/>
        <item x="30"/>
        <item x="78"/>
        <item x="7"/>
        <item x="55"/>
        <item x="39"/>
        <item m="1" x="157"/>
        <item m="1" x="156"/>
        <item x="2"/>
        <item x="68"/>
        <item x="17"/>
        <item m="1" x="148"/>
        <item x="56"/>
        <item x="100"/>
        <item x="101"/>
        <item m="1" x="153"/>
        <item x="102"/>
        <item x="104"/>
        <item x="103"/>
        <item m="1" x="152"/>
        <item x="20"/>
        <item x="89"/>
        <item x="106"/>
        <item x="105"/>
        <item x="107"/>
        <item x="108"/>
        <item x="109"/>
        <item x="110"/>
        <item x="111"/>
        <item x="112"/>
        <item x="113"/>
        <item x="115"/>
        <item x="114"/>
        <item x="117"/>
        <item x="118"/>
        <item x="116"/>
        <item x="120"/>
        <item x="123"/>
        <item x="121"/>
        <item x="122"/>
        <item x="125"/>
        <item x="126"/>
        <item x="127"/>
        <item x="128"/>
        <item x="129"/>
        <item x="131"/>
        <item x="132"/>
        <item x="124"/>
        <item x="134"/>
        <item x="135"/>
        <item m="1" x="149"/>
        <item x="136"/>
        <item x="133"/>
        <item x="130"/>
        <item x="138"/>
        <item x="137"/>
        <item x="139"/>
        <item x="140"/>
        <item x="141"/>
        <item x="142"/>
        <item x="143"/>
        <item x="144"/>
        <item x="145"/>
        <item x="146"/>
        <item x="1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8">
        <item m="1" x="121"/>
        <item x="101"/>
        <item x="114"/>
        <item x="115"/>
        <item x="119"/>
        <item x="116"/>
        <item x="112"/>
        <item x="103"/>
        <item x="113"/>
        <item x="117"/>
        <item x="118"/>
        <item m="1" x="120"/>
        <item x="88"/>
        <item x="109"/>
        <item x="110"/>
        <item x="106"/>
        <item x="108"/>
        <item x="98"/>
        <item x="105"/>
        <item x="89"/>
        <item x="104"/>
        <item x="102"/>
        <item x="111"/>
        <item x="95"/>
        <item x="100"/>
        <item x="99"/>
        <item m="1" x="125"/>
        <item x="94"/>
        <item x="96"/>
        <item x="82"/>
        <item x="86"/>
        <item x="92"/>
        <item x="87"/>
        <item x="81"/>
        <item x="91"/>
        <item x="79"/>
        <item x="85"/>
        <item x="97"/>
        <item x="93"/>
        <item x="77"/>
        <item x="74"/>
        <item x="73"/>
        <item x="107"/>
        <item x="39"/>
        <item x="78"/>
        <item x="70"/>
        <item x="68"/>
        <item x="83"/>
        <item x="76"/>
        <item x="57"/>
        <item x="67"/>
        <item x="71"/>
        <item x="59"/>
        <item m="1" x="127"/>
        <item x="84"/>
        <item x="63"/>
        <item x="69"/>
        <item x="64"/>
        <item x="60"/>
        <item x="52"/>
        <item x="66"/>
        <item x="58"/>
        <item m="1" x="135"/>
        <item x="62"/>
        <item m="1" x="134"/>
        <item m="1" x="133"/>
        <item m="1" x="132"/>
        <item m="1" x="128"/>
        <item m="1" x="123"/>
        <item x="61"/>
        <item m="1" x="131"/>
        <item x="54"/>
        <item m="1" x="130"/>
        <item m="1" x="129"/>
        <item x="46"/>
        <item x="56"/>
        <item x="72"/>
        <item x="49"/>
        <item x="36"/>
        <item x="32"/>
        <item x="55"/>
        <item x="50"/>
        <item x="42"/>
        <item x="44"/>
        <item m="1" x="122"/>
        <item x="90"/>
        <item x="80"/>
        <item x="43"/>
        <item x="37"/>
        <item x="38"/>
        <item x="48"/>
        <item x="45"/>
        <item m="1" x="126"/>
        <item m="1" x="137"/>
        <item x="35"/>
        <item x="34"/>
        <item x="30"/>
        <item x="40"/>
        <item x="28"/>
        <item m="1" x="124"/>
        <item x="33"/>
        <item x="29"/>
        <item x="27"/>
        <item x="53"/>
        <item x="31"/>
        <item x="22"/>
        <item x="26"/>
        <item x="24"/>
        <item x="23"/>
        <item x="51"/>
        <item x="25"/>
        <item x="20"/>
        <item x="21"/>
        <item x="17"/>
        <item x="18"/>
        <item x="19"/>
        <item x="16"/>
        <item x="47"/>
        <item x="65"/>
        <item x="15"/>
        <item x="41"/>
        <item x="14"/>
        <item x="13"/>
        <item x="11"/>
        <item x="12"/>
        <item x="5"/>
        <item x="10"/>
        <item x="9"/>
        <item x="6"/>
        <item x="8"/>
        <item x="4"/>
        <item x="7"/>
        <item x="2"/>
        <item x="3"/>
        <item x="1"/>
        <item x="0"/>
        <item m="1" x="136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h="1" x="0"/>
        <item x="2"/>
        <item h="1"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5"/>
  </rowFields>
  <rowItems count="7">
    <i>
      <x v="69"/>
      <x v="15"/>
    </i>
    <i>
      <x v="86"/>
      <x v="43"/>
    </i>
    <i>
      <x v="143"/>
      <x v="15"/>
    </i>
    <i>
      <x v="147"/>
      <x v="14"/>
    </i>
    <i>
      <x v="152"/>
      <x v="17"/>
    </i>
    <i>
      <x v="163"/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28" item="1" hier="-1"/>
    <pageField fld="34" item="0" hier="-1"/>
  </pageFields>
  <dataFields count="3">
    <dataField name="Average of Pre RM Opening Time" fld="14" subtotal="average" baseField="0" baseItem="0" numFmtId="1"/>
    <dataField name="Average of % Of completion " fld="38" subtotal="average" baseField="0" baseItem="0" numFmtId="10"/>
    <dataField name="Count of WF" fld="9" subtotal="count" baseField="0" baseItem="0"/>
  </dataFields>
  <formats count="322">
    <format dxfId="316">
      <pivotArea field="4" type="button" dataOnly="0" labelOnly="1" outline="0" axis="axisRow" fieldPosition="0"/>
    </format>
    <format dxfId="317">
      <pivotArea field="5" type="button" dataOnly="0" labelOnly="1" outline="0" axis="axisRow" fieldPosition="1"/>
    </format>
    <format dxfId="3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9">
      <pivotArea field="4" type="button" dataOnly="0" labelOnly="1" outline="0" axis="axisRow" fieldPosition="0"/>
    </format>
    <format dxfId="320">
      <pivotArea field="5" type="button" dataOnly="0" labelOnly="1" outline="0" axis="axisRow" fieldPosition="1"/>
    </format>
    <format dxfId="3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2">
      <pivotArea field="4" type="button" dataOnly="0" labelOnly="1" outline="0" axis="axisRow" fieldPosition="0"/>
    </format>
    <format dxfId="323">
      <pivotArea field="5" type="button" dataOnly="0" labelOnly="1" outline="0" axis="axisRow" fieldPosition="1"/>
    </format>
    <format dxfId="3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5">
      <pivotArea field="4" type="button" dataOnly="0" labelOnly="1" outline="0" axis="axisRow" fieldPosition="0"/>
    </format>
    <format dxfId="326">
      <pivotArea field="5" type="button" dataOnly="0" labelOnly="1" outline="0" axis="axisRow" fieldPosition="1"/>
    </format>
    <format dxfId="3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8">
      <pivotArea dataOnly="0" labelOnly="1" outline="0" fieldPosition="0">
        <references count="2">
          <reference field="0" count="0"/>
          <reference field="28" count="1" selected="0">
            <x v="1"/>
          </reference>
        </references>
      </pivotArea>
    </format>
    <format dxfId="329">
      <pivotArea dataOnly="0" labelOnly="1" outline="0" fieldPosition="0">
        <references count="1">
          <reference field="28" count="1">
            <x v="1"/>
          </reference>
        </references>
      </pivotArea>
    </format>
    <format dxfId="330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331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332">
      <pivotArea dataOnly="0" labelOnly="1" outline="0" fieldPosition="0">
        <references count="1">
          <reference field="4" count="12">
            <x v="7"/>
            <x v="16"/>
            <x v="39"/>
            <x v="42"/>
            <x v="51"/>
            <x v="76"/>
            <x v="77"/>
            <x v="82"/>
            <x v="85"/>
            <x v="86"/>
            <x v="95"/>
            <x v="96"/>
          </reference>
        </references>
      </pivotArea>
    </format>
    <format dxfId="333">
      <pivotArea outline="0" collapsedLevelsAreSubtotals="1" fieldPosition="0"/>
    </format>
    <format dxfId="334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335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336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337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338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339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340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341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342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343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344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345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346">
      <pivotArea outline="0" collapsedLevelsAreSubtotals="1" fieldPosition="0"/>
    </format>
    <format dxfId="347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348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349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350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351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352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353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354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355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356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357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358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359">
      <pivotArea outline="0" collapsedLevelsAreSubtotals="1" fieldPosition="0"/>
    </format>
    <format dxfId="360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361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362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363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364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365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366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367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368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369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370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371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372">
      <pivotArea outline="0" collapsedLevelsAreSubtotals="1" fieldPosition="0"/>
    </format>
    <format dxfId="373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374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375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376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377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378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379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380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381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382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383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384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385">
      <pivotArea outline="0" collapsedLevelsAreSubtotals="1" fieldPosition="0"/>
    </format>
    <format dxfId="386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387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388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389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390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391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392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393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394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395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396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397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398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399">
      <pivotArea dataOnly="0" labelOnly="1" outline="0" fieldPosition="0">
        <references count="2">
          <reference field="4" count="1" selected="0">
            <x v="42"/>
          </reference>
          <reference field="5" count="2">
            <x v="33"/>
            <x v="45"/>
          </reference>
        </references>
      </pivotArea>
    </format>
    <format dxfId="400">
      <pivotArea dataOnly="0" labelOnly="1" outline="0" fieldPosition="0">
        <references count="2">
          <reference field="4" count="1" selected="0">
            <x v="82"/>
          </reference>
          <reference field="5" count="1">
            <x v="39"/>
          </reference>
        </references>
      </pivotArea>
    </format>
    <format dxfId="401">
      <pivotArea dataOnly="0" labelOnly="1" outline="0" fieldPosition="0">
        <references count="2">
          <reference field="4" count="1" selected="0">
            <x v="95"/>
          </reference>
          <reference field="5" count="1">
            <x v="41"/>
          </reference>
        </references>
      </pivotArea>
    </format>
    <format dxfId="402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03">
      <pivotArea dataOnly="0" labelOnly="1" outline="0" fieldPosition="0">
        <references count="2">
          <reference field="4" count="1" selected="0">
            <x v="85"/>
          </reference>
          <reference field="5" count="1">
            <x v="15"/>
          </reference>
        </references>
      </pivotArea>
    </format>
    <format dxfId="404">
      <pivotArea dataOnly="0" labelOnly="1" grandRow="1" outline="0" offset="A256" fieldPosition="0"/>
    </format>
    <format dxfId="405">
      <pivotArea grandRow="1" outline="0" collapsedLevelsAreSubtotals="1" fieldPosition="0"/>
    </format>
    <format dxfId="406">
      <pivotArea grandRow="1" outline="0" collapsedLevelsAreSubtotals="1" fieldPosition="0"/>
    </format>
    <format dxfId="407">
      <pivotArea dataOnly="0" labelOnly="1" grandRow="1" outline="0" fieldPosition="0"/>
    </format>
    <format dxfId="408">
      <pivotArea dataOnly="0" labelOnly="1" outline="0" fieldPosition="0">
        <references count="1">
          <reference field="4" count="16"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</references>
      </pivotArea>
    </format>
    <format dxfId="409">
      <pivotArea dataOnly="0" labelOnly="1" grandRow="1" outline="0" offset="A256" fieldPosition="0"/>
    </format>
    <format dxfId="410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411">
      <pivotArea outline="0" fieldPosition="0">
        <references count="1">
          <reference field="4294967294" count="1" selected="0">
            <x v="1"/>
          </reference>
        </references>
      </pivotArea>
    </format>
    <format dxfId="412">
      <pivotArea outline="0" collapsedLevelsAreSubtotals="1" fieldPosition="0"/>
    </format>
    <format dxfId="413">
      <pivotArea dataOnly="0" labelOnly="1" outline="0" fieldPosition="0">
        <references count="1">
          <reference field="4" count="17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</references>
      </pivotArea>
    </format>
    <format dxfId="414">
      <pivotArea dataOnly="0" labelOnly="1" grandRow="1" outline="0" fieldPosition="0"/>
    </format>
    <format dxfId="415">
      <pivotArea dataOnly="0" labelOnly="1" outline="0" fieldPosition="0">
        <references count="2">
          <reference field="4" count="1" selected="0">
            <x v="4"/>
          </reference>
          <reference field="5" count="1">
            <x v="54"/>
          </reference>
        </references>
      </pivotArea>
    </format>
    <format dxfId="416">
      <pivotArea dataOnly="0" labelOnly="1" outline="0" fieldPosition="0">
        <references count="2">
          <reference field="4" count="1" selected="0">
            <x v="7"/>
          </reference>
          <reference field="5" count="1">
            <x v="33"/>
          </reference>
        </references>
      </pivotArea>
    </format>
    <format dxfId="417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418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419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420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421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422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23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424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425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426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427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428">
      <pivotArea dataOnly="0" labelOnly="1" outline="0" fieldPosition="0">
        <references count="2">
          <reference field="4" count="1" selected="0">
            <x v="103"/>
          </reference>
          <reference field="5" count="1">
            <x v="86"/>
          </reference>
        </references>
      </pivotArea>
    </format>
    <format dxfId="429">
      <pivotArea dataOnly="0" labelOnly="1" outline="0" fieldPosition="0">
        <references count="2">
          <reference field="4" count="1" selected="0">
            <x v="112"/>
          </reference>
          <reference field="5" count="2">
            <x v="29"/>
            <x v="35"/>
          </reference>
        </references>
      </pivotArea>
    </format>
    <format dxfId="430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431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432">
      <pivotArea outline="0" fieldPosition="0">
        <references count="1">
          <reference field="4294967294" count="1" selected="0">
            <x v="0"/>
          </reference>
        </references>
      </pivotArea>
    </format>
    <format dxfId="433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434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435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436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437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438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39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440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441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442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443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444">
      <pivotArea dataOnly="0" labelOnly="1" outline="0" fieldPosition="0">
        <references count="2">
          <reference field="4" count="1" selected="0">
            <x v="103"/>
          </reference>
          <reference field="5" count="1">
            <x v="86"/>
          </reference>
        </references>
      </pivotArea>
    </format>
    <format dxfId="445">
      <pivotArea dataOnly="0" labelOnly="1" outline="0" fieldPosition="0">
        <references count="2">
          <reference field="4" count="1" selected="0">
            <x v="112"/>
          </reference>
          <reference field="5" count="2">
            <x v="29"/>
            <x v="35"/>
          </reference>
        </references>
      </pivotArea>
    </format>
    <format dxfId="446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447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448">
      <pivotArea outline="0" fieldPosition="0">
        <references count="3">
          <reference field="4294967294" count="1" selected="0">
            <x v="2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29"/>
            <x v="33"/>
            <x v="35"/>
            <x v="36"/>
            <x v="40"/>
            <x v="41"/>
            <x v="43"/>
            <x v="44"/>
            <x v="45"/>
            <x v="48"/>
            <x v="50"/>
            <x v="52"/>
            <x v="54"/>
            <x v="86"/>
          </reference>
        </references>
      </pivotArea>
    </format>
    <format dxfId="449">
      <pivotArea dataOnly="0" labelOnly="1" outline="0" fieldPosition="0">
        <references count="2">
          <reference field="4" count="1" selected="0">
            <x v="4"/>
          </reference>
          <reference field="5" count="1">
            <x v="54"/>
          </reference>
        </references>
      </pivotArea>
    </format>
    <format dxfId="450">
      <pivotArea dataOnly="0" labelOnly="1" outline="0" fieldPosition="0">
        <references count="2">
          <reference field="4" count="1" selected="0">
            <x v="7"/>
          </reference>
          <reference field="5" count="1">
            <x v="33"/>
          </reference>
        </references>
      </pivotArea>
    </format>
    <format dxfId="451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452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453">
      <pivotArea dataOnly="0" labelOnly="1" outline="0" fieldPosition="0">
        <references count="2">
          <reference field="4" count="1" selected="0">
            <x v="39"/>
          </reference>
          <reference field="5" count="1">
            <x v="40"/>
          </reference>
        </references>
      </pivotArea>
    </format>
    <format dxfId="454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455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456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57">
      <pivotArea dataOnly="0" labelOnly="1" outline="0" fieldPosition="0">
        <references count="2">
          <reference field="4" count="1" selected="0">
            <x v="76"/>
          </reference>
          <reference field="5" count="1">
            <x v="35"/>
          </reference>
        </references>
      </pivotArea>
    </format>
    <format dxfId="458">
      <pivotArea dataOnly="0" labelOnly="1" outline="0" fieldPosition="0">
        <references count="2">
          <reference field="4" count="1" selected="0">
            <x v="77"/>
          </reference>
          <reference field="5" count="1">
            <x v="44"/>
          </reference>
        </references>
      </pivotArea>
    </format>
    <format dxfId="459">
      <pivotArea dataOnly="0" labelOnly="1" outline="0" fieldPosition="0">
        <references count="2">
          <reference field="4" count="1" selected="0">
            <x v="85"/>
          </reference>
          <reference field="5" count="1">
            <x v="41"/>
          </reference>
        </references>
      </pivotArea>
    </format>
    <format dxfId="460">
      <pivotArea dataOnly="0" labelOnly="1" outline="0" fieldPosition="0">
        <references count="2">
          <reference field="4" count="1" selected="0">
            <x v="86"/>
          </reference>
          <reference field="5" count="2">
            <x v="41"/>
            <x v="43"/>
          </reference>
        </references>
      </pivotArea>
    </format>
    <format dxfId="461">
      <pivotArea dataOnly="0" labelOnly="1" outline="0" fieldPosition="0">
        <references count="2">
          <reference field="4" count="1" selected="0">
            <x v="96"/>
          </reference>
          <reference field="5" count="1">
            <x v="52"/>
          </reference>
        </references>
      </pivotArea>
    </format>
    <format dxfId="462">
      <pivotArea dataOnly="0" labelOnly="1" outline="0" fieldPosition="0">
        <references count="2">
          <reference field="4" count="1" selected="0">
            <x v="103"/>
          </reference>
          <reference field="5" count="1">
            <x v="86"/>
          </reference>
        </references>
      </pivotArea>
    </format>
    <format dxfId="463">
      <pivotArea dataOnly="0" labelOnly="1" outline="0" fieldPosition="0">
        <references count="2">
          <reference field="4" count="1" selected="0">
            <x v="112"/>
          </reference>
          <reference field="5" count="2">
            <x v="29"/>
            <x v="35"/>
          </reference>
        </references>
      </pivotArea>
    </format>
    <format dxfId="464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465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466">
      <pivotArea outline="0" fieldPosition="0">
        <references count="3">
          <reference field="4294967294" count="1" selected="0">
            <x v="1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29"/>
            <x v="33"/>
            <x v="35"/>
            <x v="36"/>
            <x v="40"/>
            <x v="41"/>
            <x v="43"/>
            <x v="44"/>
            <x v="45"/>
            <x v="48"/>
            <x v="50"/>
            <x v="52"/>
            <x v="54"/>
            <x v="86"/>
          </reference>
        </references>
      </pivotArea>
    </format>
    <format dxfId="467">
      <pivotArea outline="0" fieldPosition="0">
        <references count="3">
          <reference field="4294967294" count="1" selected="0">
            <x v="0"/>
          </reference>
          <reference field="4" count="17" selected="0">
            <x v="4"/>
            <x v="7"/>
            <x v="16"/>
            <x v="18"/>
            <x v="39"/>
            <x v="42"/>
            <x v="51"/>
            <x v="70"/>
            <x v="76"/>
            <x v="77"/>
            <x v="85"/>
            <x v="86"/>
            <x v="96"/>
            <x v="103"/>
            <x v="112"/>
            <x v="113"/>
            <x v="115"/>
          </reference>
          <reference field="5" count="14" selected="0">
            <x v="29"/>
            <x v="33"/>
            <x v="35"/>
            <x v="36"/>
            <x v="40"/>
            <x v="41"/>
            <x v="43"/>
            <x v="44"/>
            <x v="45"/>
            <x v="48"/>
            <x v="50"/>
            <x v="52"/>
            <x v="54"/>
            <x v="86"/>
          </reference>
        </references>
      </pivotArea>
    </format>
    <format dxfId="468">
      <pivotArea dataOnly="0" labelOnly="1" outline="0" fieldPosition="0">
        <references count="1">
          <reference field="4" count="2">
            <x v="116"/>
            <x v="117"/>
          </reference>
        </references>
      </pivotArea>
    </format>
    <format dxfId="469">
      <pivotArea dataOnly="0" labelOnly="1" outline="0" fieldPosition="0">
        <references count="2">
          <reference field="4" count="1" selected="0">
            <x v="117"/>
          </reference>
          <reference field="5" count="1">
            <x v="44"/>
          </reference>
        </references>
      </pivotArea>
    </format>
    <format dxfId="470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471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472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473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474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75">
      <pivotArea dataOnly="0" labelOnly="1" outline="0" fieldPosition="0">
        <references count="2">
          <reference field="4" count="1" selected="0">
            <x v="77"/>
          </reference>
          <reference field="5" count="2">
            <x v="43"/>
            <x v="44"/>
          </reference>
        </references>
      </pivotArea>
    </format>
    <format dxfId="476">
      <pivotArea dataOnly="0" labelOnly="1" outline="0" fieldPosition="0">
        <references count="2">
          <reference field="4" count="1" selected="0">
            <x v="112"/>
          </reference>
          <reference field="5" count="1">
            <x v="35"/>
          </reference>
        </references>
      </pivotArea>
    </format>
    <format dxfId="477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478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479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480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481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482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83">
      <pivotArea dataOnly="0" labelOnly="1" outline="0" fieldPosition="0">
        <references count="2">
          <reference field="4" count="1" selected="0">
            <x v="77"/>
          </reference>
          <reference field="5" count="2">
            <x v="43"/>
            <x v="44"/>
          </reference>
        </references>
      </pivotArea>
    </format>
    <format dxfId="484">
      <pivotArea dataOnly="0" labelOnly="1" outline="0" fieldPosition="0">
        <references count="2">
          <reference field="4" count="1" selected="0">
            <x v="112"/>
          </reference>
          <reference field="5" count="1">
            <x v="35"/>
          </reference>
        </references>
      </pivotArea>
    </format>
    <format dxfId="485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486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487">
      <pivotArea dataOnly="0" labelOnly="1" outline="0" fieldPosition="0">
        <references count="2">
          <reference field="4" count="1" selected="0">
            <x v="16"/>
          </reference>
          <reference field="5" count="1">
            <x v="50"/>
          </reference>
        </references>
      </pivotArea>
    </format>
    <format dxfId="488">
      <pivotArea dataOnly="0" labelOnly="1" outline="0" fieldPosition="0">
        <references count="2">
          <reference field="4" count="1" selected="0">
            <x v="18"/>
          </reference>
          <reference field="5" count="1">
            <x v="36"/>
          </reference>
        </references>
      </pivotArea>
    </format>
    <format dxfId="489">
      <pivotArea dataOnly="0" labelOnly="1" outline="0" fieldPosition="0">
        <references count="2">
          <reference field="4" count="1" selected="0">
            <x v="51"/>
          </reference>
          <reference field="5" count="1">
            <x v="41"/>
          </reference>
        </references>
      </pivotArea>
    </format>
    <format dxfId="490">
      <pivotArea dataOnly="0" labelOnly="1" outline="0" fieldPosition="0">
        <references count="2">
          <reference field="4" count="1" selected="0">
            <x v="70"/>
          </reference>
          <reference field="5" count="1">
            <x v="48"/>
          </reference>
        </references>
      </pivotArea>
    </format>
    <format dxfId="491">
      <pivotArea dataOnly="0" labelOnly="1" outline="0" fieldPosition="0">
        <references count="2">
          <reference field="4" count="1" selected="0">
            <x v="77"/>
          </reference>
          <reference field="5" count="2">
            <x v="43"/>
            <x v="44"/>
          </reference>
        </references>
      </pivotArea>
    </format>
    <format dxfId="492">
      <pivotArea dataOnly="0" labelOnly="1" outline="0" fieldPosition="0">
        <references count="2">
          <reference field="4" count="1" selected="0">
            <x v="112"/>
          </reference>
          <reference field="5" count="1">
            <x v="35"/>
          </reference>
        </references>
      </pivotArea>
    </format>
    <format dxfId="493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494">
      <pivotArea dataOnly="0" labelOnly="1" outline="0" fieldPosition="0">
        <references count="1">
          <reference field="4" count="1">
            <x v="2"/>
          </reference>
        </references>
      </pivotArea>
    </format>
    <format dxfId="495">
      <pivotArea dataOnly="0" labelOnly="1" outline="0" fieldPosition="0">
        <references count="2">
          <reference field="4" count="1" selected="0">
            <x v="2"/>
          </reference>
          <reference field="5" count="1">
            <x v="58"/>
          </reference>
        </references>
      </pivotArea>
    </format>
    <format dxfId="496">
      <pivotArea dataOnly="0" labelOnly="1" outline="0" fieldPosition="0">
        <references count="1">
          <reference field="4" count="1">
            <x v="48"/>
          </reference>
        </references>
      </pivotArea>
    </format>
    <format dxfId="497">
      <pivotArea dataOnly="0" labelOnly="1" outline="0" fieldPosition="0">
        <references count="1">
          <reference field="4" count="1">
            <x v="120"/>
          </reference>
        </references>
      </pivotArea>
    </format>
    <format dxfId="498">
      <pivotArea dataOnly="0" labelOnly="1" outline="0" fieldPosition="0">
        <references count="2">
          <reference field="4" count="1" selected="0">
            <x v="120"/>
          </reference>
          <reference field="5" count="1">
            <x v="41"/>
          </reference>
        </references>
      </pivotArea>
    </format>
    <format dxfId="499">
      <pivotArea dataOnly="0" labelOnly="1" outline="0" fieldPosition="0">
        <references count="1">
          <reference field="4" count="1">
            <x v="40"/>
          </reference>
        </references>
      </pivotArea>
    </format>
    <format dxfId="500">
      <pivotArea dataOnly="0" labelOnly="1" outline="0" fieldPosition="0">
        <references count="1">
          <reference field="4" count="4">
            <x v="121"/>
            <x v="122"/>
            <x v="124"/>
            <x v="125"/>
          </reference>
        </references>
      </pivotArea>
    </format>
    <format dxfId="501">
      <pivotArea dataOnly="0" labelOnly="1" outline="0" fieldPosition="0">
        <references count="2">
          <reference field="4" count="1" selected="0">
            <x v="48"/>
          </reference>
          <reference field="5" count="1">
            <x v="95"/>
          </reference>
        </references>
      </pivotArea>
    </format>
    <format dxfId="502">
      <pivotArea dataOnly="0" labelOnly="1" outline="0" fieldPosition="0">
        <references count="2">
          <reference field="4" count="1" selected="0">
            <x v="76"/>
          </reference>
          <reference field="5" count="1">
            <x v="38"/>
          </reference>
        </references>
      </pivotArea>
    </format>
    <format dxfId="503">
      <pivotArea dataOnly="0" labelOnly="1" outline="0" fieldPosition="0">
        <references count="2">
          <reference field="4" count="1" selected="0">
            <x v="77"/>
          </reference>
          <reference field="5" count="1">
            <x v="43"/>
          </reference>
        </references>
      </pivotArea>
    </format>
    <format dxfId="504">
      <pivotArea dataOnly="0" labelOnly="1" outline="0" fieldPosition="0">
        <references count="2">
          <reference field="4" count="1" selected="0">
            <x v="113"/>
          </reference>
          <reference field="5" count="1">
            <x v="41"/>
          </reference>
        </references>
      </pivotArea>
    </format>
    <format dxfId="505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506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507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508">
      <pivotArea dataOnly="0" labelOnly="1" outline="0" fieldPosition="0">
        <references count="2">
          <reference field="4" count="1" selected="0">
            <x v="121"/>
          </reference>
          <reference field="5" count="1">
            <x v="19"/>
          </reference>
        </references>
      </pivotArea>
    </format>
    <format dxfId="509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510">
      <pivotArea dataOnly="0" labelOnly="1" outline="0" fieldPosition="0">
        <references count="2">
          <reference field="4" count="1" selected="0">
            <x v="124"/>
          </reference>
          <reference field="5" count="1">
            <x v="34"/>
          </reference>
        </references>
      </pivotArea>
    </format>
    <format dxfId="511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512">
      <pivotArea dataOnly="0" labelOnly="1" outline="0" fieldPosition="0">
        <references count="2">
          <reference field="4" count="1" selected="0">
            <x v="40"/>
          </reference>
          <reference field="5" count="1">
            <x v="78"/>
          </reference>
        </references>
      </pivotArea>
    </format>
    <format dxfId="513">
      <pivotArea dataOnly="0" labelOnly="1" outline="0" fieldPosition="0">
        <references count="2">
          <reference field="4" count="1" selected="0">
            <x v="126"/>
          </reference>
          <reference field="5" count="1">
            <x v="31"/>
          </reference>
        </references>
      </pivotArea>
    </format>
    <format dxfId="514">
      <pivotArea dataOnly="0" labelOnly="1" outline="0" fieldPosition="0">
        <references count="1">
          <reference field="4" count="1">
            <x v="126"/>
          </reference>
        </references>
      </pivotArea>
    </format>
    <format dxfId="515">
      <pivotArea field="5" type="button" dataOnly="0" labelOnly="1" outline="0" axis="axisRow" fieldPosition="1"/>
    </format>
    <format dxfId="516">
      <pivotArea dataOnly="0" labelOnly="1" grandRow="1" outline="0" fieldPosition="0"/>
    </format>
    <format dxfId="517">
      <pivotArea dataOnly="0" labelOnly="1" outline="0" fieldPosition="0">
        <references count="2">
          <reference field="4" count="1" selected="0">
            <x v="7"/>
          </reference>
          <reference field="5" count="1">
            <x v="29"/>
          </reference>
        </references>
      </pivotArea>
    </format>
    <format dxfId="518">
      <pivotArea dataOnly="0" labelOnly="1" outline="0" fieldPosition="0">
        <references count="2">
          <reference field="4" count="1" selected="0">
            <x v="48"/>
          </reference>
          <reference field="5" count="1">
            <x v="95"/>
          </reference>
        </references>
      </pivotArea>
    </format>
    <format dxfId="519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520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521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522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523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524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525">
      <pivotArea dataOnly="0" labelOnly="1" outline="0" fieldPosition="0">
        <references count="2">
          <reference field="4" count="1" selected="0">
            <x v="126"/>
          </reference>
          <reference field="5" count="1">
            <x v="31"/>
          </reference>
        </references>
      </pivotArea>
    </format>
    <format dxfId="526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527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528">
      <pivotArea dataOnly="0" labelOnly="1" outline="0" fieldPosition="0">
        <references count="2">
          <reference field="4" count="1" selected="0">
            <x v="129"/>
          </reference>
          <reference field="5" count="1">
            <x v="23"/>
          </reference>
        </references>
      </pivotArea>
    </format>
    <format dxfId="529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530">
      <pivotArea dataOnly="0" labelOnly="1" outline="0" fieldPosition="0">
        <references count="1">
          <reference field="4" count="3">
            <x v="127"/>
            <x v="128"/>
            <x v="129"/>
          </reference>
        </references>
      </pivotArea>
    </format>
    <format dxfId="531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532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533">
      <pivotArea dataOnly="0" labelOnly="1" outline="0" fieldPosition="0">
        <references count="2">
          <reference field="4" count="1" selected="0">
            <x v="129"/>
          </reference>
          <reference field="5" count="1">
            <x v="23"/>
          </reference>
        </references>
      </pivotArea>
    </format>
    <format dxfId="534">
      <pivotArea field="4" type="button" dataOnly="0" labelOnly="1" outline="0" axis="axisRow" fieldPosition="0"/>
    </format>
    <format dxfId="535">
      <pivotArea field="5" type="button" dataOnly="0" labelOnly="1" outline="0" axis="axisRow" fieldPosition="1"/>
    </format>
    <format dxfId="5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7">
      <pivotArea outline="0" collapsedLevelsAreSubtotals="1" fieldPosition="0"/>
    </format>
    <format dxfId="538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539">
      <pivotArea dataOnly="0" labelOnly="1" grandRow="1" outline="0" fieldPosition="0"/>
    </format>
    <format dxfId="540">
      <pivotArea dataOnly="0" labelOnly="1" outline="0" fieldPosition="0">
        <references count="2">
          <reference field="4" count="1" selected="0">
            <x v="69"/>
          </reference>
          <reference field="5" count="1">
            <x v="19"/>
          </reference>
        </references>
      </pivotArea>
    </format>
    <format dxfId="541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542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543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544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545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546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547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548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549">
      <pivotArea dataOnly="0" labelOnly="1" outline="0" fieldPosition="0">
        <references count="2">
          <reference field="4" count="1" selected="0">
            <x v="129"/>
          </reference>
          <reference field="5" count="2">
            <x v="23"/>
            <x v="37"/>
          </reference>
        </references>
      </pivotArea>
    </format>
    <format dxfId="550">
      <pivotArea dataOnly="0" labelOnly="1" outline="0" fieldPosition="0">
        <references count="2">
          <reference field="4" count="1" selected="0">
            <x v="130"/>
          </reference>
          <reference field="5" count="1">
            <x v="29"/>
          </reference>
        </references>
      </pivotArea>
    </format>
    <format dxfId="551">
      <pivotArea dataOnly="0" labelOnly="1" outline="0" fieldPosition="0">
        <references count="2">
          <reference field="4" count="1" selected="0">
            <x v="131"/>
          </reference>
          <reference field="5" count="1">
            <x v="23"/>
          </reference>
        </references>
      </pivotArea>
    </format>
    <format dxfId="552">
      <pivotArea dataOnly="0" labelOnly="1" outline="0" fieldPosition="0">
        <references count="2">
          <reference field="4" count="1" selected="0">
            <x v="132"/>
          </reference>
          <reference field="5" count="1">
            <x v="17"/>
          </reference>
        </references>
      </pivotArea>
    </format>
    <format dxfId="553">
      <pivotArea dataOnly="0" labelOnly="1" outline="0" fieldPosition="0">
        <references count="2">
          <reference field="4" count="1" selected="0">
            <x v="133"/>
          </reference>
          <reference field="5" count="1">
            <x v="25"/>
          </reference>
        </references>
      </pivotArea>
    </format>
    <format dxfId="554">
      <pivotArea outline="0" collapsedLevelsAreSubtotals="1" fieldPosition="0"/>
    </format>
    <format dxfId="555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556">
      <pivotArea dataOnly="0" labelOnly="1" grandRow="1" outline="0" fieldPosition="0"/>
    </format>
    <format dxfId="557">
      <pivotArea dataOnly="0" labelOnly="1" outline="0" fieldPosition="0">
        <references count="2">
          <reference field="4" count="1" selected="0">
            <x v="69"/>
          </reference>
          <reference field="5" count="1">
            <x v="19"/>
          </reference>
        </references>
      </pivotArea>
    </format>
    <format dxfId="558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559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560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561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562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563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564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565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566">
      <pivotArea dataOnly="0" labelOnly="1" outline="0" fieldPosition="0">
        <references count="2">
          <reference field="4" count="1" selected="0">
            <x v="129"/>
          </reference>
          <reference field="5" count="2">
            <x v="23"/>
            <x v="37"/>
          </reference>
        </references>
      </pivotArea>
    </format>
    <format dxfId="567">
      <pivotArea dataOnly="0" labelOnly="1" outline="0" fieldPosition="0">
        <references count="2">
          <reference field="4" count="1" selected="0">
            <x v="130"/>
          </reference>
          <reference field="5" count="1">
            <x v="29"/>
          </reference>
        </references>
      </pivotArea>
    </format>
    <format dxfId="568">
      <pivotArea dataOnly="0" labelOnly="1" outline="0" fieldPosition="0">
        <references count="2">
          <reference field="4" count="1" selected="0">
            <x v="131"/>
          </reference>
          <reference field="5" count="1">
            <x v="23"/>
          </reference>
        </references>
      </pivotArea>
    </format>
    <format dxfId="569">
      <pivotArea dataOnly="0" labelOnly="1" outline="0" fieldPosition="0">
        <references count="2">
          <reference field="4" count="1" selected="0">
            <x v="132"/>
          </reference>
          <reference field="5" count="1">
            <x v="17"/>
          </reference>
        </references>
      </pivotArea>
    </format>
    <format dxfId="570">
      <pivotArea dataOnly="0" labelOnly="1" outline="0" fieldPosition="0">
        <references count="2">
          <reference field="4" count="1" selected="0">
            <x v="133"/>
          </reference>
          <reference field="5" count="1">
            <x v="25"/>
          </reference>
        </references>
      </pivotArea>
    </format>
    <format dxfId="571">
      <pivotArea type="all" dataOnly="0" outline="0" fieldPosition="0"/>
    </format>
    <format dxfId="572">
      <pivotArea outline="0" collapsedLevelsAreSubtotals="1" fieldPosition="0"/>
    </format>
    <format dxfId="573">
      <pivotArea field="4" type="button" dataOnly="0" labelOnly="1" outline="0" axis="axisRow" fieldPosition="0"/>
    </format>
    <format dxfId="574">
      <pivotArea field="5" type="button" dataOnly="0" labelOnly="1" outline="0" axis="axisRow" fieldPosition="1"/>
    </format>
    <format dxfId="575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576">
      <pivotArea dataOnly="0" labelOnly="1" grandRow="1" outline="0" fieldPosition="0"/>
    </format>
    <format dxfId="577">
      <pivotArea dataOnly="0" labelOnly="1" outline="0" fieldPosition="0">
        <references count="2">
          <reference field="4" count="1" selected="0">
            <x v="69"/>
          </reference>
          <reference field="5" count="1">
            <x v="19"/>
          </reference>
        </references>
      </pivotArea>
    </format>
    <format dxfId="578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579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580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581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582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583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584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585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586">
      <pivotArea dataOnly="0" labelOnly="1" outline="0" fieldPosition="0">
        <references count="2">
          <reference field="4" count="1" selected="0">
            <x v="129"/>
          </reference>
          <reference field="5" count="2">
            <x v="23"/>
            <x v="37"/>
          </reference>
        </references>
      </pivotArea>
    </format>
    <format dxfId="587">
      <pivotArea dataOnly="0" labelOnly="1" outline="0" fieldPosition="0">
        <references count="2">
          <reference field="4" count="1" selected="0">
            <x v="130"/>
          </reference>
          <reference field="5" count="1">
            <x v="29"/>
          </reference>
        </references>
      </pivotArea>
    </format>
    <format dxfId="588">
      <pivotArea dataOnly="0" labelOnly="1" outline="0" fieldPosition="0">
        <references count="2">
          <reference field="4" count="1" selected="0">
            <x v="131"/>
          </reference>
          <reference field="5" count="1">
            <x v="23"/>
          </reference>
        </references>
      </pivotArea>
    </format>
    <format dxfId="589">
      <pivotArea dataOnly="0" labelOnly="1" outline="0" fieldPosition="0">
        <references count="2">
          <reference field="4" count="1" selected="0">
            <x v="132"/>
          </reference>
          <reference field="5" count="1">
            <x v="17"/>
          </reference>
        </references>
      </pivotArea>
    </format>
    <format dxfId="590">
      <pivotArea dataOnly="0" labelOnly="1" outline="0" fieldPosition="0">
        <references count="2">
          <reference field="4" count="1" selected="0">
            <x v="133"/>
          </reference>
          <reference field="5" count="1">
            <x v="25"/>
          </reference>
        </references>
      </pivotArea>
    </format>
    <format dxfId="5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2">
      <pivotArea outline="0" collapsedLevelsAreSubtotals="1" fieldPosition="0"/>
    </format>
    <format dxfId="593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594">
      <pivotArea dataOnly="0" labelOnly="1" grandRow="1" outline="0" fieldPosition="0"/>
    </format>
    <format dxfId="595">
      <pivotArea dataOnly="0" labelOnly="1" outline="0" fieldPosition="0">
        <references count="2">
          <reference field="4" count="1" selected="0">
            <x v="69"/>
          </reference>
          <reference field="5" count="1">
            <x v="19"/>
          </reference>
        </references>
      </pivotArea>
    </format>
    <format dxfId="596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597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598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599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600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601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602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603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604">
      <pivotArea dataOnly="0" labelOnly="1" outline="0" fieldPosition="0">
        <references count="2">
          <reference field="4" count="1" selected="0">
            <x v="129"/>
          </reference>
          <reference field="5" count="2">
            <x v="23"/>
            <x v="37"/>
          </reference>
        </references>
      </pivotArea>
    </format>
    <format dxfId="605">
      <pivotArea dataOnly="0" labelOnly="1" outline="0" fieldPosition="0">
        <references count="2">
          <reference field="4" count="1" selected="0">
            <x v="130"/>
          </reference>
          <reference field="5" count="1">
            <x v="29"/>
          </reference>
        </references>
      </pivotArea>
    </format>
    <format dxfId="606">
      <pivotArea dataOnly="0" labelOnly="1" outline="0" fieldPosition="0">
        <references count="2">
          <reference field="4" count="1" selected="0">
            <x v="131"/>
          </reference>
          <reference field="5" count="1">
            <x v="23"/>
          </reference>
        </references>
      </pivotArea>
    </format>
    <format dxfId="607">
      <pivotArea dataOnly="0" labelOnly="1" outline="0" fieldPosition="0">
        <references count="2">
          <reference field="4" count="1" selected="0">
            <x v="132"/>
          </reference>
          <reference field="5" count="1">
            <x v="17"/>
          </reference>
        </references>
      </pivotArea>
    </format>
    <format dxfId="608">
      <pivotArea dataOnly="0" labelOnly="1" outline="0" fieldPosition="0">
        <references count="2">
          <reference field="4" count="1" selected="0">
            <x v="133"/>
          </reference>
          <reference field="5" count="1">
            <x v="25"/>
          </reference>
        </references>
      </pivotArea>
    </format>
    <format dxfId="609">
      <pivotArea outline="0" collapsedLevelsAreSubtotals="1" fieldPosition="0"/>
    </format>
    <format dxfId="610">
      <pivotArea dataOnly="0" labelOnly="1" outline="0" fieldPosition="0">
        <references count="1">
          <reference field="4" count="14">
            <x v="69"/>
            <x v="77"/>
            <x v="115"/>
            <x v="116"/>
            <x v="117"/>
            <x v="122"/>
            <x v="125"/>
            <x v="127"/>
            <x v="128"/>
            <x v="129"/>
            <x v="130"/>
            <x v="131"/>
            <x v="132"/>
            <x v="133"/>
          </reference>
        </references>
      </pivotArea>
    </format>
    <format dxfId="611">
      <pivotArea dataOnly="0" labelOnly="1" grandRow="1" outline="0" fieldPosition="0"/>
    </format>
    <format dxfId="612">
      <pivotArea dataOnly="0" labelOnly="1" outline="0" fieldPosition="0">
        <references count="2">
          <reference field="4" count="1" selected="0">
            <x v="69"/>
          </reference>
          <reference field="5" count="1">
            <x v="19"/>
          </reference>
        </references>
      </pivotArea>
    </format>
    <format dxfId="613">
      <pivotArea dataOnly="0" labelOnly="1" outline="0" fieldPosition="0">
        <references count="2">
          <reference field="4" count="1" selected="0">
            <x v="77"/>
          </reference>
          <reference field="5" count="1">
            <x v="28"/>
          </reference>
        </references>
      </pivotArea>
    </format>
    <format dxfId="614">
      <pivotArea dataOnly="0" labelOnly="1" outline="0" fieldPosition="0">
        <references count="2">
          <reference field="4" count="1" selected="0">
            <x v="115"/>
          </reference>
          <reference field="5" count="1">
            <x v="29"/>
          </reference>
        </references>
      </pivotArea>
    </format>
    <format dxfId="615">
      <pivotArea dataOnly="0" labelOnly="1" outline="0" fieldPosition="0">
        <references count="2">
          <reference field="4" count="1" selected="0">
            <x v="116"/>
          </reference>
          <reference field="5" count="1">
            <x v="30"/>
          </reference>
        </references>
      </pivotArea>
    </format>
    <format dxfId="616">
      <pivotArea dataOnly="0" labelOnly="1" outline="0" fieldPosition="0">
        <references count="2">
          <reference field="4" count="1" selected="0">
            <x v="117"/>
          </reference>
          <reference field="5" count="1">
            <x v="32"/>
          </reference>
        </references>
      </pivotArea>
    </format>
    <format dxfId="617">
      <pivotArea dataOnly="0" labelOnly="1" outline="0" fieldPosition="0">
        <references count="2">
          <reference field="4" count="1" selected="0">
            <x v="122"/>
          </reference>
          <reference field="5" count="1">
            <x v="12"/>
          </reference>
        </references>
      </pivotArea>
    </format>
    <format dxfId="618">
      <pivotArea dataOnly="0" labelOnly="1" outline="0" fieldPosition="0">
        <references count="2">
          <reference field="4" count="1" selected="0">
            <x v="125"/>
          </reference>
          <reference field="5" count="1">
            <x v="29"/>
          </reference>
        </references>
      </pivotArea>
    </format>
    <format dxfId="619">
      <pivotArea dataOnly="0" labelOnly="1" outline="0" fieldPosition="0">
        <references count="2">
          <reference field="4" count="1" selected="0">
            <x v="127"/>
          </reference>
          <reference field="5" count="1">
            <x v="32"/>
          </reference>
        </references>
      </pivotArea>
    </format>
    <format dxfId="620">
      <pivotArea dataOnly="0" labelOnly="1" outline="0" fieldPosition="0">
        <references count="2">
          <reference field="4" count="1" selected="0">
            <x v="128"/>
          </reference>
          <reference field="5" count="1">
            <x v="27"/>
          </reference>
        </references>
      </pivotArea>
    </format>
    <format dxfId="621">
      <pivotArea dataOnly="0" labelOnly="1" outline="0" fieldPosition="0">
        <references count="2">
          <reference field="4" count="1" selected="0">
            <x v="129"/>
          </reference>
          <reference field="5" count="2">
            <x v="23"/>
            <x v="37"/>
          </reference>
        </references>
      </pivotArea>
    </format>
    <format dxfId="622">
      <pivotArea dataOnly="0" labelOnly="1" outline="0" fieldPosition="0">
        <references count="2">
          <reference field="4" count="1" selected="0">
            <x v="130"/>
          </reference>
          <reference field="5" count="1">
            <x v="29"/>
          </reference>
        </references>
      </pivotArea>
    </format>
    <format dxfId="623">
      <pivotArea dataOnly="0" labelOnly="1" outline="0" fieldPosition="0">
        <references count="2">
          <reference field="4" count="1" selected="0">
            <x v="131"/>
          </reference>
          <reference field="5" count="1">
            <x v="23"/>
          </reference>
        </references>
      </pivotArea>
    </format>
    <format dxfId="624">
      <pivotArea dataOnly="0" labelOnly="1" outline="0" fieldPosition="0">
        <references count="2">
          <reference field="4" count="1" selected="0">
            <x v="132"/>
          </reference>
          <reference field="5" count="1">
            <x v="17"/>
          </reference>
        </references>
      </pivotArea>
    </format>
    <format dxfId="625">
      <pivotArea dataOnly="0" labelOnly="1" outline="0" fieldPosition="0">
        <references count="2">
          <reference field="4" count="1" selected="0">
            <x v="133"/>
          </reference>
          <reference field="5" count="1">
            <x v="25"/>
          </reference>
        </references>
      </pivotArea>
    </format>
    <format dxfId="626">
      <pivotArea field="4" type="button" dataOnly="0" labelOnly="1" outline="0" axis="axisRow" fieldPosition="0"/>
    </format>
    <format dxfId="627">
      <pivotArea field="5" type="button" dataOnly="0" labelOnly="1" outline="0" axis="axisRow" fieldPosition="1"/>
    </format>
    <format dxfId="6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9">
      <pivotArea field="4" type="button" dataOnly="0" labelOnly="1" outline="0" axis="axisRow" fieldPosition="0"/>
    </format>
    <format dxfId="630">
      <pivotArea field="5" type="button" dataOnly="0" labelOnly="1" outline="0" axis="axisRow" fieldPosition="1"/>
    </format>
    <format dxfId="6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2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633">
      <pivotArea dataOnly="0" labelOnly="1" outline="0" fieldPosition="0">
        <references count="2">
          <reference field="4" count="1" selected="0">
            <x v="42"/>
          </reference>
          <reference field="5" count="1">
            <x v="45"/>
          </reference>
        </references>
      </pivotArea>
    </format>
    <format dxfId="634">
      <pivotArea dataOnly="0" labelOnly="1" outline="0" fieldPosition="0">
        <references count="1">
          <reference field="4" count="6">
            <x v="42"/>
            <x v="70"/>
            <x v="82"/>
            <x v="127"/>
            <x v="129"/>
            <x v="135"/>
          </reference>
        </references>
      </pivotArea>
    </format>
    <format dxfId="635">
      <pivotArea dataOnly="0" labelOnly="1" outline="0" fieldPosition="0">
        <references count="1">
          <reference field="4" count="1">
            <x v="82"/>
          </reference>
        </references>
      </pivotArea>
    </format>
    <format dxfId="636">
      <pivotArea dataOnly="0" labelOnly="1" outline="0" fieldPosition="0">
        <references count="1">
          <reference field="4" count="1">
            <x v="82"/>
          </reference>
        </references>
      </pivotArea>
    </format>
    <format dxfId="637">
      <pivotArea dataOnly="0" labelOnly="1" outline="0" fieldPosition="0">
        <references count="1">
          <reference field="4" count="7">
            <x v="41"/>
            <x v="51"/>
            <x v="86"/>
            <x v="127"/>
            <x v="133"/>
            <x v="135"/>
            <x v="142"/>
          </reference>
        </references>
      </pivotArea>
    </format>
  </formats>
  <pivotTableStyleInfo name="PivotStyleMedium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83FC32-184C-4E65-A526-317A77BD8A29}" name="Table5" displayName="Table5" ref="A4:L5" totalsRowShown="0" headerRowDxfId="227" dataDxfId="226" headerRowBorderDxfId="224" tableBorderDxfId="225" totalsRowBorderDxfId="223">
  <autoFilter ref="A4:L5" xr:uid="{1583FC32-184C-4E65-A526-317A77BD8A29}"/>
  <tableColumns count="12">
    <tableColumn id="1" xr3:uid="{D4A1BA57-5E6E-46D0-9BBA-35ED5BCDA171}" name="AVG Active Time" dataDxfId="222">
      <calculatedColumnFormula>Filters!B9</calculatedColumnFormula>
    </tableColumn>
    <tableColumn id="3" xr3:uid="{2DAA9527-BEFA-4880-9B1C-C154FDA92E52}" name="AVG Overdue Time post template" dataDxfId="221">
      <calculatedColumnFormula>Filters!G19</calculatedColumnFormula>
    </tableColumn>
    <tableColumn id="8" xr3:uid="{CAABE441-6568-49AA-8ED3-5806F7A253C4}" name="AVG Opening Time Pre RM" dataDxfId="220">
      <calculatedColumnFormula>Filters!C9</calculatedColumnFormula>
    </tableColumn>
    <tableColumn id="4" xr3:uid="{11BD3063-A335-4720-ABE2-8DF23BD13FF6}" name="%OnTime WF" dataDxfId="219">
      <calculatedColumnFormula>Filters!B20</calculatedColumnFormula>
    </tableColumn>
    <tableColumn id="5" xr3:uid="{08CFFB3C-2C03-48BB-B8C3-71BEF8715E3C}" name="%Late WF" dataDxfId="218">
      <calculatedColumnFormula>Filters!B19</calculatedColumnFormula>
    </tableColumn>
    <tableColumn id="6" xr3:uid="{746E9698-F161-4847-85FB-B1E4823ABDF0}" name="%+15DAYS  LATE" dataDxfId="217">
      <calculatedColumnFormula>Filters!B21</calculatedColumnFormula>
    </tableColumn>
    <tableColumn id="9" xr3:uid="{92F1697B-198A-4FFD-86BC-978CD9734C4E}" name="%WF Closure by Eng Errors" dataDxfId="216">
      <calculatedColumnFormula>Filters!G24/Filters!D9</calculatedColumnFormula>
    </tableColumn>
    <tableColumn id="2" xr3:uid="{E577EFEF-C0BB-4DB6-8418-1BC019A2094C}" name="# Overdue Projects impacted by correct WF submittal" dataDxfId="215">
      <calculatedColumnFormula>Filters!C90</calculatedColumnFormula>
    </tableColumn>
    <tableColumn id="7" xr3:uid="{70154AE5-1BD0-4BE4-A7D4-C1C5F4BA6C92}" name="#Projects Impacted by incorrect WF" dataDxfId="214">
      <calculatedColumnFormula>Filters!C204</calculatedColumnFormula>
    </tableColumn>
    <tableColumn id="11" xr3:uid="{BD6229EA-4B50-42CD-9C6C-CDFBF7D4A3F6}" name="#Projects impacted by cancelation on time" dataDxfId="213">
      <calculatedColumnFormula>Filters!C55</calculatedColumnFormula>
    </tableColumn>
    <tableColumn id="10" xr3:uid="{DBAD06B7-3434-411C-AD6B-80C2D3D4C377}" name="Top Cancellation offender " dataDxfId="212"/>
    <tableColumn id="12" xr3:uid="{52E394A8-050E-435E-9409-4942467CF182}" name="Active WF" dataDxfId="211">
      <calculatedColumnFormula>COUNTIF(WFTracker[Status],"i")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49A0DD-89CD-4BA9-BA9C-38E20937A7E5}" name="Table55" displayName="Table55" ref="A10:M11" totalsRowShown="0" headerRowDxfId="210" dataDxfId="209" headerRowBorderDxfId="207" tableBorderDxfId="208" totalsRowBorderDxfId="206">
  <autoFilter ref="A10:M11" xr:uid="{0649A0DD-89CD-4BA9-BA9C-38E20937A7E5}"/>
  <tableColumns count="13">
    <tableColumn id="1" xr3:uid="{28746162-0F22-4E20-B056-0BC1F8C9A216}" name="AVG Active Time" dataDxfId="205">
      <calculatedColumnFormula>Filters!P9</calculatedColumnFormula>
    </tableColumn>
    <tableColumn id="3" xr3:uid="{0FFE2DAD-D5DE-4D60-B60F-F2EA019A2A70}" name="AVG Overdue Time post template" dataDxfId="204">
      <calculatedColumnFormula>Filters!U19</calculatedColumnFormula>
    </tableColumn>
    <tableColumn id="8" xr3:uid="{B7091FB4-6F6F-453A-AF73-4F2551B38BE0}" name="AVG Opening Time Pre RM" dataDxfId="203">
      <calculatedColumnFormula>Filters!Q9</calculatedColumnFormula>
    </tableColumn>
    <tableColumn id="4" xr3:uid="{DE72964D-829F-4DF0-BF5C-A9DDCB2E79AD}" name="%OnTime WF" dataDxfId="202">
      <calculatedColumnFormula>Filters!P20</calculatedColumnFormula>
    </tableColumn>
    <tableColumn id="5" xr3:uid="{AD463C15-7FF5-48D4-91BB-CBDF40EB4F30}" name="%Late WF" dataDxfId="201">
      <calculatedColumnFormula>Filters!P19</calculatedColumnFormula>
    </tableColumn>
    <tableColumn id="6" xr3:uid="{2351BD44-73F1-4648-B8A6-23AFB0A7B2AA}" name="%+15DAYS  LATE" dataDxfId="200">
      <calculatedColumnFormula>Filters!B27</calculatedColumnFormula>
    </tableColumn>
    <tableColumn id="9" xr3:uid="{6A23668D-4E3B-4F5A-B2CA-8527CB194CD7}" name="%WF Closure by Eng Errors" dataDxfId="199">
      <calculatedColumnFormula>Filters!U24/Filters!R9</calculatedColumnFormula>
    </tableColumn>
    <tableColumn id="2" xr3:uid="{0BDD501D-9F00-40A1-BFDF-2819E0EB8AC5}" name="# Overdue Projects impacted by correct WF submittal" dataDxfId="198">
      <calculatedColumnFormula>Filters!Q90</calculatedColumnFormula>
    </tableColumn>
    <tableColumn id="7" xr3:uid="{46D45B6B-C2CC-4277-AB6A-6311A9845C14}" name="#Projects Impacted by incorrect WF" dataDxfId="197">
      <calculatedColumnFormula>Filters!Q200</calculatedColumnFormula>
    </tableColumn>
    <tableColumn id="11" xr3:uid="{881720C6-8CC6-430D-BB4D-E7D694508F8A}" name="#Projects impacted by cancelation on time" dataDxfId="196">
      <calculatedColumnFormula>Filters!Q55</calculatedColumnFormula>
    </tableColumn>
    <tableColumn id="14" xr3:uid="{A80B7BC8-CF08-4487-9ED4-5C6114AE8BEE}" name="RM Date impacted by late WFs (NOT ENG)" dataDxfId="195">
      <calculatedColumnFormula>Filters!Q268</calculatedColumnFormula>
    </tableColumn>
    <tableColumn id="10" xr3:uid="{0F3D3CD6-B3C2-41DD-9535-086F2CF72749}" name="Top Cancellation offender " dataDxfId="194"/>
    <tableColumn id="12" xr3:uid="{7B0A0CE9-C38B-4CDE-9530-FA25F1C9589B}" name="Active WF" dataDxfId="193">
      <calculatedColumnFormula>COUNTIF(WFTracker[Status],"i")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52398-CAAD-498E-8817-DF926E341E94}" name="WFTracker" displayName="WFTracker" ref="A1:AN857" totalsRowShown="0" headerRowDxfId="84" tableBorderDxfId="83">
  <autoFilter ref="A1:AN857" xr:uid="{48F52398-CAAD-498E-8817-DF926E341E94}">
    <filterColumn colId="5">
      <filters>
        <dateGroupItem year="2026" month="3" dateTimeGrouping="month"/>
        <dateGroupItem year="2025" dateTimeGrouping="year"/>
      </filters>
    </filterColumn>
    <filterColumn colId="28">
      <filters>
        <filter val="I"/>
      </filters>
    </filterColumn>
  </autoFilter>
  <sortState xmlns:xlrd2="http://schemas.microsoft.com/office/spreadsheetml/2017/richdata2" ref="A2:AN857">
    <sortCondition ref="F1:F857"/>
  </sortState>
  <tableColumns count="40">
    <tableColumn id="35" xr3:uid="{2121F663-C6BD-4AEA-BA3D-83131CD052B7}" name="Product" dataDxfId="82">
      <calculatedColumnFormula>IF(WFTracker[[#This Row],[Order Number]]="SWBD", "QED2", "PZ4")</calculatedColumnFormula>
    </tableColumn>
    <tableColumn id="1" xr3:uid="{B349F082-2972-4C2B-AC1F-60E2A70E7565}" name="Order Number" dataDxfId="80" totalsRowDxfId="81"/>
    <tableColumn id="2" xr3:uid="{3655FFC8-C537-4D72-8638-A15E3ABFB86A}" name="Item" dataDxfId="78" totalsRowDxfId="79"/>
    <tableColumn id="3" xr3:uid="{67736701-7CCD-409E-98B1-BA66103984E4}" name="Sales Number" dataDxfId="76" totalsRowDxfId="77">
      <calculatedColumnFormula>WFTracker[[#This Row],[Order Number]]  &amp; "-" &amp; WFTracker[[#This Row],[Item]]</calculatedColumnFormula>
    </tableColumn>
    <tableColumn id="4" xr3:uid="{A3F8642B-9708-4BC3-83DB-9A073BD89158}" name="Job Name" dataDxfId="74" totalsRowDxfId="75"/>
    <tableColumn id="5" xr3:uid="{ABDA575D-257E-4457-9649-2B91BE3B1FD8}" name="RM" dataDxfId="72" totalsRowDxfId="73"/>
    <tableColumn id="38" xr3:uid="{922480B3-6496-4B50-84D4-EFB00E89F4EF}" name="RE" dataDxfId="70" totalsRowDxfId="71"/>
    <tableColumn id="6" xr3:uid="{930EA5D2-4F9A-43BF-A07B-0F670B4A8808}" name="AE" dataDxfId="68" totalsRowDxfId="69"/>
    <tableColumn id="7" xr3:uid="{966C749B-41EE-47DC-906C-A547D1BE8198}" name="MD" dataDxfId="66" totalsRowDxfId="67"/>
    <tableColumn id="8" xr3:uid="{4BE048AE-E4BD-49BD-8DF2-F29EC6865FF9}" name="WF" dataDxfId="64" totalsRowDxfId="65"/>
    <tableColumn id="9" xr3:uid="{723D8931-1203-4400-82FB-859144353584}" name="Class" dataDxfId="62" totalsRowDxfId="63"/>
    <tableColumn id="10" xr3:uid="{1FCE2755-49C5-4682-B48A-3E39FB640547}" name="Type" dataDxfId="60" totalsRowDxfId="61"/>
    <tableColumn id="21" xr3:uid="{CD09ABA0-4366-47B0-B085-BDB1A970C185}" name="Special Paint" dataDxfId="58" totalsRowDxfId="59"/>
    <tableColumn id="22" xr3:uid="{1892CEE1-1035-43A6-BDDB-20342AFF0053}" name="CPD" dataDxfId="56" totalsRowDxfId="57"/>
    <tableColumn id="36" xr3:uid="{07BD85FE-062F-45D5-AC17-90A4B00F5D3D}" name="Pre RM Opening Time" dataDxfId="54" totalsRowDxfId="55">
      <calculatedColumnFormula>NETWORKDAYS.INTL(WFTracker[[#This Row],[Start date]],WFTracker[[#This Row],[RM]],1,Holidays!D4:D19)</calculatedColumnFormula>
    </tableColumn>
    <tableColumn id="11" xr3:uid="{79D291DD-C382-40C4-AF07-7C1458F18CF0}" name="Start date" dataDxfId="52" totalsRowDxfId="53"/>
    <tableColumn id="12" xr3:uid="{91498DE1-1D9C-4D72-8F46-7F321FEC13A2}" name="Due date" dataDxfId="50" totalsRowDxfId="51"/>
    <tableColumn id="13" xr3:uid="{7C964E97-F553-4B9D-B600-A8753F31ECB3}" name="Completion Date" dataDxfId="48" totalsRowDxfId="49"/>
    <tableColumn id="34" xr3:uid="{0D3255E7-0076-4B45-9C75-49BD0C7C26BD}" name="Competion Date Content" dataDxfId="46" totalsRowDxfId="47">
      <calculatedColumnFormula>ISBLANK(WFTracker[[#This Row],[Completion Date]])</calculatedColumnFormula>
    </tableColumn>
    <tableColumn id="40" xr3:uid="{38A60DC7-CF4A-4730-B38A-8E9009E51B55}" name="Start Date [Month and Year]" dataDxfId="44" totalsRowDxfId="45">
      <calculatedColumnFormula>TEXT(WFTracker[[#This Row],[Start date]],"mmm-yyyy")</calculatedColumnFormula>
    </tableColumn>
    <tableColumn id="20" xr3:uid="{B4E90A3A-4321-45A5-B7AD-A631AA9F272B}" name="Old vs New Order Lead Time WF dead line" dataDxfId="42" totalsRowDxfId="43"/>
    <tableColumn id="14" xr3:uid="{06E2C30F-E7F5-4C6C-8F07-D5138EEAA31C}" name="Completion Days Template" dataDxfId="40" totalsRowDxfId="41">
      <calculatedColumnFormula>NETWORKDAYS.INTL(WFTracker[[#This Row],[Start date]],WFTracker[[#This Row],[Due date]],1,Holidays!D4:D19)</calculatedColumnFormula>
    </tableColumn>
    <tableColumn id="15" xr3:uid="{2526ECE9-F6D9-4C09-8379-C88E4BC2B6D4}" name="Active Time" dataDxfId="38" totalsRowDxfId="39">
      <calculatedColumnFormula>IF(WFTracker[[#This Row],[Competion Date Content]]= TRUE, NETWORKDAYS.INTL( WFTracker[[#This Row],[Start date]],TODAY(),1,Holidays!$D$4:$D$19), NETWORKDAYS.INTL( WFTracker[[#This Row],[Start date]],WFTracker[[#This Row],[Completion Date]],1,Holidays!$D$4:$D$19))</calculatedColumnFormula>
    </tableColumn>
    <tableColumn id="16" xr3:uid="{2BE9521C-D55D-49E8-B386-3AC01EB31964}" name="Overdue Time [Expected-Completion]" dataDxfId="36" totalsRowDxfId="37">
      <calculatedColumnFormula>WFTracker[[#This Row],[Active Time]]-WFTracker[[#This Row],[Completion Days Template]]</calculatedColumnFormula>
    </tableColumn>
    <tableColumn id="17" xr3:uid="{6274826F-7949-4332-830A-715F4CAD4F5B}" name="Classification not considering 15+ days" dataDxfId="34" totalsRowDxfId="35">
      <calculatedColumnFormula xml:space="preserve"> IF(WFTracker[[#This Row],[Overdue Time '[Expected-Completion']]]&gt;0, "LATE","ON TIME")</calculatedColumnFormula>
    </tableColumn>
    <tableColumn id="19" xr3:uid="{344264AD-CDBB-4301-9E84-8D6A74180390}" name="Classification [Completion-Due Date]" dataDxfId="32" totalsRowDxfId="33">
      <calculatedColumnFormula>IF(WFTracker[[#This Row],[Overdue Time '[Expected-Completion']]] &gt;= 15, "SUPER LATE", Y2)</calculatedColumnFormula>
    </tableColumn>
    <tableColumn id="26" xr3:uid="{EE3B6694-9FA6-4B75-9AD9-56B5A1CBAD68}" name="WF SUBMITTAL [RM&lt;5/10 DAYS]" dataDxfId="30" totalsRowDxfId="31">
      <calculatedColumnFormula>IF(WFTracker[[#This Row],[Pre RM Opening Time]]&lt;WFTracker[[#This Row],[Old vs New Order Lead Time WF dead line]], "LATE BY ENG", "ON TIME BY ENG")</calculatedColumnFormula>
    </tableColumn>
    <tableColumn id="23" xr3:uid="{90600027-B3CB-47C2-9E35-D6FA7DCF2712}" name="Reason For Late WF Submital by Eng" dataDxfId="28" totalsRowDxfId="29"/>
    <tableColumn id="18" xr3:uid="{C03B0D0B-AE31-469B-BCB1-57EF5E1DB56C}" name="Status" dataDxfId="26" totalsRowDxfId="27"/>
    <tableColumn id="25" xr3:uid="{7941776E-D5E0-4352-B7B2-851AEE57F1CF}" name="Impact Time Post RM" dataDxfId="24" totalsRowDxfId="25">
      <calculatedColumnFormula>IF(WFTracker[[#This Row],[Competion Date Content]]=TRUE,NETWORKDAYS.INTL(WFTracker[[#This Row],[RM]],TODAY(),1,Holidays!$D$4:$D$19), NETWORKDAYS.INTL(WFTracker[[#This Row],[RM]],WFTracker[[#This Row],[Completion Date]],1,Holidays!$D$4:$D$19))</calculatedColumnFormula>
    </tableColumn>
    <tableColumn id="37" xr3:uid="{7490F2CA-8AE3-4530-A835-FF2BD7C059F3}" name="Impacted Post RM" dataDxfId="22" totalsRowDxfId="23">
      <calculatedColumnFormula>IF(WFTracker[[#This Row],[Impact Time Post RM]]&gt;0, "IMPACTED", "NOT IMPACTED")</calculatedColumnFormula>
    </tableColumn>
    <tableColumn id="28" xr3:uid="{59D679FC-116F-4A05-9EDE-318E189F01AC}" name="Re-Worked WF Active Time" dataDxfId="20" totalsRowDxfId="21"/>
    <tableColumn id="29" xr3:uid="{C9491E69-FC96-4215-BE09-F615FC66C2BC}" name="Cancelation Cause" dataDxfId="18" totalsRowDxfId="19"/>
    <tableColumn id="31" xr3:uid="{5F05E850-150E-47BE-8281-20BD37F27587}" name="Urgent Closure" dataDxfId="16" totalsRowDxfId="17">
      <calculatedColumnFormula>IF(WFTracker[[#This Row],[Status]]="C", "Closed", IF(WFTracker[[#This Row],[Status]] = "x", "Cancelled", WFTracker[[#This Row],[Impact Time Post RM]]))</calculatedColumnFormula>
    </tableColumn>
    <tableColumn id="33" xr3:uid="{10208CEB-72E1-491D-B31D-73A0EFA2052D}" name="Classification [Completion-RM]" dataDxfId="14" totalsRowDxfId="15">
      <calculatedColumnFormula>IF(WFTracker[[#This Row],[Impact Time Post RM]]&lt;=0,"ON TIME","LATE")</calculatedColumnFormula>
    </tableColumn>
    <tableColumn id="24" xr3:uid="{DEDDB6BC-E6DB-43DE-B1F6-D74071CB3382}" name="Task responsible" dataDxfId="12" totalsRowDxfId="13"/>
    <tableColumn id="27" xr3:uid="{DA4E2497-ACB4-43F3-A485-5FB746258299}" name="Task Number" dataDxfId="10" totalsRowDxfId="11"/>
    <tableColumn id="32" xr3:uid="{AD97F85D-C0A7-4FE0-98D6-2202C30E21BB}" name="Completion Forecast" dataDxfId="8" totalsRowDxfId="9"/>
    <tableColumn id="30" xr3:uid="{74780307-28EA-4C9F-B3D5-B56B25AF757C}" name="% Of completion " dataDxfId="6" totalsRowDxfId="7">
      <calculatedColumnFormula array="1">_xlfn.IFS(WFTracker[[#This Row],[Type]]="BUY", WFTracker[[#This Row],[Task Number]]/17,
     WFTracker[[#This Row],[Type]]="MAKE", WFTracker[[#This Row],[Task Number]]/18,
     WFTracker[[#This Row],[Type]]="CNG-BOM", WFTracker[[#This Row],[Task Number]]/11)</calculatedColumnFormula>
    </tableColumn>
    <tableColumn id="39" xr3:uid="{25290440-A3D7-4C05-AB26-BE4B2F0932A5}" name="Comments" totalsRow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pivotTable" Target="../pivotTables/pivotTable39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50" Type="http://schemas.openxmlformats.org/officeDocument/2006/relationships/pivotTable" Target="../pivotTables/pivotTable50.xml"/><Relationship Id="rId55" Type="http://schemas.openxmlformats.org/officeDocument/2006/relationships/pivotTable" Target="../pivotTables/pivotTable55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9" Type="http://schemas.openxmlformats.org/officeDocument/2006/relationships/pivotTable" Target="../pivotTables/pivotTable29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53" Type="http://schemas.openxmlformats.org/officeDocument/2006/relationships/pivotTable" Target="../pivotTables/pivotTable53.xml"/><Relationship Id="rId58" Type="http://schemas.openxmlformats.org/officeDocument/2006/relationships/pivotTable" Target="../pivotTables/pivotTable58.xml"/><Relationship Id="rId5" Type="http://schemas.openxmlformats.org/officeDocument/2006/relationships/pivotTable" Target="../pivotTables/pivotTable5.xml"/><Relationship Id="rId61" Type="http://schemas.openxmlformats.org/officeDocument/2006/relationships/pivotTable" Target="../pivotTables/pivotTable61.xml"/><Relationship Id="rId19" Type="http://schemas.openxmlformats.org/officeDocument/2006/relationships/pivotTable" Target="../pivotTables/pivotTable1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56" Type="http://schemas.openxmlformats.org/officeDocument/2006/relationships/pivotTable" Target="../pivotTables/pivotTable56.xml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59" Type="http://schemas.openxmlformats.org/officeDocument/2006/relationships/pivotTable" Target="../pivotTables/pivotTable59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Relationship Id="rId57" Type="http://schemas.openxmlformats.org/officeDocument/2006/relationships/pivotTable" Target="../pivotTables/pivotTable57.xml"/><Relationship Id="rId10" Type="http://schemas.openxmlformats.org/officeDocument/2006/relationships/pivotTable" Target="../pivotTables/pivotTable10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60" Type="http://schemas.openxmlformats.org/officeDocument/2006/relationships/pivotTable" Target="../pivotTables/pivotTable6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oneshuttle.se.com/WF_PAGES/WorkFlowTaskUpdate.aspx?v1=WF1765269" TargetMode="External"/><Relationship Id="rId21" Type="http://schemas.openxmlformats.org/officeDocument/2006/relationships/hyperlink" Target="https://oneshuttle.se.com/WF_PAGES/WorkFlowTaskUpdate.aspx?v1=WF1751246" TargetMode="External"/><Relationship Id="rId63" Type="http://schemas.openxmlformats.org/officeDocument/2006/relationships/hyperlink" Target="https://oneshuttle.se.com/WF_PAGES/WorkFlowTaskUpdate.aspx?v1=WF1760784" TargetMode="External"/><Relationship Id="rId159" Type="http://schemas.openxmlformats.org/officeDocument/2006/relationships/hyperlink" Target="https://oneshuttle.se.com/WF_PAGES/WorkFlowTaskUpdate.aspx?v1=WF1775782" TargetMode="External"/><Relationship Id="rId324" Type="http://schemas.openxmlformats.org/officeDocument/2006/relationships/hyperlink" Target="https://oneshuttle.se.com/WF_PAGES/WorkFlowTaskUpdate.aspx?v1=WF1803218" TargetMode="External"/><Relationship Id="rId366" Type="http://schemas.openxmlformats.org/officeDocument/2006/relationships/hyperlink" Target="https://oneshuttle.se.com/WF_PAGES/WorkFlowTaskUpdate.aspx?v1=WF1814275" TargetMode="External"/><Relationship Id="rId170" Type="http://schemas.openxmlformats.org/officeDocument/2006/relationships/hyperlink" Target="https://oneshuttle.se.com/WF_PAGES/WorkFlowTaskUpdate.aspx?v1=WF1776452" TargetMode="External"/><Relationship Id="rId226" Type="http://schemas.openxmlformats.org/officeDocument/2006/relationships/hyperlink" Target="https://oneshuttle.se.com/WF_PAGES/WorkFlowTaskUpdate.aspx?v1=WF1782615" TargetMode="External"/><Relationship Id="rId433" Type="http://schemas.openxmlformats.org/officeDocument/2006/relationships/hyperlink" Target="https://oneshuttle.se.com/WF_PAGES/WorkFlowTaskUpdate.aspx?v1=WF1824056" TargetMode="External"/><Relationship Id="rId268" Type="http://schemas.openxmlformats.org/officeDocument/2006/relationships/hyperlink" Target="https://oneshuttle.se.com/WF_PAGES/WorkFlowTaskUpdate.aspx?v1=WF1792125" TargetMode="External"/><Relationship Id="rId475" Type="http://schemas.openxmlformats.org/officeDocument/2006/relationships/hyperlink" Target="https://oneshuttle.se.com/WF_PAGES/WorkFlowTaskUpdate.aspx?v1=WF1828953" TargetMode="External"/><Relationship Id="rId32" Type="http://schemas.openxmlformats.org/officeDocument/2006/relationships/hyperlink" Target="https://oneshuttle.se.com/WF_PAGES/WorkFlowTaskUpdate.aspx?v1=WF1752117" TargetMode="External"/><Relationship Id="rId74" Type="http://schemas.openxmlformats.org/officeDocument/2006/relationships/hyperlink" Target="https://oneshuttle.se.com/WF_PAGES/WorkFlowTaskUpdate.aspx?v1=WF1758721" TargetMode="External"/><Relationship Id="rId128" Type="http://schemas.openxmlformats.org/officeDocument/2006/relationships/hyperlink" Target="https://oneshuttle.se.com/WF_PAGES/WorkFlowTaskUpdate.aspx?v1=WF1767100" TargetMode="External"/><Relationship Id="rId335" Type="http://schemas.openxmlformats.org/officeDocument/2006/relationships/hyperlink" Target="https://oneshuttle.se.com/WF_PAGES/WorkFlowTaskUpdate.aspx?v1=WF1805051" TargetMode="External"/><Relationship Id="rId377" Type="http://schemas.openxmlformats.org/officeDocument/2006/relationships/hyperlink" Target="https://oneshuttle.se.com/WF_PAGES/WorkFlowTaskUpdate.aspx?v1=WF1816621" TargetMode="External"/><Relationship Id="rId500" Type="http://schemas.openxmlformats.org/officeDocument/2006/relationships/hyperlink" Target="https://oneshuttle.se.com/WF_PAGES/WorkFlowTaskUpdate.aspx?v1=WF1832617" TargetMode="External"/><Relationship Id="rId5" Type="http://schemas.openxmlformats.org/officeDocument/2006/relationships/hyperlink" Target="https://oneshuttle.se.com/WF_PAGES/WorkFlowTaskUpdate.aspx?v1=WF1744143" TargetMode="External"/><Relationship Id="rId181" Type="http://schemas.openxmlformats.org/officeDocument/2006/relationships/hyperlink" Target="https://oneshuttle.se.com/WF_PAGES/WorkFlowTaskUpdate.aspx?v1=WF1777092" TargetMode="External"/><Relationship Id="rId237" Type="http://schemas.openxmlformats.org/officeDocument/2006/relationships/hyperlink" Target="https://oneshuttle.se.com/WF_PAGES/WorkFlowTaskUpdate.aspx?v1=WF1779134" TargetMode="External"/><Relationship Id="rId402" Type="http://schemas.openxmlformats.org/officeDocument/2006/relationships/hyperlink" Target="https://oneshuttle.se.com/WF_PAGES/WorkFlowTaskUpdate.aspx?v1=WF1820447" TargetMode="External"/><Relationship Id="rId279" Type="http://schemas.openxmlformats.org/officeDocument/2006/relationships/hyperlink" Target="https://oneshuttle.se.com/WF_PAGES/WorkFlowTaskUpdate.aspx?v1=WF1794049" TargetMode="External"/><Relationship Id="rId444" Type="http://schemas.openxmlformats.org/officeDocument/2006/relationships/hyperlink" Target="https://oneshuttle.se.com/WF_PAGES/WorkFlowTaskUpdate.aspx?v1=WF1824946" TargetMode="External"/><Relationship Id="rId486" Type="http://schemas.openxmlformats.org/officeDocument/2006/relationships/hyperlink" Target="https://oneshuttle.se.com/WF_PAGES/WorkFlowTaskUpdate.aspx?v1=WF1830767" TargetMode="External"/><Relationship Id="rId43" Type="http://schemas.openxmlformats.org/officeDocument/2006/relationships/hyperlink" Target="https://oneshuttle.se.com/WF_PAGES/WorkFlowTaskUpdate.aspx?v1=WF1756814" TargetMode="External"/><Relationship Id="rId139" Type="http://schemas.openxmlformats.org/officeDocument/2006/relationships/hyperlink" Target="https://oneshuttle.se.com/WF_PAGES/WorkFlowTaskUpdate.aspx?v1=WF1767579" TargetMode="External"/><Relationship Id="rId290" Type="http://schemas.openxmlformats.org/officeDocument/2006/relationships/hyperlink" Target="https://oneshuttle.se.com/WF_PAGES/WorkFlowTaskUpdate.aspx?v1=WF1795964" TargetMode="External"/><Relationship Id="rId304" Type="http://schemas.openxmlformats.org/officeDocument/2006/relationships/hyperlink" Target="https://oneshuttle.se.com/WF_PAGES/WorkFlowTaskUpdate.aspx?v1=WF1799011" TargetMode="External"/><Relationship Id="rId346" Type="http://schemas.openxmlformats.org/officeDocument/2006/relationships/hyperlink" Target="https://oneshuttle.se.com/WF_PAGES/WorkFlowTaskUpdate.aspx?v1=WF1790513" TargetMode="External"/><Relationship Id="rId388" Type="http://schemas.openxmlformats.org/officeDocument/2006/relationships/hyperlink" Target="https://oneshuttle.se.com/WF_PAGES/WorkFlowTaskUpdate.aspx?v1=WF1818759" TargetMode="External"/><Relationship Id="rId511" Type="http://schemas.openxmlformats.org/officeDocument/2006/relationships/table" Target="../tables/table3.xml"/><Relationship Id="rId85" Type="http://schemas.openxmlformats.org/officeDocument/2006/relationships/hyperlink" Target="https://oneshuttle.se.com/WF_PAGES/WorkFlowTaskUpdate.aspx?v1=WF1757859" TargetMode="External"/><Relationship Id="rId150" Type="http://schemas.openxmlformats.org/officeDocument/2006/relationships/hyperlink" Target="https://oneshuttle.se.com/WF_PAGES/WorkFlowTaskUpdate.aspx?v1=WF1772317" TargetMode="External"/><Relationship Id="rId192" Type="http://schemas.openxmlformats.org/officeDocument/2006/relationships/hyperlink" Target="https://oneshuttle.se.com/WF_PAGES/WorkFlowTaskUpdate.aspx?v1=WF1778438" TargetMode="External"/><Relationship Id="rId206" Type="http://schemas.openxmlformats.org/officeDocument/2006/relationships/hyperlink" Target="https://oneshuttle.se.com/WF_PAGES/WorkFlowTaskUpdate.aspx?v1=WF1780890" TargetMode="External"/><Relationship Id="rId413" Type="http://schemas.openxmlformats.org/officeDocument/2006/relationships/hyperlink" Target="https://oneshuttle.se.com/WF_PAGES/WorkFlowTaskUpdate.aspx?v1=WF1821729" TargetMode="External"/><Relationship Id="rId248" Type="http://schemas.openxmlformats.org/officeDocument/2006/relationships/hyperlink" Target="https://oneshuttle.se.com/WF_PAGES/WorkFlowTaskUpdate.aspx?v1=WF1789259" TargetMode="External"/><Relationship Id="rId455" Type="http://schemas.openxmlformats.org/officeDocument/2006/relationships/hyperlink" Target="https://oneshuttle.se.com/WF_PAGES/WorkFlowTaskUpdate.aspx?v1=WF1826375" TargetMode="External"/><Relationship Id="rId497" Type="http://schemas.openxmlformats.org/officeDocument/2006/relationships/hyperlink" Target="https://oneshuttle.se.com/WF_PAGES/WorkFlowTaskUpdate.aspx?v1=WF1832094" TargetMode="External"/><Relationship Id="rId12" Type="http://schemas.openxmlformats.org/officeDocument/2006/relationships/hyperlink" Target="https://oneshuttle.se.com/WF_PAGES/WorkFlowTaskUpdate.aspx?v1=WF1750094" TargetMode="External"/><Relationship Id="rId108" Type="http://schemas.openxmlformats.org/officeDocument/2006/relationships/hyperlink" Target="https://oneshuttle.se.com/WF_PAGES/WorkFlowTaskUpdate.aspx?v1=WF1764238" TargetMode="External"/><Relationship Id="rId315" Type="http://schemas.openxmlformats.org/officeDocument/2006/relationships/hyperlink" Target="https://oneshuttle.se.com/WF_PAGES/WorkFlowTaskUpdate.aspx?v1=WF1801636" TargetMode="External"/><Relationship Id="rId357" Type="http://schemas.openxmlformats.org/officeDocument/2006/relationships/hyperlink" Target="https://oneshuttle.se.com/WF_PAGES/WorkFlowTaskUpdate.aspx?v1=WF1810695" TargetMode="External"/><Relationship Id="rId54" Type="http://schemas.openxmlformats.org/officeDocument/2006/relationships/hyperlink" Target="https://oneshuttle.se.com/WF_PAGES/WorkFlowTaskUpdate.aspx?v1=WF1757849" TargetMode="External"/><Relationship Id="rId96" Type="http://schemas.openxmlformats.org/officeDocument/2006/relationships/hyperlink" Target="https://oneshuttle.se.com/WF_PAGES/WorkFlowTaskUpdate.aspx?v1=WF1763017" TargetMode="External"/><Relationship Id="rId161" Type="http://schemas.openxmlformats.org/officeDocument/2006/relationships/hyperlink" Target="https://oneshuttle.se.com/WF_PAGES/WorkFlowTaskUpdate.aspx?v1=WF1775890" TargetMode="External"/><Relationship Id="rId217" Type="http://schemas.openxmlformats.org/officeDocument/2006/relationships/hyperlink" Target="https://oneshuttle.se.com/WF_PAGES/WorkFlowTaskUpdate.aspx?v1=WF1783445" TargetMode="External"/><Relationship Id="rId399" Type="http://schemas.openxmlformats.org/officeDocument/2006/relationships/hyperlink" Target="https://oneshuttle.se.com/WF_PAGES/WorkFlowTaskUpdate.aspx?v1=WF1819913" TargetMode="External"/><Relationship Id="rId259" Type="http://schemas.openxmlformats.org/officeDocument/2006/relationships/hyperlink" Target="https://oneshuttle.se.com/WF_PAGES/WorkFlowTaskUpdate.aspx?v1=WF1790597" TargetMode="External"/><Relationship Id="rId424" Type="http://schemas.openxmlformats.org/officeDocument/2006/relationships/hyperlink" Target="https://oneshuttle.se.com/WF_PAGES/WorkFlowTaskUpdate.aspx?v1=WF1822810" TargetMode="External"/><Relationship Id="rId466" Type="http://schemas.openxmlformats.org/officeDocument/2006/relationships/hyperlink" Target="https://oneshuttle.se.com/WF_PAGES/WorkFlowTaskUpdate.aspx?v1=WF1827155" TargetMode="External"/><Relationship Id="rId23" Type="http://schemas.openxmlformats.org/officeDocument/2006/relationships/hyperlink" Target="https://oneshuttle.se.com/WF_PAGES/WorkFlowTaskUpdate.aspx?v1=WF1751253" TargetMode="External"/><Relationship Id="rId119" Type="http://schemas.openxmlformats.org/officeDocument/2006/relationships/hyperlink" Target="https://oneshuttle.se.com/WF_PAGES/WorkFlowTaskUpdate.aspx?v1=WF1765340" TargetMode="External"/><Relationship Id="rId270" Type="http://schemas.openxmlformats.org/officeDocument/2006/relationships/hyperlink" Target="https://oneshuttle.se.com/WF_PAGES/WorkFlowTaskUpdate.aspx?v1=WF1792636" TargetMode="External"/><Relationship Id="rId326" Type="http://schemas.openxmlformats.org/officeDocument/2006/relationships/hyperlink" Target="https://oneshuttle.se.com/WF_PAGES/WorkFlowTaskUpdate.aspx?v1=WF1803393" TargetMode="External"/><Relationship Id="rId65" Type="http://schemas.openxmlformats.org/officeDocument/2006/relationships/hyperlink" Target="https://oneshuttle.se.com/WF_PAGES/WorkFlowTaskUpdate.aspx?v1=WF1757841" TargetMode="External"/><Relationship Id="rId130" Type="http://schemas.openxmlformats.org/officeDocument/2006/relationships/hyperlink" Target="https://oneshuttle.se.com/WF_PAGES/WorkFlowTaskUpdate.aspx?v1=WF1767157" TargetMode="External"/><Relationship Id="rId368" Type="http://schemas.openxmlformats.org/officeDocument/2006/relationships/hyperlink" Target="https://oneshuttle.se.com/WF_PAGES/WorkFlowTaskUpdate.aspx?v1=WF1815036" TargetMode="External"/><Relationship Id="rId172" Type="http://schemas.openxmlformats.org/officeDocument/2006/relationships/hyperlink" Target="https://oneshuttle.se.com/WF_PAGES/WorkFlowTaskUpdate.aspx?v1=WF1776462" TargetMode="External"/><Relationship Id="rId228" Type="http://schemas.openxmlformats.org/officeDocument/2006/relationships/hyperlink" Target="https://oneshuttle.se.com/WF_PAGES/WorkFlowTaskUpdate.aspx?v1=WF1786486" TargetMode="External"/><Relationship Id="rId435" Type="http://schemas.openxmlformats.org/officeDocument/2006/relationships/hyperlink" Target="https://oneshuttle.se.com/WF_PAGES/WorkFlowTaskUpdate.aspx?v1=WF1824081" TargetMode="External"/><Relationship Id="rId477" Type="http://schemas.openxmlformats.org/officeDocument/2006/relationships/hyperlink" Target="https://oneshuttle.se.com/WF_PAGES/WorkFlowTaskUpdate.aspx?v1=WF1829111" TargetMode="External"/><Relationship Id="rId281" Type="http://schemas.openxmlformats.org/officeDocument/2006/relationships/hyperlink" Target="https://oneshuttle.se.com/WF_PAGES/WorkFlowTaskUpdate.aspx?v1=WF1794198" TargetMode="External"/><Relationship Id="rId337" Type="http://schemas.openxmlformats.org/officeDocument/2006/relationships/hyperlink" Target="https://oneshuttle.se.com/WF_PAGES/WorkFlowTaskUpdate.aspx?v1=WF1805075" TargetMode="External"/><Relationship Id="rId502" Type="http://schemas.openxmlformats.org/officeDocument/2006/relationships/hyperlink" Target="https://oneshuttle.se.com/WF_PAGES/WorkFlowTaskUpdate.aspx?v1=WF1832921" TargetMode="External"/><Relationship Id="rId34" Type="http://schemas.openxmlformats.org/officeDocument/2006/relationships/hyperlink" Target="https://oneshuttle.se.com/WF_PAGES/WorkFlowTaskUpdate.aspx?v1=WF1754205" TargetMode="External"/><Relationship Id="rId76" Type="http://schemas.openxmlformats.org/officeDocument/2006/relationships/hyperlink" Target="https://oneshuttle.se.com/WF_PAGES/WorkFlowTaskUpdate.aspx?v1=WF1759378" TargetMode="External"/><Relationship Id="rId141" Type="http://schemas.openxmlformats.org/officeDocument/2006/relationships/hyperlink" Target="https://oneshuttle.se.com/WF_PAGES/WorkFlowTaskUpdate.aspx?v1=WF1769097" TargetMode="External"/><Relationship Id="rId379" Type="http://schemas.openxmlformats.org/officeDocument/2006/relationships/hyperlink" Target="https://oneshuttle.se.com/WF_PAGES/WorkFlowTaskUpdate.aspx?v1=WF1816745" TargetMode="External"/><Relationship Id="rId7" Type="http://schemas.openxmlformats.org/officeDocument/2006/relationships/hyperlink" Target="https://oneshuttle.se.com/WF_PAGES/WorkFlowTaskUpdate.aspx?v1=WF1749869" TargetMode="External"/><Relationship Id="rId183" Type="http://schemas.openxmlformats.org/officeDocument/2006/relationships/hyperlink" Target="https://oneshuttle.se.com/WF_PAGES/WorkFlowTaskUpdate.aspx?v1=WF1777521" TargetMode="External"/><Relationship Id="rId239" Type="http://schemas.openxmlformats.org/officeDocument/2006/relationships/hyperlink" Target="https://oneshuttle.se.com/WF_PAGES/WorkFlowTaskUpdate.aspx?v1=WF1779165" TargetMode="External"/><Relationship Id="rId390" Type="http://schemas.openxmlformats.org/officeDocument/2006/relationships/hyperlink" Target="https://oneshuttle.se.com/WF_PAGES/WorkFlowTaskUpdate.aspx?v1=WF1819210" TargetMode="External"/><Relationship Id="rId404" Type="http://schemas.openxmlformats.org/officeDocument/2006/relationships/hyperlink" Target="https://oneshuttle.se.com/WF_PAGES/WorkFlowTaskUpdate.aspx?v1=WF1820616" TargetMode="External"/><Relationship Id="rId446" Type="http://schemas.openxmlformats.org/officeDocument/2006/relationships/hyperlink" Target="https://oneshuttle.se.com/WF_PAGES/WorkFlowTaskUpdate.aspx?v1=WF1825447" TargetMode="External"/><Relationship Id="rId250" Type="http://schemas.openxmlformats.org/officeDocument/2006/relationships/hyperlink" Target="https://oneshuttle.se.com/WF_PAGES/WorkFlowTaskUpdate.aspx?v1=WF1789788" TargetMode="External"/><Relationship Id="rId292" Type="http://schemas.openxmlformats.org/officeDocument/2006/relationships/hyperlink" Target="https://oneshuttle.se.com/WF_PAGES/WorkFlowTaskUpdate.aspx?v1=WF1795986" TargetMode="External"/><Relationship Id="rId306" Type="http://schemas.openxmlformats.org/officeDocument/2006/relationships/hyperlink" Target="https://oneshuttle.se.com/WF_PAGES/WorkFlowTaskUpdate.aspx?v1=WF1799173" TargetMode="External"/><Relationship Id="rId488" Type="http://schemas.openxmlformats.org/officeDocument/2006/relationships/hyperlink" Target="https://oneshuttle.se.com/WF_PAGES/WorkFlowTaskUpdate.aspx?v1=WF1830776" TargetMode="External"/><Relationship Id="rId45" Type="http://schemas.openxmlformats.org/officeDocument/2006/relationships/hyperlink" Target="https://oneshuttle.se.com/WF_PAGES/WorkFlowTaskUpdate.aspx?v1=WF1757153" TargetMode="External"/><Relationship Id="rId87" Type="http://schemas.openxmlformats.org/officeDocument/2006/relationships/hyperlink" Target="https://oneshuttle.se.com/WF_PAGES/WorkFlowTaskUpdate.aspx?v1=WF1762078" TargetMode="External"/><Relationship Id="rId110" Type="http://schemas.openxmlformats.org/officeDocument/2006/relationships/hyperlink" Target="https://oneshuttle.se.com/WF_PAGES/WorkFlowTaskUpdate.aspx?v1=WF1764231" TargetMode="External"/><Relationship Id="rId348" Type="http://schemas.openxmlformats.org/officeDocument/2006/relationships/hyperlink" Target="https://oneshuttle.se.com/WF_PAGES/WorkFlowTaskUpdate.aspx?v1=WF1807192" TargetMode="External"/><Relationship Id="rId513" Type="http://schemas.microsoft.com/office/2019/04/relationships/namedSheetView" Target="../namedSheetViews/namedSheetView2.xml"/><Relationship Id="rId152" Type="http://schemas.openxmlformats.org/officeDocument/2006/relationships/hyperlink" Target="https://oneshuttle.se.com/WF_PAGES/WorkFlowTaskUpdate.aspx?v1=WF1773191" TargetMode="External"/><Relationship Id="rId194" Type="http://schemas.openxmlformats.org/officeDocument/2006/relationships/hyperlink" Target="https://oneshuttle.se.com/WF_PAGES/WorkFlowTaskUpdate.aspx?v1=WF1764182" TargetMode="External"/><Relationship Id="rId208" Type="http://schemas.openxmlformats.org/officeDocument/2006/relationships/hyperlink" Target="https://oneshuttle.se.com/WF_PAGES/WorkFlowTaskUpdate.aspx?v1=WF1781485" TargetMode="External"/><Relationship Id="rId415" Type="http://schemas.openxmlformats.org/officeDocument/2006/relationships/hyperlink" Target="https://oneshuttle.se.com/WF_PAGES/WorkFlowTaskUpdate.aspx?v1=WF1821779" TargetMode="External"/><Relationship Id="rId457" Type="http://schemas.openxmlformats.org/officeDocument/2006/relationships/hyperlink" Target="https://oneshuttle.se.com/WF_PAGES/WorkFlowTaskUpdate.aspx?v1=WF1826955" TargetMode="External"/><Relationship Id="rId261" Type="http://schemas.openxmlformats.org/officeDocument/2006/relationships/hyperlink" Target="https://oneshuttle.se.com/WF_PAGES/WorkFlowTaskUpdate.aspx?v1=WF1791221" TargetMode="External"/><Relationship Id="rId499" Type="http://schemas.openxmlformats.org/officeDocument/2006/relationships/hyperlink" Target="https://oneshuttle.se.com/WF_PAGES/WorkFlowTaskUpdate.aspx?v1=WF1832612" TargetMode="External"/><Relationship Id="rId14" Type="http://schemas.openxmlformats.org/officeDocument/2006/relationships/hyperlink" Target="https://oneshuttle.se.com/WF_PAGES/WorkFlowTaskUpdate.aspx?v1=WF1750669" TargetMode="External"/><Relationship Id="rId56" Type="http://schemas.openxmlformats.org/officeDocument/2006/relationships/hyperlink" Target="https://oneshuttle.se.com/WF_PAGES/WorkFlowTaskUpdate.aspx?v1=WF1757880" TargetMode="External"/><Relationship Id="rId317" Type="http://schemas.openxmlformats.org/officeDocument/2006/relationships/hyperlink" Target="https://oneshuttle.se.com/WF_PAGES/WorkFlowTaskUpdate.aspx?v1=WF1802028" TargetMode="External"/><Relationship Id="rId359" Type="http://schemas.openxmlformats.org/officeDocument/2006/relationships/hyperlink" Target="https://oneshuttle.se.com/WF_PAGES/WorkFlowTaskUpdate.aspx?v1=WF1812731" TargetMode="External"/><Relationship Id="rId98" Type="http://schemas.openxmlformats.org/officeDocument/2006/relationships/hyperlink" Target="https://oneshuttle.se.com/WF_PAGES/WorkFlowTaskUpdate.aspx?v1=WF1762945" TargetMode="External"/><Relationship Id="rId121" Type="http://schemas.openxmlformats.org/officeDocument/2006/relationships/hyperlink" Target="https://oneshuttle.se.com/WF_PAGES/WorkFlowTaskUpdate.aspx?v1=WF1751267" TargetMode="External"/><Relationship Id="rId163" Type="http://schemas.openxmlformats.org/officeDocument/2006/relationships/hyperlink" Target="https://oneshuttle.se.com/WF_PAGES/WorkFlowTaskUpdate.aspx?v1=WF1775909" TargetMode="External"/><Relationship Id="rId219" Type="http://schemas.openxmlformats.org/officeDocument/2006/relationships/hyperlink" Target="https://oneshuttle.se.com/WF_PAGES/WorkFlowTaskUpdate.aspx?v1=WF1785225" TargetMode="External"/><Relationship Id="rId370" Type="http://schemas.openxmlformats.org/officeDocument/2006/relationships/hyperlink" Target="https://oneshuttle.se.com/WF_PAGES/WorkFlowTaskUpdate.aspx?v1=WF1815038" TargetMode="External"/><Relationship Id="rId426" Type="http://schemas.openxmlformats.org/officeDocument/2006/relationships/hyperlink" Target="https://oneshuttle.se.com/WF_PAGES/WorkFlowTaskUpdate.aspx?v1=WF1823455" TargetMode="External"/><Relationship Id="rId230" Type="http://schemas.openxmlformats.org/officeDocument/2006/relationships/hyperlink" Target="https://oneshuttle.se.com/WF_PAGES/WorkFlowTaskUpdate.aspx?v1=WF1786894" TargetMode="External"/><Relationship Id="rId468" Type="http://schemas.openxmlformats.org/officeDocument/2006/relationships/hyperlink" Target="https://oneshuttle.se.com/WF_PAGES/WorkFlowTaskUpdate.aspx?v1=WF1827690" TargetMode="External"/><Relationship Id="rId25" Type="http://schemas.openxmlformats.org/officeDocument/2006/relationships/hyperlink" Target="https://oneshuttle.se.com/WF_PAGES/WorkFlowTaskUpdate.aspx?v1=WF1751258" TargetMode="External"/><Relationship Id="rId67" Type="http://schemas.openxmlformats.org/officeDocument/2006/relationships/hyperlink" Target="https://oneshuttle.se.com/WF_PAGES/WorkFlowTaskUpdate.aspx?v1=WF1757856" TargetMode="External"/><Relationship Id="rId272" Type="http://schemas.openxmlformats.org/officeDocument/2006/relationships/hyperlink" Target="https://oneshuttle.se.com/WF_PAGES/WorkFlowTaskUpdate.aspx?v1=WF1792878" TargetMode="External"/><Relationship Id="rId328" Type="http://schemas.openxmlformats.org/officeDocument/2006/relationships/hyperlink" Target="https://oneshuttle.se.com/WF_PAGES/WorkFlowTaskUpdate.aspx?v1=WF1803401" TargetMode="External"/><Relationship Id="rId132" Type="http://schemas.openxmlformats.org/officeDocument/2006/relationships/hyperlink" Target="https://oneshuttle.se.com/WF_PAGES/WorkFlowTaskUpdate.aspx?v1=WF1767217" TargetMode="External"/><Relationship Id="rId174" Type="http://schemas.openxmlformats.org/officeDocument/2006/relationships/hyperlink" Target="https://oneshuttle.se.com/WF_PAGES/WorkFlowTaskUpdate.aspx?v1=WF1774367" TargetMode="External"/><Relationship Id="rId381" Type="http://schemas.openxmlformats.org/officeDocument/2006/relationships/hyperlink" Target="https://oneshuttle.se.com/WF_PAGES/WorkFlowTaskUpdate.aspx?v1=WF1817252" TargetMode="External"/><Relationship Id="rId241" Type="http://schemas.openxmlformats.org/officeDocument/2006/relationships/hyperlink" Target="https://oneshuttle.se.com/WF_PAGES/WorkFlowTaskUpdate.aspx?v1=WF1779671" TargetMode="External"/><Relationship Id="rId437" Type="http://schemas.openxmlformats.org/officeDocument/2006/relationships/hyperlink" Target="https://oneshuttle.se.com/WF_PAGES/WorkFlowTaskUpdate.aspx?v1=WF1824092" TargetMode="External"/><Relationship Id="rId479" Type="http://schemas.openxmlformats.org/officeDocument/2006/relationships/hyperlink" Target="https://oneshuttle.se.com/WF_PAGES/WorkFlowTaskUpdate.aspx?v1=WF1828546" TargetMode="External"/><Relationship Id="rId36" Type="http://schemas.openxmlformats.org/officeDocument/2006/relationships/hyperlink" Target="https://oneshuttle.se.com/WF_PAGES/WorkFlowTaskUpdate.aspx?v1=WF1756153" TargetMode="External"/><Relationship Id="rId283" Type="http://schemas.openxmlformats.org/officeDocument/2006/relationships/hyperlink" Target="https://oneshuttle.se.com/WF_PAGES/WorkFlowTaskUpdate.aspx?v1=WF1794234" TargetMode="External"/><Relationship Id="rId339" Type="http://schemas.openxmlformats.org/officeDocument/2006/relationships/hyperlink" Target="https://oneshuttle.se.com/WF_PAGES/WorkFlowTaskUpdate.aspx?v1=WF1805186" TargetMode="External"/><Relationship Id="rId490" Type="http://schemas.openxmlformats.org/officeDocument/2006/relationships/hyperlink" Target="https://oneshuttle.se.com/WF_PAGES/WorkFlowTaskUpdate.aspx?v1=WF1831181" TargetMode="External"/><Relationship Id="rId504" Type="http://schemas.openxmlformats.org/officeDocument/2006/relationships/hyperlink" Target="https://oneshuttle.se.com/WF_PAGES/WorkFlowTaskUpdate.aspx?v1=WF1833299" TargetMode="External"/><Relationship Id="rId78" Type="http://schemas.openxmlformats.org/officeDocument/2006/relationships/hyperlink" Target="https://oneshuttle.se.com/WF_PAGES/WorkFlowTaskUpdate.aspx?v1=WF1760035" TargetMode="External"/><Relationship Id="rId101" Type="http://schemas.openxmlformats.org/officeDocument/2006/relationships/hyperlink" Target="https://oneshuttle.se.com/WF_PAGES/WorkFlowTaskUpdate.aspx?v1=WF1763481" TargetMode="External"/><Relationship Id="rId143" Type="http://schemas.openxmlformats.org/officeDocument/2006/relationships/hyperlink" Target="https://oneshuttle.se.com/WF_PAGES/WorkFlowTaskUpdate.aspx?v1=WF1769103" TargetMode="External"/><Relationship Id="rId185" Type="http://schemas.openxmlformats.org/officeDocument/2006/relationships/hyperlink" Target="https://oneshuttle.se.com/WF_PAGES/WorkFlowTaskUpdate.aspx?v1=WF1777619" TargetMode="External"/><Relationship Id="rId350" Type="http://schemas.openxmlformats.org/officeDocument/2006/relationships/hyperlink" Target="https://oneshuttle.se.com/WF_PAGES/WorkFlowTaskUpdate.aspx?v1=WF1806481" TargetMode="External"/><Relationship Id="rId406" Type="http://schemas.openxmlformats.org/officeDocument/2006/relationships/hyperlink" Target="https://oneshuttle.se.com/WF_PAGES/WorkFlowTaskUpdate.aspx?v1=WF1820618" TargetMode="External"/><Relationship Id="rId9" Type="http://schemas.openxmlformats.org/officeDocument/2006/relationships/hyperlink" Target="https://oneshuttle.se.com/WF_PAGES/WorkFlowTaskUpdate.aspx?v1=WF1749894" TargetMode="External"/><Relationship Id="rId210" Type="http://schemas.openxmlformats.org/officeDocument/2006/relationships/hyperlink" Target="https://oneshuttle.se.com/WF_PAGES/WorkFlowTaskUpdate.aspx?v1=WF1781872" TargetMode="External"/><Relationship Id="rId392" Type="http://schemas.openxmlformats.org/officeDocument/2006/relationships/hyperlink" Target="https://oneshuttle.se.com/WF_PAGES/WorkFlowTaskUpdate.aspx?v1=WF1819270" TargetMode="External"/><Relationship Id="rId448" Type="http://schemas.openxmlformats.org/officeDocument/2006/relationships/hyperlink" Target="https://oneshuttle.se.com/WF_PAGES/WorkFlowTaskUpdate.aspx?v1=WF1825521" TargetMode="External"/><Relationship Id="rId252" Type="http://schemas.openxmlformats.org/officeDocument/2006/relationships/hyperlink" Target="https://oneshuttle.se.com/WF_PAGES/WorkFlowTaskUpdate.aspx?v1=WF1789875" TargetMode="External"/><Relationship Id="rId294" Type="http://schemas.openxmlformats.org/officeDocument/2006/relationships/hyperlink" Target="https://oneshuttle.se.com/WF_PAGES/WorkFlowTaskUpdate.aspx?v1=WF1796605" TargetMode="External"/><Relationship Id="rId308" Type="http://schemas.openxmlformats.org/officeDocument/2006/relationships/hyperlink" Target="https://oneshuttle.se.com/WF_PAGES/WorkFlowTaskUpdate.aspx?v1=WF1792804" TargetMode="External"/><Relationship Id="rId47" Type="http://schemas.openxmlformats.org/officeDocument/2006/relationships/hyperlink" Target="https://oneshuttle.se.com/WF_PAGES/WorkFlowTaskUpdate.aspx?v1=WF1757179" TargetMode="External"/><Relationship Id="rId89" Type="http://schemas.openxmlformats.org/officeDocument/2006/relationships/hyperlink" Target="https://oneshuttle.se.com/WF_PAGES/WorkFlowTaskUpdate.aspx?v1=WF1762112" TargetMode="External"/><Relationship Id="rId112" Type="http://schemas.openxmlformats.org/officeDocument/2006/relationships/hyperlink" Target="https://oneshuttle.se.com/WF_PAGES/WorkFlowTaskUpdate.aspx?v1=WF1764643" TargetMode="External"/><Relationship Id="rId154" Type="http://schemas.openxmlformats.org/officeDocument/2006/relationships/hyperlink" Target="https://oneshuttle.se.com/WF_PAGES/WorkFlowTaskUpdate.aspx?v1=WF1775167" TargetMode="External"/><Relationship Id="rId361" Type="http://schemas.openxmlformats.org/officeDocument/2006/relationships/hyperlink" Target="https://oneshuttle.se.com/WF_PAGES/WorkFlowTaskUpdate.aspx?v1=WF1814058" TargetMode="External"/><Relationship Id="rId196" Type="http://schemas.openxmlformats.org/officeDocument/2006/relationships/hyperlink" Target="https://oneshuttle.se.com/WF_PAGES/WorkFlowTaskUpdate.aspx?v1=WF1779687" TargetMode="External"/><Relationship Id="rId417" Type="http://schemas.openxmlformats.org/officeDocument/2006/relationships/hyperlink" Target="https://oneshuttle.se.com/WF_PAGES/WorkFlowTaskUpdate.aspx?v1=WF1821837" TargetMode="External"/><Relationship Id="rId459" Type="http://schemas.openxmlformats.org/officeDocument/2006/relationships/hyperlink" Target="https://oneshuttle.se.com/WF_PAGES/WorkFlowTaskUpdate.aspx?v1=WF1827035" TargetMode="External"/><Relationship Id="rId16" Type="http://schemas.openxmlformats.org/officeDocument/2006/relationships/hyperlink" Target="https://oneshuttle.se.com/WF_PAGES/WorkFlowTaskUpdate.aspx?v1=WF1751144" TargetMode="External"/><Relationship Id="rId221" Type="http://schemas.openxmlformats.org/officeDocument/2006/relationships/hyperlink" Target="https://oneshuttle.se.com/WF_PAGES/WorkFlowTaskUpdate.aspx?v1=WF1785827" TargetMode="External"/><Relationship Id="rId263" Type="http://schemas.openxmlformats.org/officeDocument/2006/relationships/hyperlink" Target="https://oneshuttle.se.com/WF_PAGES/WorkFlowTaskUpdate.aspx?v1=WF1791343" TargetMode="External"/><Relationship Id="rId319" Type="http://schemas.openxmlformats.org/officeDocument/2006/relationships/hyperlink" Target="https://oneshuttle.se.com/WF_PAGES/WorkFlowTaskUpdate.aspx?v1=WF1802512" TargetMode="External"/><Relationship Id="rId470" Type="http://schemas.openxmlformats.org/officeDocument/2006/relationships/hyperlink" Target="https://oneshuttle.se.com/WF_PAGES/WorkFlowTaskUpdate.aspx?v1=WF1827854" TargetMode="External"/><Relationship Id="rId58" Type="http://schemas.openxmlformats.org/officeDocument/2006/relationships/hyperlink" Target="https://oneshuttle.se.com/WF_PAGES/WorkFlowTaskUpdate.aspx?v1=WF1757876" TargetMode="External"/><Relationship Id="rId123" Type="http://schemas.openxmlformats.org/officeDocument/2006/relationships/hyperlink" Target="https://oneshuttle.se.com/WF_PAGES/WorkFlowTaskUpdate.aspx?v1=WF1765921" TargetMode="External"/><Relationship Id="rId330" Type="http://schemas.openxmlformats.org/officeDocument/2006/relationships/hyperlink" Target="https://oneshuttle.se.com/WF_PAGES/WorkFlowTaskUpdate.aspx?v1=WF1803903" TargetMode="External"/><Relationship Id="rId165" Type="http://schemas.openxmlformats.org/officeDocument/2006/relationships/hyperlink" Target="https://oneshuttle.se.com/WF_PAGES/WorkFlowTaskUpdate.aspx?v1=WF1775913" TargetMode="External"/><Relationship Id="rId372" Type="http://schemas.openxmlformats.org/officeDocument/2006/relationships/hyperlink" Target="https://oneshuttle.se.com/WF_PAGES/WorkFlowTaskUpdate.aspx?v1=WF1815649" TargetMode="External"/><Relationship Id="rId428" Type="http://schemas.openxmlformats.org/officeDocument/2006/relationships/hyperlink" Target="https://oneshuttle.se.com/WF_PAGES/WorkFlowTaskUpdate.aspx?v1=WF1823506" TargetMode="External"/><Relationship Id="rId232" Type="http://schemas.openxmlformats.org/officeDocument/2006/relationships/hyperlink" Target="https://oneshuttle.se.com/WF_PAGES/WorkFlowTaskUpdate.aspx?v1=WF1787536" TargetMode="External"/><Relationship Id="rId274" Type="http://schemas.openxmlformats.org/officeDocument/2006/relationships/hyperlink" Target="https://oneshuttle.se.com/WF_PAGES/WorkFlowTaskUpdate.aspx?v1=WF1793556" TargetMode="External"/><Relationship Id="rId481" Type="http://schemas.openxmlformats.org/officeDocument/2006/relationships/hyperlink" Target="https://oneshuttle.se.com/WF_PAGES/WorkFlowTaskUpdate.aspx?v1=WF1829949" TargetMode="External"/><Relationship Id="rId27" Type="http://schemas.openxmlformats.org/officeDocument/2006/relationships/hyperlink" Target="https://oneshuttle.se.com/WF_PAGES/WorkFlowTaskUpdate.aspx?v1=WF1751263" TargetMode="External"/><Relationship Id="rId69" Type="http://schemas.openxmlformats.org/officeDocument/2006/relationships/hyperlink" Target="https://oneshuttle.se.com/WF_PAGES/WorkFlowTaskUpdate.aspx?v1=WF1757847" TargetMode="External"/><Relationship Id="rId134" Type="http://schemas.openxmlformats.org/officeDocument/2006/relationships/hyperlink" Target="https://oneshuttle.se.com/WF_PAGES/WorkFlowTaskUpdate.aspx?v1=WF1766499" TargetMode="External"/><Relationship Id="rId80" Type="http://schemas.openxmlformats.org/officeDocument/2006/relationships/hyperlink" Target="https://oneshuttle.se.com/WF_PAGES/WorkFlowTaskUpdate.aspx?v1=WF1760055" TargetMode="External"/><Relationship Id="rId176" Type="http://schemas.openxmlformats.org/officeDocument/2006/relationships/hyperlink" Target="https://oneshuttle.se.com/WF_PAGES/WorkFlowTaskUpdate.aspx?v1=WF1774444" TargetMode="External"/><Relationship Id="rId341" Type="http://schemas.openxmlformats.org/officeDocument/2006/relationships/hyperlink" Target="https://oneshuttle.se.com/WF_PAGES/WorkFlowTaskUpdate.aspx?v1=WF1805700" TargetMode="External"/><Relationship Id="rId383" Type="http://schemas.openxmlformats.org/officeDocument/2006/relationships/hyperlink" Target="https://oneshuttle.se.com/WF_PAGES/WorkFlowTaskUpdate.aspx?v1=WF1817261" TargetMode="External"/><Relationship Id="rId439" Type="http://schemas.openxmlformats.org/officeDocument/2006/relationships/hyperlink" Target="https://oneshuttle.se.com/WF_PAGES/WorkFlowTaskUpdate.aspx?v1=WF1823970" TargetMode="External"/><Relationship Id="rId201" Type="http://schemas.openxmlformats.org/officeDocument/2006/relationships/hyperlink" Target="https://oneshuttle.se.com/WF_PAGES/WorkFlowTaskUpdate.aspx?v1=WF1780466" TargetMode="External"/><Relationship Id="rId243" Type="http://schemas.openxmlformats.org/officeDocument/2006/relationships/hyperlink" Target="https://oneshuttle.se.com/WF_PAGES/WorkFlowTaskUpdate.aspx?v1=WF1787249" TargetMode="External"/><Relationship Id="rId285" Type="http://schemas.openxmlformats.org/officeDocument/2006/relationships/hyperlink" Target="https://oneshuttle.se.com/WF_PAGES/WorkFlowTaskUpdate.aspx?v1=WF1794662" TargetMode="External"/><Relationship Id="rId450" Type="http://schemas.openxmlformats.org/officeDocument/2006/relationships/hyperlink" Target="https://oneshuttle.se.com/WF_PAGES/WorkFlowTaskUpdate.aspx?v1=WF1824069" TargetMode="External"/><Relationship Id="rId506" Type="http://schemas.openxmlformats.org/officeDocument/2006/relationships/hyperlink" Target="https://oneshuttle.se.com/WF_PAGES/WorkFlowTaskUpdate.aspx?v1=WF1833904" TargetMode="External"/><Relationship Id="rId38" Type="http://schemas.openxmlformats.org/officeDocument/2006/relationships/hyperlink" Target="https://oneshuttle.se.com/WF_PAGES/WorkFlowTaskUpdate.aspx?v1=WF1756603" TargetMode="External"/><Relationship Id="rId103" Type="http://schemas.openxmlformats.org/officeDocument/2006/relationships/hyperlink" Target="https://oneshuttle.se.com/WF_PAGES/WorkFlowTaskUpdate.aspx?v1=WF1763609" TargetMode="External"/><Relationship Id="rId310" Type="http://schemas.openxmlformats.org/officeDocument/2006/relationships/hyperlink" Target="https://oneshuttle.se.com/WF_PAGES/WorkFlowTaskUpdate.aspx?v1=WF1799830" TargetMode="External"/><Relationship Id="rId492" Type="http://schemas.openxmlformats.org/officeDocument/2006/relationships/hyperlink" Target="https://oneshuttle.se.com/WF_PAGES/WorkFlowTaskUpdate.aspx?v1=WF1832207" TargetMode="External"/><Relationship Id="rId91" Type="http://schemas.openxmlformats.org/officeDocument/2006/relationships/hyperlink" Target="https://oneshuttle.se.com/WF_PAGES/WorkFlowTaskUpdate.aspx?v1=WF1762157" TargetMode="External"/><Relationship Id="rId145" Type="http://schemas.openxmlformats.org/officeDocument/2006/relationships/hyperlink" Target="https://oneshuttle.se.com/WF_PAGES/WorkFlowTaskUpdate.aspx?v1=WF1769697" TargetMode="External"/><Relationship Id="rId187" Type="http://schemas.openxmlformats.org/officeDocument/2006/relationships/hyperlink" Target="https://oneshuttle.se.com/WF_PAGES/WorkFlowTaskUpdate.aspx?v1=WF1778288" TargetMode="External"/><Relationship Id="rId352" Type="http://schemas.openxmlformats.org/officeDocument/2006/relationships/hyperlink" Target="https://oneshuttle.se.com/WF_PAGES/WorkFlowTaskUpdate.aspx?v1=WF1808503" TargetMode="External"/><Relationship Id="rId394" Type="http://schemas.openxmlformats.org/officeDocument/2006/relationships/hyperlink" Target="https://oneshuttle.se.com/WF_PAGES/WorkFlowTaskUpdate.aspx?v1=WF1819360" TargetMode="External"/><Relationship Id="rId408" Type="http://schemas.openxmlformats.org/officeDocument/2006/relationships/hyperlink" Target="https://oneshuttle.se.com/WF_PAGES/WorkFlowTaskUpdate.aspx?v1=WF1821083" TargetMode="External"/><Relationship Id="rId212" Type="http://schemas.openxmlformats.org/officeDocument/2006/relationships/hyperlink" Target="https://oneshuttle.se.com/WF_PAGES/WorkFlowTaskUpdate.aspx?v1=WF1782413" TargetMode="External"/><Relationship Id="rId254" Type="http://schemas.openxmlformats.org/officeDocument/2006/relationships/hyperlink" Target="https://oneshuttle.se.com/WF_PAGES/WorkFlowTaskUpdate.aspx?v1=WF1790023" TargetMode="External"/><Relationship Id="rId49" Type="http://schemas.openxmlformats.org/officeDocument/2006/relationships/hyperlink" Target="https://oneshuttle.se.com/WF_PAGES/WorkFlowTaskUpdate.aspx?v1=WF1757799" TargetMode="External"/><Relationship Id="rId114" Type="http://schemas.openxmlformats.org/officeDocument/2006/relationships/hyperlink" Target="https://oneshuttle.se.com/WF_PAGES/WorkFlowTaskUpdate.aspx?v1=WF1761987" TargetMode="External"/><Relationship Id="rId296" Type="http://schemas.openxmlformats.org/officeDocument/2006/relationships/hyperlink" Target="https://oneshuttle.se.com/WF_PAGES/WorkFlowTaskUpdate.aspx?v1=WF1796617" TargetMode="External"/><Relationship Id="rId461" Type="http://schemas.openxmlformats.org/officeDocument/2006/relationships/hyperlink" Target="https://oneshuttle.se.com/WF_PAGES/WorkFlowTaskUpdate.aspx?v1=WF1827053" TargetMode="External"/><Relationship Id="rId60" Type="http://schemas.openxmlformats.org/officeDocument/2006/relationships/hyperlink" Target="https://oneshuttle.se.com/WF_PAGES/WorkFlowTaskUpdate.aspx?v1=WF1757861" TargetMode="External"/><Relationship Id="rId156" Type="http://schemas.openxmlformats.org/officeDocument/2006/relationships/hyperlink" Target="https://oneshuttle.se.com/WF_PAGES/WorkFlowTaskUpdate.aspx?v1=WF1775087" TargetMode="External"/><Relationship Id="rId198" Type="http://schemas.openxmlformats.org/officeDocument/2006/relationships/hyperlink" Target="https://oneshuttle.se.com/WF_PAGES/WorkFlowTaskUpdate.aspx?v1=WF1779839" TargetMode="External"/><Relationship Id="rId321" Type="http://schemas.openxmlformats.org/officeDocument/2006/relationships/hyperlink" Target="https://oneshuttle.se.com/WF_PAGES/WorkFlowTaskUpdate.aspx?v1=WF1802529" TargetMode="External"/><Relationship Id="rId363" Type="http://schemas.openxmlformats.org/officeDocument/2006/relationships/hyperlink" Target="https://oneshuttle.se.com/WF_PAGES/WorkFlowTaskUpdate.aspx?v1=WF1812732" TargetMode="External"/><Relationship Id="rId419" Type="http://schemas.openxmlformats.org/officeDocument/2006/relationships/hyperlink" Target="https://oneshuttle.se.com/WF_PAGES/WorkFlowTaskUpdate.aspx?v1=WF1821894" TargetMode="External"/><Relationship Id="rId223" Type="http://schemas.openxmlformats.org/officeDocument/2006/relationships/hyperlink" Target="https://oneshuttle.se.com/WF_PAGES/WorkFlowTaskUpdate.aspx?v1=WF1785862" TargetMode="External"/><Relationship Id="rId430" Type="http://schemas.openxmlformats.org/officeDocument/2006/relationships/hyperlink" Target="https://oneshuttle.se.com/WF_PAGES/WorkFlowTaskUpdate.aspx?v1=WF1821773" TargetMode="External"/><Relationship Id="rId18" Type="http://schemas.openxmlformats.org/officeDocument/2006/relationships/hyperlink" Target="https://oneshuttle.se.com/WF_PAGES/WorkFlowTaskUpdate.aspx?v1=WF1751222" TargetMode="External"/><Relationship Id="rId265" Type="http://schemas.openxmlformats.org/officeDocument/2006/relationships/hyperlink" Target="https://oneshuttle.se.com/WF_PAGES/WorkFlowTaskUpdate.aspx?v1=WF1789969" TargetMode="External"/><Relationship Id="rId472" Type="http://schemas.openxmlformats.org/officeDocument/2006/relationships/hyperlink" Target="https://oneshuttle.se.com/WF_PAGES/WorkFlowTaskUpdate.aspx?v1=WF1828484" TargetMode="External"/><Relationship Id="rId125" Type="http://schemas.openxmlformats.org/officeDocument/2006/relationships/hyperlink" Target="https://oneshuttle.se.com/WF_PAGES/WorkFlowTaskUpdate.aspx?v1=WF1766612" TargetMode="External"/><Relationship Id="rId167" Type="http://schemas.openxmlformats.org/officeDocument/2006/relationships/hyperlink" Target="https://oneshuttle.se.com/WF_PAGES/WorkFlowTaskUpdate.aspx?v1=WF1775950" TargetMode="External"/><Relationship Id="rId332" Type="http://schemas.openxmlformats.org/officeDocument/2006/relationships/hyperlink" Target="https://oneshuttle.se.com/WF_PAGES/WorkFlowTaskUpdate.aspx?v1=WF1804277" TargetMode="External"/><Relationship Id="rId374" Type="http://schemas.openxmlformats.org/officeDocument/2006/relationships/hyperlink" Target="https://oneshuttle.se.com/WF_PAGES/WorkFlowTaskUpdate.aspx?v1=WF1815776" TargetMode="External"/><Relationship Id="rId71" Type="http://schemas.openxmlformats.org/officeDocument/2006/relationships/hyperlink" Target="https://oneshuttle.se.com/WF_PAGES/WorkFlowTaskUpdate.aspx?v1=WF1756385" TargetMode="External"/><Relationship Id="rId234" Type="http://schemas.openxmlformats.org/officeDocument/2006/relationships/hyperlink" Target="https://oneshuttle.se.com/WF_PAGES/WorkFlowTaskUpdate.aspx?v1=WF1787889" TargetMode="External"/><Relationship Id="rId2" Type="http://schemas.openxmlformats.org/officeDocument/2006/relationships/hyperlink" Target="https://oneshuttle.se.com/WF_PAGES/WorkFlowTaskUpdate.aspx?v1=WF1742958" TargetMode="External"/><Relationship Id="rId29" Type="http://schemas.openxmlformats.org/officeDocument/2006/relationships/hyperlink" Target="https://oneshuttle.se.com/WF_PAGES/WorkFlowTaskUpdate.aspx?v1=WF1751293" TargetMode="External"/><Relationship Id="rId276" Type="http://schemas.openxmlformats.org/officeDocument/2006/relationships/hyperlink" Target="https://oneshuttle.se.com/WF_PAGES/WorkFlowTaskUpdate.aspx?v1=WF1793584" TargetMode="External"/><Relationship Id="rId441" Type="http://schemas.openxmlformats.org/officeDocument/2006/relationships/hyperlink" Target="https://oneshuttle.se.com/WF_PAGES/WorkFlowTaskUpdate.aspx?v1=WF1824746" TargetMode="External"/><Relationship Id="rId483" Type="http://schemas.openxmlformats.org/officeDocument/2006/relationships/hyperlink" Target="https://oneshuttle.se.com/WF_PAGES/WorkFlowTaskUpdate.aspx?v1=WF1830011" TargetMode="External"/><Relationship Id="rId40" Type="http://schemas.openxmlformats.org/officeDocument/2006/relationships/hyperlink" Target="https://oneshuttle.se.com/WF_PAGES/WorkFlowTaskUpdate.aspx?v1=WF1756795" TargetMode="External"/><Relationship Id="rId136" Type="http://schemas.openxmlformats.org/officeDocument/2006/relationships/hyperlink" Target="https://oneshuttle.se.com/WF_PAGES/WorkFlowTaskUpdate.aspx?v1=WF1767492" TargetMode="External"/><Relationship Id="rId178" Type="http://schemas.openxmlformats.org/officeDocument/2006/relationships/hyperlink" Target="https://oneshuttle.se.com/WF_PAGES/WorkFlowTaskUpdate.aspx?v1=WF1776983" TargetMode="External"/><Relationship Id="rId301" Type="http://schemas.openxmlformats.org/officeDocument/2006/relationships/hyperlink" Target="https://oneshuttle.se.com/WF_PAGES/WorkFlowTaskUpdate.aspx?v1=WF1797108" TargetMode="External"/><Relationship Id="rId343" Type="http://schemas.openxmlformats.org/officeDocument/2006/relationships/hyperlink" Target="https://oneshuttle.se.com/WF_PAGES/WorkFlowTaskUpdate.aspx?v1=WF1803400" TargetMode="External"/><Relationship Id="rId82" Type="http://schemas.openxmlformats.org/officeDocument/2006/relationships/hyperlink" Target="https://oneshuttle.se.com/WF_PAGES/WorkFlowTaskUpdate.aspx?v1=WF1760605" TargetMode="External"/><Relationship Id="rId203" Type="http://schemas.openxmlformats.org/officeDocument/2006/relationships/hyperlink" Target="https://oneshuttle.se.com/WF_PAGES/WorkFlowTaskUpdate.aspx?v1=WF1780475" TargetMode="External"/><Relationship Id="rId385" Type="http://schemas.openxmlformats.org/officeDocument/2006/relationships/hyperlink" Target="https://oneshuttle.se.com/WF_PAGES/WorkFlowTaskUpdate.aspx?v1=WF1818518" TargetMode="External"/><Relationship Id="rId245" Type="http://schemas.openxmlformats.org/officeDocument/2006/relationships/hyperlink" Target="https://oneshuttle.se.com/WF_PAGES/WorkFlowTaskUpdate.aspx?v1=WF1787624" TargetMode="External"/><Relationship Id="rId287" Type="http://schemas.openxmlformats.org/officeDocument/2006/relationships/hyperlink" Target="https://oneshuttle.se.com/WF_PAGES/WorkFlowTaskUpdate.aspx?v1=WF1795795" TargetMode="External"/><Relationship Id="rId410" Type="http://schemas.openxmlformats.org/officeDocument/2006/relationships/hyperlink" Target="https://oneshuttle.se.com/WF_PAGES/WorkFlowTaskUpdate.aspx?v1=WF1820356" TargetMode="External"/><Relationship Id="rId452" Type="http://schemas.openxmlformats.org/officeDocument/2006/relationships/hyperlink" Target="https://oneshuttle.se.com/WF_PAGES/WorkFlowTaskUpdate.aspx?v1=WF1826493" TargetMode="External"/><Relationship Id="rId494" Type="http://schemas.openxmlformats.org/officeDocument/2006/relationships/hyperlink" Target="https://oneshuttle.se.com/WF_PAGES/WorkFlowTaskUpdate.aspx?v1=WF1832507" TargetMode="External"/><Relationship Id="rId508" Type="http://schemas.openxmlformats.org/officeDocument/2006/relationships/printerSettings" Target="../printerSettings/printerSettings3.bin"/><Relationship Id="rId105" Type="http://schemas.openxmlformats.org/officeDocument/2006/relationships/hyperlink" Target="https://oneshuttle.se.com/WF_PAGES/WorkFlowTaskUpdate.aspx?v1=WF1764090" TargetMode="External"/><Relationship Id="rId147" Type="http://schemas.openxmlformats.org/officeDocument/2006/relationships/hyperlink" Target="https://oneshuttle.se.com/WF_PAGES/WorkFlowTaskUpdate.aspx?v1=WF1771689" TargetMode="External"/><Relationship Id="rId312" Type="http://schemas.openxmlformats.org/officeDocument/2006/relationships/hyperlink" Target="https://oneshuttle.se.com/WF_PAGES/WorkFlowTaskUpdate.aspx?v1=WF1801057" TargetMode="External"/><Relationship Id="rId354" Type="http://schemas.openxmlformats.org/officeDocument/2006/relationships/hyperlink" Target="https://oneshuttle.se.com/WF_PAGES/WorkFlowTaskUpdate.aspx?v1=WF1809914" TargetMode="External"/><Relationship Id="rId51" Type="http://schemas.openxmlformats.org/officeDocument/2006/relationships/hyperlink" Target="https://oneshuttle.se.com/WF_PAGES/WorkFlowTaskUpdate.aspx?v1=WF1757818" TargetMode="External"/><Relationship Id="rId93" Type="http://schemas.openxmlformats.org/officeDocument/2006/relationships/hyperlink" Target="https://oneshuttle.se.com/WF_PAGES/WorkFlowTaskUpdate.aspx?v1=WF1762887" TargetMode="External"/><Relationship Id="rId189" Type="http://schemas.openxmlformats.org/officeDocument/2006/relationships/hyperlink" Target="https://oneshuttle.se.com/WF_PAGES/WorkFlowTaskUpdate.aspx?v1=WF1778312" TargetMode="External"/><Relationship Id="rId396" Type="http://schemas.openxmlformats.org/officeDocument/2006/relationships/hyperlink" Target="https://oneshuttle.se.com/WF_PAGES/WorkFlowTaskUpdate.aspx?v1=WF1819790" TargetMode="External"/><Relationship Id="rId214" Type="http://schemas.openxmlformats.org/officeDocument/2006/relationships/hyperlink" Target="https://oneshuttle.se.com/WF_PAGES/WorkFlowTaskUpdate.aspx?v1=WF1784326" TargetMode="External"/><Relationship Id="rId256" Type="http://schemas.openxmlformats.org/officeDocument/2006/relationships/hyperlink" Target="https://oneshuttle.se.com/WF_PAGES/WorkFlowTaskUpdate.aspx?v1=WF1790543" TargetMode="External"/><Relationship Id="rId298" Type="http://schemas.openxmlformats.org/officeDocument/2006/relationships/hyperlink" Target="https://oneshuttle.se.com/WF_PAGES/WorkFlowTaskUpdate.aspx?v1=WF1796649" TargetMode="External"/><Relationship Id="rId421" Type="http://schemas.openxmlformats.org/officeDocument/2006/relationships/hyperlink" Target="https://oneshuttle.se.com/WF_PAGES/WorkFlowTaskUpdate.aspx?v1=WF1822560" TargetMode="External"/><Relationship Id="rId463" Type="http://schemas.openxmlformats.org/officeDocument/2006/relationships/hyperlink" Target="https://oneshuttle.se.com/WF_PAGES/WorkFlowTaskUpdate.aspx?v1=WF1827056" TargetMode="External"/><Relationship Id="rId116" Type="http://schemas.openxmlformats.org/officeDocument/2006/relationships/hyperlink" Target="https://oneshuttle.se.com/WF_PAGES/WorkFlowTaskUpdate.aspx?v1=WF1765254" TargetMode="External"/><Relationship Id="rId158" Type="http://schemas.openxmlformats.org/officeDocument/2006/relationships/hyperlink" Target="https://oneshuttle.se.com/WF_PAGES/WorkFlowTaskUpdate.aspx?v1=WF1775291" TargetMode="External"/><Relationship Id="rId323" Type="http://schemas.openxmlformats.org/officeDocument/2006/relationships/hyperlink" Target="https://oneshuttle.se.com/WF_PAGES/WorkFlowTaskUpdate.aspx?v1=WF1802551" TargetMode="External"/><Relationship Id="rId20" Type="http://schemas.openxmlformats.org/officeDocument/2006/relationships/hyperlink" Target="https://oneshuttle.se.com/WF_PAGES/WorkFlowTaskUpdate.aspx?v1=WF1751244" TargetMode="External"/><Relationship Id="rId62" Type="http://schemas.openxmlformats.org/officeDocument/2006/relationships/hyperlink" Target="https://oneshuttle.se.com/WF_PAGES/WorkFlowTaskUpdate.aspx?v1=WF1760855" TargetMode="External"/><Relationship Id="rId365" Type="http://schemas.openxmlformats.org/officeDocument/2006/relationships/hyperlink" Target="https://oneshuttle.se.com/WF_PAGES/WorkFlowTaskUpdate.aspx?v1=WF1814234" TargetMode="External"/><Relationship Id="rId225" Type="http://schemas.openxmlformats.org/officeDocument/2006/relationships/hyperlink" Target="https://oneshuttle.se.com/WF_PAGES/WorkFlowTaskUpdate.aspx?v1=WF1783156" TargetMode="External"/><Relationship Id="rId267" Type="http://schemas.openxmlformats.org/officeDocument/2006/relationships/hyperlink" Target="https://oneshuttle.se.com/WF_PAGES/WorkFlowTaskUpdate.aspx?v1=WF1791930" TargetMode="External"/><Relationship Id="rId432" Type="http://schemas.openxmlformats.org/officeDocument/2006/relationships/hyperlink" Target="https://oneshuttle.se.com/WF_PAGES/WorkFlowTaskUpdate.aspx?v1=WF1824039" TargetMode="External"/><Relationship Id="rId474" Type="http://schemas.openxmlformats.org/officeDocument/2006/relationships/hyperlink" Target="https://oneshuttle.se.com/WF_PAGES/WorkFlowTaskUpdate.aspx?v1=WF1828567" TargetMode="External"/><Relationship Id="rId127" Type="http://schemas.openxmlformats.org/officeDocument/2006/relationships/hyperlink" Target="https://oneshuttle.se.com/WF_PAGES/WorkFlowTaskUpdate.aspx?v1=WF1767025" TargetMode="External"/><Relationship Id="rId31" Type="http://schemas.openxmlformats.org/officeDocument/2006/relationships/hyperlink" Target="https://oneshuttle.se.com/WF_PAGES/WorkFlowTaskUpdate.aspx?v1=WF1753559" TargetMode="External"/><Relationship Id="rId73" Type="http://schemas.openxmlformats.org/officeDocument/2006/relationships/hyperlink" Target="https://oneshuttle.se.com/WF_PAGES/WorkFlowTaskUpdate.aspx?v1=WF1757184" TargetMode="External"/><Relationship Id="rId169" Type="http://schemas.openxmlformats.org/officeDocument/2006/relationships/hyperlink" Target="https://oneshuttle.se.com/WF_PAGES/WorkFlowTaskUpdate.aspx?v1=WF1776319" TargetMode="External"/><Relationship Id="rId334" Type="http://schemas.openxmlformats.org/officeDocument/2006/relationships/hyperlink" Target="https://oneshuttle.se.com/WF_PAGES/WorkFlowTaskUpdate.aspx?v1=WF1804434" TargetMode="External"/><Relationship Id="rId376" Type="http://schemas.openxmlformats.org/officeDocument/2006/relationships/hyperlink" Target="https://oneshuttle.se.com/WF_PAGES/WorkFlowTaskUpdate.aspx?v1=WF1815896" TargetMode="External"/><Relationship Id="rId4" Type="http://schemas.openxmlformats.org/officeDocument/2006/relationships/hyperlink" Target="https://oneshuttle.se.com/WF_PAGES/WorkFlowTaskUpdate.aspx?v1=WF1743044" TargetMode="External"/><Relationship Id="rId180" Type="http://schemas.openxmlformats.org/officeDocument/2006/relationships/hyperlink" Target="https://oneshuttle.se.com/WF_PAGES/WorkFlowTaskUpdate.aspx?v1=WF1777059" TargetMode="External"/><Relationship Id="rId236" Type="http://schemas.openxmlformats.org/officeDocument/2006/relationships/hyperlink" Target="https://oneshuttle.se.com/WF_PAGES/WorkFlowTaskUpdate.aspx?v1=WF1788225" TargetMode="External"/><Relationship Id="rId278" Type="http://schemas.openxmlformats.org/officeDocument/2006/relationships/hyperlink" Target="https://oneshuttle.se.com/WF_PAGES/WorkFlowTaskUpdate.aspx?v1=WF1793610" TargetMode="External"/><Relationship Id="rId401" Type="http://schemas.openxmlformats.org/officeDocument/2006/relationships/hyperlink" Target="https://oneshuttle.se.com/WF_PAGES/WorkFlowTaskUpdate.aspx?v1=WF1818756" TargetMode="External"/><Relationship Id="rId443" Type="http://schemas.openxmlformats.org/officeDocument/2006/relationships/hyperlink" Target="https://oneshuttle.se.com/WF_PAGES/WorkFlowTaskUpdate.aspx?v1=WF1824935" TargetMode="External"/><Relationship Id="rId303" Type="http://schemas.openxmlformats.org/officeDocument/2006/relationships/hyperlink" Target="https://oneshuttle.se.com/WF_PAGES/WorkFlowTaskUpdate.aspx?v1=WF1798395" TargetMode="External"/><Relationship Id="rId485" Type="http://schemas.openxmlformats.org/officeDocument/2006/relationships/hyperlink" Target="https://oneshuttle.se.com/WF_PAGES/WorkFlowTaskUpdate.aspx?v1=WF1830735" TargetMode="External"/><Relationship Id="rId42" Type="http://schemas.openxmlformats.org/officeDocument/2006/relationships/hyperlink" Target="https://oneshuttle.se.com/WF_PAGES/WorkFlowTaskUpdate.aspx?v1=WF1756798" TargetMode="External"/><Relationship Id="rId84" Type="http://schemas.openxmlformats.org/officeDocument/2006/relationships/hyperlink" Target="https://oneshuttle.se.com/WF_PAGES/WorkFlowTaskUpdate.aspx?v1=WF1760611" TargetMode="External"/><Relationship Id="rId138" Type="http://schemas.openxmlformats.org/officeDocument/2006/relationships/hyperlink" Target="https://oneshuttle.se.com/WF_PAGES/WorkFlowTaskUpdate.aspx?v1=WF1764572" TargetMode="External"/><Relationship Id="rId345" Type="http://schemas.openxmlformats.org/officeDocument/2006/relationships/hyperlink" Target="https://oneshuttle.se.com/WF_PAGES/WorkFlowTaskUpdate.aspx?v1=WF1806642" TargetMode="External"/><Relationship Id="rId387" Type="http://schemas.openxmlformats.org/officeDocument/2006/relationships/hyperlink" Target="https://oneshuttle.se.com/WF_PAGES/WorkFlowTaskUpdate.aspx?v1=WF1818758" TargetMode="External"/><Relationship Id="rId510" Type="http://schemas.openxmlformats.org/officeDocument/2006/relationships/vmlDrawing" Target="../drawings/vmlDrawing1.vml"/><Relationship Id="rId191" Type="http://schemas.openxmlformats.org/officeDocument/2006/relationships/hyperlink" Target="https://oneshuttle.se.com/WF_PAGES/WorkFlowTaskUpdate.aspx?v1=WF1778342" TargetMode="External"/><Relationship Id="rId205" Type="http://schemas.openxmlformats.org/officeDocument/2006/relationships/hyperlink" Target="https://oneshuttle.se.com/WF_PAGES/WorkFlowTaskUpdate.aspx?v1=WF1780880" TargetMode="External"/><Relationship Id="rId247" Type="http://schemas.openxmlformats.org/officeDocument/2006/relationships/hyperlink" Target="https://oneshuttle.se.com/WF_PAGES/WorkFlowTaskUpdate.aspx?v1=WF1789256" TargetMode="External"/><Relationship Id="rId412" Type="http://schemas.openxmlformats.org/officeDocument/2006/relationships/hyperlink" Target="https://oneshuttle.se.com/WF_PAGES/WorkFlowTaskUpdate.aspx?v1=WF1821726" TargetMode="External"/><Relationship Id="rId107" Type="http://schemas.openxmlformats.org/officeDocument/2006/relationships/hyperlink" Target="https://oneshuttle.se.com/WF_PAGES/WorkFlowTaskUpdate.aspx?v1=WF1764099" TargetMode="External"/><Relationship Id="rId289" Type="http://schemas.openxmlformats.org/officeDocument/2006/relationships/hyperlink" Target="https://oneshuttle.se.com/WF_PAGES/WorkFlowTaskUpdate.aspx?v1=WF1795911" TargetMode="External"/><Relationship Id="rId454" Type="http://schemas.openxmlformats.org/officeDocument/2006/relationships/hyperlink" Target="https://oneshuttle.se.com/WF_PAGES/WorkFlowTaskUpdate.aspx?v1=WF1826414" TargetMode="External"/><Relationship Id="rId496" Type="http://schemas.openxmlformats.org/officeDocument/2006/relationships/hyperlink" Target="https://oneshuttle.se.com/WF_PAGES/WorkFlowTaskUpdate.aspx?v1=WF1832093" TargetMode="External"/><Relationship Id="rId11" Type="http://schemas.openxmlformats.org/officeDocument/2006/relationships/hyperlink" Target="https://oneshuttle.se.com/WF_PAGES/WorkFlowTaskUpdate.aspx?v1=WF1750068" TargetMode="External"/><Relationship Id="rId53" Type="http://schemas.openxmlformats.org/officeDocument/2006/relationships/hyperlink" Target="https://oneshuttle.se.com/WF_PAGES/WorkFlowTaskUpdate.aspx?v1=WF1757819" TargetMode="External"/><Relationship Id="rId149" Type="http://schemas.openxmlformats.org/officeDocument/2006/relationships/hyperlink" Target="https://oneshuttle.se.com/WF_PAGES/WorkFlowTaskUpdate.aspx?v1=WF1772295" TargetMode="External"/><Relationship Id="rId314" Type="http://schemas.openxmlformats.org/officeDocument/2006/relationships/hyperlink" Target="https://oneshuttle.se.com/WF_PAGES/WorkFlowTaskUpdate.aspx?v1=WF1801632" TargetMode="External"/><Relationship Id="rId356" Type="http://schemas.openxmlformats.org/officeDocument/2006/relationships/hyperlink" Target="https://oneshuttle.se.com/WF_PAGES/WorkFlowTaskUpdate.aspx?v1=WF1810047" TargetMode="External"/><Relationship Id="rId398" Type="http://schemas.openxmlformats.org/officeDocument/2006/relationships/hyperlink" Target="https://oneshuttle.se.com/WF_PAGES/WorkFlowTaskUpdate.aspx?v1=WF1819819" TargetMode="External"/><Relationship Id="rId95" Type="http://schemas.openxmlformats.org/officeDocument/2006/relationships/hyperlink" Target="https://oneshuttle.se.com/WF_PAGES/WorkFlowTaskUpdate.aspx?v1=WF1763020" TargetMode="External"/><Relationship Id="rId160" Type="http://schemas.openxmlformats.org/officeDocument/2006/relationships/hyperlink" Target="https://oneshuttle.se.com/WF_PAGES/WorkFlowTaskUpdate.aspx?v1=WF1775784" TargetMode="External"/><Relationship Id="rId216" Type="http://schemas.openxmlformats.org/officeDocument/2006/relationships/hyperlink" Target="https://oneshuttle.se.com/WF_PAGES/WorkFlowTaskUpdate.aspx?v1=WF1781932" TargetMode="External"/><Relationship Id="rId423" Type="http://schemas.openxmlformats.org/officeDocument/2006/relationships/hyperlink" Target="https://oneshuttle.se.com/WF_PAGES/WorkFlowTaskUpdate.aspx?v1=WF1822807" TargetMode="External"/><Relationship Id="rId258" Type="http://schemas.openxmlformats.org/officeDocument/2006/relationships/hyperlink" Target="https://oneshuttle.se.com/WF_PAGES/WorkFlowTaskUpdate.aspx?v1=WF1790575" TargetMode="External"/><Relationship Id="rId465" Type="http://schemas.openxmlformats.org/officeDocument/2006/relationships/hyperlink" Target="https://oneshuttle.se.com/WF_PAGES/WorkFlowTaskUpdate.aspx?v1=WF1827137" TargetMode="External"/><Relationship Id="rId22" Type="http://schemas.openxmlformats.org/officeDocument/2006/relationships/hyperlink" Target="https://oneshuttle.se.com/WF_PAGES/WorkFlowTaskUpdate.aspx?v1=WF1751250" TargetMode="External"/><Relationship Id="rId64" Type="http://schemas.openxmlformats.org/officeDocument/2006/relationships/hyperlink" Target="https://oneshuttle.se.com/WF_PAGES/WorkFlowTaskUpdate.aspx?v1=WF1760617" TargetMode="External"/><Relationship Id="rId118" Type="http://schemas.openxmlformats.org/officeDocument/2006/relationships/hyperlink" Target="https://oneshuttle.se.com/WF_PAGES/WorkFlowTaskUpdate.aspx?v1=WF1765333" TargetMode="External"/><Relationship Id="rId325" Type="http://schemas.openxmlformats.org/officeDocument/2006/relationships/hyperlink" Target="https://oneshuttle.se.com/WF_PAGES/WorkFlowTaskUpdate.aspx?v1=WF1803392" TargetMode="External"/><Relationship Id="rId367" Type="http://schemas.openxmlformats.org/officeDocument/2006/relationships/hyperlink" Target="https://oneshuttle.se.com/WF_PAGES/WorkFlowTaskUpdate.aspx?v1=WF1814660" TargetMode="External"/><Relationship Id="rId171" Type="http://schemas.openxmlformats.org/officeDocument/2006/relationships/hyperlink" Target="https://oneshuttle.se.com/WF_PAGES/WorkFlowTaskUpdate.aspx?v1=WF1776454" TargetMode="External"/><Relationship Id="rId227" Type="http://schemas.openxmlformats.org/officeDocument/2006/relationships/hyperlink" Target="https://oneshuttle.se.com/WF_PAGES/WorkFlowTaskUpdate.aspx?v1=WF1786367" TargetMode="External"/><Relationship Id="rId269" Type="http://schemas.openxmlformats.org/officeDocument/2006/relationships/hyperlink" Target="https://oneshuttle.se.com/WF_PAGES/WorkFlowTaskUpdate.aspx?v1=WF1792197" TargetMode="External"/><Relationship Id="rId434" Type="http://schemas.openxmlformats.org/officeDocument/2006/relationships/hyperlink" Target="https://oneshuttle.se.com/WF_PAGES/WorkFlowTaskUpdate.aspx?v1=WF1824061" TargetMode="External"/><Relationship Id="rId476" Type="http://schemas.openxmlformats.org/officeDocument/2006/relationships/hyperlink" Target="https://oneshuttle.se.com/WF_PAGES/WorkFlowTaskUpdate.aspx?v1=WF1828955" TargetMode="External"/><Relationship Id="rId33" Type="http://schemas.openxmlformats.org/officeDocument/2006/relationships/hyperlink" Target="https://oneshuttle.se.com/WF_PAGES/WorkFlowTaskUpdate.aspx?v1=WF1752089" TargetMode="External"/><Relationship Id="rId129" Type="http://schemas.openxmlformats.org/officeDocument/2006/relationships/hyperlink" Target="https://oneshuttle.se.com/WF_PAGES/WorkFlowTaskUpdate.aspx?v1=WF1767147" TargetMode="External"/><Relationship Id="rId280" Type="http://schemas.openxmlformats.org/officeDocument/2006/relationships/hyperlink" Target="https://oneshuttle.se.com/WF_PAGES/WorkFlowTaskUpdate.aspx?v1=WF1794091" TargetMode="External"/><Relationship Id="rId336" Type="http://schemas.openxmlformats.org/officeDocument/2006/relationships/hyperlink" Target="https://oneshuttle.se.com/WF_PAGES/WorkFlowTaskUpdate.aspx?v1=WF1805069" TargetMode="External"/><Relationship Id="rId501" Type="http://schemas.openxmlformats.org/officeDocument/2006/relationships/hyperlink" Target="https://oneshuttle.se.com/WF_PAGES/WorkFlowTaskUpdate.aspx?v1=WF1832636" TargetMode="External"/><Relationship Id="rId75" Type="http://schemas.openxmlformats.org/officeDocument/2006/relationships/hyperlink" Target="https://oneshuttle.se.com/WF_PAGES/WorkFlowTaskUpdate.aspx?v1=WF1759194" TargetMode="External"/><Relationship Id="rId140" Type="http://schemas.openxmlformats.org/officeDocument/2006/relationships/hyperlink" Target="https://oneshuttle.se.com/WF_PAGES/WorkFlowTaskUpdate.aspx?v1=WF1768370" TargetMode="External"/><Relationship Id="rId182" Type="http://schemas.openxmlformats.org/officeDocument/2006/relationships/hyperlink" Target="https://oneshuttle.se.com/WF_PAGES/WorkFlowTaskUpdate.aspx?v1=WF1777247" TargetMode="External"/><Relationship Id="rId378" Type="http://schemas.openxmlformats.org/officeDocument/2006/relationships/hyperlink" Target="https://oneshuttle.se.com/WF_PAGES/WorkFlowTaskUpdate.aspx?v1=WF1816679" TargetMode="External"/><Relationship Id="rId403" Type="http://schemas.openxmlformats.org/officeDocument/2006/relationships/hyperlink" Target="https://oneshuttle.se.com/WF_PAGES/WorkFlowTaskUpdate.aspx?v1=WF1820504" TargetMode="External"/><Relationship Id="rId6" Type="http://schemas.openxmlformats.org/officeDocument/2006/relationships/hyperlink" Target="https://oneshuttle.se.com/WF_PAGES/WorkFlowTaskUpdate.aspx?v1=WF1743800" TargetMode="External"/><Relationship Id="rId238" Type="http://schemas.openxmlformats.org/officeDocument/2006/relationships/hyperlink" Target="https://oneshuttle.se.com/WF_PAGES/WorkFlowTaskUpdate.aspx?v1=WF1779138" TargetMode="External"/><Relationship Id="rId445" Type="http://schemas.openxmlformats.org/officeDocument/2006/relationships/hyperlink" Target="https://oneshuttle.se.com/WF_PAGES/WorkFlowTaskUpdate.aspx?v1=WF1824999" TargetMode="External"/><Relationship Id="rId487" Type="http://schemas.openxmlformats.org/officeDocument/2006/relationships/hyperlink" Target="https://oneshuttle.se.com/WF_PAGES/WorkFlowTaskUpdate.aspx?v1=WF1830775" TargetMode="External"/><Relationship Id="rId291" Type="http://schemas.openxmlformats.org/officeDocument/2006/relationships/hyperlink" Target="https://oneshuttle.se.com/WF_PAGES/WorkFlowTaskUpdate.aspx?v1=WF1795965" TargetMode="External"/><Relationship Id="rId305" Type="http://schemas.openxmlformats.org/officeDocument/2006/relationships/hyperlink" Target="https://oneshuttle.se.com/WF_PAGES/WorkFlowTaskUpdate.aspx?v1=WF1799079" TargetMode="External"/><Relationship Id="rId347" Type="http://schemas.openxmlformats.org/officeDocument/2006/relationships/hyperlink" Target="https://oneshuttle.se.com/WF_PAGES/WorkFlowTaskUpdate.aspx?v1=WF1807077" TargetMode="External"/><Relationship Id="rId512" Type="http://schemas.openxmlformats.org/officeDocument/2006/relationships/comments" Target="../comments1.xml"/><Relationship Id="rId44" Type="http://schemas.openxmlformats.org/officeDocument/2006/relationships/hyperlink" Target="https://oneshuttle.se.com/WF_PAGES/WorkFlowTaskUpdate.aspx?v1=WF1757140" TargetMode="External"/><Relationship Id="rId86" Type="http://schemas.openxmlformats.org/officeDocument/2006/relationships/hyperlink" Target="https://oneshuttle.se.com/WF_PAGES/WorkFlowTaskUpdate.aspx?v1=WF1751976" TargetMode="External"/><Relationship Id="rId151" Type="http://schemas.openxmlformats.org/officeDocument/2006/relationships/hyperlink" Target="https://oneshuttle.se.com/WF_PAGES/WorkFlowTaskUpdate.aspx?v1=WF1771712" TargetMode="External"/><Relationship Id="rId389" Type="http://schemas.openxmlformats.org/officeDocument/2006/relationships/hyperlink" Target="https://oneshuttle.se.com/WF_PAGES/WorkFlowTaskUpdate.aspx?v1=WF1818845" TargetMode="External"/><Relationship Id="rId193" Type="http://schemas.openxmlformats.org/officeDocument/2006/relationships/hyperlink" Target="https://oneshuttle.se.com/WF_PAGES/WorkFlowTaskUpdate.aspx?v1=WF1762777" TargetMode="External"/><Relationship Id="rId207" Type="http://schemas.openxmlformats.org/officeDocument/2006/relationships/hyperlink" Target="https://oneshuttle.se.com/WF_PAGES/WorkFlowTaskUpdate.aspx?v1=WF1781142" TargetMode="External"/><Relationship Id="rId249" Type="http://schemas.openxmlformats.org/officeDocument/2006/relationships/hyperlink" Target="https://oneshuttle.se.com/WF_PAGES/WorkFlowTaskUpdate.aspx?v1=WF1789752" TargetMode="External"/><Relationship Id="rId414" Type="http://schemas.openxmlformats.org/officeDocument/2006/relationships/hyperlink" Target="https://oneshuttle.se.com/WF_PAGES/WorkFlowTaskUpdate.aspx?v1=WF1821739" TargetMode="External"/><Relationship Id="rId456" Type="http://schemas.openxmlformats.org/officeDocument/2006/relationships/hyperlink" Target="https://oneshuttle.se.com/WF_PAGES/WorkFlowTaskUpdate.aspx?v1=WF1826241" TargetMode="External"/><Relationship Id="rId498" Type="http://schemas.openxmlformats.org/officeDocument/2006/relationships/hyperlink" Target="https://oneshuttle.se.com/WF_PAGES/WorkFlowTaskUpdate.aspx?v1=WF1832582" TargetMode="External"/><Relationship Id="rId13" Type="http://schemas.openxmlformats.org/officeDocument/2006/relationships/hyperlink" Target="https://oneshuttle.se.com/WF_PAGES/WorkFlowTaskUpdate.aspx?v1=WF1750555" TargetMode="External"/><Relationship Id="rId109" Type="http://schemas.openxmlformats.org/officeDocument/2006/relationships/hyperlink" Target="https://oneshuttle.se.com/WF_PAGES/WorkFlowTaskUpdate.aspx?v1=WF1764230" TargetMode="External"/><Relationship Id="rId260" Type="http://schemas.openxmlformats.org/officeDocument/2006/relationships/hyperlink" Target="https://oneshuttle.se.com/WF_PAGES/WorkFlowTaskUpdate.aspx?v1=WF1790621" TargetMode="External"/><Relationship Id="rId316" Type="http://schemas.openxmlformats.org/officeDocument/2006/relationships/hyperlink" Target="https://oneshuttle.se.com/WF_PAGES/WorkFlowTaskUpdate.aspx?v1=WF1801750" TargetMode="External"/><Relationship Id="rId55" Type="http://schemas.openxmlformats.org/officeDocument/2006/relationships/hyperlink" Target="https://oneshuttle.se.com/WF_PAGES/WorkFlowTaskUpdate.aspx?v1=WF1757883" TargetMode="External"/><Relationship Id="rId97" Type="http://schemas.openxmlformats.org/officeDocument/2006/relationships/hyperlink" Target="https://oneshuttle.se.com/WF_PAGES/WorkFlowTaskUpdate.aspx?v1=WF1762947" TargetMode="External"/><Relationship Id="rId120" Type="http://schemas.openxmlformats.org/officeDocument/2006/relationships/hyperlink" Target="https://oneshuttle.se.com/WF_PAGES/WorkFlowTaskUpdate.aspx?v1=WF1761923" TargetMode="External"/><Relationship Id="rId358" Type="http://schemas.openxmlformats.org/officeDocument/2006/relationships/hyperlink" Target="https://oneshuttle.se.com/WF_PAGES/WorkFlowTaskUpdate.aspx?v1=WF1812135" TargetMode="External"/><Relationship Id="rId162" Type="http://schemas.openxmlformats.org/officeDocument/2006/relationships/hyperlink" Target="https://oneshuttle.se.com/WF_PAGES/WorkFlowTaskUpdate.aspx?v1=WF1775901" TargetMode="External"/><Relationship Id="rId218" Type="http://schemas.openxmlformats.org/officeDocument/2006/relationships/hyperlink" Target="https://oneshuttle.se.com/WF_PAGES/WorkFlowTaskUpdate.aspx?v1=WF1782397" TargetMode="External"/><Relationship Id="rId425" Type="http://schemas.openxmlformats.org/officeDocument/2006/relationships/hyperlink" Target="https://oneshuttle.se.com/WF_PAGES/WorkFlowTaskUpdate.aspx?v1=WF1823416" TargetMode="External"/><Relationship Id="rId467" Type="http://schemas.openxmlformats.org/officeDocument/2006/relationships/hyperlink" Target="https://oneshuttle.se.com/WF_PAGES/WorkFlowTaskUpdate.aspx?v1=WF1827367" TargetMode="External"/><Relationship Id="rId271" Type="http://schemas.openxmlformats.org/officeDocument/2006/relationships/hyperlink" Target="https://oneshuttle.se.com/WF_PAGES/WorkFlowTaskUpdate.aspx?v1=WF1792667" TargetMode="External"/><Relationship Id="rId24" Type="http://schemas.openxmlformats.org/officeDocument/2006/relationships/hyperlink" Target="https://oneshuttle.se.com/WF_PAGES/WorkFlowTaskUpdate.aspx?v1=WF1751255" TargetMode="External"/><Relationship Id="rId66" Type="http://schemas.openxmlformats.org/officeDocument/2006/relationships/hyperlink" Target="https://oneshuttle.se.com/WF_PAGES/WorkFlowTaskUpdate.aspx?v1=WF1757835" TargetMode="External"/><Relationship Id="rId131" Type="http://schemas.openxmlformats.org/officeDocument/2006/relationships/hyperlink" Target="https://oneshuttle.se.com/WF_PAGES/WorkFlowTaskUpdate.aspx?v1=WF1767216" TargetMode="External"/><Relationship Id="rId327" Type="http://schemas.openxmlformats.org/officeDocument/2006/relationships/hyperlink" Target="https://oneshuttle.se.com/WF_PAGES/WorkFlowTaskUpdate.aspx?v1=WF1803394" TargetMode="External"/><Relationship Id="rId369" Type="http://schemas.openxmlformats.org/officeDocument/2006/relationships/hyperlink" Target="https://oneshuttle.se.com/WF_PAGES/WorkFlowTaskUpdate.aspx?v1=WF1815037" TargetMode="External"/><Relationship Id="rId173" Type="http://schemas.openxmlformats.org/officeDocument/2006/relationships/hyperlink" Target="https://oneshuttle.se.com/WF_PAGES/WorkFlowTaskUpdate.aspx?v1=WF1776468" TargetMode="External"/><Relationship Id="rId229" Type="http://schemas.openxmlformats.org/officeDocument/2006/relationships/hyperlink" Target="https://oneshuttle.se.com/WF_PAGES/WorkFlowTaskUpdate.aspx?v1=WF1786489" TargetMode="External"/><Relationship Id="rId380" Type="http://schemas.openxmlformats.org/officeDocument/2006/relationships/hyperlink" Target="https://oneshuttle.se.com/WF_PAGES/WorkFlowTaskUpdate.aspx?v1=WF1817227" TargetMode="External"/><Relationship Id="rId436" Type="http://schemas.openxmlformats.org/officeDocument/2006/relationships/hyperlink" Target="https://oneshuttle.se.com/WF_PAGES/WorkFlowTaskUpdate.aspx?v1=WF1824080" TargetMode="External"/><Relationship Id="rId240" Type="http://schemas.openxmlformats.org/officeDocument/2006/relationships/hyperlink" Target="https://oneshuttle.se.com/WF_PAGES/WorkFlowTaskUpdate.aspx?v1=WF1779166" TargetMode="External"/><Relationship Id="rId478" Type="http://schemas.openxmlformats.org/officeDocument/2006/relationships/hyperlink" Target="https://oneshuttle.se.com/WF_PAGES/WorkFlowTaskUpdate.aspx?v1=WF1829706" TargetMode="External"/><Relationship Id="rId35" Type="http://schemas.openxmlformats.org/officeDocument/2006/relationships/hyperlink" Target="https://oneshuttle.se.com/WF_PAGES/WorkFlowTaskUpdate.aspx?v1=WF1755425" TargetMode="External"/><Relationship Id="rId77" Type="http://schemas.openxmlformats.org/officeDocument/2006/relationships/hyperlink" Target="https://oneshuttle.se.com/WF_PAGES/WorkFlowTaskUpdate.aspx?v1=WF1759943" TargetMode="External"/><Relationship Id="rId100" Type="http://schemas.openxmlformats.org/officeDocument/2006/relationships/hyperlink" Target="https://oneshuttle.se.com/WF_PAGES/WorkFlowTaskUpdate.aspx?v1=WF1762941" TargetMode="External"/><Relationship Id="rId282" Type="http://schemas.openxmlformats.org/officeDocument/2006/relationships/hyperlink" Target="https://oneshuttle.se.com/WF_PAGES/WorkFlowTaskUpdate.aspx?v1=WF1794223" TargetMode="External"/><Relationship Id="rId338" Type="http://schemas.openxmlformats.org/officeDocument/2006/relationships/hyperlink" Target="https://oneshuttle.se.com/WF_PAGES/WorkFlowTaskUpdate.aspx?v1=WF1805115" TargetMode="External"/><Relationship Id="rId503" Type="http://schemas.openxmlformats.org/officeDocument/2006/relationships/hyperlink" Target="https://oneshuttle.se.com/WF_PAGES/WorkFlowTaskUpdate.aspx?v1=WF1833232" TargetMode="External"/><Relationship Id="rId8" Type="http://schemas.openxmlformats.org/officeDocument/2006/relationships/hyperlink" Target="https://oneshuttle.se.com/WF_PAGES/WorkFlowTaskUpdate.aspx?v1=WF1749888" TargetMode="External"/><Relationship Id="rId142" Type="http://schemas.openxmlformats.org/officeDocument/2006/relationships/hyperlink" Target="https://oneshuttle.se.com/WF_PAGES/WorkFlowTaskUpdate.aspx?v1=WF1769099" TargetMode="External"/><Relationship Id="rId184" Type="http://schemas.openxmlformats.org/officeDocument/2006/relationships/hyperlink" Target="https://oneshuttle.se.com/WF_PAGES/WorkFlowTaskUpdate.aspx?v1=WF1777613" TargetMode="External"/><Relationship Id="rId391" Type="http://schemas.openxmlformats.org/officeDocument/2006/relationships/hyperlink" Target="https://oneshuttle.se.com/WF_PAGES/WorkFlowTaskUpdate.aspx?v1=WF1819217" TargetMode="External"/><Relationship Id="rId405" Type="http://schemas.openxmlformats.org/officeDocument/2006/relationships/hyperlink" Target="https://oneshuttle.se.com/WF_PAGES/WorkFlowTaskUpdate.aspx?v1=WF1820617" TargetMode="External"/><Relationship Id="rId447" Type="http://schemas.openxmlformats.org/officeDocument/2006/relationships/hyperlink" Target="https://oneshuttle.se.com/WF_PAGES/WorkFlowTaskUpdate.aspx?v1=WF1825519" TargetMode="External"/><Relationship Id="rId251" Type="http://schemas.openxmlformats.org/officeDocument/2006/relationships/hyperlink" Target="https://oneshuttle.se.com/WF_PAGES/WorkFlowTaskUpdate.aspx?v1=WF1789252" TargetMode="External"/><Relationship Id="rId489" Type="http://schemas.openxmlformats.org/officeDocument/2006/relationships/hyperlink" Target="https://oneshuttle.se.com/WF_PAGES/WorkFlowTaskUpdate.aspx?v1=WF1831159" TargetMode="External"/><Relationship Id="rId46" Type="http://schemas.openxmlformats.org/officeDocument/2006/relationships/hyperlink" Target="https://oneshuttle.se.com/WF_PAGES/WorkFlowTaskUpdate.aspx?v1=WF1757167" TargetMode="External"/><Relationship Id="rId293" Type="http://schemas.openxmlformats.org/officeDocument/2006/relationships/hyperlink" Target="https://oneshuttle.se.com/WF_PAGES/WorkFlowTaskUpdate.aspx?v1=WF1796023" TargetMode="External"/><Relationship Id="rId307" Type="http://schemas.openxmlformats.org/officeDocument/2006/relationships/hyperlink" Target="https://oneshuttle.se.com/WF_PAGES/WorkFlowTaskUpdate.aspx?v1=WF1799067" TargetMode="External"/><Relationship Id="rId349" Type="http://schemas.openxmlformats.org/officeDocument/2006/relationships/hyperlink" Target="https://oneshuttle.se.com/WF_PAGES/WorkFlowTaskUpdate.aspx?v1=WF1807719" TargetMode="External"/><Relationship Id="rId88" Type="http://schemas.openxmlformats.org/officeDocument/2006/relationships/hyperlink" Target="https://oneshuttle.se.com/WF_PAGES/WorkFlowTaskUpdate.aspx?v1=WF1762111" TargetMode="External"/><Relationship Id="rId111" Type="http://schemas.openxmlformats.org/officeDocument/2006/relationships/hyperlink" Target="https://oneshuttle.se.com/WF_PAGES/WorkFlowTaskUpdate.aspx?v1=WF1764639" TargetMode="External"/><Relationship Id="rId153" Type="http://schemas.openxmlformats.org/officeDocument/2006/relationships/hyperlink" Target="https://oneshuttle.se.com/WF_PAGES/WorkFlowTaskUpdate.aspx?v1=WF1774331" TargetMode="External"/><Relationship Id="rId195" Type="http://schemas.openxmlformats.org/officeDocument/2006/relationships/hyperlink" Target="https://oneshuttle.se.com/WF_PAGES/WorkFlowTaskUpdate.aspx?v1=WF1765360" TargetMode="External"/><Relationship Id="rId209" Type="http://schemas.openxmlformats.org/officeDocument/2006/relationships/hyperlink" Target="https://oneshuttle.se.com/WF_PAGES/WorkFlowTaskUpdate.aspx?v1=WF1781856" TargetMode="External"/><Relationship Id="rId360" Type="http://schemas.openxmlformats.org/officeDocument/2006/relationships/hyperlink" Target="https://oneshuttle.se.com/WF_PAGES/WorkFlowTaskUpdate.aspx?v1=WF1813531" TargetMode="External"/><Relationship Id="rId416" Type="http://schemas.openxmlformats.org/officeDocument/2006/relationships/hyperlink" Target="https://oneshuttle.se.com/WF_PAGES/WorkFlowTaskUpdate.aspx?v1=WF1821822" TargetMode="External"/><Relationship Id="rId220" Type="http://schemas.openxmlformats.org/officeDocument/2006/relationships/hyperlink" Target="https://oneshuttle.se.com/WF_PAGES/WorkFlowTaskUpdate.aspx?v1=WF1785760" TargetMode="External"/><Relationship Id="rId458" Type="http://schemas.openxmlformats.org/officeDocument/2006/relationships/hyperlink" Target="https://oneshuttle.se.com/WF_PAGES/WorkFlowTaskUpdate.aspx?v1=WF1826982" TargetMode="External"/><Relationship Id="rId15" Type="http://schemas.openxmlformats.org/officeDocument/2006/relationships/hyperlink" Target="https://oneshuttle.se.com/WF_PAGES/WorkFlowTaskUpdate.aspx?v1=WF1751133" TargetMode="External"/><Relationship Id="rId57" Type="http://schemas.openxmlformats.org/officeDocument/2006/relationships/hyperlink" Target="https://oneshuttle.se.com/WF_PAGES/WorkFlowTaskUpdate.aspx?v1=WF1757878" TargetMode="External"/><Relationship Id="rId262" Type="http://schemas.openxmlformats.org/officeDocument/2006/relationships/hyperlink" Target="https://oneshuttle.se.com/WF_PAGES/WorkFlowTaskUpdate.aspx?v1=WF1791235" TargetMode="External"/><Relationship Id="rId318" Type="http://schemas.openxmlformats.org/officeDocument/2006/relationships/hyperlink" Target="https://oneshuttle.se.com/WF_PAGES/WorkFlowTaskUpdate.aspx?v1=WF1802767" TargetMode="External"/><Relationship Id="rId99" Type="http://schemas.openxmlformats.org/officeDocument/2006/relationships/hyperlink" Target="https://oneshuttle.se.com/WF_PAGES/WorkFlowTaskUpdate.aspx?v1=WF1762944" TargetMode="External"/><Relationship Id="rId122" Type="http://schemas.openxmlformats.org/officeDocument/2006/relationships/hyperlink" Target="https://oneshuttle.se.com/WF_PAGES/WorkFlowTaskUpdate.aspx?v1=WF1767159" TargetMode="External"/><Relationship Id="rId164" Type="http://schemas.openxmlformats.org/officeDocument/2006/relationships/hyperlink" Target="https://oneshuttle.se.com/WF_PAGES/WorkFlowTaskUpdate.aspx?v1=WF1775912" TargetMode="External"/><Relationship Id="rId371" Type="http://schemas.openxmlformats.org/officeDocument/2006/relationships/hyperlink" Target="https://oneshuttle.se.com/WF_PAGES/WorkFlowTaskUpdate.aspx?v1=WF1815539" TargetMode="External"/><Relationship Id="rId427" Type="http://schemas.openxmlformats.org/officeDocument/2006/relationships/hyperlink" Target="https://oneshuttle.se.com/WF_PAGES/WorkFlowTaskUpdate.aspx?v1=WF1823503" TargetMode="External"/><Relationship Id="rId469" Type="http://schemas.openxmlformats.org/officeDocument/2006/relationships/hyperlink" Target="https://oneshuttle.se.com/WF_PAGES/WorkFlowTaskUpdate.aspx?v1=WF1827802" TargetMode="External"/><Relationship Id="rId26" Type="http://schemas.openxmlformats.org/officeDocument/2006/relationships/hyperlink" Target="https://oneshuttle.se.com/WF_PAGES/WorkFlowTaskUpdate.aspx?v1=WF1751260" TargetMode="External"/><Relationship Id="rId231" Type="http://schemas.openxmlformats.org/officeDocument/2006/relationships/hyperlink" Target="https://oneshuttle.se.com/WF_PAGES/WorkFlowTaskUpdate.aspx?v1=WF1787112" TargetMode="External"/><Relationship Id="rId273" Type="http://schemas.openxmlformats.org/officeDocument/2006/relationships/hyperlink" Target="https://oneshuttle.se.com/WF_PAGES/WorkFlowTaskUpdate.aspx?v1=WF1793411" TargetMode="External"/><Relationship Id="rId329" Type="http://schemas.openxmlformats.org/officeDocument/2006/relationships/hyperlink" Target="https://oneshuttle.se.com/WF_PAGES/WorkFlowTaskUpdate.aspx?v1=WF1803907" TargetMode="External"/><Relationship Id="rId480" Type="http://schemas.openxmlformats.org/officeDocument/2006/relationships/hyperlink" Target="https://oneshuttle.se.com/WF_PAGES/WorkFlowTaskUpdate.aspx?v1=WF1829894" TargetMode="External"/><Relationship Id="rId68" Type="http://schemas.openxmlformats.org/officeDocument/2006/relationships/hyperlink" Target="https://oneshuttle.se.com/WF_PAGES/WorkFlowTaskUpdate.aspx?v1=WF1757855" TargetMode="External"/><Relationship Id="rId133" Type="http://schemas.openxmlformats.org/officeDocument/2006/relationships/hyperlink" Target="https://oneshuttle.se.com/WF_PAGES/WorkFlowTaskUpdate.aspx?v1=WF1765915" TargetMode="External"/><Relationship Id="rId175" Type="http://schemas.openxmlformats.org/officeDocument/2006/relationships/hyperlink" Target="https://oneshuttle.se.com/WF_PAGES/WorkFlowTaskUpdate.aspx?v1=WF1774370" TargetMode="External"/><Relationship Id="rId340" Type="http://schemas.openxmlformats.org/officeDocument/2006/relationships/hyperlink" Target="https://oneshuttle.se.com/WF_PAGES/WorkFlowTaskUpdate.aspx?v1=WF1805305" TargetMode="External"/><Relationship Id="rId200" Type="http://schemas.openxmlformats.org/officeDocument/2006/relationships/hyperlink" Target="https://oneshuttle.se.com/WF_PAGES/WorkFlowTaskUpdate.aspx?v1=WF1779843" TargetMode="External"/><Relationship Id="rId382" Type="http://schemas.openxmlformats.org/officeDocument/2006/relationships/hyperlink" Target="https://oneshuttle.se.com/WF_PAGES/WorkFlowTaskUpdate.aspx?v1=WF1817258" TargetMode="External"/><Relationship Id="rId438" Type="http://schemas.openxmlformats.org/officeDocument/2006/relationships/hyperlink" Target="https://oneshuttle.se.com/WF_PAGES/WorkFlowTaskUpdate.aspx?v1=WF1824062" TargetMode="External"/><Relationship Id="rId242" Type="http://schemas.openxmlformats.org/officeDocument/2006/relationships/hyperlink" Target="https://oneshuttle.se.com/WF_PAGES/WorkFlowTaskUpdate.aspx?v1=WF1779672" TargetMode="External"/><Relationship Id="rId284" Type="http://schemas.openxmlformats.org/officeDocument/2006/relationships/hyperlink" Target="https://oneshuttle.se.com/WF_PAGES/WorkFlowTaskUpdate.aspx?v1=WF1794239" TargetMode="External"/><Relationship Id="rId491" Type="http://schemas.openxmlformats.org/officeDocument/2006/relationships/hyperlink" Target="https://oneshuttle.se.com/WF_PAGES/WorkFlowTaskUpdate.aspx?v1=WF1832012" TargetMode="External"/><Relationship Id="rId505" Type="http://schemas.openxmlformats.org/officeDocument/2006/relationships/hyperlink" Target="https://oneshuttle.se.com/WF_PAGES/WorkFlowTaskUpdate.aspx?v1=WF1833724" TargetMode="External"/><Relationship Id="rId37" Type="http://schemas.openxmlformats.org/officeDocument/2006/relationships/hyperlink" Target="https://oneshuttle.se.com/WF_PAGES/WorkFlowTaskUpdate.aspx?v1=WF1752607" TargetMode="External"/><Relationship Id="rId79" Type="http://schemas.openxmlformats.org/officeDocument/2006/relationships/hyperlink" Target="https://oneshuttle.se.com/WF_PAGES/WorkFlowTaskUpdate.aspx?v1=WF1760037" TargetMode="External"/><Relationship Id="rId102" Type="http://schemas.openxmlformats.org/officeDocument/2006/relationships/hyperlink" Target="https://oneshuttle.se.com/WF_PAGES/WorkFlowTaskUpdate.aspx?v1=WF1763566" TargetMode="External"/><Relationship Id="rId144" Type="http://schemas.openxmlformats.org/officeDocument/2006/relationships/hyperlink" Target="https://oneshuttle.se.com/WF_PAGES/WorkFlowTaskUpdate.aspx?v1=WF1769567" TargetMode="External"/><Relationship Id="rId90" Type="http://schemas.openxmlformats.org/officeDocument/2006/relationships/hyperlink" Target="https://oneshuttle.se.com/WF_PAGES/WorkFlowTaskUpdate.aspx?v1=WF1762133" TargetMode="External"/><Relationship Id="rId186" Type="http://schemas.openxmlformats.org/officeDocument/2006/relationships/hyperlink" Target="https://oneshuttle.se.com/WF_PAGES/WorkFlowTaskUpdate.aspx?v1=WF1778278" TargetMode="External"/><Relationship Id="rId351" Type="http://schemas.openxmlformats.org/officeDocument/2006/relationships/hyperlink" Target="https://oneshuttle.se.com/WF_PAGES/WorkFlowTaskUpdate.aspx?v1=WF1806568" TargetMode="External"/><Relationship Id="rId393" Type="http://schemas.openxmlformats.org/officeDocument/2006/relationships/hyperlink" Target="https://oneshuttle.se.com/WF_PAGES/WorkFlowTaskUpdate.aspx?v1=WF1819309" TargetMode="External"/><Relationship Id="rId407" Type="http://schemas.openxmlformats.org/officeDocument/2006/relationships/hyperlink" Target="https://oneshuttle.se.com/WF_PAGES/WorkFlowTaskUpdate.aspx?v1=WF1820647" TargetMode="External"/><Relationship Id="rId449" Type="http://schemas.openxmlformats.org/officeDocument/2006/relationships/hyperlink" Target="https://oneshuttle.se.com/WF_PAGES/WorkFlowTaskUpdate.aspx?v1=WF1825523" TargetMode="External"/><Relationship Id="rId211" Type="http://schemas.openxmlformats.org/officeDocument/2006/relationships/hyperlink" Target="https://oneshuttle.se.com/WF_PAGES/WorkFlowTaskUpdate.aspx?v1=WF1782400" TargetMode="External"/><Relationship Id="rId253" Type="http://schemas.openxmlformats.org/officeDocument/2006/relationships/hyperlink" Target="https://oneshuttle.se.com/WF_PAGES/WorkFlowTaskUpdate.aspx?v1=WF1789889" TargetMode="External"/><Relationship Id="rId295" Type="http://schemas.openxmlformats.org/officeDocument/2006/relationships/hyperlink" Target="https://oneshuttle.se.com/WF_PAGES/WorkFlowTaskUpdate.aspx?v1=WF1796616" TargetMode="External"/><Relationship Id="rId309" Type="http://schemas.openxmlformats.org/officeDocument/2006/relationships/hyperlink" Target="https://oneshuttle.se.com/WF_PAGES/WorkFlowTaskUpdate.aspx?v1=WF1799816" TargetMode="External"/><Relationship Id="rId460" Type="http://schemas.openxmlformats.org/officeDocument/2006/relationships/hyperlink" Target="https://oneshuttle.se.com/WF_PAGES/WorkFlowTaskUpdate.aspx?v1=WF1827051" TargetMode="External"/><Relationship Id="rId48" Type="http://schemas.openxmlformats.org/officeDocument/2006/relationships/hyperlink" Target="https://oneshuttle.se.com/WF_PAGES/WorkFlowTaskUpdate.aspx?v1=WF1757224" TargetMode="External"/><Relationship Id="rId113" Type="http://schemas.openxmlformats.org/officeDocument/2006/relationships/hyperlink" Target="https://oneshuttle.se.com/WF_PAGES/WorkFlowTaskUpdate.aspx?v1=WF1765136" TargetMode="External"/><Relationship Id="rId320" Type="http://schemas.openxmlformats.org/officeDocument/2006/relationships/hyperlink" Target="https://oneshuttle.se.com/WF_PAGES/WorkFlowTaskUpdate.aspx?v1=WF1802521" TargetMode="External"/><Relationship Id="rId155" Type="http://schemas.openxmlformats.org/officeDocument/2006/relationships/hyperlink" Target="https://oneshuttle.se.com/WF_PAGES/WorkFlowTaskUpdate.aspx?v1=WF1775101" TargetMode="External"/><Relationship Id="rId197" Type="http://schemas.openxmlformats.org/officeDocument/2006/relationships/hyperlink" Target="https://oneshuttle.se.com/WF_PAGES/WorkFlowTaskUpdate.aspx?v1=WF1779746" TargetMode="External"/><Relationship Id="rId362" Type="http://schemas.openxmlformats.org/officeDocument/2006/relationships/hyperlink" Target="https://oneshuttle.se.com/WF_PAGES/WorkFlowTaskUpdate.aspx?v1=WF1814064" TargetMode="External"/><Relationship Id="rId418" Type="http://schemas.openxmlformats.org/officeDocument/2006/relationships/hyperlink" Target="https://oneshuttle.se.com/WF_PAGES/WorkFlowTaskUpdate.aspx?v1=WF1821845" TargetMode="External"/><Relationship Id="rId222" Type="http://schemas.openxmlformats.org/officeDocument/2006/relationships/hyperlink" Target="https://oneshuttle.se.com/WF_PAGES/WorkFlowTaskUpdate.aspx?v1=WF1785844" TargetMode="External"/><Relationship Id="rId264" Type="http://schemas.openxmlformats.org/officeDocument/2006/relationships/hyperlink" Target="https://oneshuttle.se.com/WF_PAGES/WorkFlowTaskUpdate.aspx?v1=WF1791372" TargetMode="External"/><Relationship Id="rId471" Type="http://schemas.openxmlformats.org/officeDocument/2006/relationships/hyperlink" Target="https://oneshuttle.se.com/WF_PAGES/WorkFlowTaskUpdate.aspx?v1=WF1827869" TargetMode="External"/><Relationship Id="rId17" Type="http://schemas.openxmlformats.org/officeDocument/2006/relationships/hyperlink" Target="https://oneshuttle.se.com/WF_PAGES/WorkFlowTaskUpdate.aspx?v1=WF1751155" TargetMode="External"/><Relationship Id="rId59" Type="http://schemas.openxmlformats.org/officeDocument/2006/relationships/hyperlink" Target="https://oneshuttle.se.com/WF_PAGES/WorkFlowTaskUpdate.aspx?v1=WF1757866" TargetMode="External"/><Relationship Id="rId124" Type="http://schemas.openxmlformats.org/officeDocument/2006/relationships/hyperlink" Target="https://oneshuttle.se.com/WF_PAGES/WorkFlowTaskUpdate.aspx?v1=WF1766476" TargetMode="External"/><Relationship Id="rId70" Type="http://schemas.openxmlformats.org/officeDocument/2006/relationships/hyperlink" Target="https://oneshuttle.se.com/WF_PAGES/WorkFlowTaskUpdate.aspx?v1=WF1757850" TargetMode="External"/><Relationship Id="rId166" Type="http://schemas.openxmlformats.org/officeDocument/2006/relationships/hyperlink" Target="https://oneshuttle.se.com/WF_PAGES/WorkFlowTaskUpdate.aspx?v1=WF1775947" TargetMode="External"/><Relationship Id="rId331" Type="http://schemas.openxmlformats.org/officeDocument/2006/relationships/hyperlink" Target="https://oneshuttle.se.com/WF_PAGES/WorkFlowTaskUpdate.aspx?v1=WF1803920" TargetMode="External"/><Relationship Id="rId373" Type="http://schemas.openxmlformats.org/officeDocument/2006/relationships/hyperlink" Target="https://oneshuttle.se.com/WF_PAGES/WorkFlowTaskUpdate.aspx?v1=WF1815705" TargetMode="External"/><Relationship Id="rId429" Type="http://schemas.openxmlformats.org/officeDocument/2006/relationships/hyperlink" Target="https://oneshuttle.se.com/WF_PAGES/WorkFlowTaskUpdate.aspx?v1=WF1823513" TargetMode="External"/><Relationship Id="rId1" Type="http://schemas.openxmlformats.org/officeDocument/2006/relationships/hyperlink" Target="https://oneshuttle.se.com/WF_PAGES/WorkFlowTaskUpdate.aspx?v1=WF1731450" TargetMode="External"/><Relationship Id="rId233" Type="http://schemas.openxmlformats.org/officeDocument/2006/relationships/hyperlink" Target="https://oneshuttle.se.com/WF_PAGES/WorkFlowTaskUpdate.aspx?v1=WF1787873" TargetMode="External"/><Relationship Id="rId440" Type="http://schemas.openxmlformats.org/officeDocument/2006/relationships/hyperlink" Target="https://oneshuttle.se.com/WF_PAGES/WorkFlowTaskUpdate.aspx?v1=WF1824197" TargetMode="External"/><Relationship Id="rId28" Type="http://schemas.openxmlformats.org/officeDocument/2006/relationships/hyperlink" Target="https://oneshuttle.se.com/WF_PAGES/WorkFlowTaskUpdate.aspx?v1=WF1751270" TargetMode="External"/><Relationship Id="rId275" Type="http://schemas.openxmlformats.org/officeDocument/2006/relationships/hyperlink" Target="https://oneshuttle.se.com/WF_PAGES/WorkFlowTaskUpdate.aspx?v1=WF1793560" TargetMode="External"/><Relationship Id="rId300" Type="http://schemas.openxmlformats.org/officeDocument/2006/relationships/hyperlink" Target="https://oneshuttle.se.com/WF_PAGES/WorkFlowTaskUpdate.aspx?v1=WF1797106" TargetMode="External"/><Relationship Id="rId482" Type="http://schemas.openxmlformats.org/officeDocument/2006/relationships/hyperlink" Target="https://oneshuttle.se.com/WF_PAGES/WorkFlowTaskUpdate.aspx?v1=WF1829991" TargetMode="External"/><Relationship Id="rId81" Type="http://schemas.openxmlformats.org/officeDocument/2006/relationships/hyperlink" Target="https://oneshuttle.se.com/WF_PAGES/WorkFlowTaskUpdate.aspx?v1=WF1760520" TargetMode="External"/><Relationship Id="rId135" Type="http://schemas.openxmlformats.org/officeDocument/2006/relationships/hyperlink" Target="https://oneshuttle.se.com/WF_PAGES/WorkFlowTaskUpdate.aspx?v1=WF1767468" TargetMode="External"/><Relationship Id="rId177" Type="http://schemas.openxmlformats.org/officeDocument/2006/relationships/hyperlink" Target="https://oneshuttle.se.com/WF_PAGES/WorkFlowTaskUpdate.aspx?v1=WF1776965" TargetMode="External"/><Relationship Id="rId342" Type="http://schemas.openxmlformats.org/officeDocument/2006/relationships/hyperlink" Target="https://oneshuttle.se.com/WF_PAGES/WorkFlowTaskUpdate.aspx?v1=WF1805991" TargetMode="External"/><Relationship Id="rId384" Type="http://schemas.openxmlformats.org/officeDocument/2006/relationships/hyperlink" Target="https://oneshuttle.se.com/WF_PAGES/WorkFlowTaskUpdate.aspx?v1=WF1817340" TargetMode="External"/><Relationship Id="rId202" Type="http://schemas.openxmlformats.org/officeDocument/2006/relationships/hyperlink" Target="https://oneshuttle.se.com/WF_PAGES/WorkFlowTaskUpdate.aspx?v1=WF1780471" TargetMode="External"/><Relationship Id="rId244" Type="http://schemas.openxmlformats.org/officeDocument/2006/relationships/hyperlink" Target="https://oneshuttle.se.com/WF_PAGES/WorkFlowTaskUpdate.aspx?v1=WF1787231" TargetMode="External"/><Relationship Id="rId39" Type="http://schemas.openxmlformats.org/officeDocument/2006/relationships/hyperlink" Target="https://oneshuttle.se.com/WF_PAGES/WorkFlowTaskUpdate.aspx?v1=WF1756782" TargetMode="External"/><Relationship Id="rId286" Type="http://schemas.openxmlformats.org/officeDocument/2006/relationships/hyperlink" Target="https://oneshuttle.se.com/WF_PAGES/WorkFlowTaskUpdate.aspx?v1=WF1794098" TargetMode="External"/><Relationship Id="rId451" Type="http://schemas.openxmlformats.org/officeDocument/2006/relationships/hyperlink" Target="https://oneshuttle.se.com/WF_PAGES/WorkFlowTaskUpdate.aspx?v1=WF1826494" TargetMode="External"/><Relationship Id="rId493" Type="http://schemas.openxmlformats.org/officeDocument/2006/relationships/hyperlink" Target="https://oneshuttle.se.com/WF_PAGES/WorkFlowTaskUpdate.aspx?v1=WF1832497" TargetMode="External"/><Relationship Id="rId507" Type="http://schemas.openxmlformats.org/officeDocument/2006/relationships/hyperlink" Target="https://oneshuttle.se.com/WF_PAGES/WorkFlowTaskUpdate.aspx?v1=WF1834048" TargetMode="External"/><Relationship Id="rId50" Type="http://schemas.openxmlformats.org/officeDocument/2006/relationships/hyperlink" Target="https://oneshuttle.se.com/WF_PAGES/WorkFlowTaskUpdate.aspx?v1=WF1757806" TargetMode="External"/><Relationship Id="rId104" Type="http://schemas.openxmlformats.org/officeDocument/2006/relationships/hyperlink" Target="https://oneshuttle.se.com/WF_PAGES/WorkFlowTaskUpdate.aspx?v1=WF1763630" TargetMode="External"/><Relationship Id="rId146" Type="http://schemas.openxmlformats.org/officeDocument/2006/relationships/hyperlink" Target="https://oneshuttle.se.com/WF_PAGES/WorkFlowTaskUpdate.aspx?v1=WF1770319" TargetMode="External"/><Relationship Id="rId188" Type="http://schemas.openxmlformats.org/officeDocument/2006/relationships/hyperlink" Target="https://oneshuttle.se.com/WF_PAGES/WorkFlowTaskUpdate.aspx?v1=WF1778302" TargetMode="External"/><Relationship Id="rId311" Type="http://schemas.openxmlformats.org/officeDocument/2006/relationships/hyperlink" Target="https://oneshuttle.se.com/WF_PAGES/WorkFlowTaskUpdate.aspx?v1=WF1800951" TargetMode="External"/><Relationship Id="rId353" Type="http://schemas.openxmlformats.org/officeDocument/2006/relationships/hyperlink" Target="https://oneshuttle.se.com/WF_PAGES/WorkFlowTaskUpdate.aspx?v1=WF1809205" TargetMode="External"/><Relationship Id="rId395" Type="http://schemas.openxmlformats.org/officeDocument/2006/relationships/hyperlink" Target="https://oneshuttle.se.com/WF_PAGES/WorkFlowTaskUpdate.aspx?v1=WF1815786" TargetMode="External"/><Relationship Id="rId409" Type="http://schemas.openxmlformats.org/officeDocument/2006/relationships/hyperlink" Target="https://oneshuttle.se.com/WF_PAGES/WorkFlowTaskUpdate.aspx?v1=WF1819957" TargetMode="External"/><Relationship Id="rId92" Type="http://schemas.openxmlformats.org/officeDocument/2006/relationships/hyperlink" Target="https://oneshuttle.se.com/WF_PAGES/WorkFlowTaskUpdate.aspx?v1=WF1762885" TargetMode="External"/><Relationship Id="rId213" Type="http://schemas.openxmlformats.org/officeDocument/2006/relationships/hyperlink" Target="https://oneshuttle.se.com/WF_PAGES/WorkFlowTaskUpdate.aspx?v1=WF1783949" TargetMode="External"/><Relationship Id="rId420" Type="http://schemas.openxmlformats.org/officeDocument/2006/relationships/hyperlink" Target="https://oneshuttle.se.com/WF_PAGES/WorkFlowTaskUpdate.aspx?v1=WF1821913" TargetMode="External"/><Relationship Id="rId255" Type="http://schemas.openxmlformats.org/officeDocument/2006/relationships/hyperlink" Target="https://oneshuttle.se.com/WF_PAGES/WorkFlowTaskUpdate.aspx?v1=WF1790024" TargetMode="External"/><Relationship Id="rId297" Type="http://schemas.openxmlformats.org/officeDocument/2006/relationships/hyperlink" Target="https://oneshuttle.se.com/WF_PAGES/WorkFlowTaskUpdate.aspx?v1=WF1796648" TargetMode="External"/><Relationship Id="rId462" Type="http://schemas.openxmlformats.org/officeDocument/2006/relationships/hyperlink" Target="https://oneshuttle.se.com/WF_PAGES/WorkFlowTaskUpdate.aspx?v1=WF1827055" TargetMode="External"/><Relationship Id="rId115" Type="http://schemas.openxmlformats.org/officeDocument/2006/relationships/hyperlink" Target="https://oneshuttle.se.com/WF_PAGES/WorkFlowTaskUpdate.aspx?v1=WF1765234" TargetMode="External"/><Relationship Id="rId157" Type="http://schemas.openxmlformats.org/officeDocument/2006/relationships/hyperlink" Target="https://oneshuttle.se.com/WF_PAGES/WorkFlowTaskUpdate.aspx?v1=WF1775052" TargetMode="External"/><Relationship Id="rId322" Type="http://schemas.openxmlformats.org/officeDocument/2006/relationships/hyperlink" Target="https://oneshuttle.se.com/WF_PAGES/WorkFlowTaskUpdate.aspx?v1=WF1802550" TargetMode="External"/><Relationship Id="rId364" Type="http://schemas.openxmlformats.org/officeDocument/2006/relationships/hyperlink" Target="https://oneshuttle.se.com/WF_PAGES/WorkFlowTaskUpdate.aspx?v1=WF1814100" TargetMode="External"/><Relationship Id="rId61" Type="http://schemas.openxmlformats.org/officeDocument/2006/relationships/hyperlink" Target="https://oneshuttle.se.com/WF_PAGES/WorkFlowTaskUpdate.aspx?v1=WF1761226" TargetMode="External"/><Relationship Id="rId199" Type="http://schemas.openxmlformats.org/officeDocument/2006/relationships/hyperlink" Target="https://oneshuttle.se.com/WF_PAGES/WorkFlowTaskUpdate.aspx?v1=WF1779840" TargetMode="External"/><Relationship Id="rId19" Type="http://schemas.openxmlformats.org/officeDocument/2006/relationships/hyperlink" Target="https://oneshuttle.se.com/WF_PAGES/WorkFlowTaskUpdate.aspx?v1=WF1751231" TargetMode="External"/><Relationship Id="rId224" Type="http://schemas.openxmlformats.org/officeDocument/2006/relationships/hyperlink" Target="https://oneshuttle.se.com/WF_PAGES/WorkFlowTaskUpdate.aspx?v1=WF1786267" TargetMode="External"/><Relationship Id="rId266" Type="http://schemas.openxmlformats.org/officeDocument/2006/relationships/hyperlink" Target="https://oneshuttle.se.com/WF_PAGES/WorkFlowTaskUpdate.aspx?v1=WF1790595" TargetMode="External"/><Relationship Id="rId431" Type="http://schemas.openxmlformats.org/officeDocument/2006/relationships/hyperlink" Target="https://oneshuttle.se.com/WF_PAGES/WorkFlowTaskUpdate.aspx?v1=WF1824004" TargetMode="External"/><Relationship Id="rId473" Type="http://schemas.openxmlformats.org/officeDocument/2006/relationships/hyperlink" Target="https://oneshuttle.se.com/WF_PAGES/WorkFlowTaskUpdate.aspx?v1=WF1828531" TargetMode="External"/><Relationship Id="rId30" Type="http://schemas.openxmlformats.org/officeDocument/2006/relationships/hyperlink" Target="https://oneshuttle.se.com/WF_PAGES/WorkFlowTaskUpdate.aspx?v1=WF1751310" TargetMode="External"/><Relationship Id="rId126" Type="http://schemas.openxmlformats.org/officeDocument/2006/relationships/hyperlink" Target="https://oneshuttle.se.com/WF_PAGES/WorkFlowTaskUpdate.aspx?v1=WF1766987" TargetMode="External"/><Relationship Id="rId168" Type="http://schemas.openxmlformats.org/officeDocument/2006/relationships/hyperlink" Target="https://oneshuttle.se.com/WF_PAGES/WorkFlowTaskUpdate.aspx?v1=WF1776233" TargetMode="External"/><Relationship Id="rId333" Type="http://schemas.openxmlformats.org/officeDocument/2006/relationships/hyperlink" Target="https://oneshuttle.se.com/WF_PAGES/WorkFlowTaskUpdate.aspx?v1=WF1804422" TargetMode="External"/><Relationship Id="rId72" Type="http://schemas.openxmlformats.org/officeDocument/2006/relationships/hyperlink" Target="https://oneshuttle.se.com/WF_PAGES/WorkFlowTaskUpdate.aspx?v1=WF1756800" TargetMode="External"/><Relationship Id="rId375" Type="http://schemas.openxmlformats.org/officeDocument/2006/relationships/hyperlink" Target="https://oneshuttle.se.com/WF_PAGES/WorkFlowTaskUpdate.aspx?v1=WF1815825" TargetMode="External"/><Relationship Id="rId3" Type="http://schemas.openxmlformats.org/officeDocument/2006/relationships/hyperlink" Target="https://oneshuttle.se.com/WF_PAGES/WorkFlowTaskUpdate.aspx?v1=WF1742985" TargetMode="External"/><Relationship Id="rId235" Type="http://schemas.openxmlformats.org/officeDocument/2006/relationships/hyperlink" Target="https://oneshuttle.se.com/WF_PAGES/WorkFlowTaskUpdate.aspx?v1=WF1788202" TargetMode="External"/><Relationship Id="rId277" Type="http://schemas.openxmlformats.org/officeDocument/2006/relationships/hyperlink" Target="https://oneshuttle.se.com/WF_PAGES/WorkFlowTaskUpdate.aspx?v1=WF1793591" TargetMode="External"/><Relationship Id="rId400" Type="http://schemas.openxmlformats.org/officeDocument/2006/relationships/hyperlink" Target="https://oneshuttle.se.com/WF_PAGES/WorkFlowTaskUpdate.aspx?v1=WF1819916" TargetMode="External"/><Relationship Id="rId442" Type="http://schemas.openxmlformats.org/officeDocument/2006/relationships/hyperlink" Target="https://oneshuttle.se.com/WF_PAGES/WorkFlowTaskUpdate.aspx?v1=WF1824795" TargetMode="External"/><Relationship Id="rId484" Type="http://schemas.openxmlformats.org/officeDocument/2006/relationships/hyperlink" Target="https://oneshuttle.se.com/WF_PAGES/WorkFlowTaskUpdate.aspx?v1=WF1830426" TargetMode="External"/><Relationship Id="rId137" Type="http://schemas.openxmlformats.org/officeDocument/2006/relationships/hyperlink" Target="https://oneshuttle.se.com/WF_PAGES/WorkFlowTaskUpdate.aspx?v1=WF1757853" TargetMode="External"/><Relationship Id="rId302" Type="http://schemas.openxmlformats.org/officeDocument/2006/relationships/hyperlink" Target="https://oneshuttle.se.com/WF_PAGES/WorkFlowTaskUpdate.aspx?v1=WF1797190" TargetMode="External"/><Relationship Id="rId344" Type="http://schemas.openxmlformats.org/officeDocument/2006/relationships/hyperlink" Target="https://oneshuttle.se.com/WF_PAGES/WorkFlowTaskUpdate.aspx?v1=WF1806459" TargetMode="External"/><Relationship Id="rId41" Type="http://schemas.openxmlformats.org/officeDocument/2006/relationships/hyperlink" Target="https://oneshuttle.se.com/WF_PAGES/WorkFlowTaskUpdate.aspx?v1=WF1756796" TargetMode="External"/><Relationship Id="rId83" Type="http://schemas.openxmlformats.org/officeDocument/2006/relationships/hyperlink" Target="https://oneshuttle.se.com/WF_PAGES/WorkFlowTaskUpdate.aspx?v1=WF1760609" TargetMode="External"/><Relationship Id="rId179" Type="http://schemas.openxmlformats.org/officeDocument/2006/relationships/hyperlink" Target="https://oneshuttle.se.com/WF_PAGES/WorkFlowTaskUpdate.aspx?v1=WF1777034" TargetMode="External"/><Relationship Id="rId386" Type="http://schemas.openxmlformats.org/officeDocument/2006/relationships/hyperlink" Target="https://oneshuttle.se.com/WF_PAGES/WorkFlowTaskUpdate.aspx?v1=WF1818757" TargetMode="External"/><Relationship Id="rId190" Type="http://schemas.openxmlformats.org/officeDocument/2006/relationships/hyperlink" Target="https://oneshuttle.se.com/WF_PAGES/WorkFlowTaskUpdate.aspx?v1=WF1778331" TargetMode="External"/><Relationship Id="rId204" Type="http://schemas.openxmlformats.org/officeDocument/2006/relationships/hyperlink" Target="https://oneshuttle.se.com/WF_PAGES/WorkFlowTaskUpdate.aspx?v1=WF1780874" TargetMode="External"/><Relationship Id="rId246" Type="http://schemas.openxmlformats.org/officeDocument/2006/relationships/hyperlink" Target="https://oneshuttle.se.com/WF_PAGES/WorkFlowTaskUpdate.aspx?v1=WF1788498" TargetMode="External"/><Relationship Id="rId288" Type="http://schemas.openxmlformats.org/officeDocument/2006/relationships/hyperlink" Target="https://oneshuttle.se.com/WF_PAGES/WorkFlowTaskUpdate.aspx?v1=WF1795898" TargetMode="External"/><Relationship Id="rId411" Type="http://schemas.openxmlformats.org/officeDocument/2006/relationships/hyperlink" Target="https://oneshuttle.se.com/WF_PAGES/WorkFlowTaskUpdate.aspx?v1=WF1821248" TargetMode="External"/><Relationship Id="rId453" Type="http://schemas.openxmlformats.org/officeDocument/2006/relationships/hyperlink" Target="https://oneshuttle.se.com/WF_PAGES/WorkFlowTaskUpdate.aspx?v1=WF1826405" TargetMode="External"/><Relationship Id="rId509" Type="http://schemas.openxmlformats.org/officeDocument/2006/relationships/drawing" Target="../drawings/drawing1.xml"/><Relationship Id="rId106" Type="http://schemas.openxmlformats.org/officeDocument/2006/relationships/hyperlink" Target="https://oneshuttle.se.com/WF_PAGES/WorkFlowTaskUpdate.aspx?v1=WF1764092" TargetMode="External"/><Relationship Id="rId313" Type="http://schemas.openxmlformats.org/officeDocument/2006/relationships/hyperlink" Target="https://oneshuttle.se.com/WF_PAGES/WorkFlowTaskUpdate.aspx?v1=WF1801061" TargetMode="External"/><Relationship Id="rId495" Type="http://schemas.openxmlformats.org/officeDocument/2006/relationships/hyperlink" Target="https://oneshuttle.se.com/WF_PAGES/WorkFlowTaskUpdate.aspx?v1=WF1832514" TargetMode="External"/><Relationship Id="rId10" Type="http://schemas.openxmlformats.org/officeDocument/2006/relationships/hyperlink" Target="https://oneshuttle.se.com/WF_PAGES/WorkFlowTaskUpdate.aspx?v1=WF1749895" TargetMode="External"/><Relationship Id="rId52" Type="http://schemas.openxmlformats.org/officeDocument/2006/relationships/hyperlink" Target="https://oneshuttle.se.com/WF_PAGES/WorkFlowTaskUpdate.aspx?v1=WF1757815" TargetMode="External"/><Relationship Id="rId94" Type="http://schemas.openxmlformats.org/officeDocument/2006/relationships/hyperlink" Target="https://oneshuttle.se.com/WF_PAGES/WorkFlowTaskUpdate.aspx?v1=WF1762796" TargetMode="External"/><Relationship Id="rId148" Type="http://schemas.openxmlformats.org/officeDocument/2006/relationships/hyperlink" Target="https://oneshuttle.se.com/WF_PAGES/WorkFlowTaskUpdate.aspx?v1=WF1771711" TargetMode="External"/><Relationship Id="rId355" Type="http://schemas.openxmlformats.org/officeDocument/2006/relationships/hyperlink" Target="https://oneshuttle.se.com/WF_PAGES/WorkFlowTaskUpdate.aspx?v1=WF1810046" TargetMode="External"/><Relationship Id="rId397" Type="http://schemas.openxmlformats.org/officeDocument/2006/relationships/hyperlink" Target="https://oneshuttle.se.com/WF_PAGES/WorkFlowTaskUpdate.aspx?v1=WF1819796" TargetMode="External"/><Relationship Id="rId215" Type="http://schemas.openxmlformats.org/officeDocument/2006/relationships/hyperlink" Target="https://oneshuttle.se.com/WF_PAGES/WorkFlowTaskUpdate.aspx?v1=WF1784934" TargetMode="External"/><Relationship Id="rId257" Type="http://schemas.openxmlformats.org/officeDocument/2006/relationships/hyperlink" Target="https://oneshuttle.se.com/WF_PAGES/WorkFlowTaskUpdate.aspx?v1=WF1790561" TargetMode="External"/><Relationship Id="rId422" Type="http://schemas.openxmlformats.org/officeDocument/2006/relationships/hyperlink" Target="https://oneshuttle.se.com/WF_PAGES/WorkFlowTaskUpdate.aspx?v1=WF1822717" TargetMode="External"/><Relationship Id="rId464" Type="http://schemas.openxmlformats.org/officeDocument/2006/relationships/hyperlink" Target="https://oneshuttle.se.com/WF_PAGES/WorkFlowTaskUpdate.aspx?v1=WF1827086" TargetMode="External"/><Relationship Id="rId299" Type="http://schemas.openxmlformats.org/officeDocument/2006/relationships/hyperlink" Target="https://oneshuttle.se.com/WF_PAGES/WorkFlowTaskUpdate.aspx?v1=WF179703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4.xml"/><Relationship Id="rId2" Type="http://schemas.openxmlformats.org/officeDocument/2006/relationships/pivotTable" Target="../pivotTables/pivotTable63.xml"/><Relationship Id="rId1" Type="http://schemas.openxmlformats.org/officeDocument/2006/relationships/pivotTable" Target="../pivotTables/pivotTable6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AC10-AA8A-43A8-9D29-1233DEBA3947}">
  <sheetPr codeName="Sheet1">
    <tabColor rgb="FFDEECFA"/>
  </sheetPr>
  <dimension ref="A1:AA1155"/>
  <sheetViews>
    <sheetView zoomScaleNormal="100" workbookViewId="0">
      <pane ySplit="1" topLeftCell="A504" activePane="bottomLeft" state="frozen"/>
      <selection pane="bottomLeft" activeCell="K514" sqref="K514:K515"/>
    </sheetView>
  </sheetViews>
  <sheetFormatPr defaultRowHeight="15" customHeight="1"/>
  <cols>
    <col min="1" max="1" width="3.28515625" style="953" customWidth="1"/>
    <col min="2" max="2" width="15.42578125" style="848" bestFit="1" customWidth="1"/>
    <col min="3" max="3" width="16.28515625" style="848" bestFit="1" customWidth="1"/>
    <col min="4" max="4" width="33.5703125" style="849" customWidth="1"/>
    <col min="5" max="5" width="5" style="850" customWidth="1"/>
    <col min="6" max="6" width="5.85546875" style="849" customWidth="1"/>
    <col min="7" max="7" width="8" style="849" hidden="1" customWidth="1"/>
    <col min="8" max="8" width="12.140625" style="851" customWidth="1"/>
    <col min="9" max="9" width="3.7109375" style="852" hidden="1" customWidth="1"/>
    <col min="10" max="10" width="6.5703125" style="396" customWidth="1"/>
    <col min="11" max="11" width="13.42578125" style="850" customWidth="1"/>
    <col min="12" max="12" width="12.28515625" style="853" customWidth="1"/>
    <col min="13" max="13" width="12.28515625" style="851" customWidth="1"/>
    <col min="14" max="14" width="3.7109375" style="396" customWidth="1"/>
    <col min="15" max="15" width="10.7109375" style="735" bestFit="1" customWidth="1"/>
    <col min="16" max="16" width="8.85546875" style="832" customWidth="1"/>
    <col min="17" max="17" width="30.5703125" style="854" customWidth="1"/>
    <col min="18" max="18" width="7" style="417" customWidth="1"/>
    <col min="19" max="19" width="12.28515625" style="396" customWidth="1"/>
    <col min="20" max="20" width="16.7109375" style="396" customWidth="1"/>
    <col min="21" max="21" width="25.28515625" style="396" customWidth="1"/>
    <col min="22" max="22" width="14.5703125" style="847" customWidth="1"/>
    <col min="23" max="23" width="4.5703125" style="847" customWidth="1"/>
    <col min="24" max="24" width="24.42578125" style="849" bestFit="1" customWidth="1"/>
    <col min="25" max="25" width="9.140625" style="953"/>
    <col min="26" max="26" width="11.28515625" style="953" bestFit="1" customWidth="1"/>
    <col min="27" max="27" width="44.85546875" style="953" bestFit="1" customWidth="1"/>
    <col min="29" max="29" width="10.7109375" bestFit="1" customWidth="1"/>
  </cols>
  <sheetData>
    <row r="1" spans="2:27" ht="34.15" customHeight="1">
      <c r="B1" s="129" t="s">
        <v>0</v>
      </c>
      <c r="C1" s="130" t="s">
        <v>1</v>
      </c>
      <c r="D1" s="131" t="s">
        <v>2</v>
      </c>
      <c r="E1" s="132" t="s">
        <v>3</v>
      </c>
      <c r="F1" s="131" t="s">
        <v>4</v>
      </c>
      <c r="G1" s="133" t="s">
        <v>5</v>
      </c>
      <c r="H1" s="134" t="s">
        <v>6</v>
      </c>
      <c r="I1" s="135" t="s">
        <v>7</v>
      </c>
      <c r="J1" s="136" t="s">
        <v>8</v>
      </c>
      <c r="K1" s="137" t="s">
        <v>9</v>
      </c>
      <c r="L1" s="138" t="s">
        <v>10</v>
      </c>
      <c r="M1" s="138" t="s">
        <v>11</v>
      </c>
      <c r="N1" s="139" t="s">
        <v>12</v>
      </c>
      <c r="O1" s="140" t="s">
        <v>13</v>
      </c>
      <c r="P1" s="141" t="s">
        <v>14</v>
      </c>
      <c r="Q1" s="142" t="s">
        <v>15</v>
      </c>
      <c r="R1" s="143" t="s">
        <v>16</v>
      </c>
      <c r="S1" s="144" t="s">
        <v>17</v>
      </c>
      <c r="T1" s="145" t="s">
        <v>10</v>
      </c>
      <c r="U1" s="145" t="s">
        <v>11</v>
      </c>
      <c r="V1" s="146" t="s">
        <v>18</v>
      </c>
      <c r="W1" s="145" t="s">
        <v>19</v>
      </c>
      <c r="X1" s="145" t="s">
        <v>20</v>
      </c>
    </row>
    <row r="2" spans="2:27" ht="14.45" customHeight="1">
      <c r="B2" s="1238" t="s">
        <v>21</v>
      </c>
      <c r="C2" s="1192">
        <v>10</v>
      </c>
      <c r="D2" s="1245" t="s">
        <v>22</v>
      </c>
      <c r="E2" s="1260" t="s">
        <v>23</v>
      </c>
      <c r="F2" s="149" t="s">
        <v>24</v>
      </c>
      <c r="G2" s="1257" t="s">
        <v>25</v>
      </c>
      <c r="H2" s="1259">
        <v>45709</v>
      </c>
      <c r="I2" s="1255"/>
      <c r="J2" s="152"/>
      <c r="K2" s="153"/>
      <c r="L2" s="154"/>
      <c r="M2" s="155"/>
      <c r="N2" s="156"/>
      <c r="O2" s="157"/>
      <c r="P2" s="158"/>
      <c r="Q2" s="159" t="s">
        <v>26</v>
      </c>
      <c r="R2" s="160" t="s">
        <v>27</v>
      </c>
      <c r="S2" s="149" t="s">
        <v>28</v>
      </c>
      <c r="T2" s="149"/>
      <c r="U2" s="149"/>
      <c r="V2" s="161" t="s">
        <v>29</v>
      </c>
      <c r="W2" s="162"/>
      <c r="X2" s="159"/>
    </row>
    <row r="3" spans="2:27" ht="14.45" customHeight="1">
      <c r="B3" s="1238"/>
      <c r="C3" s="1192"/>
      <c r="D3" s="1245"/>
      <c r="E3" s="1260"/>
      <c r="F3" s="149"/>
      <c r="G3" s="1257"/>
      <c r="H3" s="1259"/>
      <c r="I3" s="1255"/>
      <c r="J3" s="163"/>
      <c r="K3" s="164"/>
      <c r="L3" s="165"/>
      <c r="M3" s="166"/>
      <c r="N3" s="164"/>
      <c r="O3" s="149"/>
      <c r="P3" s="167"/>
      <c r="Q3" s="168" t="s">
        <v>26</v>
      </c>
      <c r="R3" s="169" t="s">
        <v>27</v>
      </c>
      <c r="S3" s="127" t="s">
        <v>30</v>
      </c>
      <c r="T3" s="127"/>
      <c r="U3" s="127"/>
      <c r="V3" s="170" t="s">
        <v>29</v>
      </c>
      <c r="W3" s="162"/>
      <c r="X3" s="168"/>
    </row>
    <row r="4" spans="2:27" ht="14.45">
      <c r="B4" s="1238"/>
      <c r="C4" s="1270"/>
      <c r="D4" s="1245"/>
      <c r="E4" s="1260"/>
      <c r="F4" s="171"/>
      <c r="G4" s="1258"/>
      <c r="H4" s="1259"/>
      <c r="I4" s="1255"/>
      <c r="J4" s="163"/>
      <c r="K4" s="164"/>
      <c r="L4" s="165"/>
      <c r="M4" s="166"/>
      <c r="N4" s="164"/>
      <c r="O4" s="127"/>
      <c r="P4" s="167"/>
      <c r="Q4" s="172" t="s">
        <v>26</v>
      </c>
      <c r="R4" s="169" t="s">
        <v>27</v>
      </c>
      <c r="S4" s="127" t="s">
        <v>31</v>
      </c>
      <c r="T4" s="127"/>
      <c r="U4" s="127"/>
      <c r="V4" s="170" t="s">
        <v>29</v>
      </c>
      <c r="W4" s="162"/>
      <c r="X4" s="172"/>
    </row>
    <row r="5" spans="2:27" ht="14.45">
      <c r="B5" s="1238"/>
      <c r="C5" s="173">
        <v>50</v>
      </c>
      <c r="D5" s="1245"/>
      <c r="E5" s="1260"/>
      <c r="F5" s="174"/>
      <c r="G5" s="175"/>
      <c r="H5" s="1259"/>
      <c r="I5" s="1255"/>
      <c r="J5" s="176"/>
      <c r="K5" s="164"/>
      <c r="L5" s="165"/>
      <c r="M5" s="166"/>
      <c r="N5" s="164"/>
      <c r="O5" s="127"/>
      <c r="P5" s="167"/>
      <c r="Q5" s="177" t="s">
        <v>26</v>
      </c>
      <c r="R5" s="169" t="s">
        <v>27</v>
      </c>
      <c r="S5" s="127" t="s">
        <v>32</v>
      </c>
      <c r="T5" s="127"/>
      <c r="U5" s="127"/>
      <c r="V5" s="170" t="s">
        <v>29</v>
      </c>
      <c r="W5" s="162"/>
      <c r="X5" s="177"/>
    </row>
    <row r="6" spans="2:27" ht="14.45">
      <c r="B6" s="1256" t="s">
        <v>33</v>
      </c>
      <c r="C6" s="1268" t="s">
        <v>34</v>
      </c>
      <c r="D6" s="1105" t="s">
        <v>35</v>
      </c>
      <c r="E6" s="1176" t="s">
        <v>36</v>
      </c>
      <c r="F6" s="181" t="s">
        <v>37</v>
      </c>
      <c r="G6" s="1241" t="s">
        <v>25</v>
      </c>
      <c r="H6" s="1213">
        <v>45762</v>
      </c>
      <c r="I6" s="1272"/>
      <c r="J6" s="184" t="s">
        <v>27</v>
      </c>
      <c r="K6" s="185" t="s">
        <v>38</v>
      </c>
      <c r="L6" s="186">
        <v>45748</v>
      </c>
      <c r="M6" s="187">
        <v>45759</v>
      </c>
      <c r="N6" s="185" t="s">
        <v>29</v>
      </c>
      <c r="O6" s="188">
        <f>_xlfn.DAYS(M6,L6)</f>
        <v>11</v>
      </c>
      <c r="P6" s="188">
        <f>_xlfn.DAYS(M6,H6)</f>
        <v>-3</v>
      </c>
      <c r="Q6" s="1214" t="s">
        <v>26</v>
      </c>
      <c r="R6" s="190" t="s">
        <v>27</v>
      </c>
      <c r="S6" s="125" t="s">
        <v>39</v>
      </c>
      <c r="T6" s="125"/>
      <c r="U6" s="125"/>
      <c r="V6" s="191" t="s">
        <v>29</v>
      </c>
      <c r="W6" s="162"/>
      <c r="X6" s="1214"/>
    </row>
    <row r="7" spans="2:27" ht="15.6">
      <c r="B7" s="1209"/>
      <c r="C7" s="1269"/>
      <c r="D7" s="1116"/>
      <c r="E7" s="1189"/>
      <c r="F7" s="196"/>
      <c r="G7" s="1242"/>
      <c r="H7" s="1186"/>
      <c r="I7" s="1271"/>
      <c r="J7" s="199" t="s">
        <v>40</v>
      </c>
      <c r="K7" s="200" t="s">
        <v>41</v>
      </c>
      <c r="L7" s="201">
        <v>45747</v>
      </c>
      <c r="M7" s="202">
        <v>45758</v>
      </c>
      <c r="N7" s="203" t="s">
        <v>29</v>
      </c>
      <c r="O7" s="204">
        <f t="shared" ref="O7:O69" si="0">_xlfn.DAYS(M7,L7)</f>
        <v>11</v>
      </c>
      <c r="P7" s="205">
        <f>_xlfn.DAYS(M7,H6)</f>
        <v>-4</v>
      </c>
      <c r="Q7" s="1215"/>
      <c r="R7" s="207" t="s">
        <v>27</v>
      </c>
      <c r="S7" s="162" t="s">
        <v>42</v>
      </c>
      <c r="T7" s="162"/>
      <c r="U7" s="162"/>
      <c r="V7" s="208" t="s">
        <v>29</v>
      </c>
      <c r="W7" s="162"/>
      <c r="X7" s="1215"/>
      <c r="Z7" s="954" t="s">
        <v>43</v>
      </c>
    </row>
    <row r="8" spans="2:27" ht="14.45">
      <c r="B8" s="1209"/>
      <c r="C8" s="1269"/>
      <c r="D8" s="1116"/>
      <c r="E8" s="1189"/>
      <c r="F8" s="196"/>
      <c r="G8" s="1242"/>
      <c r="H8" s="1186"/>
      <c r="I8" s="1271"/>
      <c r="J8" s="199" t="s">
        <v>27</v>
      </c>
      <c r="K8" s="200" t="s">
        <v>44</v>
      </c>
      <c r="L8" s="201">
        <v>45747</v>
      </c>
      <c r="M8" s="202">
        <v>45759</v>
      </c>
      <c r="N8" s="203" t="s">
        <v>29</v>
      </c>
      <c r="O8" s="204">
        <f t="shared" si="0"/>
        <v>12</v>
      </c>
      <c r="P8" s="205">
        <f>_xlfn.DAYS(M8,H6)</f>
        <v>-3</v>
      </c>
      <c r="Q8" s="1215"/>
      <c r="R8" s="207" t="s">
        <v>27</v>
      </c>
      <c r="S8" s="162" t="s">
        <v>45</v>
      </c>
      <c r="T8" s="162"/>
      <c r="U8" s="162"/>
      <c r="V8" s="208" t="s">
        <v>46</v>
      </c>
      <c r="W8" s="162"/>
      <c r="X8" s="1215"/>
    </row>
    <row r="9" spans="2:27" ht="14.45">
      <c r="B9" s="1209"/>
      <c r="C9" s="1269"/>
      <c r="D9" s="1116"/>
      <c r="E9" s="1189"/>
      <c r="F9" s="196"/>
      <c r="G9" s="1242"/>
      <c r="H9" s="1186"/>
      <c r="I9" s="1271"/>
      <c r="J9" s="199" t="s">
        <v>27</v>
      </c>
      <c r="K9" s="200" t="s">
        <v>47</v>
      </c>
      <c r="L9" s="201">
        <v>45747</v>
      </c>
      <c r="M9" s="202">
        <v>45759</v>
      </c>
      <c r="N9" s="203" t="s">
        <v>29</v>
      </c>
      <c r="O9" s="204">
        <f t="shared" si="0"/>
        <v>12</v>
      </c>
      <c r="P9" s="205">
        <f>_xlfn.DAYS(M9,H6)</f>
        <v>-3</v>
      </c>
      <c r="Q9" s="1215"/>
      <c r="R9" s="207" t="s">
        <v>27</v>
      </c>
      <c r="S9" s="162" t="s">
        <v>48</v>
      </c>
      <c r="T9" s="162"/>
      <c r="U9" s="162"/>
      <c r="V9" s="208" t="s">
        <v>29</v>
      </c>
      <c r="W9" s="162"/>
      <c r="X9" s="1215"/>
      <c r="Z9" s="955" t="s">
        <v>26</v>
      </c>
      <c r="AA9" s="955" t="s">
        <v>49</v>
      </c>
    </row>
    <row r="10" spans="2:27" ht="14.45">
      <c r="B10" s="1209"/>
      <c r="C10" s="1269"/>
      <c r="D10" s="1116"/>
      <c r="E10" s="1189"/>
      <c r="F10" s="196"/>
      <c r="G10" s="1242"/>
      <c r="H10" s="1186"/>
      <c r="I10" s="1271"/>
      <c r="J10" s="199" t="s">
        <v>27</v>
      </c>
      <c r="K10" s="200" t="s">
        <v>50</v>
      </c>
      <c r="L10" s="201">
        <v>45748</v>
      </c>
      <c r="M10" s="209">
        <v>45761</v>
      </c>
      <c r="N10" s="203" t="s">
        <v>29</v>
      </c>
      <c r="O10" s="210">
        <f t="shared" si="0"/>
        <v>13</v>
      </c>
      <c r="P10" s="205">
        <f>_xlfn.DAYS(M10,H6)</f>
        <v>-1</v>
      </c>
      <c r="Q10" s="1215"/>
      <c r="R10" s="211" t="s">
        <v>40</v>
      </c>
      <c r="S10" s="162" t="s">
        <v>51</v>
      </c>
      <c r="T10" s="162"/>
      <c r="U10" s="162"/>
      <c r="V10" s="208" t="s">
        <v>29</v>
      </c>
      <c r="W10" s="162"/>
      <c r="X10" s="1215"/>
      <c r="Z10" s="956" t="s">
        <v>52</v>
      </c>
      <c r="AA10" s="955" t="s">
        <v>53</v>
      </c>
    </row>
    <row r="11" spans="2:27" ht="14.45">
      <c r="B11" s="1209"/>
      <c r="C11" s="1269"/>
      <c r="D11" s="1116"/>
      <c r="E11" s="1189"/>
      <c r="F11" s="196"/>
      <c r="G11" s="1242"/>
      <c r="H11" s="1186"/>
      <c r="I11" s="1271"/>
      <c r="J11" s="199" t="s">
        <v>27</v>
      </c>
      <c r="K11" s="200" t="s">
        <v>54</v>
      </c>
      <c r="L11" s="154">
        <v>45748</v>
      </c>
      <c r="M11" s="155">
        <v>45751</v>
      </c>
      <c r="N11" s="203" t="s">
        <v>29</v>
      </c>
      <c r="O11" s="204">
        <f t="shared" si="0"/>
        <v>3</v>
      </c>
      <c r="P11" s="205">
        <f>_xlfn.DAYS(M11,H6)</f>
        <v>-11</v>
      </c>
      <c r="Q11" s="1215"/>
      <c r="R11" s="211" t="s">
        <v>27</v>
      </c>
      <c r="S11" s="162" t="s">
        <v>55</v>
      </c>
      <c r="T11" s="162"/>
      <c r="U11" s="162"/>
      <c r="V11" s="208" t="s">
        <v>29</v>
      </c>
      <c r="W11" s="162"/>
      <c r="X11" s="1215"/>
      <c r="Z11" s="957" t="s">
        <v>56</v>
      </c>
      <c r="AA11" s="955" t="s">
        <v>57</v>
      </c>
    </row>
    <row r="12" spans="2:27" ht="14.45">
      <c r="B12" s="1209"/>
      <c r="C12" s="1269"/>
      <c r="D12" s="1116"/>
      <c r="E12" s="1189"/>
      <c r="F12" s="196"/>
      <c r="G12" s="1242"/>
      <c r="H12" s="1186"/>
      <c r="I12" s="1271"/>
      <c r="J12" s="199" t="s">
        <v>27</v>
      </c>
      <c r="K12" s="156" t="s">
        <v>58</v>
      </c>
      <c r="L12" s="212">
        <v>45748</v>
      </c>
      <c r="M12" s="83">
        <v>45754</v>
      </c>
      <c r="N12" s="213" t="s">
        <v>29</v>
      </c>
      <c r="O12" s="204">
        <f t="shared" si="0"/>
        <v>6</v>
      </c>
      <c r="P12" s="205">
        <f>_xlfn.DAYS(M12,H6)</f>
        <v>-8</v>
      </c>
      <c r="Q12" s="1215"/>
      <c r="R12" s="211" t="s">
        <v>27</v>
      </c>
      <c r="S12" s="162" t="s">
        <v>59</v>
      </c>
      <c r="T12" s="162"/>
      <c r="U12" s="162"/>
      <c r="V12" s="208" t="s">
        <v>29</v>
      </c>
      <c r="W12" s="162"/>
      <c r="X12" s="1215"/>
      <c r="Z12" s="958" t="s">
        <v>60</v>
      </c>
      <c r="AA12" s="955" t="s">
        <v>61</v>
      </c>
    </row>
    <row r="13" spans="2:27" ht="14.45">
      <c r="B13" s="1209"/>
      <c r="C13" s="1269"/>
      <c r="D13" s="1116"/>
      <c r="E13" s="1189"/>
      <c r="F13" s="196"/>
      <c r="G13" s="1242"/>
      <c r="H13" s="1186"/>
      <c r="I13" s="1271"/>
      <c r="J13" s="214" t="s">
        <v>27</v>
      </c>
      <c r="K13" s="78" t="s">
        <v>62</v>
      </c>
      <c r="L13" s="215">
        <v>45749</v>
      </c>
      <c r="M13" s="216">
        <v>45756</v>
      </c>
      <c r="N13" s="213" t="s">
        <v>29</v>
      </c>
      <c r="O13" s="204">
        <f t="shared" si="0"/>
        <v>7</v>
      </c>
      <c r="P13" s="205">
        <f>_xlfn.DAYS(M13,H6)</f>
        <v>-6</v>
      </c>
      <c r="Q13" s="1215"/>
      <c r="R13" s="211" t="s">
        <v>27</v>
      </c>
      <c r="S13" s="162" t="s">
        <v>63</v>
      </c>
      <c r="T13" s="162"/>
      <c r="U13" s="162"/>
      <c r="V13" s="208" t="s">
        <v>29</v>
      </c>
      <c r="W13" s="162"/>
      <c r="X13" s="1215"/>
    </row>
    <row r="14" spans="2:27" ht="15.6">
      <c r="B14" s="1209"/>
      <c r="C14" s="1269"/>
      <c r="D14" s="1116"/>
      <c r="E14" s="1189"/>
      <c r="F14" s="196"/>
      <c r="G14" s="1242"/>
      <c r="H14" s="1186"/>
      <c r="I14" s="1271"/>
      <c r="J14" s="214" t="s">
        <v>40</v>
      </c>
      <c r="K14" s="78" t="s">
        <v>64</v>
      </c>
      <c r="L14" s="215">
        <v>45750</v>
      </c>
      <c r="M14" s="217">
        <v>45761</v>
      </c>
      <c r="N14" s="213" t="s">
        <v>29</v>
      </c>
      <c r="O14" s="204">
        <f t="shared" si="0"/>
        <v>11</v>
      </c>
      <c r="P14" s="205">
        <f>_xlfn.DAYS(M14,H6)</f>
        <v>-1</v>
      </c>
      <c r="Q14" s="1215"/>
      <c r="R14" s="211" t="s">
        <v>27</v>
      </c>
      <c r="S14" s="162" t="s">
        <v>65</v>
      </c>
      <c r="T14" s="162"/>
      <c r="U14" s="162"/>
      <c r="V14" s="208" t="s">
        <v>29</v>
      </c>
      <c r="W14" s="162"/>
      <c r="X14" s="1215"/>
      <c r="Z14" s="954" t="s">
        <v>66</v>
      </c>
    </row>
    <row r="15" spans="2:27" ht="14.45">
      <c r="B15" s="1209"/>
      <c r="C15" s="1269"/>
      <c r="D15" s="1116"/>
      <c r="E15" s="1189"/>
      <c r="F15" s="196"/>
      <c r="G15" s="1242"/>
      <c r="H15" s="1186"/>
      <c r="I15" s="1273"/>
      <c r="J15" s="152"/>
      <c r="K15" s="153"/>
      <c r="L15" s="154"/>
      <c r="M15" s="155"/>
      <c r="N15" s="153"/>
      <c r="O15" s="149">
        <f t="shared" si="0"/>
        <v>0</v>
      </c>
      <c r="P15" s="149"/>
      <c r="Q15" s="1216"/>
      <c r="R15" s="219" t="s">
        <v>27</v>
      </c>
      <c r="S15" s="220" t="s">
        <v>67</v>
      </c>
      <c r="T15" s="220"/>
      <c r="U15" s="220"/>
      <c r="V15" s="161" t="s">
        <v>29</v>
      </c>
      <c r="W15" s="221"/>
      <c r="X15" s="1216"/>
    </row>
    <row r="16" spans="2:27" ht="14.45">
      <c r="B16" s="1256" t="s">
        <v>33</v>
      </c>
      <c r="C16" s="1113" t="s">
        <v>68</v>
      </c>
      <c r="D16" s="1105" t="s">
        <v>35</v>
      </c>
      <c r="E16" s="1261" t="s">
        <v>69</v>
      </c>
      <c r="F16" s="223" t="s">
        <v>24</v>
      </c>
      <c r="G16" s="1263" t="s">
        <v>25</v>
      </c>
      <c r="H16" s="1265">
        <v>45762</v>
      </c>
      <c r="I16" s="1271"/>
      <c r="J16" s="224" t="s">
        <v>27</v>
      </c>
      <c r="K16" s="225" t="s">
        <v>70</v>
      </c>
      <c r="L16" s="226">
        <v>45743</v>
      </c>
      <c r="M16" s="227">
        <v>45759</v>
      </c>
      <c r="N16" s="225" t="s">
        <v>29</v>
      </c>
      <c r="O16" s="188">
        <f t="shared" si="0"/>
        <v>16</v>
      </c>
      <c r="P16" s="188">
        <f t="shared" ref="P16:P67" si="1">_xlfn.DAYS(M16,H16)</f>
        <v>-3</v>
      </c>
      <c r="Q16" s="1215" t="s">
        <v>26</v>
      </c>
      <c r="R16" s="228" t="s">
        <v>40</v>
      </c>
      <c r="S16" s="229" t="s">
        <v>71</v>
      </c>
      <c r="T16" s="229"/>
      <c r="U16" s="229"/>
      <c r="V16" s="191" t="s">
        <v>46</v>
      </c>
      <c r="W16" s="162"/>
      <c r="X16" s="1215"/>
      <c r="Z16" s="956" t="s">
        <v>29</v>
      </c>
      <c r="AA16" s="955" t="s">
        <v>72</v>
      </c>
    </row>
    <row r="17" spans="2:27" ht="14.45">
      <c r="B17" s="1209"/>
      <c r="C17" s="1114"/>
      <c r="D17" s="1116"/>
      <c r="E17" s="1262"/>
      <c r="F17" s="231"/>
      <c r="G17" s="1264"/>
      <c r="H17" s="1266"/>
      <c r="I17" s="1255"/>
      <c r="J17" s="78" t="s">
        <v>27</v>
      </c>
      <c r="K17" s="53" t="s">
        <v>73</v>
      </c>
      <c r="L17" s="232">
        <v>45757</v>
      </c>
      <c r="M17" s="233">
        <v>45777</v>
      </c>
      <c r="N17" s="234" t="s">
        <v>29</v>
      </c>
      <c r="O17" s="210">
        <f t="shared" si="0"/>
        <v>20</v>
      </c>
      <c r="P17" s="235">
        <f>_xlfn.DAYS(M17,H16)</f>
        <v>15</v>
      </c>
      <c r="Q17" s="1215"/>
      <c r="R17" s="207" t="s">
        <v>40</v>
      </c>
      <c r="S17" s="162" t="s">
        <v>74</v>
      </c>
      <c r="T17" s="162"/>
      <c r="U17" s="162"/>
      <c r="V17" s="208" t="s">
        <v>29</v>
      </c>
      <c r="W17" s="162"/>
      <c r="X17" s="1215"/>
      <c r="Z17" s="959" t="s">
        <v>46</v>
      </c>
      <c r="AA17" s="955" t="s">
        <v>75</v>
      </c>
    </row>
    <row r="18" spans="2:27" ht="14.45">
      <c r="B18" s="1209"/>
      <c r="C18" s="1114"/>
      <c r="D18" s="1116"/>
      <c r="E18" s="1262"/>
      <c r="F18" s="236"/>
      <c r="G18" s="1264"/>
      <c r="H18" s="1266"/>
      <c r="I18" s="1221"/>
      <c r="J18" s="152"/>
      <c r="K18" s="153"/>
      <c r="L18" s="154"/>
      <c r="M18" s="155"/>
      <c r="N18" s="153"/>
      <c r="O18" s="149"/>
      <c r="P18" s="149"/>
      <c r="Q18" s="1216"/>
      <c r="R18" s="238" t="s">
        <v>27</v>
      </c>
      <c r="S18" s="220" t="s">
        <v>76</v>
      </c>
      <c r="T18" s="220"/>
      <c r="U18" s="220"/>
      <c r="V18" s="161" t="s">
        <v>29</v>
      </c>
      <c r="W18" s="221"/>
      <c r="X18" s="1216"/>
      <c r="Z18" s="960" t="s">
        <v>77</v>
      </c>
      <c r="AA18" s="961" t="s">
        <v>78</v>
      </c>
    </row>
    <row r="19" spans="2:27" ht="14.45">
      <c r="B19" s="1256" t="s">
        <v>33</v>
      </c>
      <c r="C19" s="1113" t="s">
        <v>79</v>
      </c>
      <c r="D19" s="1105" t="s">
        <v>35</v>
      </c>
      <c r="E19" s="1188" t="s">
        <v>80</v>
      </c>
      <c r="F19" s="182" t="s">
        <v>81</v>
      </c>
      <c r="G19" s="1263" t="s">
        <v>25</v>
      </c>
      <c r="H19" s="1213">
        <v>45769</v>
      </c>
      <c r="I19" s="240"/>
      <c r="J19" s="241" t="s">
        <v>27</v>
      </c>
      <c r="K19" s="242" t="s">
        <v>82</v>
      </c>
      <c r="L19" s="226">
        <v>45757</v>
      </c>
      <c r="M19" s="227">
        <v>45770</v>
      </c>
      <c r="N19" s="225" t="s">
        <v>29</v>
      </c>
      <c r="O19" s="188">
        <f t="shared" si="0"/>
        <v>13</v>
      </c>
      <c r="P19" s="188">
        <f t="shared" si="1"/>
        <v>1</v>
      </c>
      <c r="Q19" s="1215" t="s">
        <v>26</v>
      </c>
      <c r="R19" s="228" t="s">
        <v>27</v>
      </c>
      <c r="S19" s="243" t="s">
        <v>83</v>
      </c>
      <c r="T19" s="243"/>
      <c r="U19" s="243"/>
      <c r="V19" s="191" t="s">
        <v>29</v>
      </c>
      <c r="W19" s="162"/>
      <c r="X19" s="1215"/>
      <c r="Z19" s="962" t="s">
        <v>84</v>
      </c>
      <c r="AA19" s="847" t="s">
        <v>85</v>
      </c>
    </row>
    <row r="20" spans="2:27" ht="14.45">
      <c r="B20" s="1209"/>
      <c r="C20" s="1114"/>
      <c r="D20" s="1116"/>
      <c r="E20" s="1189"/>
      <c r="F20" s="197"/>
      <c r="G20" s="1264"/>
      <c r="H20" s="1186"/>
      <c r="I20" s="244"/>
      <c r="J20" s="152" t="s">
        <v>27</v>
      </c>
      <c r="K20" s="156" t="s">
        <v>86</v>
      </c>
      <c r="L20" s="212">
        <v>45757</v>
      </c>
      <c r="M20" s="83">
        <v>45770</v>
      </c>
      <c r="N20" s="245" t="s">
        <v>29</v>
      </c>
      <c r="O20" s="204">
        <f t="shared" si="0"/>
        <v>13</v>
      </c>
      <c r="P20" s="205">
        <f>_xlfn.DAYS(M20,H19)</f>
        <v>1</v>
      </c>
      <c r="Q20" s="1215"/>
      <c r="R20" s="238" t="s">
        <v>27</v>
      </c>
      <c r="S20" s="167" t="s">
        <v>87</v>
      </c>
      <c r="T20" s="167"/>
      <c r="U20" s="167"/>
      <c r="V20" s="170" t="s">
        <v>29</v>
      </c>
      <c r="W20" s="162"/>
      <c r="X20" s="1215"/>
      <c r="Z20" s="963" t="s">
        <v>84</v>
      </c>
      <c r="AA20" s="964" t="s">
        <v>88</v>
      </c>
    </row>
    <row r="21" spans="2:27" ht="14.45">
      <c r="B21" s="1209"/>
      <c r="C21" s="1114"/>
      <c r="D21" s="1116"/>
      <c r="E21" s="1189"/>
      <c r="F21" s="197"/>
      <c r="G21" s="1264"/>
      <c r="H21" s="1186"/>
      <c r="I21" s="244"/>
      <c r="J21" s="163" t="s">
        <v>27</v>
      </c>
      <c r="K21" s="246" t="s">
        <v>73</v>
      </c>
      <c r="L21" s="212">
        <v>45757</v>
      </c>
      <c r="M21" s="247">
        <v>45777</v>
      </c>
      <c r="N21" s="248" t="s">
        <v>29</v>
      </c>
      <c r="O21" s="210">
        <f t="shared" si="0"/>
        <v>20</v>
      </c>
      <c r="P21" s="235">
        <f>_xlfn.DAYS(M21,H19)</f>
        <v>8</v>
      </c>
      <c r="Q21" s="1215"/>
      <c r="R21" s="238" t="s">
        <v>40</v>
      </c>
      <c r="S21" s="167" t="s">
        <v>89</v>
      </c>
      <c r="T21" s="167"/>
      <c r="U21" s="167"/>
      <c r="V21" s="170" t="s">
        <v>46</v>
      </c>
      <c r="W21" s="162"/>
      <c r="X21" s="1215"/>
      <c r="Z21" s="965" t="s">
        <v>90</v>
      </c>
      <c r="AA21" s="964" t="s">
        <v>91</v>
      </c>
    </row>
    <row r="22" spans="2:27" ht="14.45">
      <c r="B22" s="1209"/>
      <c r="C22" s="1114"/>
      <c r="D22" s="1116"/>
      <c r="E22" s="1189"/>
      <c r="F22" s="197"/>
      <c r="G22" s="1264"/>
      <c r="H22" s="1186"/>
      <c r="I22" s="244"/>
      <c r="J22" s="163" t="s">
        <v>40</v>
      </c>
      <c r="K22" s="78" t="s">
        <v>64</v>
      </c>
      <c r="L22" s="215">
        <v>45750</v>
      </c>
      <c r="M22" s="216">
        <v>45761</v>
      </c>
      <c r="N22" s="245" t="s">
        <v>29</v>
      </c>
      <c r="O22" s="204">
        <f t="shared" si="0"/>
        <v>11</v>
      </c>
      <c r="P22" s="205">
        <f>_xlfn.DAYS(M22,H19)</f>
        <v>-8</v>
      </c>
      <c r="Q22" s="1215"/>
      <c r="R22" s="238" t="s">
        <v>40</v>
      </c>
      <c r="S22" s="249" t="s">
        <v>92</v>
      </c>
      <c r="T22" s="250"/>
      <c r="U22" s="250"/>
      <c r="V22" s="170"/>
      <c r="W22" s="162"/>
      <c r="X22" s="1215"/>
    </row>
    <row r="23" spans="2:27" ht="14.45">
      <c r="B23" s="1209"/>
      <c r="C23" s="1114"/>
      <c r="D23" s="1116"/>
      <c r="E23" s="1189"/>
      <c r="F23" s="197"/>
      <c r="G23" s="1264"/>
      <c r="H23" s="1186"/>
      <c r="I23" s="244"/>
      <c r="J23" s="163" t="s">
        <v>40</v>
      </c>
      <c r="K23" s="203" t="s">
        <v>41</v>
      </c>
      <c r="L23" s="212">
        <v>45747</v>
      </c>
      <c r="M23" s="83">
        <v>45758</v>
      </c>
      <c r="N23" s="245" t="s">
        <v>29</v>
      </c>
      <c r="O23" s="204">
        <f t="shared" si="0"/>
        <v>11</v>
      </c>
      <c r="P23" s="205">
        <f>_xlfn.DAYS(M23,H19)</f>
        <v>-11</v>
      </c>
      <c r="Q23" s="1215"/>
      <c r="R23" s="238"/>
      <c r="S23" s="250"/>
      <c r="T23" s="250"/>
      <c r="U23" s="250"/>
      <c r="V23" s="170"/>
      <c r="W23" s="162"/>
      <c r="X23" s="1215"/>
    </row>
    <row r="24" spans="2:27" ht="14.45">
      <c r="B24" s="1209"/>
      <c r="C24" s="1114"/>
      <c r="D24" s="1116"/>
      <c r="E24" s="1189"/>
      <c r="F24" s="197"/>
      <c r="G24" s="1264"/>
      <c r="H24" s="1186"/>
      <c r="I24" s="244"/>
      <c r="J24" s="163" t="s">
        <v>27</v>
      </c>
      <c r="K24" s="251" t="s">
        <v>93</v>
      </c>
      <c r="L24" s="215">
        <v>45762</v>
      </c>
      <c r="M24" s="216">
        <v>45776</v>
      </c>
      <c r="N24" s="245" t="s">
        <v>29</v>
      </c>
      <c r="O24" s="204">
        <f t="shared" si="0"/>
        <v>14</v>
      </c>
      <c r="P24" s="205">
        <f>_xlfn.DAYS(M24,H19)</f>
        <v>7</v>
      </c>
      <c r="Q24" s="1215"/>
      <c r="R24" s="238"/>
      <c r="S24" s="250"/>
      <c r="T24" s="250"/>
      <c r="U24" s="250"/>
      <c r="V24" s="170"/>
      <c r="W24" s="162"/>
      <c r="X24" s="1215"/>
    </row>
    <row r="25" spans="2:27" ht="14.45">
      <c r="B25" s="1209"/>
      <c r="C25" s="1114"/>
      <c r="D25" s="1116"/>
      <c r="E25" s="1189"/>
      <c r="F25" s="197"/>
      <c r="G25" s="1264"/>
      <c r="H25" s="1186"/>
      <c r="I25" s="244"/>
      <c r="J25" s="163" t="s">
        <v>40</v>
      </c>
      <c r="K25" s="252" t="s">
        <v>94</v>
      </c>
      <c r="L25" s="253">
        <v>45761</v>
      </c>
      <c r="M25" s="254">
        <v>45777</v>
      </c>
      <c r="N25" s="245" t="s">
        <v>29</v>
      </c>
      <c r="O25" s="204">
        <f>_xlfn.DAYS(M25,L25)</f>
        <v>16</v>
      </c>
      <c r="P25" s="235">
        <f>_xlfn.DAYS(M25,H19)</f>
        <v>8</v>
      </c>
      <c r="Q25" s="1215"/>
      <c r="R25" s="238"/>
      <c r="S25" s="250"/>
      <c r="T25" s="250"/>
      <c r="U25" s="250"/>
      <c r="V25" s="170"/>
      <c r="W25" s="162"/>
      <c r="X25" s="1215"/>
    </row>
    <row r="26" spans="2:27" ht="15" customHeight="1">
      <c r="B26" s="1209"/>
      <c r="C26" s="1114"/>
      <c r="D26" s="1116"/>
      <c r="E26" s="1189"/>
      <c r="F26" s="255"/>
      <c r="G26" s="1267"/>
      <c r="H26" s="1186"/>
      <c r="I26" s="244"/>
      <c r="J26" s="163" t="s">
        <v>27</v>
      </c>
      <c r="K26" s="153" t="s">
        <v>50</v>
      </c>
      <c r="L26" s="154">
        <v>45748</v>
      </c>
      <c r="M26" s="155">
        <v>45761</v>
      </c>
      <c r="N26" s="164" t="s">
        <v>29</v>
      </c>
      <c r="O26" s="149">
        <f>_xlfn.DAYS(L26,M26)</f>
        <v>-13</v>
      </c>
      <c r="P26" s="149">
        <f>_xlfn.DAYS(M26,H19)</f>
        <v>-8</v>
      </c>
      <c r="Q26" s="1216"/>
      <c r="R26" s="238" t="s">
        <v>27</v>
      </c>
      <c r="S26" s="127" t="s">
        <v>95</v>
      </c>
      <c r="T26" s="127"/>
      <c r="U26" s="127"/>
      <c r="V26" s="170" t="s">
        <v>29</v>
      </c>
      <c r="W26" s="221"/>
      <c r="X26" s="1216"/>
    </row>
    <row r="27" spans="2:27" ht="18" customHeight="1">
      <c r="B27" s="256" t="s">
        <v>96</v>
      </c>
      <c r="C27" s="257" t="s">
        <v>97</v>
      </c>
      <c r="D27" s="258" t="s">
        <v>98</v>
      </c>
      <c r="E27" s="259" t="s">
        <v>99</v>
      </c>
      <c r="F27" s="260"/>
      <c r="G27" s="260"/>
      <c r="H27" s="183">
        <v>45702</v>
      </c>
      <c r="I27" s="261"/>
      <c r="J27" s="224"/>
      <c r="K27" s="225"/>
      <c r="L27" s="226"/>
      <c r="M27" s="227"/>
      <c r="N27" s="225"/>
      <c r="O27" s="188"/>
      <c r="P27" s="188"/>
      <c r="Q27" s="206"/>
      <c r="R27" s="228" t="s">
        <v>27</v>
      </c>
      <c r="S27" s="225" t="s">
        <v>100</v>
      </c>
      <c r="T27" s="225"/>
      <c r="U27" s="225"/>
      <c r="V27" s="262" t="s">
        <v>29</v>
      </c>
      <c r="W27" s="221"/>
      <c r="X27" s="206"/>
    </row>
    <row r="28" spans="2:27" ht="18" customHeight="1">
      <c r="B28" s="1207" t="s">
        <v>101</v>
      </c>
      <c r="C28" s="1191" t="s">
        <v>102</v>
      </c>
      <c r="D28" s="1205" t="s">
        <v>103</v>
      </c>
      <c r="E28" s="1157" t="s">
        <v>104</v>
      </c>
      <c r="F28" s="258"/>
      <c r="G28" s="1205"/>
      <c r="H28" s="1213"/>
      <c r="I28" s="263"/>
      <c r="J28" s="184"/>
      <c r="K28" s="185"/>
      <c r="L28" s="186"/>
      <c r="M28" s="187"/>
      <c r="N28" s="185"/>
      <c r="O28" s="264"/>
      <c r="P28" s="264"/>
      <c r="Q28" s="265"/>
      <c r="R28" s="190" t="s">
        <v>40</v>
      </c>
      <c r="S28" s="185" t="s">
        <v>105</v>
      </c>
      <c r="T28" s="185"/>
      <c r="U28" s="185"/>
      <c r="V28" s="266"/>
      <c r="W28" s="162"/>
      <c r="X28" s="265"/>
    </row>
    <row r="29" spans="2:27" ht="18" customHeight="1">
      <c r="B29" s="1231"/>
      <c r="C29" s="1232"/>
      <c r="D29" s="1233"/>
      <c r="E29" s="1234"/>
      <c r="F29" s="268"/>
      <c r="G29" s="1233"/>
      <c r="H29" s="1187"/>
      <c r="I29" s="271"/>
      <c r="J29" s="272"/>
      <c r="K29" s="273"/>
      <c r="L29" s="274"/>
      <c r="M29" s="275"/>
      <c r="N29" s="273"/>
      <c r="O29" s="276"/>
      <c r="P29" s="276"/>
      <c r="Q29" s="277"/>
      <c r="R29" s="278" t="s">
        <v>40</v>
      </c>
      <c r="S29" s="273" t="s">
        <v>106</v>
      </c>
      <c r="T29" s="273"/>
      <c r="U29" s="273"/>
      <c r="V29" s="279"/>
      <c r="W29" s="221"/>
      <c r="X29" s="277"/>
    </row>
    <row r="30" spans="2:27" ht="15.75" customHeight="1">
      <c r="B30" s="1246" t="s">
        <v>107</v>
      </c>
      <c r="C30" s="1192" t="s">
        <v>108</v>
      </c>
      <c r="D30" s="1206" t="s">
        <v>109</v>
      </c>
      <c r="E30" s="1158" t="s">
        <v>110</v>
      </c>
      <c r="F30" s="281" t="s">
        <v>111</v>
      </c>
      <c r="G30" s="1177" t="s">
        <v>25</v>
      </c>
      <c r="H30" s="1284" t="s">
        <v>112</v>
      </c>
      <c r="I30" s="1230"/>
      <c r="J30" s="152"/>
      <c r="K30" s="153"/>
      <c r="L30" s="154"/>
      <c r="M30" s="283"/>
      <c r="N30" s="284"/>
      <c r="O30" s="149"/>
      <c r="P30" s="149"/>
      <c r="Q30" s="1275"/>
      <c r="R30" s="285" t="s">
        <v>40</v>
      </c>
      <c r="S30" s="286"/>
      <c r="T30" s="286"/>
      <c r="U30" s="286"/>
      <c r="V30" s="208"/>
      <c r="W30" s="162"/>
      <c r="X30" s="1281"/>
    </row>
    <row r="31" spans="2:27" ht="15.75" customHeight="1">
      <c r="B31" s="1247"/>
      <c r="C31" s="1192"/>
      <c r="D31" s="1206"/>
      <c r="E31" s="1158"/>
      <c r="F31" s="281"/>
      <c r="G31" s="1177"/>
      <c r="H31" s="1284"/>
      <c r="I31" s="1255"/>
      <c r="J31" s="66"/>
      <c r="K31" s="53"/>
      <c r="L31" s="232"/>
      <c r="M31" s="287"/>
      <c r="N31" s="288"/>
      <c r="O31" s="204"/>
      <c r="P31" s="205"/>
      <c r="Q31" s="1275"/>
      <c r="R31" s="289" t="s">
        <v>27</v>
      </c>
      <c r="S31" s="118"/>
      <c r="T31" s="118"/>
      <c r="U31" s="118"/>
      <c r="V31" s="290"/>
      <c r="W31" s="162"/>
      <c r="X31" s="1281"/>
    </row>
    <row r="32" spans="2:27" ht="15" customHeight="1">
      <c r="B32" s="1247"/>
      <c r="C32" s="1192"/>
      <c r="D32" s="1206"/>
      <c r="E32" s="1234"/>
      <c r="F32" s="291"/>
      <c r="G32" s="1177"/>
      <c r="H32" s="1285"/>
      <c r="I32" s="1280"/>
      <c r="J32" s="66"/>
      <c r="K32" s="53"/>
      <c r="L32" s="232"/>
      <c r="M32" s="287"/>
      <c r="N32" s="288"/>
      <c r="O32" s="204"/>
      <c r="P32" s="205"/>
      <c r="Q32" s="1275"/>
      <c r="R32" s="292" t="s">
        <v>27</v>
      </c>
      <c r="S32" s="118"/>
      <c r="T32" s="118"/>
      <c r="U32" s="118"/>
      <c r="V32" s="290"/>
      <c r="W32" s="162"/>
      <c r="X32" s="1281"/>
    </row>
    <row r="33" spans="2:24" ht="14.45">
      <c r="B33" s="1247"/>
      <c r="C33" s="1192"/>
      <c r="D33" s="1206"/>
      <c r="E33" s="1158" t="s">
        <v>113</v>
      </c>
      <c r="F33" s="281" t="s">
        <v>81</v>
      </c>
      <c r="G33" s="1177"/>
      <c r="H33" s="1284" t="s">
        <v>112</v>
      </c>
      <c r="I33" s="1255"/>
      <c r="J33" s="66"/>
      <c r="K33" s="53"/>
      <c r="L33" s="232"/>
      <c r="M33" s="287"/>
      <c r="N33" s="288"/>
      <c r="O33" s="204"/>
      <c r="P33" s="205"/>
      <c r="Q33" s="1275"/>
      <c r="R33" s="292" t="s">
        <v>40</v>
      </c>
      <c r="S33" s="118"/>
      <c r="T33" s="118"/>
      <c r="U33" s="118"/>
      <c r="V33" s="290"/>
      <c r="W33" s="162"/>
      <c r="X33" s="1281"/>
    </row>
    <row r="34" spans="2:24" ht="14.45">
      <c r="B34" s="1248"/>
      <c r="C34" s="1232"/>
      <c r="D34" s="1233"/>
      <c r="E34" s="1234"/>
      <c r="F34" s="291"/>
      <c r="G34" s="1178"/>
      <c r="H34" s="1285"/>
      <c r="I34" s="1279"/>
      <c r="J34" s="294"/>
      <c r="K34" s="295"/>
      <c r="L34" s="296"/>
      <c r="M34" s="297"/>
      <c r="N34" s="298"/>
      <c r="O34" s="286"/>
      <c r="P34" s="286"/>
      <c r="Q34" s="1276"/>
      <c r="R34" s="299" t="s">
        <v>27</v>
      </c>
      <c r="S34" s="300"/>
      <c r="T34" s="300"/>
      <c r="U34" s="300"/>
      <c r="V34" s="301"/>
      <c r="W34" s="162"/>
      <c r="X34" s="1282"/>
    </row>
    <row r="35" spans="2:24" ht="14.45">
      <c r="B35" s="1250" t="s">
        <v>114</v>
      </c>
      <c r="C35" s="1254" t="s">
        <v>115</v>
      </c>
      <c r="D35" s="1249" t="s">
        <v>116</v>
      </c>
      <c r="E35" s="1243" t="s">
        <v>117</v>
      </c>
      <c r="F35" s="303"/>
      <c r="G35" s="1176"/>
      <c r="H35" s="1283">
        <v>45705</v>
      </c>
      <c r="I35" s="1274"/>
      <c r="J35" s="152"/>
      <c r="K35" s="153"/>
      <c r="L35" s="154"/>
      <c r="M35" s="155"/>
      <c r="N35" s="156"/>
      <c r="O35" s="188"/>
      <c r="P35" s="188"/>
      <c r="Q35" s="1277" t="s">
        <v>118</v>
      </c>
      <c r="R35" s="304" t="s">
        <v>40</v>
      </c>
      <c r="S35" s="305" t="s">
        <v>119</v>
      </c>
      <c r="T35" s="306"/>
      <c r="U35" s="306"/>
      <c r="V35" s="307" t="s">
        <v>29</v>
      </c>
      <c r="W35" s="162"/>
      <c r="X35" s="1277"/>
    </row>
    <row r="36" spans="2:24" ht="14.45">
      <c r="B36" s="1251"/>
      <c r="C36" s="1192"/>
      <c r="D36" s="1206"/>
      <c r="E36" s="1158"/>
      <c r="F36" s="175"/>
      <c r="G36" s="1177"/>
      <c r="H36" s="1283"/>
      <c r="I36" s="1255"/>
      <c r="J36" s="66"/>
      <c r="K36" s="53"/>
      <c r="L36" s="212"/>
      <c r="M36" s="83"/>
      <c r="N36" s="288"/>
      <c r="O36" s="204"/>
      <c r="P36" s="205"/>
      <c r="Q36" s="1278"/>
      <c r="R36" s="292" t="s">
        <v>27</v>
      </c>
      <c r="S36" s="200" t="s">
        <v>120</v>
      </c>
      <c r="T36" s="200"/>
      <c r="U36" s="200"/>
      <c r="V36" s="308" t="s">
        <v>29</v>
      </c>
      <c r="W36" s="162"/>
      <c r="X36" s="1278"/>
    </row>
    <row r="37" spans="2:24" ht="14.45">
      <c r="B37" s="1251"/>
      <c r="C37" s="1192"/>
      <c r="D37" s="1206"/>
      <c r="E37" s="1158"/>
      <c r="F37" s="175"/>
      <c r="G37" s="1177"/>
      <c r="H37" s="1283"/>
      <c r="I37" s="1255"/>
      <c r="J37" s="66"/>
      <c r="K37" s="53"/>
      <c r="L37" s="212"/>
      <c r="M37" s="83"/>
      <c r="N37" s="288"/>
      <c r="O37" s="204"/>
      <c r="P37" s="205"/>
      <c r="Q37" s="1278"/>
      <c r="R37" s="292" t="s">
        <v>27</v>
      </c>
      <c r="S37" s="309" t="s">
        <v>121</v>
      </c>
      <c r="T37" s="309"/>
      <c r="U37" s="309"/>
      <c r="V37" s="308" t="s">
        <v>29</v>
      </c>
      <c r="W37" s="162"/>
      <c r="X37" s="1278"/>
    </row>
    <row r="38" spans="2:24" ht="14.45">
      <c r="B38" s="1251"/>
      <c r="C38" s="1192"/>
      <c r="D38" s="1206"/>
      <c r="E38" s="1158"/>
      <c r="F38" s="175"/>
      <c r="G38" s="1177"/>
      <c r="H38" s="1283"/>
      <c r="I38" s="1255"/>
      <c r="J38" s="66"/>
      <c r="K38" s="53"/>
      <c r="L38" s="212"/>
      <c r="M38" s="83"/>
      <c r="N38" s="288"/>
      <c r="O38" s="204"/>
      <c r="P38" s="205"/>
      <c r="Q38" s="1278"/>
      <c r="R38" s="292" t="s">
        <v>40</v>
      </c>
      <c r="S38" s="309" t="s">
        <v>122</v>
      </c>
      <c r="T38" s="309"/>
      <c r="U38" s="309"/>
      <c r="V38" s="308" t="s">
        <v>29</v>
      </c>
      <c r="W38" s="162"/>
      <c r="X38" s="1278"/>
    </row>
    <row r="39" spans="2:24" ht="14.45">
      <c r="B39" s="1251"/>
      <c r="C39" s="1192"/>
      <c r="D39" s="1206"/>
      <c r="E39" s="1158"/>
      <c r="F39" s="175"/>
      <c r="G39" s="1177"/>
      <c r="H39" s="1283"/>
      <c r="I39" s="1255"/>
      <c r="J39" s="66"/>
      <c r="K39" s="53"/>
      <c r="L39" s="212"/>
      <c r="M39" s="83"/>
      <c r="N39" s="288"/>
      <c r="O39" s="204"/>
      <c r="P39" s="205"/>
      <c r="Q39" s="1278"/>
      <c r="R39" s="292" t="s">
        <v>27</v>
      </c>
      <c r="S39" s="309" t="s">
        <v>123</v>
      </c>
      <c r="T39" s="309"/>
      <c r="U39" s="309"/>
      <c r="V39" s="308" t="s">
        <v>29</v>
      </c>
      <c r="W39" s="162"/>
      <c r="X39" s="1278"/>
    </row>
    <row r="40" spans="2:24" ht="14.45">
      <c r="B40" s="1251"/>
      <c r="C40" s="1192"/>
      <c r="D40" s="1206"/>
      <c r="E40" s="1158"/>
      <c r="F40" s="175"/>
      <c r="G40" s="1177"/>
      <c r="H40" s="1283"/>
      <c r="I40" s="1230"/>
      <c r="J40" s="152"/>
      <c r="K40" s="153"/>
      <c r="L40" s="310"/>
      <c r="M40" s="283"/>
      <c r="N40" s="156"/>
      <c r="O40" s="204"/>
      <c r="P40" s="205"/>
      <c r="Q40" s="1278"/>
      <c r="R40" s="292" t="s">
        <v>27</v>
      </c>
      <c r="S40" s="309" t="s">
        <v>124</v>
      </c>
      <c r="T40" s="309"/>
      <c r="U40" s="309"/>
      <c r="V40" s="308" t="s">
        <v>29</v>
      </c>
      <c r="W40" s="162"/>
      <c r="X40" s="1278"/>
    </row>
    <row r="41" spans="2:24" ht="14.45">
      <c r="B41" s="1251"/>
      <c r="C41" s="1192"/>
      <c r="D41" s="1206"/>
      <c r="E41" s="1158"/>
      <c r="F41" s="175"/>
      <c r="G41" s="1178"/>
      <c r="H41" s="1283"/>
      <c r="I41" s="1230"/>
      <c r="J41" s="163"/>
      <c r="K41" s="164"/>
      <c r="L41" s="165"/>
      <c r="M41" s="166"/>
      <c r="N41" s="164"/>
      <c r="O41" s="149"/>
      <c r="P41" s="149"/>
      <c r="Q41" s="1278"/>
      <c r="R41" s="311" t="s">
        <v>27</v>
      </c>
      <c r="S41" s="164" t="s">
        <v>125</v>
      </c>
      <c r="T41" s="164"/>
      <c r="U41" s="164"/>
      <c r="V41" s="312" t="s">
        <v>29</v>
      </c>
      <c r="W41" s="162"/>
      <c r="X41" s="1278"/>
    </row>
    <row r="42" spans="2:24" ht="14.45" customHeight="1">
      <c r="B42" s="1207" t="s">
        <v>126</v>
      </c>
      <c r="C42" s="313" t="s">
        <v>127</v>
      </c>
      <c r="D42" s="1244" t="s">
        <v>128</v>
      </c>
      <c r="E42" s="259" t="s">
        <v>129</v>
      </c>
      <c r="F42" s="258" t="s">
        <v>37</v>
      </c>
      <c r="G42" s="314" t="s">
        <v>130</v>
      </c>
      <c r="H42" s="1252">
        <v>45713</v>
      </c>
      <c r="I42" s="316"/>
      <c r="J42" s="241"/>
      <c r="K42" s="242"/>
      <c r="L42" s="317"/>
      <c r="M42" s="318"/>
      <c r="N42" s="242"/>
      <c r="O42" s="264"/>
      <c r="P42" s="264"/>
      <c r="Q42" s="319"/>
      <c r="R42" s="320"/>
      <c r="S42" s="264"/>
      <c r="T42" s="321"/>
      <c r="U42" s="321"/>
      <c r="V42" s="322"/>
      <c r="W42" s="323"/>
      <c r="X42" s="1225"/>
    </row>
    <row r="43" spans="2:24" ht="14.25" customHeight="1">
      <c r="B43" s="1208"/>
      <c r="C43" s="325" t="s">
        <v>131</v>
      </c>
      <c r="D43" s="1245"/>
      <c r="E43" s="326" t="s">
        <v>99</v>
      </c>
      <c r="F43" s="302" t="s">
        <v>132</v>
      </c>
      <c r="G43" s="260"/>
      <c r="H43" s="1253"/>
      <c r="I43" s="244"/>
      <c r="J43" s="163"/>
      <c r="K43" s="164"/>
      <c r="L43" s="165"/>
      <c r="M43" s="166"/>
      <c r="N43" s="164"/>
      <c r="O43" s="149"/>
      <c r="P43" s="149"/>
      <c r="Q43" s="218"/>
      <c r="R43" s="328" t="s">
        <v>40</v>
      </c>
      <c r="S43" s="329" t="s">
        <v>133</v>
      </c>
      <c r="T43" s="329"/>
      <c r="U43" s="330"/>
      <c r="V43" s="170" t="s">
        <v>29</v>
      </c>
      <c r="W43" s="331"/>
      <c r="X43" s="1227"/>
    </row>
    <row r="44" spans="2:24" ht="14.25" customHeight="1">
      <c r="B44" s="1207" t="s">
        <v>134</v>
      </c>
      <c r="C44" s="1191" t="s">
        <v>135</v>
      </c>
      <c r="D44" s="1205" t="s">
        <v>136</v>
      </c>
      <c r="E44" s="1157" t="s">
        <v>137</v>
      </c>
      <c r="F44" s="258" t="s">
        <v>24</v>
      </c>
      <c r="G44" s="1205" t="s">
        <v>25</v>
      </c>
      <c r="H44" s="1239">
        <v>45726</v>
      </c>
      <c r="I44" s="1288"/>
      <c r="J44" s="224"/>
      <c r="K44" s="225"/>
      <c r="L44" s="332"/>
      <c r="M44" s="333"/>
      <c r="N44" s="334"/>
      <c r="O44" s="264"/>
      <c r="P44" s="264"/>
      <c r="Q44" s="206"/>
      <c r="R44" s="228" t="s">
        <v>40</v>
      </c>
      <c r="S44" s="188" t="s">
        <v>138</v>
      </c>
      <c r="T44" s="188"/>
      <c r="U44" s="188"/>
      <c r="V44" s="335" t="s">
        <v>29</v>
      </c>
      <c r="W44" s="162"/>
      <c r="X44" s="206"/>
    </row>
    <row r="45" spans="2:24" ht="14.25" customHeight="1">
      <c r="B45" s="1231"/>
      <c r="C45" s="1232"/>
      <c r="D45" s="1233"/>
      <c r="E45" s="1234"/>
      <c r="F45" s="268"/>
      <c r="G45" s="1233"/>
      <c r="H45" s="1240"/>
      <c r="I45" s="1289"/>
      <c r="J45" s="336"/>
      <c r="K45" s="337"/>
      <c r="L45" s="338"/>
      <c r="M45" s="339"/>
      <c r="N45" s="298"/>
      <c r="O45" s="276"/>
      <c r="P45" s="276"/>
      <c r="Q45" s="340"/>
      <c r="R45" s="341" t="s">
        <v>27</v>
      </c>
      <c r="S45" s="342" t="s">
        <v>139</v>
      </c>
      <c r="T45" s="343"/>
      <c r="U45" s="343"/>
      <c r="V45" s="344" t="s">
        <v>29</v>
      </c>
      <c r="W45" s="221"/>
      <c r="X45" s="340"/>
    </row>
    <row r="46" spans="2:24" ht="14.25" customHeight="1">
      <c r="B46" s="1208" t="s">
        <v>140</v>
      </c>
      <c r="C46" s="1192" t="s">
        <v>141</v>
      </c>
      <c r="D46" s="1206" t="s">
        <v>142</v>
      </c>
      <c r="E46" s="1158" t="s">
        <v>143</v>
      </c>
      <c r="F46" s="260" t="s">
        <v>81</v>
      </c>
      <c r="G46" s="1206" t="s">
        <v>144</v>
      </c>
      <c r="H46" s="1186">
        <v>45730</v>
      </c>
      <c r="I46" s="1230"/>
      <c r="J46" s="345" t="s">
        <v>27</v>
      </c>
      <c r="K46" s="346" t="s">
        <v>145</v>
      </c>
      <c r="L46" s="347">
        <v>45719</v>
      </c>
      <c r="M46" s="347">
        <v>45740</v>
      </c>
      <c r="N46" s="348" t="s">
        <v>29</v>
      </c>
      <c r="O46" s="349">
        <f t="shared" si="0"/>
        <v>21</v>
      </c>
      <c r="P46" s="149">
        <f t="shared" si="1"/>
        <v>10</v>
      </c>
      <c r="Q46" s="1194" t="s">
        <v>26</v>
      </c>
      <c r="R46" s="351"/>
      <c r="S46" s="149"/>
      <c r="T46" s="220"/>
      <c r="U46" s="220"/>
      <c r="V46" s="352"/>
      <c r="W46" s="162"/>
      <c r="X46" s="1194"/>
    </row>
    <row r="47" spans="2:24" ht="14.25" customHeight="1">
      <c r="B47" s="1208"/>
      <c r="C47" s="1192"/>
      <c r="D47" s="1206"/>
      <c r="E47" s="1158"/>
      <c r="F47" s="260"/>
      <c r="G47" s="1206"/>
      <c r="H47" s="1186"/>
      <c r="I47" s="1255"/>
      <c r="J47" s="66" t="s">
        <v>40</v>
      </c>
      <c r="K47" s="353" t="s">
        <v>146</v>
      </c>
      <c r="L47" s="212">
        <v>45719</v>
      </c>
      <c r="M47" s="83">
        <v>45729</v>
      </c>
      <c r="N47" s="234" t="s">
        <v>29</v>
      </c>
      <c r="O47" s="204">
        <f>_xlfn.DAYS(M47,L47)</f>
        <v>10</v>
      </c>
      <c r="P47" s="205">
        <f>_xlfn.DAYS(M47,H46)</f>
        <v>-1</v>
      </c>
      <c r="Q47" s="1194"/>
      <c r="R47" s="354"/>
      <c r="S47" s="204"/>
      <c r="T47" s="355"/>
      <c r="U47" s="355"/>
      <c r="V47" s="356"/>
      <c r="W47" s="162"/>
      <c r="X47" s="1194"/>
    </row>
    <row r="48" spans="2:24" ht="14.25" customHeight="1">
      <c r="B48" s="1208"/>
      <c r="C48" s="1192"/>
      <c r="D48" s="1206"/>
      <c r="E48" s="1158"/>
      <c r="F48" s="260"/>
      <c r="G48" s="1206"/>
      <c r="H48" s="1186"/>
      <c r="I48" s="1255"/>
      <c r="J48" s="357" t="s">
        <v>27</v>
      </c>
      <c r="K48" s="358" t="s">
        <v>147</v>
      </c>
      <c r="L48" s="359">
        <v>45719</v>
      </c>
      <c r="M48" s="360">
        <v>45736</v>
      </c>
      <c r="N48" s="358" t="s">
        <v>29</v>
      </c>
      <c r="O48" s="204">
        <f t="shared" si="0"/>
        <v>17</v>
      </c>
      <c r="P48" s="205">
        <f>_xlfn.DAYS(M48,H46)</f>
        <v>6</v>
      </c>
      <c r="Q48" s="1194"/>
      <c r="R48" s="361"/>
      <c r="S48" s="362"/>
      <c r="T48" s="363"/>
      <c r="U48" s="363"/>
      <c r="V48" s="364"/>
      <c r="W48" s="162"/>
      <c r="X48" s="1194"/>
    </row>
    <row r="49" spans="2:24" ht="14.25" customHeight="1">
      <c r="B49" s="1208"/>
      <c r="C49" s="1192"/>
      <c r="D49" s="1206"/>
      <c r="E49" s="1158"/>
      <c r="F49" s="260"/>
      <c r="G49" s="1206"/>
      <c r="H49" s="1186"/>
      <c r="I49" s="1255"/>
      <c r="J49" s="66" t="s">
        <v>27</v>
      </c>
      <c r="K49" s="53" t="s">
        <v>148</v>
      </c>
      <c r="L49" s="212">
        <v>45721</v>
      </c>
      <c r="M49" s="83">
        <v>45740</v>
      </c>
      <c r="N49" s="288" t="s">
        <v>29</v>
      </c>
      <c r="O49" s="204">
        <f t="shared" si="0"/>
        <v>19</v>
      </c>
      <c r="P49" s="205">
        <f>_xlfn.DAYS(M49,H46)</f>
        <v>10</v>
      </c>
      <c r="Q49" s="1194"/>
      <c r="R49" s="354"/>
      <c r="S49" s="204"/>
      <c r="T49" s="355"/>
      <c r="U49" s="355"/>
      <c r="V49" s="356"/>
      <c r="W49" s="162"/>
      <c r="X49" s="1194"/>
    </row>
    <row r="50" spans="2:24" ht="14.25" customHeight="1">
      <c r="B50" s="1208"/>
      <c r="C50" s="1192"/>
      <c r="D50" s="1206"/>
      <c r="E50" s="1158"/>
      <c r="F50" s="260"/>
      <c r="G50" s="1206"/>
      <c r="H50" s="1186"/>
      <c r="I50" s="1255"/>
      <c r="J50" s="66" t="s">
        <v>40</v>
      </c>
      <c r="K50" s="53" t="s">
        <v>149</v>
      </c>
      <c r="L50" s="212">
        <v>45721</v>
      </c>
      <c r="M50" s="83">
        <v>45729</v>
      </c>
      <c r="N50" s="288" t="s">
        <v>29</v>
      </c>
      <c r="O50" s="204">
        <f t="shared" si="0"/>
        <v>8</v>
      </c>
      <c r="P50" s="205">
        <f>_xlfn.DAYS(M50,H46)</f>
        <v>-1</v>
      </c>
      <c r="Q50" s="1194"/>
      <c r="R50" s="354"/>
      <c r="S50" s="204"/>
      <c r="T50" s="355"/>
      <c r="U50" s="355"/>
      <c r="V50" s="356"/>
      <c r="W50" s="162"/>
      <c r="X50" s="1194"/>
    </row>
    <row r="51" spans="2:24" ht="14.25" customHeight="1">
      <c r="B51" s="1208"/>
      <c r="C51" s="1192"/>
      <c r="D51" s="1206"/>
      <c r="E51" s="1158"/>
      <c r="F51" s="260"/>
      <c r="G51" s="1206"/>
      <c r="H51" s="1186"/>
      <c r="I51" s="1255"/>
      <c r="J51" s="365" t="s">
        <v>27</v>
      </c>
      <c r="K51" s="204" t="s">
        <v>150</v>
      </c>
      <c r="L51" s="212">
        <v>45740</v>
      </c>
      <c r="M51" s="247">
        <v>45744</v>
      </c>
      <c r="N51" s="355" t="s">
        <v>29</v>
      </c>
      <c r="O51" s="204">
        <f t="shared" si="0"/>
        <v>4</v>
      </c>
      <c r="P51" s="235">
        <f>_xlfn.DAYS(M51,H46)</f>
        <v>14</v>
      </c>
      <c r="Q51" s="1194"/>
      <c r="R51" s="354"/>
      <c r="S51" s="204"/>
      <c r="T51" s="204"/>
      <c r="U51" s="204"/>
      <c r="V51" s="366"/>
      <c r="W51" s="162"/>
      <c r="X51" s="1194"/>
    </row>
    <row r="52" spans="2:24" ht="14.25" customHeight="1">
      <c r="B52" s="1208"/>
      <c r="C52" s="1192"/>
      <c r="D52" s="1206"/>
      <c r="E52" s="1158"/>
      <c r="F52" s="260"/>
      <c r="G52" s="1206"/>
      <c r="H52" s="1186"/>
      <c r="I52" s="1255"/>
      <c r="J52" s="365" t="s">
        <v>27</v>
      </c>
      <c r="K52" s="204" t="s">
        <v>151</v>
      </c>
      <c r="L52" s="212">
        <v>45740</v>
      </c>
      <c r="M52" s="247">
        <v>45744</v>
      </c>
      <c r="N52" s="355" t="s">
        <v>29</v>
      </c>
      <c r="O52" s="204">
        <f t="shared" si="0"/>
        <v>4</v>
      </c>
      <c r="P52" s="235">
        <f>_xlfn.DAYS(M52,H46)</f>
        <v>14</v>
      </c>
      <c r="Q52" s="1194"/>
      <c r="R52" s="354"/>
      <c r="S52" s="204"/>
      <c r="T52" s="204"/>
      <c r="U52" s="204"/>
      <c r="V52" s="366"/>
      <c r="W52" s="162"/>
      <c r="X52" s="1194"/>
    </row>
    <row r="53" spans="2:24" ht="14.25" customHeight="1">
      <c r="B53" s="1208"/>
      <c r="C53" s="1192"/>
      <c r="D53" s="1206"/>
      <c r="E53" s="1158"/>
      <c r="F53" s="260"/>
      <c r="G53" s="1206"/>
      <c r="H53" s="1187"/>
      <c r="I53" s="1221"/>
      <c r="J53" s="152" t="s">
        <v>27</v>
      </c>
      <c r="K53" s="153" t="s">
        <v>152</v>
      </c>
      <c r="L53" s="154">
        <v>45719</v>
      </c>
      <c r="M53" s="154">
        <v>45740</v>
      </c>
      <c r="N53" s="153" t="s">
        <v>29</v>
      </c>
      <c r="O53" s="349">
        <f t="shared" si="0"/>
        <v>21</v>
      </c>
      <c r="P53" s="149">
        <f>_xlfn.DAYS(M53,H46)</f>
        <v>10</v>
      </c>
      <c r="Q53" s="1195"/>
      <c r="R53" s="351"/>
      <c r="S53" s="149"/>
      <c r="T53" s="220"/>
      <c r="U53" s="220"/>
      <c r="V53" s="352"/>
      <c r="W53" s="221"/>
      <c r="X53" s="1195"/>
    </row>
    <row r="54" spans="2:24" ht="14.25" customHeight="1">
      <c r="B54" s="1110" t="s">
        <v>153</v>
      </c>
      <c r="C54" s="1113" t="s">
        <v>154</v>
      </c>
      <c r="D54" s="1228" t="s">
        <v>155</v>
      </c>
      <c r="E54" s="1235" t="s">
        <v>156</v>
      </c>
      <c r="F54" s="368" t="s">
        <v>111</v>
      </c>
      <c r="G54" s="1228" t="s">
        <v>25</v>
      </c>
      <c r="H54" s="1223">
        <v>45730</v>
      </c>
      <c r="I54" s="1286"/>
      <c r="J54" s="60" t="s">
        <v>27</v>
      </c>
      <c r="K54" s="370" t="s">
        <v>157</v>
      </c>
      <c r="L54" s="371">
        <v>45712</v>
      </c>
      <c r="M54" s="372">
        <v>45727</v>
      </c>
      <c r="N54" s="370" t="s">
        <v>29</v>
      </c>
      <c r="O54" s="373">
        <f t="shared" si="0"/>
        <v>15</v>
      </c>
      <c r="P54" s="188">
        <f t="shared" si="1"/>
        <v>-3</v>
      </c>
      <c r="Q54" s="1290" t="s">
        <v>26</v>
      </c>
      <c r="R54" s="374" t="s">
        <v>27</v>
      </c>
      <c r="S54" s="370" t="s">
        <v>158</v>
      </c>
      <c r="T54" s="375"/>
      <c r="U54" s="375"/>
      <c r="V54" s="376"/>
      <c r="W54" s="162"/>
      <c r="X54" s="1290"/>
    </row>
    <row r="55" spans="2:24" ht="14.25" customHeight="1">
      <c r="B55" s="1111"/>
      <c r="C55" s="1114"/>
      <c r="D55" s="1229"/>
      <c r="E55" s="1236"/>
      <c r="F55" s="378"/>
      <c r="G55" s="1229"/>
      <c r="H55" s="1223"/>
      <c r="I55" s="1286"/>
      <c r="J55" s="66" t="s">
        <v>27</v>
      </c>
      <c r="K55" s="53" t="s">
        <v>159</v>
      </c>
      <c r="L55" s="212">
        <v>45719</v>
      </c>
      <c r="M55" s="83">
        <v>45728</v>
      </c>
      <c r="N55" s="288" t="s">
        <v>29</v>
      </c>
      <c r="O55" s="204">
        <f>_xlfn.DAYS(M55,L55)</f>
        <v>9</v>
      </c>
      <c r="P55" s="205">
        <f>_xlfn.DAYS(M55,H54)</f>
        <v>-2</v>
      </c>
      <c r="Q55" s="1290"/>
      <c r="R55" s="354"/>
      <c r="S55" s="204"/>
      <c r="T55" s="355"/>
      <c r="U55" s="355"/>
      <c r="V55" s="356"/>
      <c r="W55" s="162"/>
      <c r="X55" s="1290"/>
    </row>
    <row r="56" spans="2:24" ht="14.25" customHeight="1">
      <c r="B56" s="1111"/>
      <c r="C56" s="1114"/>
      <c r="D56" s="1229"/>
      <c r="E56" s="1236"/>
      <c r="F56" s="378"/>
      <c r="G56" s="1229"/>
      <c r="H56" s="1223"/>
      <c r="I56" s="1286"/>
      <c r="J56" s="66" t="s">
        <v>27</v>
      </c>
      <c r="K56" s="53" t="s">
        <v>160</v>
      </c>
      <c r="L56" s="212">
        <v>45714</v>
      </c>
      <c r="M56" s="83">
        <v>45722</v>
      </c>
      <c r="N56" s="288" t="s">
        <v>29</v>
      </c>
      <c r="O56" s="204">
        <f t="shared" si="0"/>
        <v>8</v>
      </c>
      <c r="P56" s="205">
        <f>_xlfn.DAYS(M56,H54)</f>
        <v>-8</v>
      </c>
      <c r="Q56" s="1290"/>
      <c r="R56" s="354"/>
      <c r="S56" s="204"/>
      <c r="T56" s="355"/>
      <c r="U56" s="355"/>
      <c r="V56" s="356"/>
      <c r="W56" s="162"/>
      <c r="X56" s="1290"/>
    </row>
    <row r="57" spans="2:24" ht="14.25" customHeight="1">
      <c r="B57" s="1111"/>
      <c r="C57" s="1114"/>
      <c r="D57" s="1229"/>
      <c r="E57" s="1236"/>
      <c r="F57" s="378"/>
      <c r="G57" s="1229"/>
      <c r="H57" s="1223"/>
      <c r="I57" s="1286"/>
      <c r="J57" s="66" t="s">
        <v>27</v>
      </c>
      <c r="K57" s="53" t="s">
        <v>161</v>
      </c>
      <c r="L57" s="212">
        <v>45719</v>
      </c>
      <c r="M57" s="83">
        <v>45728</v>
      </c>
      <c r="N57" s="288" t="s">
        <v>29</v>
      </c>
      <c r="O57" s="204">
        <f t="shared" si="0"/>
        <v>9</v>
      </c>
      <c r="P57" s="205">
        <f>_xlfn.DAYS(M57,H54)</f>
        <v>-2</v>
      </c>
      <c r="Q57" s="1290"/>
      <c r="R57" s="354"/>
      <c r="S57" s="204"/>
      <c r="T57" s="355"/>
      <c r="U57" s="355"/>
      <c r="V57" s="356"/>
      <c r="W57" s="162"/>
      <c r="X57" s="1290"/>
    </row>
    <row r="58" spans="2:24" ht="14.25" customHeight="1">
      <c r="B58" s="1111"/>
      <c r="C58" s="1114"/>
      <c r="D58" s="1229"/>
      <c r="E58" s="1236"/>
      <c r="F58" s="378"/>
      <c r="G58" s="1229"/>
      <c r="H58" s="1223"/>
      <c r="I58" s="1286"/>
      <c r="J58" s="66" t="s">
        <v>27</v>
      </c>
      <c r="K58" s="380" t="s">
        <v>162</v>
      </c>
      <c r="L58" s="381">
        <v>45720</v>
      </c>
      <c r="M58" s="382">
        <v>45735</v>
      </c>
      <c r="N58" s="288" t="s">
        <v>29</v>
      </c>
      <c r="O58" s="210">
        <f t="shared" si="0"/>
        <v>15</v>
      </c>
      <c r="P58" s="235">
        <f>_xlfn.DAYS(M58,H54)</f>
        <v>5</v>
      </c>
      <c r="Q58" s="1290"/>
      <c r="R58" s="354"/>
      <c r="S58" s="204"/>
      <c r="T58" s="355"/>
      <c r="U58" s="355"/>
      <c r="V58" s="356"/>
      <c r="W58" s="162"/>
      <c r="X58" s="1290"/>
    </row>
    <row r="59" spans="2:24" ht="14.25" customHeight="1">
      <c r="B59" s="1111"/>
      <c r="C59" s="1114"/>
      <c r="D59" s="1229"/>
      <c r="E59" s="1236"/>
      <c r="F59" s="378"/>
      <c r="G59" s="1229"/>
      <c r="H59" s="1224"/>
      <c r="I59" s="1287"/>
      <c r="J59" s="383" t="s">
        <v>40</v>
      </c>
      <c r="K59" s="380" t="s">
        <v>163</v>
      </c>
      <c r="L59" s="384">
        <v>45720</v>
      </c>
      <c r="M59" s="385">
        <v>45729</v>
      </c>
      <c r="N59" s="386" t="s">
        <v>29</v>
      </c>
      <c r="O59" s="362">
        <f t="shared" si="0"/>
        <v>9</v>
      </c>
      <c r="P59" s="387">
        <f>_xlfn.DAYS(M59,H54)</f>
        <v>-1</v>
      </c>
      <c r="Q59" s="1291"/>
      <c r="R59" s="361"/>
      <c r="S59" s="362"/>
      <c r="T59" s="363"/>
      <c r="U59" s="363"/>
      <c r="V59" s="364"/>
      <c r="W59" s="221"/>
      <c r="X59" s="1291"/>
    </row>
    <row r="60" spans="2:24" ht="14.25" customHeight="1">
      <c r="B60" s="1137" t="s">
        <v>164</v>
      </c>
      <c r="C60" s="1113" t="s">
        <v>165</v>
      </c>
      <c r="D60" s="1241" t="s">
        <v>166</v>
      </c>
      <c r="E60" s="1157" t="s">
        <v>117</v>
      </c>
      <c r="F60" s="258" t="s">
        <v>37</v>
      </c>
      <c r="G60" s="1205" t="s">
        <v>25</v>
      </c>
      <c r="H60" s="1186">
        <v>45730</v>
      </c>
      <c r="I60" s="1230"/>
      <c r="J60" s="184" t="s">
        <v>40</v>
      </c>
      <c r="K60" s="60" t="s">
        <v>167</v>
      </c>
      <c r="L60" s="389">
        <v>45722</v>
      </c>
      <c r="M60" s="390">
        <v>45735</v>
      </c>
      <c r="N60" s="185" t="s">
        <v>29</v>
      </c>
      <c r="O60" s="188">
        <f t="shared" si="0"/>
        <v>13</v>
      </c>
      <c r="P60" s="188">
        <f t="shared" si="1"/>
        <v>5</v>
      </c>
      <c r="Q60" s="1194" t="s">
        <v>26</v>
      </c>
      <c r="R60" s="190" t="s">
        <v>27</v>
      </c>
      <c r="S60" s="125" t="s">
        <v>168</v>
      </c>
      <c r="T60" s="229"/>
      <c r="U60" s="229"/>
      <c r="V60" s="391" t="s">
        <v>29</v>
      </c>
      <c r="W60" s="162"/>
      <c r="X60" s="1194"/>
    </row>
    <row r="61" spans="2:24" ht="14.25" customHeight="1">
      <c r="B61" s="1138"/>
      <c r="C61" s="1114"/>
      <c r="D61" s="1242"/>
      <c r="E61" s="1158"/>
      <c r="F61" s="260"/>
      <c r="G61" s="1206"/>
      <c r="H61" s="1186"/>
      <c r="I61" s="1230"/>
      <c r="J61" s="392" t="s">
        <v>27</v>
      </c>
      <c r="K61" s="78" t="s">
        <v>169</v>
      </c>
      <c r="L61" s="215">
        <v>45722</v>
      </c>
      <c r="M61" s="216">
        <v>45735</v>
      </c>
      <c r="N61" s="393" t="s">
        <v>29</v>
      </c>
      <c r="O61" s="204">
        <f t="shared" si="0"/>
        <v>13</v>
      </c>
      <c r="P61" s="205">
        <f>_xlfn.DAYS(M61,H60)</f>
        <v>5</v>
      </c>
      <c r="Q61" s="1194"/>
      <c r="R61" s="969"/>
      <c r="S61" s="970"/>
      <c r="T61" s="394"/>
      <c r="U61" s="394"/>
      <c r="V61" s="395"/>
      <c r="W61" s="162"/>
      <c r="X61" s="1194"/>
    </row>
    <row r="62" spans="2:24" ht="14.25" customHeight="1">
      <c r="B62" s="1138"/>
      <c r="C62" s="1114"/>
      <c r="D62" s="1242"/>
      <c r="E62" s="1158"/>
      <c r="F62" s="260"/>
      <c r="G62" s="1206"/>
      <c r="H62" s="1186"/>
      <c r="I62" s="1230"/>
      <c r="J62" s="396" t="s">
        <v>40</v>
      </c>
      <c r="K62" s="78" t="s">
        <v>170</v>
      </c>
      <c r="L62" s="215">
        <v>45722</v>
      </c>
      <c r="M62" s="216">
        <v>45741</v>
      </c>
      <c r="N62" s="248" t="s">
        <v>29</v>
      </c>
      <c r="O62" s="210">
        <f t="shared" si="0"/>
        <v>19</v>
      </c>
      <c r="P62" s="205">
        <f>_xlfn.DAYS(M62,H60)</f>
        <v>11</v>
      </c>
      <c r="Q62" s="1194"/>
      <c r="R62" s="397"/>
      <c r="S62" s="398"/>
      <c r="T62" s="398"/>
      <c r="U62" s="398"/>
      <c r="V62" s="395"/>
      <c r="W62" s="162"/>
      <c r="X62" s="1194"/>
    </row>
    <row r="63" spans="2:24" ht="14.25" customHeight="1">
      <c r="B63" s="1138"/>
      <c r="C63" s="1114"/>
      <c r="D63" s="1242"/>
      <c r="E63" s="1158"/>
      <c r="F63" s="260"/>
      <c r="G63" s="1206"/>
      <c r="H63" s="1186"/>
      <c r="I63" s="1230"/>
      <c r="J63" s="396" t="s">
        <v>27</v>
      </c>
      <c r="K63" s="78" t="s">
        <v>171</v>
      </c>
      <c r="L63" s="215">
        <v>45722</v>
      </c>
      <c r="M63" s="216">
        <v>45741</v>
      </c>
      <c r="N63" s="399" t="s">
        <v>29</v>
      </c>
      <c r="O63" s="210">
        <f t="shared" si="0"/>
        <v>19</v>
      </c>
      <c r="P63" s="205">
        <f>_xlfn.DAYS(M63,H60)</f>
        <v>11</v>
      </c>
      <c r="Q63" s="1194"/>
      <c r="R63" s="400"/>
      <c r="S63" s="118"/>
      <c r="T63" s="401"/>
      <c r="U63" s="401"/>
      <c r="V63" s="395"/>
      <c r="W63" s="162"/>
      <c r="X63" s="1194"/>
    </row>
    <row r="64" spans="2:24" ht="14.25" customHeight="1">
      <c r="B64" s="1138"/>
      <c r="C64" s="1114"/>
      <c r="D64" s="1242"/>
      <c r="E64" s="1158"/>
      <c r="F64" s="260"/>
      <c r="G64" s="1206"/>
      <c r="H64" s="1186"/>
      <c r="I64" s="1230"/>
      <c r="J64" s="396" t="s">
        <v>40</v>
      </c>
      <c r="K64" s="78" t="s">
        <v>172</v>
      </c>
      <c r="L64" s="215">
        <v>45723</v>
      </c>
      <c r="M64" s="216">
        <v>45735</v>
      </c>
      <c r="N64" s="399" t="s">
        <v>29</v>
      </c>
      <c r="O64" s="204">
        <f t="shared" si="0"/>
        <v>12</v>
      </c>
      <c r="P64" s="205">
        <f>_xlfn.DAYS(M64,H60)</f>
        <v>5</v>
      </c>
      <c r="Q64" s="1194"/>
      <c r="R64" s="400"/>
      <c r="S64" s="118"/>
      <c r="T64" s="401"/>
      <c r="U64" s="401"/>
      <c r="V64" s="395"/>
      <c r="W64" s="162"/>
      <c r="X64" s="1194"/>
    </row>
    <row r="65" spans="2:24" ht="14.25" customHeight="1">
      <c r="B65" s="1138"/>
      <c r="C65" s="1114"/>
      <c r="D65" s="1242"/>
      <c r="E65" s="1158"/>
      <c r="F65" s="260"/>
      <c r="G65" s="1206"/>
      <c r="H65" s="1186"/>
      <c r="I65" s="1230"/>
      <c r="J65" s="163" t="s">
        <v>27</v>
      </c>
      <c r="K65" s="402" t="s">
        <v>173</v>
      </c>
      <c r="L65" s="215">
        <v>45736</v>
      </c>
      <c r="M65" s="217">
        <v>45743</v>
      </c>
      <c r="N65" s="245" t="s">
        <v>29</v>
      </c>
      <c r="O65" s="204">
        <f t="shared" si="0"/>
        <v>7</v>
      </c>
      <c r="P65" s="235">
        <f>_xlfn.DAYS(M65,H60)</f>
        <v>13</v>
      </c>
      <c r="Q65" s="1194"/>
      <c r="R65" s="403"/>
      <c r="S65" s="127"/>
      <c r="T65" s="167"/>
      <c r="U65" s="167"/>
      <c r="V65" s="404"/>
      <c r="W65" s="162"/>
      <c r="X65" s="1194"/>
    </row>
    <row r="66" spans="2:24" ht="14.25" customHeight="1">
      <c r="B66" s="1138"/>
      <c r="C66" s="1114"/>
      <c r="D66" s="1242"/>
      <c r="E66" s="1158"/>
      <c r="F66" s="260"/>
      <c r="G66" s="1206"/>
      <c r="H66" s="1187"/>
      <c r="I66" s="1221"/>
      <c r="J66" s="163" t="s">
        <v>27</v>
      </c>
      <c r="K66" s="357" t="s">
        <v>174</v>
      </c>
      <c r="L66" s="405">
        <v>45723</v>
      </c>
      <c r="M66" s="85">
        <v>45729</v>
      </c>
      <c r="N66" s="164" t="s">
        <v>29</v>
      </c>
      <c r="O66" s="149">
        <f t="shared" si="0"/>
        <v>6</v>
      </c>
      <c r="P66" s="149">
        <f>_xlfn.DAYS(M66,H60)</f>
        <v>-1</v>
      </c>
      <c r="Q66" s="1195"/>
      <c r="R66" s="403"/>
      <c r="S66" s="127"/>
      <c r="T66" s="167"/>
      <c r="U66" s="167"/>
      <c r="V66" s="404"/>
      <c r="W66" s="221"/>
      <c r="X66" s="1195"/>
    </row>
    <row r="67" spans="2:24" ht="14.25" customHeight="1">
      <c r="B67" s="1237" t="s">
        <v>175</v>
      </c>
      <c r="C67" s="1191" t="s">
        <v>135</v>
      </c>
      <c r="D67" s="1205" t="s">
        <v>176</v>
      </c>
      <c r="E67" s="1205" t="s">
        <v>177</v>
      </c>
      <c r="F67" s="258" t="s">
        <v>24</v>
      </c>
      <c r="G67" s="1205" t="s">
        <v>25</v>
      </c>
      <c r="H67" s="1186">
        <v>45744</v>
      </c>
      <c r="I67" s="1230"/>
      <c r="J67" s="184" t="s">
        <v>40</v>
      </c>
      <c r="K67" s="185" t="s">
        <v>178</v>
      </c>
      <c r="L67" s="186">
        <v>45730</v>
      </c>
      <c r="M67" s="186">
        <v>45741</v>
      </c>
      <c r="N67" s="185" t="s">
        <v>29</v>
      </c>
      <c r="O67" s="188">
        <f t="shared" si="0"/>
        <v>11</v>
      </c>
      <c r="P67" s="188">
        <f t="shared" si="1"/>
        <v>-3</v>
      </c>
      <c r="Q67" s="1194" t="s">
        <v>26</v>
      </c>
      <c r="R67" s="407"/>
      <c r="S67" s="125"/>
      <c r="T67" s="229"/>
      <c r="U67" s="229"/>
      <c r="V67" s="391"/>
      <c r="W67" s="162"/>
      <c r="X67" s="1194"/>
    </row>
    <row r="68" spans="2:24" ht="14.25" customHeight="1">
      <c r="B68" s="1238"/>
      <c r="C68" s="1192"/>
      <c r="D68" s="1206"/>
      <c r="E68" s="1158"/>
      <c r="F68" s="260"/>
      <c r="G68" s="1206"/>
      <c r="H68" s="1186"/>
      <c r="I68" s="1230"/>
      <c r="J68" s="396" t="s">
        <v>27</v>
      </c>
      <c r="K68" s="309" t="s">
        <v>179</v>
      </c>
      <c r="L68" s="408">
        <v>45730</v>
      </c>
      <c r="M68" s="409">
        <v>45740</v>
      </c>
      <c r="N68" s="410" t="s">
        <v>29</v>
      </c>
      <c r="O68" s="204">
        <f t="shared" si="0"/>
        <v>10</v>
      </c>
      <c r="P68" s="205">
        <f>_xlfn.DAYS(M68,H67)</f>
        <v>-4</v>
      </c>
      <c r="Q68" s="1194"/>
      <c r="R68" s="411"/>
      <c r="S68" s="118"/>
      <c r="T68" s="401"/>
      <c r="U68" s="401"/>
      <c r="V68" s="395"/>
      <c r="W68" s="162"/>
      <c r="X68" s="1194"/>
    </row>
    <row r="69" spans="2:24" ht="14.25" customHeight="1">
      <c r="B69" s="1238"/>
      <c r="C69" s="1192"/>
      <c r="D69" s="1206"/>
      <c r="E69" s="1158"/>
      <c r="F69" s="260"/>
      <c r="G69" s="1206"/>
      <c r="H69" s="1186"/>
      <c r="I69" s="1230"/>
      <c r="J69" s="396" t="s">
        <v>27</v>
      </c>
      <c r="K69" s="309" t="s">
        <v>180</v>
      </c>
      <c r="L69" s="408">
        <v>45730</v>
      </c>
      <c r="M69" s="412">
        <v>45742</v>
      </c>
      <c r="N69" s="410" t="s">
        <v>29</v>
      </c>
      <c r="O69" s="210">
        <f t="shared" si="0"/>
        <v>12</v>
      </c>
      <c r="P69" s="205">
        <f>_xlfn.DAYS(M69,H67)</f>
        <v>-2</v>
      </c>
      <c r="Q69" s="1194"/>
      <c r="R69" s="411"/>
      <c r="S69" s="118"/>
      <c r="T69" s="401"/>
      <c r="U69" s="401"/>
      <c r="V69" s="395"/>
      <c r="W69" s="162"/>
      <c r="X69" s="1194"/>
    </row>
    <row r="70" spans="2:24" ht="14.25" customHeight="1">
      <c r="B70" s="1238"/>
      <c r="C70" s="1192"/>
      <c r="D70" s="1206"/>
      <c r="E70" s="1158"/>
      <c r="F70" s="260"/>
      <c r="G70" s="1206"/>
      <c r="H70" s="1187"/>
      <c r="I70" s="1221"/>
      <c r="J70" s="163" t="s">
        <v>27</v>
      </c>
      <c r="K70" s="164" t="s">
        <v>181</v>
      </c>
      <c r="L70" s="165">
        <v>45730</v>
      </c>
      <c r="M70" s="413">
        <v>45742</v>
      </c>
      <c r="N70" s="164" t="s">
        <v>29</v>
      </c>
      <c r="O70" s="349">
        <f t="shared" ref="O70:O132" si="2">_xlfn.DAYS(M70,L70)</f>
        <v>12</v>
      </c>
      <c r="P70" s="149">
        <f>_xlfn.DAYS(M70,H67)</f>
        <v>-2</v>
      </c>
      <c r="Q70" s="1195"/>
      <c r="R70" s="414"/>
      <c r="S70" s="127"/>
      <c r="T70" s="167"/>
      <c r="U70" s="167"/>
      <c r="V70" s="404"/>
      <c r="W70" s="221"/>
      <c r="X70" s="1195"/>
    </row>
    <row r="71" spans="2:24" ht="14.25" customHeight="1">
      <c r="B71" s="1207" t="s">
        <v>182</v>
      </c>
      <c r="C71" s="1191" t="s">
        <v>183</v>
      </c>
      <c r="D71" s="1205" t="s">
        <v>184</v>
      </c>
      <c r="E71" s="1157" t="s">
        <v>185</v>
      </c>
      <c r="F71" s="258" t="s">
        <v>186</v>
      </c>
      <c r="G71" s="1205" t="s">
        <v>25</v>
      </c>
      <c r="H71" s="1186">
        <v>45765</v>
      </c>
      <c r="I71" s="1230"/>
      <c r="J71" s="184" t="s">
        <v>27</v>
      </c>
      <c r="K71" s="125" t="s">
        <v>187</v>
      </c>
      <c r="L71" s="186">
        <v>45755</v>
      </c>
      <c r="M71" s="415">
        <v>45776</v>
      </c>
      <c r="N71" s="185" t="s">
        <v>29</v>
      </c>
      <c r="O71" s="373">
        <f t="shared" si="2"/>
        <v>21</v>
      </c>
      <c r="P71" s="416">
        <f t="shared" ref="P71:P76" si="3">_xlfn.DAYS(M71,H71)</f>
        <v>11</v>
      </c>
      <c r="Q71" s="1215" t="s">
        <v>26</v>
      </c>
      <c r="R71" s="407"/>
      <c r="S71" s="125"/>
      <c r="T71" s="125"/>
      <c r="U71" s="125"/>
      <c r="V71" s="191"/>
      <c r="W71" s="162"/>
      <c r="X71" s="1215"/>
    </row>
    <row r="72" spans="2:24" ht="14.25" customHeight="1">
      <c r="B72" s="1208"/>
      <c r="C72" s="1192"/>
      <c r="D72" s="1206"/>
      <c r="E72" s="1158"/>
      <c r="F72" s="260"/>
      <c r="G72" s="1206"/>
      <c r="H72" s="1186"/>
      <c r="I72" s="1230"/>
      <c r="J72" s="396" t="s">
        <v>40</v>
      </c>
      <c r="K72" s="118" t="s">
        <v>188</v>
      </c>
      <c r="L72" s="408">
        <v>45755</v>
      </c>
      <c r="M72" s="409">
        <v>45772</v>
      </c>
      <c r="N72" s="410" t="s">
        <v>29</v>
      </c>
      <c r="O72" s="204">
        <f t="shared" si="2"/>
        <v>17</v>
      </c>
      <c r="P72" s="205">
        <f>_xlfn.DAYS(M72,H71)</f>
        <v>7</v>
      </c>
      <c r="Q72" s="1215"/>
      <c r="R72" s="411"/>
      <c r="S72" s="118"/>
      <c r="T72" s="118"/>
      <c r="U72" s="118"/>
      <c r="V72" s="290"/>
      <c r="W72" s="162"/>
      <c r="X72" s="1215"/>
    </row>
    <row r="73" spans="2:24" ht="14.25" customHeight="1">
      <c r="B73" s="1208"/>
      <c r="C73" s="1192"/>
      <c r="D73" s="1206"/>
      <c r="E73" s="1158"/>
      <c r="F73" s="260"/>
      <c r="G73" s="1206"/>
      <c r="H73" s="1186"/>
      <c r="I73" s="1230"/>
      <c r="J73" s="396" t="s">
        <v>27</v>
      </c>
      <c r="K73" s="118" t="s">
        <v>189</v>
      </c>
      <c r="L73" s="408">
        <v>45755</v>
      </c>
      <c r="M73" s="409">
        <v>45766</v>
      </c>
      <c r="N73" s="410" t="s">
        <v>29</v>
      </c>
      <c r="O73" s="204">
        <f t="shared" si="2"/>
        <v>11</v>
      </c>
      <c r="P73" s="205">
        <f>_xlfn.DAYS(M73,H71)</f>
        <v>1</v>
      </c>
      <c r="Q73" s="1215"/>
      <c r="R73" s="411"/>
      <c r="S73" s="118"/>
      <c r="T73" s="118"/>
      <c r="U73" s="118"/>
      <c r="V73" s="290"/>
      <c r="W73" s="162"/>
      <c r="X73" s="1215"/>
    </row>
    <row r="74" spans="2:24" ht="14.25" customHeight="1">
      <c r="B74" s="1208"/>
      <c r="C74" s="1192"/>
      <c r="D74" s="1206"/>
      <c r="E74" s="1158"/>
      <c r="F74" s="260"/>
      <c r="G74" s="1206"/>
      <c r="H74" s="1186"/>
      <c r="I74" s="1230"/>
      <c r="J74" s="396" t="s">
        <v>27</v>
      </c>
      <c r="K74" s="118" t="s">
        <v>190</v>
      </c>
      <c r="L74" s="408">
        <v>45750</v>
      </c>
      <c r="M74" s="409">
        <v>45756</v>
      </c>
      <c r="N74" s="410" t="s">
        <v>29</v>
      </c>
      <c r="O74" s="204">
        <f t="shared" si="2"/>
        <v>6</v>
      </c>
      <c r="P74" s="205">
        <f>_xlfn.DAYS(M74,H71)</f>
        <v>-9</v>
      </c>
      <c r="Q74" s="1215"/>
      <c r="R74" s="411"/>
      <c r="S74" s="118"/>
      <c r="T74" s="118"/>
      <c r="U74" s="118"/>
      <c r="V74" s="290"/>
      <c r="W74" s="162"/>
      <c r="X74" s="1215"/>
    </row>
    <row r="75" spans="2:24" ht="14.25" customHeight="1">
      <c r="B75" s="1208"/>
      <c r="C75" s="1192"/>
      <c r="D75" s="1206"/>
      <c r="E75" s="1158"/>
      <c r="F75" s="260"/>
      <c r="G75" s="1206"/>
      <c r="H75" s="1187"/>
      <c r="I75" s="1221"/>
      <c r="J75" s="163" t="s">
        <v>27</v>
      </c>
      <c r="K75" s="127" t="s">
        <v>191</v>
      </c>
      <c r="L75" s="165">
        <v>45754</v>
      </c>
      <c r="M75" s="166">
        <v>45766</v>
      </c>
      <c r="N75" s="164" t="s">
        <v>29</v>
      </c>
      <c r="O75" s="149">
        <f t="shared" si="2"/>
        <v>12</v>
      </c>
      <c r="P75" s="149">
        <f>_xlfn.DAYS(M75,H71)</f>
        <v>1</v>
      </c>
      <c r="Q75" s="1216"/>
      <c r="R75" s="414"/>
      <c r="S75" s="127"/>
      <c r="T75" s="127"/>
      <c r="U75" s="127"/>
      <c r="V75" s="170"/>
      <c r="W75" s="221"/>
      <c r="X75" s="1216"/>
    </row>
    <row r="76" spans="2:24" ht="14.25" customHeight="1">
      <c r="B76" s="1207" t="s">
        <v>182</v>
      </c>
      <c r="C76" s="1191" t="s">
        <v>192</v>
      </c>
      <c r="D76" s="1205" t="s">
        <v>184</v>
      </c>
      <c r="E76" s="1157" t="s">
        <v>110</v>
      </c>
      <c r="F76" s="258" t="s">
        <v>132</v>
      </c>
      <c r="G76" s="1205" t="s">
        <v>25</v>
      </c>
      <c r="H76" s="1186">
        <v>45768</v>
      </c>
      <c r="I76" s="1230"/>
      <c r="J76" s="184" t="s">
        <v>27</v>
      </c>
      <c r="K76" s="185" t="s">
        <v>193</v>
      </c>
      <c r="L76" s="186">
        <v>45750</v>
      </c>
      <c r="M76" s="187">
        <v>45757</v>
      </c>
      <c r="N76" s="185" t="s">
        <v>29</v>
      </c>
      <c r="O76" s="188">
        <f t="shared" si="2"/>
        <v>7</v>
      </c>
      <c r="P76" s="188">
        <f t="shared" si="3"/>
        <v>-11</v>
      </c>
      <c r="Q76" s="1215" t="s">
        <v>26</v>
      </c>
      <c r="R76" s="407"/>
      <c r="S76" s="125"/>
      <c r="T76" s="125"/>
      <c r="U76" s="125"/>
      <c r="V76" s="191"/>
      <c r="W76" s="162"/>
      <c r="X76" s="1215"/>
    </row>
    <row r="77" spans="2:24" ht="14.25" customHeight="1">
      <c r="B77" s="1208"/>
      <c r="C77" s="1192"/>
      <c r="D77" s="1206"/>
      <c r="E77" s="1158"/>
      <c r="F77" s="260"/>
      <c r="G77" s="1206"/>
      <c r="H77" s="1186"/>
      <c r="I77" s="1230"/>
      <c r="J77" s="396" t="s">
        <v>40</v>
      </c>
      <c r="K77" s="309" t="s">
        <v>194</v>
      </c>
      <c r="L77" s="408">
        <v>45754</v>
      </c>
      <c r="M77" s="409">
        <v>45764</v>
      </c>
      <c r="N77" s="410" t="s">
        <v>29</v>
      </c>
      <c r="O77" s="204">
        <f t="shared" si="2"/>
        <v>10</v>
      </c>
      <c r="P77" s="205">
        <f>_xlfn.DAYS(M77,H76)</f>
        <v>-4</v>
      </c>
      <c r="Q77" s="1215"/>
      <c r="R77" s="411"/>
      <c r="S77" s="118"/>
      <c r="T77" s="118"/>
      <c r="U77" s="118"/>
      <c r="V77" s="290"/>
      <c r="W77" s="162"/>
      <c r="X77" s="1215"/>
    </row>
    <row r="78" spans="2:24" ht="14.25" customHeight="1">
      <c r="B78" s="1208"/>
      <c r="C78" s="1192"/>
      <c r="D78" s="1206"/>
      <c r="E78" s="1158"/>
      <c r="F78" s="260"/>
      <c r="G78" s="1206"/>
      <c r="H78" s="1186"/>
      <c r="I78" s="1230"/>
      <c r="J78" s="396" t="s">
        <v>27</v>
      </c>
      <c r="K78" s="309" t="s">
        <v>195</v>
      </c>
      <c r="L78" s="165">
        <v>45754</v>
      </c>
      <c r="M78" s="166">
        <v>45764</v>
      </c>
      <c r="N78" s="401" t="s">
        <v>29</v>
      </c>
      <c r="O78" s="204">
        <f t="shared" si="2"/>
        <v>10</v>
      </c>
      <c r="P78" s="205">
        <f>_xlfn.DAYS(M78,H76)</f>
        <v>-4</v>
      </c>
      <c r="Q78" s="1215"/>
      <c r="R78" s="411"/>
      <c r="S78" s="118"/>
      <c r="T78" s="118"/>
      <c r="U78" s="118"/>
      <c r="V78" s="290"/>
      <c r="W78" s="162"/>
      <c r="X78" s="1215"/>
    </row>
    <row r="79" spans="2:24" ht="14.25" customHeight="1">
      <c r="B79" s="1208"/>
      <c r="C79" s="1192"/>
      <c r="D79" s="1206"/>
      <c r="E79" s="1158"/>
      <c r="F79" s="260"/>
      <c r="G79" s="1206"/>
      <c r="H79" s="1186"/>
      <c r="I79" s="1230"/>
      <c r="J79" s="396" t="s">
        <v>27</v>
      </c>
      <c r="K79" s="50" t="s">
        <v>196</v>
      </c>
      <c r="L79" s="215">
        <v>45754</v>
      </c>
      <c r="M79" s="216">
        <v>45758</v>
      </c>
      <c r="N79" s="399" t="s">
        <v>29</v>
      </c>
      <c r="O79" s="204">
        <f t="shared" si="2"/>
        <v>4</v>
      </c>
      <c r="P79" s="205">
        <f>_xlfn.DAYS(M79,H76)</f>
        <v>-10</v>
      </c>
      <c r="Q79" s="1215"/>
      <c r="S79" s="118"/>
      <c r="T79" s="118"/>
      <c r="U79" s="118"/>
      <c r="V79" s="290"/>
      <c r="W79" s="162"/>
      <c r="X79" s="1215"/>
    </row>
    <row r="80" spans="2:24" ht="14.25" customHeight="1">
      <c r="B80" s="1208"/>
      <c r="C80" s="1192"/>
      <c r="D80" s="1206"/>
      <c r="E80" s="1158"/>
      <c r="F80" s="260"/>
      <c r="G80" s="1206"/>
      <c r="H80" s="1186"/>
      <c r="I80" s="1230"/>
      <c r="J80" s="396" t="s">
        <v>27</v>
      </c>
      <c r="K80" s="309" t="s">
        <v>197</v>
      </c>
      <c r="L80" s="201">
        <v>45755</v>
      </c>
      <c r="M80" s="202">
        <v>45761</v>
      </c>
      <c r="N80" s="410" t="s">
        <v>29</v>
      </c>
      <c r="O80" s="204">
        <f t="shared" si="2"/>
        <v>6</v>
      </c>
      <c r="P80" s="205">
        <f>_xlfn.DAYS(M80,H76)</f>
        <v>-7</v>
      </c>
      <c r="Q80" s="1215"/>
      <c r="R80" s="411"/>
      <c r="S80" s="118"/>
      <c r="T80" s="118"/>
      <c r="U80" s="118"/>
      <c r="V80" s="290"/>
      <c r="W80" s="162"/>
      <c r="X80" s="1215"/>
    </row>
    <row r="81" spans="2:24" ht="14.25" customHeight="1">
      <c r="B81" s="1208"/>
      <c r="C81" s="1192"/>
      <c r="D81" s="1206"/>
      <c r="E81" s="1158"/>
      <c r="F81" s="260"/>
      <c r="G81" s="1206"/>
      <c r="H81" s="1186"/>
      <c r="I81" s="1230"/>
      <c r="J81" s="396" t="s">
        <v>27</v>
      </c>
      <c r="K81" s="309" t="s">
        <v>198</v>
      </c>
      <c r="L81" s="408">
        <v>45755</v>
      </c>
      <c r="M81" s="409">
        <v>45766</v>
      </c>
      <c r="N81" s="410" t="s">
        <v>29</v>
      </c>
      <c r="O81" s="204">
        <f t="shared" si="2"/>
        <v>11</v>
      </c>
      <c r="P81" s="205">
        <f>_xlfn.DAYS(M81,H76)</f>
        <v>-2</v>
      </c>
      <c r="Q81" s="1215"/>
      <c r="R81" s="411"/>
      <c r="S81" s="118"/>
      <c r="T81" s="118"/>
      <c r="U81" s="118"/>
      <c r="V81" s="290"/>
      <c r="W81" s="162"/>
      <c r="X81" s="1215"/>
    </row>
    <row r="82" spans="2:24" ht="14.25" customHeight="1">
      <c r="B82" s="1208"/>
      <c r="C82" s="1192"/>
      <c r="D82" s="1206"/>
      <c r="E82" s="1158"/>
      <c r="F82" s="260"/>
      <c r="G82" s="1206"/>
      <c r="H82" s="1186"/>
      <c r="I82" s="1230"/>
      <c r="J82" s="396" t="s">
        <v>27</v>
      </c>
      <c r="K82" s="309" t="s">
        <v>199</v>
      </c>
      <c r="L82" s="408">
        <v>45755</v>
      </c>
      <c r="M82" s="409">
        <v>45766</v>
      </c>
      <c r="N82" s="410" t="s">
        <v>29</v>
      </c>
      <c r="O82" s="204">
        <f t="shared" si="2"/>
        <v>11</v>
      </c>
      <c r="P82" s="205">
        <f>_xlfn.DAYS(M82,H76)</f>
        <v>-2</v>
      </c>
      <c r="Q82" s="1215"/>
      <c r="R82" s="411"/>
      <c r="S82" s="118"/>
      <c r="T82" s="118"/>
      <c r="U82" s="118"/>
      <c r="V82" s="290"/>
      <c r="W82" s="162"/>
      <c r="X82" s="1215"/>
    </row>
    <row r="83" spans="2:24" ht="14.25" customHeight="1">
      <c r="B83" s="1208"/>
      <c r="C83" s="1192"/>
      <c r="D83" s="1206"/>
      <c r="E83" s="1158"/>
      <c r="F83" s="260"/>
      <c r="G83" s="1206"/>
      <c r="H83" s="1186"/>
      <c r="I83" s="1230"/>
      <c r="J83" s="396" t="s">
        <v>27</v>
      </c>
      <c r="K83" s="309" t="s">
        <v>200</v>
      </c>
      <c r="L83" s="408">
        <v>45755</v>
      </c>
      <c r="M83" s="409">
        <v>45766</v>
      </c>
      <c r="N83" s="410" t="s">
        <v>29</v>
      </c>
      <c r="O83" s="204">
        <f t="shared" si="2"/>
        <v>11</v>
      </c>
      <c r="P83" s="205">
        <f>_xlfn.DAYS(M83,H76)</f>
        <v>-2</v>
      </c>
      <c r="Q83" s="1215"/>
      <c r="R83" s="411"/>
      <c r="S83" s="118"/>
      <c r="T83" s="118"/>
      <c r="U83" s="118"/>
      <c r="V83" s="290"/>
      <c r="W83" s="162"/>
      <c r="X83" s="1215"/>
    </row>
    <row r="84" spans="2:24" ht="14.25" customHeight="1">
      <c r="B84" s="1208"/>
      <c r="C84" s="1232"/>
      <c r="D84" s="1206"/>
      <c r="E84" s="1158"/>
      <c r="F84" s="268"/>
      <c r="G84" s="1206"/>
      <c r="H84" s="1186"/>
      <c r="I84" s="1230"/>
      <c r="J84" s="396" t="s">
        <v>27</v>
      </c>
      <c r="K84" s="309" t="s">
        <v>201</v>
      </c>
      <c r="L84" s="408">
        <v>45755</v>
      </c>
      <c r="M84" s="409">
        <v>45761</v>
      </c>
      <c r="N84" s="410" t="s">
        <v>29</v>
      </c>
      <c r="O84" s="204">
        <f t="shared" si="2"/>
        <v>6</v>
      </c>
      <c r="P84" s="205">
        <f>_xlfn.DAYS(M84,H76)</f>
        <v>-7</v>
      </c>
      <c r="Q84" s="1216"/>
      <c r="R84" s="418"/>
      <c r="S84" s="419"/>
      <c r="T84" s="419"/>
      <c r="U84" s="419"/>
      <c r="V84" s="420"/>
      <c r="W84" s="221"/>
      <c r="X84" s="1216"/>
    </row>
    <row r="85" spans="2:24" ht="14.25" customHeight="1">
      <c r="B85" s="1208"/>
      <c r="C85" s="1192" t="s">
        <v>165</v>
      </c>
      <c r="D85" s="1206"/>
      <c r="E85" s="1158"/>
      <c r="F85" s="260" t="s">
        <v>111</v>
      </c>
      <c r="G85" s="1206"/>
      <c r="H85" s="1186"/>
      <c r="I85" s="1230"/>
      <c r="J85" s="396" t="s">
        <v>40</v>
      </c>
      <c r="K85" s="309" t="s">
        <v>202</v>
      </c>
      <c r="L85" s="408">
        <v>45755</v>
      </c>
      <c r="M85" s="409">
        <v>45763</v>
      </c>
      <c r="N85" s="410" t="s">
        <v>29</v>
      </c>
      <c r="O85" s="204">
        <f t="shared" si="2"/>
        <v>8</v>
      </c>
      <c r="P85" s="205">
        <f>_xlfn.DAYS(M85,H76)</f>
        <v>-5</v>
      </c>
      <c r="Q85" s="1215" t="s">
        <v>26</v>
      </c>
      <c r="R85" s="421"/>
      <c r="S85" s="286"/>
      <c r="T85" s="286"/>
      <c r="U85" s="286"/>
      <c r="V85" s="208"/>
      <c r="W85" s="162"/>
      <c r="X85" s="1215"/>
    </row>
    <row r="86" spans="2:24" ht="14.25" customHeight="1">
      <c r="B86" s="1208"/>
      <c r="C86" s="1192"/>
      <c r="D86" s="1206"/>
      <c r="E86" s="1158"/>
      <c r="F86" s="260"/>
      <c r="G86" s="1206"/>
      <c r="H86" s="1186"/>
      <c r="I86" s="1230"/>
      <c r="J86" s="396" t="s">
        <v>27</v>
      </c>
      <c r="K86" s="309" t="s">
        <v>203</v>
      </c>
      <c r="L86" s="408">
        <v>45755</v>
      </c>
      <c r="M86" s="409">
        <v>45763</v>
      </c>
      <c r="N86" s="410" t="s">
        <v>29</v>
      </c>
      <c r="O86" s="204">
        <f t="shared" si="2"/>
        <v>8</v>
      </c>
      <c r="P86" s="205">
        <f>_xlfn.DAYS(M86,H76)</f>
        <v>-5</v>
      </c>
      <c r="Q86" s="1215"/>
      <c r="R86" s="411"/>
      <c r="S86" s="118"/>
      <c r="T86" s="118"/>
      <c r="U86" s="118"/>
      <c r="V86" s="290"/>
      <c r="W86" s="162"/>
      <c r="X86" s="1215"/>
    </row>
    <row r="87" spans="2:24" ht="14.25" customHeight="1">
      <c r="B87" s="1208"/>
      <c r="C87" s="1192"/>
      <c r="D87" s="1206"/>
      <c r="E87" s="1158"/>
      <c r="F87" s="260"/>
      <c r="G87" s="1206"/>
      <c r="H87" s="1186"/>
      <c r="I87" s="1230"/>
      <c r="J87" s="396" t="s">
        <v>27</v>
      </c>
      <c r="K87" s="309" t="s">
        <v>191</v>
      </c>
      <c r="L87" s="408">
        <v>45754</v>
      </c>
      <c r="M87" s="409">
        <v>45766</v>
      </c>
      <c r="N87" s="410" t="s">
        <v>29</v>
      </c>
      <c r="O87" s="204">
        <f t="shared" si="2"/>
        <v>12</v>
      </c>
      <c r="P87" s="205">
        <f>_xlfn.DAYS(M87,H76)</f>
        <v>-2</v>
      </c>
      <c r="Q87" s="1215"/>
      <c r="R87" s="411"/>
      <c r="S87" s="118"/>
      <c r="T87" s="118"/>
      <c r="U87" s="118"/>
      <c r="V87" s="290"/>
      <c r="W87" s="162"/>
      <c r="X87" s="1215"/>
    </row>
    <row r="88" spans="2:24" ht="14.25" customHeight="1">
      <c r="B88" s="1208"/>
      <c r="C88" s="1192"/>
      <c r="D88" s="1206"/>
      <c r="E88" s="1158"/>
      <c r="F88" s="260"/>
      <c r="G88" s="1206"/>
      <c r="H88" s="1186"/>
      <c r="I88" s="1230"/>
      <c r="J88" s="396" t="s">
        <v>27</v>
      </c>
      <c r="K88" s="309" t="s">
        <v>190</v>
      </c>
      <c r="L88" s="408">
        <v>45750</v>
      </c>
      <c r="M88" s="409">
        <v>45756</v>
      </c>
      <c r="N88" s="410" t="s">
        <v>29</v>
      </c>
      <c r="O88" s="204">
        <f t="shared" si="2"/>
        <v>6</v>
      </c>
      <c r="P88" s="205">
        <f>_xlfn.DAYS(M88,H76)</f>
        <v>-12</v>
      </c>
      <c r="Q88" s="1215"/>
      <c r="R88" s="411"/>
      <c r="S88" s="118"/>
      <c r="T88" s="118"/>
      <c r="U88" s="118"/>
      <c r="V88" s="290"/>
      <c r="W88" s="162"/>
      <c r="X88" s="1215"/>
    </row>
    <row r="89" spans="2:24" ht="14.25" customHeight="1">
      <c r="B89" s="1208"/>
      <c r="C89" s="1192"/>
      <c r="D89" s="1206"/>
      <c r="E89" s="1158"/>
      <c r="F89" s="260"/>
      <c r="G89" s="1206"/>
      <c r="H89" s="1186"/>
      <c r="I89" s="1230"/>
      <c r="J89" s="396" t="s">
        <v>27</v>
      </c>
      <c r="K89" s="309" t="s">
        <v>204</v>
      </c>
      <c r="L89" s="408">
        <v>45761</v>
      </c>
      <c r="M89" s="409">
        <v>45776</v>
      </c>
      <c r="N89" s="410" t="s">
        <v>29</v>
      </c>
      <c r="O89" s="204">
        <f t="shared" si="2"/>
        <v>15</v>
      </c>
      <c r="P89" s="205">
        <f>_xlfn.DAYS(M89,H76)</f>
        <v>8</v>
      </c>
      <c r="Q89" s="1215"/>
      <c r="R89" s="411"/>
      <c r="S89" s="118"/>
      <c r="T89" s="118"/>
      <c r="U89" s="118"/>
      <c r="V89" s="290"/>
      <c r="W89" s="162"/>
      <c r="X89" s="1215"/>
    </row>
    <row r="90" spans="2:24" ht="14.25" customHeight="1">
      <c r="B90" s="1208"/>
      <c r="C90" s="1192"/>
      <c r="D90" s="1206"/>
      <c r="E90" s="1158"/>
      <c r="F90" s="260"/>
      <c r="G90" s="1206"/>
      <c r="H90" s="1186"/>
      <c r="I90" s="1230"/>
      <c r="J90" s="396" t="s">
        <v>40</v>
      </c>
      <c r="K90" s="309" t="s">
        <v>205</v>
      </c>
      <c r="L90" s="408">
        <v>45761</v>
      </c>
      <c r="M90" s="412">
        <v>45777</v>
      </c>
      <c r="N90" s="410" t="s">
        <v>29</v>
      </c>
      <c r="O90" s="210">
        <f t="shared" si="2"/>
        <v>16</v>
      </c>
      <c r="P90" s="235">
        <f>_xlfn.DAYS(M90,H76)</f>
        <v>9</v>
      </c>
      <c r="Q90" s="1215"/>
      <c r="R90" s="411"/>
      <c r="S90" s="118"/>
      <c r="T90" s="118"/>
      <c r="U90" s="118"/>
      <c r="V90" s="290"/>
      <c r="W90" s="162"/>
      <c r="X90" s="1215"/>
    </row>
    <row r="91" spans="2:24" ht="14.25" customHeight="1">
      <c r="B91" s="1208"/>
      <c r="C91" s="1192"/>
      <c r="D91" s="1206"/>
      <c r="E91" s="1158"/>
      <c r="F91" s="260"/>
      <c r="G91" s="1206"/>
      <c r="H91" s="1186"/>
      <c r="I91" s="1230"/>
      <c r="J91" s="396" t="s">
        <v>27</v>
      </c>
      <c r="K91" s="309" t="s">
        <v>206</v>
      </c>
      <c r="L91" s="408">
        <v>45761</v>
      </c>
      <c r="M91" s="412">
        <v>45777</v>
      </c>
      <c r="N91" s="410" t="s">
        <v>29</v>
      </c>
      <c r="O91" s="210">
        <f t="shared" si="2"/>
        <v>16</v>
      </c>
      <c r="P91" s="235">
        <f>_xlfn.DAYS(M91,H76)</f>
        <v>9</v>
      </c>
      <c r="Q91" s="1215"/>
      <c r="R91" s="411"/>
      <c r="S91" s="118"/>
      <c r="T91" s="118"/>
      <c r="U91" s="118"/>
      <c r="V91" s="290"/>
      <c r="W91" s="162"/>
      <c r="X91" s="1215"/>
    </row>
    <row r="92" spans="2:24" ht="14.25" customHeight="1">
      <c r="B92" s="1208"/>
      <c r="C92" s="1192"/>
      <c r="D92" s="1206"/>
      <c r="E92" s="1158"/>
      <c r="F92" s="260"/>
      <c r="G92" s="1206"/>
      <c r="H92" s="1186"/>
      <c r="I92" s="1230"/>
      <c r="J92" s="396" t="s">
        <v>40</v>
      </c>
      <c r="K92" s="309" t="s">
        <v>207</v>
      </c>
      <c r="L92" s="408">
        <v>45762</v>
      </c>
      <c r="M92" s="409">
        <v>45772</v>
      </c>
      <c r="N92" s="410" t="s">
        <v>29</v>
      </c>
      <c r="O92" s="204">
        <f t="shared" si="2"/>
        <v>10</v>
      </c>
      <c r="P92" s="205">
        <f>_xlfn.DAYS(M92,H76)</f>
        <v>4</v>
      </c>
      <c r="Q92" s="1215"/>
      <c r="R92" s="411"/>
      <c r="S92" s="118"/>
      <c r="T92" s="118"/>
      <c r="U92" s="118"/>
      <c r="V92" s="290"/>
      <c r="W92" s="162"/>
      <c r="X92" s="1215"/>
    </row>
    <row r="93" spans="2:24" ht="14.25" customHeight="1">
      <c r="B93" s="1208"/>
      <c r="C93" s="1192"/>
      <c r="D93" s="1206"/>
      <c r="E93" s="1158"/>
      <c r="F93" s="260"/>
      <c r="G93" s="1206"/>
      <c r="H93" s="1187"/>
      <c r="I93" s="1221"/>
      <c r="J93" s="163" t="s">
        <v>27</v>
      </c>
      <c r="K93" s="164" t="s">
        <v>208</v>
      </c>
      <c r="L93" s="165">
        <v>45762</v>
      </c>
      <c r="M93" s="166">
        <v>45770</v>
      </c>
      <c r="N93" s="164" t="s">
        <v>29</v>
      </c>
      <c r="O93" s="149">
        <f t="shared" si="2"/>
        <v>8</v>
      </c>
      <c r="P93" s="387">
        <f>_xlfn.DAYS(M93,H76)</f>
        <v>2</v>
      </c>
      <c r="Q93" s="1216"/>
      <c r="R93" s="414"/>
      <c r="S93" s="127"/>
      <c r="T93" s="127"/>
      <c r="U93" s="127"/>
      <c r="V93" s="170"/>
      <c r="W93" s="221"/>
      <c r="X93" s="1216"/>
    </row>
    <row r="94" spans="2:24" ht="14.25" customHeight="1">
      <c r="B94" s="1207" t="s">
        <v>209</v>
      </c>
      <c r="C94" s="1191" t="s">
        <v>135</v>
      </c>
      <c r="D94" s="1205" t="s">
        <v>210</v>
      </c>
      <c r="E94" s="1244" t="s">
        <v>113</v>
      </c>
      <c r="F94" s="258" t="s">
        <v>24</v>
      </c>
      <c r="G94" s="1205" t="s">
        <v>25</v>
      </c>
      <c r="H94" s="1186">
        <v>45779</v>
      </c>
      <c r="I94" s="1230"/>
      <c r="J94" s="184" t="s">
        <v>27</v>
      </c>
      <c r="K94" s="185" t="s">
        <v>211</v>
      </c>
      <c r="L94" s="186">
        <v>45762</v>
      </c>
      <c r="M94" s="187">
        <v>45777</v>
      </c>
      <c r="N94" s="185" t="s">
        <v>29</v>
      </c>
      <c r="O94" s="264">
        <f t="shared" si="2"/>
        <v>15</v>
      </c>
      <c r="P94" s="422">
        <f>_xlfn.DAYS(M94,H94)</f>
        <v>-2</v>
      </c>
      <c r="Q94" s="1215" t="s">
        <v>26</v>
      </c>
      <c r="R94" s="407"/>
      <c r="S94" s="125"/>
      <c r="T94" s="125"/>
      <c r="U94" s="125"/>
      <c r="V94" s="191"/>
      <c r="W94" s="162"/>
      <c r="X94" s="1215"/>
    </row>
    <row r="95" spans="2:24" ht="14.25" customHeight="1">
      <c r="B95" s="1208"/>
      <c r="C95" s="1192"/>
      <c r="D95" s="1206"/>
      <c r="E95" s="1245"/>
      <c r="F95" s="260"/>
      <c r="G95" s="1206"/>
      <c r="H95" s="1187"/>
      <c r="I95" s="1221"/>
      <c r="J95" s="163" t="s">
        <v>40</v>
      </c>
      <c r="K95" s="164" t="s">
        <v>212</v>
      </c>
      <c r="L95" s="165">
        <v>45762</v>
      </c>
      <c r="M95" s="166">
        <v>45777</v>
      </c>
      <c r="N95" s="164" t="s">
        <v>29</v>
      </c>
      <c r="O95" s="149">
        <f t="shared" si="2"/>
        <v>15</v>
      </c>
      <c r="P95" s="387">
        <f>_xlfn.DAYS(M95,H94)</f>
        <v>-2</v>
      </c>
      <c r="Q95" s="1216"/>
      <c r="R95" s="414"/>
      <c r="S95" s="127"/>
      <c r="T95" s="127"/>
      <c r="U95" s="127"/>
      <c r="V95" s="170"/>
      <c r="W95" s="221"/>
      <c r="X95" s="1216"/>
    </row>
    <row r="96" spans="2:24" ht="32.25" customHeight="1">
      <c r="B96" s="256" t="s">
        <v>213</v>
      </c>
      <c r="C96" s="257" t="s">
        <v>214</v>
      </c>
      <c r="D96" s="258" t="s">
        <v>215</v>
      </c>
      <c r="E96" s="259" t="s">
        <v>137</v>
      </c>
      <c r="F96" s="258" t="s">
        <v>216</v>
      </c>
      <c r="G96" s="258" t="s">
        <v>25</v>
      </c>
      <c r="H96" s="270">
        <v>45793</v>
      </c>
      <c r="I96" s="240"/>
      <c r="J96" s="224" t="s">
        <v>27</v>
      </c>
      <c r="K96" s="225" t="s">
        <v>217</v>
      </c>
      <c r="L96" s="226">
        <v>45772</v>
      </c>
      <c r="M96" s="227">
        <v>45777</v>
      </c>
      <c r="N96" s="225" t="s">
        <v>29</v>
      </c>
      <c r="O96" s="188">
        <f>_xlfn.DAYS(M96,L96)</f>
        <v>5</v>
      </c>
      <c r="P96" s="423">
        <f>_xlfn.DAYS(M96,H96)</f>
        <v>-16</v>
      </c>
      <c r="Q96" s="206" t="s">
        <v>26</v>
      </c>
      <c r="R96" s="424"/>
      <c r="S96" s="188"/>
      <c r="T96" s="188"/>
      <c r="U96" s="188"/>
      <c r="V96" s="425"/>
      <c r="W96" s="221"/>
      <c r="X96" s="206"/>
    </row>
    <row r="97" spans="2:24" ht="14.25" customHeight="1">
      <c r="B97" s="1207" t="s">
        <v>218</v>
      </c>
      <c r="C97" s="1191" t="s">
        <v>219</v>
      </c>
      <c r="D97" s="1205" t="s">
        <v>220</v>
      </c>
      <c r="E97" s="1157" t="s">
        <v>36</v>
      </c>
      <c r="F97" s="258" t="s">
        <v>81</v>
      </c>
      <c r="G97" s="1205" t="s">
        <v>25</v>
      </c>
      <c r="H97" s="1186">
        <v>45800</v>
      </c>
      <c r="I97" s="1220"/>
      <c r="J97" s="184" t="s">
        <v>27</v>
      </c>
      <c r="K97" s="185" t="s">
        <v>221</v>
      </c>
      <c r="L97" s="186">
        <v>45785</v>
      </c>
      <c r="M97" s="415">
        <v>45800</v>
      </c>
      <c r="N97" s="426" t="s">
        <v>29</v>
      </c>
      <c r="O97" s="427">
        <f>_xlfn.DAYS(M97,L97)</f>
        <v>15</v>
      </c>
      <c r="P97" s="428">
        <f>_xlfn.DAYS(M97,H97)</f>
        <v>0</v>
      </c>
      <c r="Q97" s="1214" t="s">
        <v>26</v>
      </c>
      <c r="R97" s="407"/>
      <c r="S97" s="125"/>
      <c r="T97" s="125"/>
      <c r="U97" s="125"/>
      <c r="V97" s="191"/>
      <c r="W97" s="162"/>
      <c r="X97" s="1214"/>
    </row>
    <row r="98" spans="2:24" ht="14.25" customHeight="1">
      <c r="B98" s="1208"/>
      <c r="C98" s="1192"/>
      <c r="D98" s="1206"/>
      <c r="E98" s="1158"/>
      <c r="F98" s="260"/>
      <c r="G98" s="1206"/>
      <c r="H98" s="1186"/>
      <c r="I98" s="1230"/>
      <c r="J98" s="199" t="s">
        <v>27</v>
      </c>
      <c r="K98" s="200" t="s">
        <v>222</v>
      </c>
      <c r="L98" s="201">
        <v>45791</v>
      </c>
      <c r="M98" s="202">
        <v>45798</v>
      </c>
      <c r="N98" s="203" t="s">
        <v>29</v>
      </c>
      <c r="O98" s="204">
        <f>_xlfn.DAYS(M98,L98)</f>
        <v>7</v>
      </c>
      <c r="P98" s="355">
        <f>_xlfn.DAYS(M98,H97)</f>
        <v>-2</v>
      </c>
      <c r="Q98" s="1215"/>
      <c r="R98" s="421"/>
      <c r="S98" s="286"/>
      <c r="T98" s="286"/>
      <c r="U98" s="286"/>
      <c r="V98" s="208"/>
      <c r="W98" s="162"/>
      <c r="X98" s="1215"/>
    </row>
    <row r="99" spans="2:24" ht="14.25" customHeight="1">
      <c r="B99" s="1208"/>
      <c r="C99" s="1192"/>
      <c r="D99" s="1206"/>
      <c r="E99" s="1158"/>
      <c r="F99" s="260"/>
      <c r="G99" s="1206"/>
      <c r="H99" s="1186"/>
      <c r="I99" s="1230"/>
      <c r="J99" s="199" t="s">
        <v>27</v>
      </c>
      <c r="K99" s="200" t="s">
        <v>223</v>
      </c>
      <c r="L99" s="201">
        <v>45790</v>
      </c>
      <c r="M99" s="202">
        <v>45797</v>
      </c>
      <c r="N99" s="203" t="s">
        <v>29</v>
      </c>
      <c r="O99" s="157">
        <f>_xlfn.DAYS(M99,L99)</f>
        <v>7</v>
      </c>
      <c r="P99" s="429">
        <f>_xlfn.DAYS(M99,H97)</f>
        <v>-3</v>
      </c>
      <c r="Q99" s="1215"/>
      <c r="R99" s="421"/>
      <c r="S99" s="286"/>
      <c r="T99" s="286"/>
      <c r="U99" s="286"/>
      <c r="V99" s="208"/>
      <c r="W99" s="162"/>
      <c r="X99" s="1215"/>
    </row>
    <row r="100" spans="2:24" ht="14.25" customHeight="1">
      <c r="B100" s="1208"/>
      <c r="C100" s="1192"/>
      <c r="D100" s="1206"/>
      <c r="E100" s="1158"/>
      <c r="F100" s="260"/>
      <c r="G100" s="1206"/>
      <c r="H100" s="1186"/>
      <c r="I100" s="1230"/>
      <c r="J100" s="396" t="s">
        <v>27</v>
      </c>
      <c r="K100" s="309" t="s">
        <v>224</v>
      </c>
      <c r="L100" s="408">
        <v>45785</v>
      </c>
      <c r="M100" s="409">
        <v>45798</v>
      </c>
      <c r="N100" s="410" t="s">
        <v>29</v>
      </c>
      <c r="O100" s="157">
        <f t="shared" ref="O100" si="4">_xlfn.DAYS(M100,L100)</f>
        <v>13</v>
      </c>
      <c r="P100" s="429">
        <f>_xlfn.DAYS(M100,H97)</f>
        <v>-2</v>
      </c>
      <c r="Q100" s="1215"/>
      <c r="R100" s="411"/>
      <c r="S100" s="118"/>
      <c r="T100" s="118"/>
      <c r="U100" s="118"/>
      <c r="V100" s="290"/>
      <c r="W100" s="162"/>
      <c r="X100" s="1215"/>
    </row>
    <row r="101" spans="2:24" ht="14.25" customHeight="1">
      <c r="B101" s="1208"/>
      <c r="C101" s="1192"/>
      <c r="D101" s="1206"/>
      <c r="E101" s="1158"/>
      <c r="F101" s="260"/>
      <c r="G101" s="1206"/>
      <c r="H101" s="1186"/>
      <c r="I101" s="1230"/>
      <c r="J101" s="396" t="s">
        <v>27</v>
      </c>
      <c r="K101" s="309" t="s">
        <v>225</v>
      </c>
      <c r="L101" s="408">
        <v>45785</v>
      </c>
      <c r="M101" s="412">
        <v>45800</v>
      </c>
      <c r="N101" s="410" t="s">
        <v>29</v>
      </c>
      <c r="O101" s="210">
        <f t="shared" si="2"/>
        <v>15</v>
      </c>
      <c r="P101" s="355">
        <f>_xlfn.DAYS(M101,H97)</f>
        <v>0</v>
      </c>
      <c r="Q101" s="1215"/>
      <c r="R101" s="411"/>
      <c r="S101" s="118"/>
      <c r="T101" s="118"/>
      <c r="U101" s="118"/>
      <c r="V101" s="290"/>
      <c r="W101" s="162"/>
      <c r="X101" s="1215"/>
    </row>
    <row r="102" spans="2:24" ht="14.25" customHeight="1">
      <c r="B102" s="1208"/>
      <c r="C102" s="1192"/>
      <c r="D102" s="1206"/>
      <c r="E102" s="1158"/>
      <c r="F102" s="260"/>
      <c r="G102" s="1206"/>
      <c r="H102" s="1186"/>
      <c r="I102" s="1230"/>
      <c r="J102" s="396" t="s">
        <v>27</v>
      </c>
      <c r="K102" s="309" t="s">
        <v>226</v>
      </c>
      <c r="L102" s="408">
        <v>45785</v>
      </c>
      <c r="M102" s="412">
        <v>45800</v>
      </c>
      <c r="N102" s="410" t="s">
        <v>29</v>
      </c>
      <c r="O102" s="210">
        <f t="shared" si="2"/>
        <v>15</v>
      </c>
      <c r="P102" s="355">
        <f>_xlfn.DAYS(M102,H97)</f>
        <v>0</v>
      </c>
      <c r="Q102" s="1215"/>
      <c r="R102" s="411"/>
      <c r="S102" s="118"/>
      <c r="T102" s="118"/>
      <c r="U102" s="118"/>
      <c r="V102" s="290"/>
      <c r="W102" s="162"/>
      <c r="X102" s="1215"/>
    </row>
    <row r="103" spans="2:24" ht="14.25" customHeight="1">
      <c r="B103" s="1208"/>
      <c r="C103" s="1192"/>
      <c r="D103" s="1206"/>
      <c r="E103" s="1158"/>
      <c r="F103" s="260"/>
      <c r="G103" s="1206"/>
      <c r="H103" s="1187"/>
      <c r="I103" s="1221"/>
      <c r="J103" s="163" t="s">
        <v>40</v>
      </c>
      <c r="K103" s="164" t="s">
        <v>227</v>
      </c>
      <c r="L103" s="165">
        <v>45785</v>
      </c>
      <c r="M103" s="413">
        <v>45800</v>
      </c>
      <c r="N103" s="246" t="s">
        <v>29</v>
      </c>
      <c r="O103" s="430">
        <f t="shared" si="2"/>
        <v>15</v>
      </c>
      <c r="P103" s="363">
        <f>_xlfn.DAYS(M103,H97)</f>
        <v>0</v>
      </c>
      <c r="Q103" s="1215"/>
      <c r="R103" s="414"/>
      <c r="S103" s="127"/>
      <c r="T103" s="127"/>
      <c r="U103" s="127"/>
      <c r="V103" s="170"/>
      <c r="W103" s="221"/>
      <c r="X103" s="1216"/>
    </row>
    <row r="104" spans="2:24" ht="14.25" customHeight="1">
      <c r="B104" s="1207" t="s">
        <v>228</v>
      </c>
      <c r="C104" s="1191" t="s">
        <v>135</v>
      </c>
      <c r="D104" s="1205" t="s">
        <v>229</v>
      </c>
      <c r="E104" s="1157" t="s">
        <v>113</v>
      </c>
      <c r="F104" s="258" t="s">
        <v>24</v>
      </c>
      <c r="G104" s="1205" t="s">
        <v>25</v>
      </c>
      <c r="H104" s="1213">
        <v>45800</v>
      </c>
      <c r="I104" s="1293"/>
      <c r="J104" s="184" t="s">
        <v>27</v>
      </c>
      <c r="K104" s="185" t="s">
        <v>230</v>
      </c>
      <c r="L104" s="186">
        <v>45792</v>
      </c>
      <c r="M104" s="187">
        <v>45800</v>
      </c>
      <c r="N104" s="426" t="s">
        <v>29</v>
      </c>
      <c r="O104" s="431">
        <f>_xlfn.DAYS(M104,L104)</f>
        <v>8</v>
      </c>
      <c r="P104" s="422">
        <f>_xlfn.DAYS(M104,H104)</f>
        <v>0</v>
      </c>
      <c r="Q104" s="1215" t="s">
        <v>26</v>
      </c>
      <c r="R104" s="432"/>
      <c r="S104" s="433"/>
      <c r="T104" s="433"/>
      <c r="U104" s="433"/>
      <c r="V104" s="434"/>
      <c r="W104" s="157"/>
      <c r="X104" s="1295"/>
    </row>
    <row r="105" spans="2:24" ht="14.25" customHeight="1">
      <c r="B105" s="1208"/>
      <c r="C105" s="1192"/>
      <c r="D105" s="1206"/>
      <c r="E105" s="1158"/>
      <c r="F105" s="260"/>
      <c r="G105" s="1206"/>
      <c r="H105" s="1186"/>
      <c r="I105" s="1255"/>
      <c r="J105" s="396" t="s">
        <v>27</v>
      </c>
      <c r="K105" s="309" t="s">
        <v>231</v>
      </c>
      <c r="L105" s="408">
        <v>45792</v>
      </c>
      <c r="M105" s="412">
        <v>45813</v>
      </c>
      <c r="N105" s="410" t="s">
        <v>29</v>
      </c>
      <c r="O105" s="210">
        <f>_xlfn.DAYS(M105,L105)</f>
        <v>21</v>
      </c>
      <c r="P105" s="235">
        <f>_xlfn.DAYS(M105,H104)</f>
        <v>13</v>
      </c>
      <c r="Q105" s="1215"/>
      <c r="R105" s="436"/>
      <c r="S105" s="204"/>
      <c r="T105" s="204"/>
      <c r="U105" s="204"/>
      <c r="V105" s="366"/>
      <c r="W105" s="204"/>
      <c r="X105" s="1296"/>
    </row>
    <row r="106" spans="2:24" ht="14.25" customHeight="1">
      <c r="B106" s="1208"/>
      <c r="C106" s="1192"/>
      <c r="D106" s="1206"/>
      <c r="E106" s="1158"/>
      <c r="F106" s="260"/>
      <c r="G106" s="1206"/>
      <c r="H106" s="1186"/>
      <c r="I106" s="1255"/>
      <c r="J106" s="438" t="s">
        <v>40</v>
      </c>
      <c r="K106" s="439" t="s">
        <v>232</v>
      </c>
      <c r="L106" s="440">
        <v>45792</v>
      </c>
      <c r="M106" s="440">
        <v>45806</v>
      </c>
      <c r="N106" s="441" t="s">
        <v>29</v>
      </c>
      <c r="O106" s="204">
        <f t="shared" si="2"/>
        <v>14</v>
      </c>
      <c r="P106" s="387">
        <f>_xlfn.DAYS(M106,H104)</f>
        <v>6</v>
      </c>
      <c r="Q106" s="1292"/>
      <c r="R106" s="436"/>
      <c r="S106" s="204"/>
      <c r="T106" s="204"/>
      <c r="U106" s="204"/>
      <c r="V106" s="366"/>
      <c r="W106" s="204"/>
      <c r="X106" s="1296"/>
    </row>
    <row r="107" spans="2:24" ht="14.25" customHeight="1">
      <c r="B107" s="1231"/>
      <c r="C107" s="1232"/>
      <c r="D107" s="1233"/>
      <c r="E107" s="1234"/>
      <c r="F107" s="268"/>
      <c r="G107" s="1233"/>
      <c r="H107" s="1187"/>
      <c r="I107" s="1294"/>
      <c r="J107" s="443" t="s">
        <v>27</v>
      </c>
      <c r="K107" s="444" t="s">
        <v>233</v>
      </c>
      <c r="L107" s="445">
        <v>45839</v>
      </c>
      <c r="M107" s="445">
        <v>45854</v>
      </c>
      <c r="N107" s="446" t="s">
        <v>29</v>
      </c>
      <c r="O107" s="447">
        <f ca="1">IF(ISBLANK(L107), "", IF(ISNUMBER(M107), M107-L107, TODAY()-L107))</f>
        <v>15</v>
      </c>
      <c r="P107" s="448">
        <f ca="1">IF(ISBLANK(H104), "", IF(ISNUMBER(M107), M107-H104, TODAY()-H104))</f>
        <v>54</v>
      </c>
      <c r="Q107" s="449" t="s">
        <v>26</v>
      </c>
      <c r="R107" s="450"/>
      <c r="S107" s="362"/>
      <c r="T107" s="362"/>
      <c r="U107" s="362"/>
      <c r="V107" s="451"/>
      <c r="W107" s="342"/>
      <c r="X107" s="340"/>
    </row>
    <row r="108" spans="2:24" ht="29.25" customHeight="1">
      <c r="B108" s="324" t="s">
        <v>234</v>
      </c>
      <c r="C108" s="148" t="s">
        <v>235</v>
      </c>
      <c r="D108" s="260" t="s">
        <v>236</v>
      </c>
      <c r="E108" s="280" t="s">
        <v>237</v>
      </c>
      <c r="F108" s="260" t="s">
        <v>238</v>
      </c>
      <c r="G108" s="260" t="s">
        <v>25</v>
      </c>
      <c r="H108" s="270">
        <v>45807</v>
      </c>
      <c r="I108" s="240"/>
      <c r="J108" s="152" t="s">
        <v>27</v>
      </c>
      <c r="K108" s="452" t="s">
        <v>239</v>
      </c>
      <c r="L108" s="154">
        <v>45796</v>
      </c>
      <c r="M108" s="155">
        <v>45800</v>
      </c>
      <c r="N108" s="156" t="s">
        <v>29</v>
      </c>
      <c r="O108" s="194">
        <f t="shared" si="2"/>
        <v>4</v>
      </c>
      <c r="P108" s="453">
        <f>_xlfn.DAYS(M108,H108)</f>
        <v>-7</v>
      </c>
      <c r="Q108" s="206" t="s">
        <v>26</v>
      </c>
      <c r="R108" s="454"/>
      <c r="S108" s="149"/>
      <c r="T108" s="149"/>
      <c r="U108" s="149"/>
      <c r="V108" s="161"/>
      <c r="W108" s="221"/>
      <c r="X108" s="206"/>
    </row>
    <row r="109" spans="2:24" ht="15" customHeight="1">
      <c r="B109" s="1256" t="s">
        <v>234</v>
      </c>
      <c r="C109" s="1113" t="s">
        <v>240</v>
      </c>
      <c r="D109" s="1176" t="s">
        <v>236</v>
      </c>
      <c r="E109" s="1188" t="s">
        <v>237</v>
      </c>
      <c r="F109" s="180" t="s">
        <v>241</v>
      </c>
      <c r="G109" s="1176" t="s">
        <v>25</v>
      </c>
      <c r="H109" s="1199">
        <v>45807</v>
      </c>
      <c r="I109" s="1201"/>
      <c r="J109" s="60" t="s">
        <v>27</v>
      </c>
      <c r="K109" s="457" t="s">
        <v>242</v>
      </c>
      <c r="L109" s="371">
        <v>45798</v>
      </c>
      <c r="M109" s="372">
        <v>45806</v>
      </c>
      <c r="N109" s="370" t="s">
        <v>29</v>
      </c>
      <c r="O109" s="179">
        <f t="shared" si="2"/>
        <v>8</v>
      </c>
      <c r="P109" s="423">
        <f t="shared" ref="P109" si="5">_xlfn.DAYS(M109,H109)</f>
        <v>-1</v>
      </c>
      <c r="Q109" s="1193" t="s">
        <v>26</v>
      </c>
      <c r="R109" s="432"/>
      <c r="S109" s="433"/>
      <c r="T109" s="433"/>
      <c r="U109" s="433"/>
      <c r="V109" s="434"/>
      <c r="W109" s="162"/>
      <c r="X109" s="1193"/>
    </row>
    <row r="110" spans="2:24" ht="14.25" customHeight="1">
      <c r="B110" s="1209"/>
      <c r="C110" s="1114"/>
      <c r="D110" s="1177"/>
      <c r="E110" s="1189"/>
      <c r="F110" s="282"/>
      <c r="G110" s="1177"/>
      <c r="H110" s="1199"/>
      <c r="I110" s="1202"/>
      <c r="J110" s="66" t="s">
        <v>40</v>
      </c>
      <c r="K110" s="460" t="s">
        <v>243</v>
      </c>
      <c r="L110" s="212">
        <v>45798</v>
      </c>
      <c r="M110" s="83">
        <v>45810</v>
      </c>
      <c r="N110" s="288" t="s">
        <v>29</v>
      </c>
      <c r="O110" s="204">
        <f t="shared" si="2"/>
        <v>12</v>
      </c>
      <c r="P110" s="205">
        <f>_xlfn.DAYS(M110,H109)</f>
        <v>3</v>
      </c>
      <c r="Q110" s="1194"/>
      <c r="R110" s="436"/>
      <c r="S110" s="204"/>
      <c r="T110" s="204"/>
      <c r="U110" s="204"/>
      <c r="V110" s="366"/>
      <c r="W110" s="162"/>
      <c r="X110" s="1194"/>
    </row>
    <row r="111" spans="2:24" ht="14.25" customHeight="1">
      <c r="B111" s="1209"/>
      <c r="C111" s="1114"/>
      <c r="D111" s="1177"/>
      <c r="E111" s="1189"/>
      <c r="F111" s="282"/>
      <c r="G111" s="1177"/>
      <c r="H111" s="1200"/>
      <c r="I111" s="1203"/>
      <c r="J111" s="357" t="s">
        <v>27</v>
      </c>
      <c r="K111" s="463" t="s">
        <v>244</v>
      </c>
      <c r="L111" s="381">
        <v>45798</v>
      </c>
      <c r="M111" s="382">
        <v>45811</v>
      </c>
      <c r="N111" s="380" t="s">
        <v>29</v>
      </c>
      <c r="O111" s="464">
        <f t="shared" si="2"/>
        <v>13</v>
      </c>
      <c r="P111" s="465">
        <f>_xlfn.DAYS(M111,H109)</f>
        <v>4</v>
      </c>
      <c r="Q111" s="1195"/>
      <c r="R111" s="450"/>
      <c r="S111" s="362"/>
      <c r="T111" s="362"/>
      <c r="U111" s="362"/>
      <c r="V111" s="451"/>
      <c r="W111" s="221"/>
      <c r="X111" s="1195"/>
    </row>
    <row r="112" spans="2:24" ht="14.25" customHeight="1">
      <c r="B112" s="1207" t="s">
        <v>245</v>
      </c>
      <c r="C112" s="1191" t="s">
        <v>192</v>
      </c>
      <c r="D112" s="1205" t="s">
        <v>246</v>
      </c>
      <c r="E112" s="1157" t="s">
        <v>110</v>
      </c>
      <c r="F112" s="258" t="s">
        <v>111</v>
      </c>
      <c r="G112" s="1244" t="s">
        <v>25</v>
      </c>
      <c r="H112" s="1186">
        <v>45807</v>
      </c>
      <c r="I112" s="1220"/>
      <c r="J112" s="184" t="s">
        <v>27</v>
      </c>
      <c r="K112" s="185" t="s">
        <v>247</v>
      </c>
      <c r="L112" s="186">
        <v>45797</v>
      </c>
      <c r="M112" s="187">
        <v>45813</v>
      </c>
      <c r="N112" s="426" t="s">
        <v>29</v>
      </c>
      <c r="O112" s="370">
        <f t="shared" si="2"/>
        <v>16</v>
      </c>
      <c r="P112" s="422">
        <f>_xlfn.DAYS(M112,H112)</f>
        <v>6</v>
      </c>
      <c r="Q112" s="1214" t="s">
        <v>26</v>
      </c>
      <c r="R112" s="407"/>
      <c r="S112" s="125"/>
      <c r="T112" s="125"/>
      <c r="U112" s="125"/>
      <c r="V112" s="191"/>
      <c r="W112" s="162"/>
      <c r="X112" s="1214"/>
    </row>
    <row r="113" spans="2:24" ht="14.25" customHeight="1">
      <c r="B113" s="1208"/>
      <c r="C113" s="1192"/>
      <c r="D113" s="1206"/>
      <c r="E113" s="1158"/>
      <c r="F113" s="260"/>
      <c r="G113" s="1245"/>
      <c r="H113" s="1186"/>
      <c r="I113" s="1230"/>
      <c r="J113" s="396" t="s">
        <v>40</v>
      </c>
      <c r="K113" s="309" t="s">
        <v>248</v>
      </c>
      <c r="L113" s="408">
        <v>45798</v>
      </c>
      <c r="M113" s="409">
        <v>45813</v>
      </c>
      <c r="N113" s="410" t="s">
        <v>29</v>
      </c>
      <c r="O113" s="204">
        <f t="shared" si="2"/>
        <v>15</v>
      </c>
      <c r="P113" s="205">
        <f>_xlfn.DAYS(M113,H112)</f>
        <v>6</v>
      </c>
      <c r="Q113" s="1215"/>
      <c r="R113" s="411"/>
      <c r="S113" s="118"/>
      <c r="T113" s="118"/>
      <c r="U113" s="118"/>
      <c r="V113" s="290"/>
      <c r="W113" s="162"/>
      <c r="X113" s="1215"/>
    </row>
    <row r="114" spans="2:24" ht="14.25" customHeight="1">
      <c r="B114" s="1208"/>
      <c r="C114" s="1192"/>
      <c r="D114" s="1206"/>
      <c r="E114" s="1158"/>
      <c r="F114" s="260"/>
      <c r="G114" s="1297"/>
      <c r="H114" s="1187"/>
      <c r="I114" s="1221"/>
      <c r="J114" s="163" t="s">
        <v>27</v>
      </c>
      <c r="K114" s="452" t="s">
        <v>249</v>
      </c>
      <c r="L114" s="165">
        <v>45798</v>
      </c>
      <c r="M114" s="166">
        <v>45817</v>
      </c>
      <c r="N114" s="246" t="s">
        <v>29</v>
      </c>
      <c r="O114" s="430">
        <f t="shared" si="2"/>
        <v>19</v>
      </c>
      <c r="P114" s="466">
        <f ca="1">IF(ISBLANK(H112), "", IF(ISNUMBER(M114), M114-H112, TODAY()-H112))</f>
        <v>10</v>
      </c>
      <c r="Q114" s="1216"/>
      <c r="R114" s="414"/>
      <c r="S114" s="127"/>
      <c r="T114" s="127"/>
      <c r="U114" s="127"/>
      <c r="V114" s="170"/>
      <c r="W114" s="221"/>
      <c r="X114" s="1216"/>
    </row>
    <row r="115" spans="2:24" ht="46.5" customHeight="1">
      <c r="B115" s="256" t="s">
        <v>250</v>
      </c>
      <c r="C115" s="257" t="s">
        <v>192</v>
      </c>
      <c r="D115" s="258" t="s">
        <v>251</v>
      </c>
      <c r="E115" s="259" t="s">
        <v>252</v>
      </c>
      <c r="F115" s="258" t="s">
        <v>216</v>
      </c>
      <c r="G115" s="260" t="s">
        <v>144</v>
      </c>
      <c r="H115" s="198">
        <v>45821</v>
      </c>
      <c r="I115" s="261"/>
      <c r="J115" s="224" t="s">
        <v>27</v>
      </c>
      <c r="K115" s="225" t="s">
        <v>253</v>
      </c>
      <c r="L115" s="226">
        <v>45800</v>
      </c>
      <c r="M115" s="227">
        <v>45807</v>
      </c>
      <c r="N115" s="467" t="s">
        <v>29</v>
      </c>
      <c r="O115" s="179">
        <f>_xlfn.DAYS(M115,L115)</f>
        <v>7</v>
      </c>
      <c r="P115" s="423">
        <f>_xlfn.DAYS(M115,H115)</f>
        <v>-14</v>
      </c>
      <c r="Q115" s="189" t="s">
        <v>26</v>
      </c>
      <c r="R115" s="424"/>
      <c r="S115" s="188"/>
      <c r="T115" s="188"/>
      <c r="U115" s="188"/>
      <c r="V115" s="425"/>
      <c r="W115" s="221"/>
      <c r="X115" s="189"/>
    </row>
    <row r="116" spans="2:24" ht="51" customHeight="1">
      <c r="B116" s="256" t="s">
        <v>254</v>
      </c>
      <c r="C116" s="257" t="s">
        <v>214</v>
      </c>
      <c r="D116" s="258" t="s">
        <v>251</v>
      </c>
      <c r="E116" s="259" t="s">
        <v>252</v>
      </c>
      <c r="F116" s="258" t="s">
        <v>186</v>
      </c>
      <c r="G116" s="258" t="s">
        <v>144</v>
      </c>
      <c r="H116" s="183">
        <v>45821</v>
      </c>
      <c r="I116" s="261"/>
      <c r="J116" s="224" t="s">
        <v>27</v>
      </c>
      <c r="K116" s="225" t="s">
        <v>255</v>
      </c>
      <c r="L116" s="226">
        <v>45806</v>
      </c>
      <c r="M116" s="227">
        <v>45811</v>
      </c>
      <c r="N116" s="467" t="s">
        <v>29</v>
      </c>
      <c r="O116" s="179">
        <f>_xlfn.DAYS(M116,L116)</f>
        <v>5</v>
      </c>
      <c r="P116" s="423">
        <f>_xlfn.DAYS(M116,H116)</f>
        <v>-10</v>
      </c>
      <c r="Q116" s="189" t="s">
        <v>26</v>
      </c>
      <c r="R116" s="424"/>
      <c r="S116" s="188"/>
      <c r="T116" s="188"/>
      <c r="U116" s="188"/>
      <c r="V116" s="425"/>
      <c r="W116" s="221"/>
      <c r="X116" s="189"/>
    </row>
    <row r="117" spans="2:24" ht="14.25" customHeight="1">
      <c r="B117" s="1207" t="s">
        <v>256</v>
      </c>
      <c r="C117" s="1191" t="s">
        <v>257</v>
      </c>
      <c r="D117" s="1205" t="s">
        <v>258</v>
      </c>
      <c r="E117" s="1157" t="s">
        <v>259</v>
      </c>
      <c r="F117" s="258" t="s">
        <v>260</v>
      </c>
      <c r="G117" s="1205" t="s">
        <v>25</v>
      </c>
      <c r="H117" s="1213">
        <v>45807</v>
      </c>
      <c r="I117" s="1220"/>
      <c r="J117" s="184" t="s">
        <v>27</v>
      </c>
      <c r="K117" s="185" t="s">
        <v>261</v>
      </c>
      <c r="L117" s="186">
        <v>45803</v>
      </c>
      <c r="M117" s="187">
        <v>45811</v>
      </c>
      <c r="N117" s="426" t="s">
        <v>29</v>
      </c>
      <c r="O117" s="433">
        <f>_xlfn.DAYS(M117,L117)</f>
        <v>8</v>
      </c>
      <c r="P117" s="468">
        <f>_xlfn.DAYS(M117,H117)</f>
        <v>4</v>
      </c>
      <c r="Q117" s="1214" t="s">
        <v>26</v>
      </c>
      <c r="R117" s="407"/>
      <c r="S117" s="125"/>
      <c r="T117" s="125"/>
      <c r="U117" s="125"/>
      <c r="V117" s="191"/>
      <c r="W117" s="162"/>
      <c r="X117" s="1214"/>
    </row>
    <row r="118" spans="2:24" ht="14.25" customHeight="1">
      <c r="B118" s="1208"/>
      <c r="C118" s="1192"/>
      <c r="D118" s="1206"/>
      <c r="E118" s="1158"/>
      <c r="F118" s="260"/>
      <c r="G118" s="1206"/>
      <c r="H118" s="1186"/>
      <c r="I118" s="1230"/>
      <c r="J118" s="396" t="s">
        <v>27</v>
      </c>
      <c r="K118" s="309" t="s">
        <v>262</v>
      </c>
      <c r="L118" s="408">
        <v>45803</v>
      </c>
      <c r="M118" s="409">
        <v>45811</v>
      </c>
      <c r="N118" s="410" t="s">
        <v>29</v>
      </c>
      <c r="O118" s="204">
        <f>_xlfn.DAYS(M118, L118)</f>
        <v>8</v>
      </c>
      <c r="P118" s="235">
        <f>_xlfn.DAYS(M118,H117)</f>
        <v>4</v>
      </c>
      <c r="Q118" s="1215"/>
      <c r="R118" s="411"/>
      <c r="S118" s="118"/>
      <c r="T118" s="118"/>
      <c r="U118" s="118"/>
      <c r="V118" s="290"/>
      <c r="W118" s="162"/>
      <c r="X118" s="1215"/>
    </row>
    <row r="119" spans="2:24" ht="14.25" customHeight="1">
      <c r="B119" s="1208"/>
      <c r="C119" s="1192"/>
      <c r="D119" s="1206"/>
      <c r="E119" s="1158"/>
      <c r="F119" s="260"/>
      <c r="G119" s="1206"/>
      <c r="H119" s="1187"/>
      <c r="I119" s="1221"/>
      <c r="J119" s="163" t="s">
        <v>27</v>
      </c>
      <c r="K119" s="164" t="s">
        <v>263</v>
      </c>
      <c r="L119" s="165">
        <v>45803</v>
      </c>
      <c r="M119" s="166">
        <v>45811</v>
      </c>
      <c r="N119" s="246" t="s">
        <v>29</v>
      </c>
      <c r="O119" s="362">
        <f t="shared" si="2"/>
        <v>8</v>
      </c>
      <c r="P119" s="466">
        <f>_xlfn.DAYS(M119,H117)</f>
        <v>4</v>
      </c>
      <c r="Q119" s="1216"/>
      <c r="R119" s="414"/>
      <c r="S119" s="127"/>
      <c r="T119" s="127"/>
      <c r="U119" s="127"/>
      <c r="V119" s="170"/>
      <c r="W119" s="221"/>
      <c r="X119" s="1216"/>
    </row>
    <row r="120" spans="2:24" ht="42.75" customHeight="1">
      <c r="B120" s="256" t="s">
        <v>256</v>
      </c>
      <c r="C120" s="257" t="s">
        <v>135</v>
      </c>
      <c r="D120" s="258" t="s">
        <v>258</v>
      </c>
      <c r="E120" s="259" t="s">
        <v>117</v>
      </c>
      <c r="F120" s="258" t="s">
        <v>264</v>
      </c>
      <c r="G120" s="258" t="s">
        <v>25</v>
      </c>
      <c r="H120" s="198">
        <v>45814</v>
      </c>
      <c r="I120" s="261"/>
      <c r="J120" s="224" t="s">
        <v>27</v>
      </c>
      <c r="K120" s="225" t="s">
        <v>265</v>
      </c>
      <c r="L120" s="226">
        <v>45804</v>
      </c>
      <c r="M120" s="227">
        <v>45811</v>
      </c>
      <c r="N120" s="467" t="s">
        <v>29</v>
      </c>
      <c r="O120" s="179">
        <f t="shared" ref="O120:O125" si="6">_xlfn.DAYS(M120,L120)</f>
        <v>7</v>
      </c>
      <c r="P120" s="423">
        <f>_xlfn.DAYS(M120,H120)</f>
        <v>-3</v>
      </c>
      <c r="Q120" s="206" t="s">
        <v>26</v>
      </c>
      <c r="R120" s="469"/>
      <c r="S120" s="188"/>
      <c r="T120" s="188"/>
      <c r="U120" s="188"/>
      <c r="V120" s="425"/>
      <c r="W120" s="221"/>
      <c r="X120" s="206"/>
    </row>
    <row r="121" spans="2:24" ht="41.25" customHeight="1">
      <c r="B121" s="256" t="s">
        <v>256</v>
      </c>
      <c r="C121" s="257" t="s">
        <v>192</v>
      </c>
      <c r="D121" s="258" t="s">
        <v>258</v>
      </c>
      <c r="E121" s="259" t="s">
        <v>117</v>
      </c>
      <c r="F121" s="258" t="s">
        <v>241</v>
      </c>
      <c r="G121" s="258" t="s">
        <v>25</v>
      </c>
      <c r="H121" s="183">
        <v>45821</v>
      </c>
      <c r="I121" s="261"/>
      <c r="J121" s="224" t="s">
        <v>27</v>
      </c>
      <c r="K121" s="225" t="s">
        <v>266</v>
      </c>
      <c r="L121" s="226">
        <v>45806</v>
      </c>
      <c r="M121" s="227">
        <v>45811</v>
      </c>
      <c r="N121" s="467" t="s">
        <v>29</v>
      </c>
      <c r="O121" s="179">
        <f t="shared" si="6"/>
        <v>5</v>
      </c>
      <c r="P121" s="423">
        <f>_xlfn.DAYS(M121,H121)</f>
        <v>-10</v>
      </c>
      <c r="Q121" s="189" t="s">
        <v>26</v>
      </c>
      <c r="R121" s="469"/>
      <c r="S121" s="188"/>
      <c r="T121" s="188"/>
      <c r="U121" s="188"/>
      <c r="V121" s="425"/>
      <c r="W121" s="221"/>
      <c r="X121" s="189"/>
    </row>
    <row r="122" spans="2:24" ht="14.25" customHeight="1">
      <c r="B122" s="1207" t="s">
        <v>267</v>
      </c>
      <c r="C122" s="1191" t="s">
        <v>135</v>
      </c>
      <c r="D122" s="1205" t="s">
        <v>268</v>
      </c>
      <c r="E122" s="1157" t="s">
        <v>113</v>
      </c>
      <c r="F122" s="258" t="s">
        <v>37</v>
      </c>
      <c r="G122" s="1205" t="s">
        <v>25</v>
      </c>
      <c r="H122" s="1213">
        <v>45814</v>
      </c>
      <c r="I122" s="1220"/>
      <c r="J122" s="184" t="s">
        <v>40</v>
      </c>
      <c r="K122" s="185" t="s">
        <v>269</v>
      </c>
      <c r="L122" s="186">
        <v>45799</v>
      </c>
      <c r="M122" s="415">
        <v>45810</v>
      </c>
      <c r="N122" s="426" t="s">
        <v>29</v>
      </c>
      <c r="O122" s="470">
        <f t="shared" si="6"/>
        <v>11</v>
      </c>
      <c r="P122" s="422">
        <f>_xlfn.DAYS(M122,H122)</f>
        <v>-4</v>
      </c>
      <c r="Q122" s="1214" t="s">
        <v>26</v>
      </c>
      <c r="R122" s="471"/>
      <c r="S122" s="125"/>
      <c r="T122" s="125"/>
      <c r="U122" s="125"/>
      <c r="V122" s="191"/>
      <c r="W122" s="162"/>
      <c r="X122" s="1214"/>
    </row>
    <row r="123" spans="2:24" ht="14.25" customHeight="1">
      <c r="B123" s="1208"/>
      <c r="C123" s="1192"/>
      <c r="D123" s="1206"/>
      <c r="E123" s="1158"/>
      <c r="F123" s="260"/>
      <c r="G123" s="1206"/>
      <c r="H123" s="1187"/>
      <c r="I123" s="1221"/>
      <c r="J123" s="163" t="s">
        <v>27</v>
      </c>
      <c r="K123" s="164" t="s">
        <v>270</v>
      </c>
      <c r="L123" s="165">
        <v>45800</v>
      </c>
      <c r="M123" s="166">
        <v>45807</v>
      </c>
      <c r="N123" s="246" t="s">
        <v>29</v>
      </c>
      <c r="O123" s="362">
        <f t="shared" si="6"/>
        <v>7</v>
      </c>
      <c r="P123" s="387">
        <f>_xlfn.DAYS(M123,H122)</f>
        <v>-7</v>
      </c>
      <c r="Q123" s="1216"/>
      <c r="R123" s="403"/>
      <c r="S123" s="127"/>
      <c r="T123" s="127"/>
      <c r="U123" s="127"/>
      <c r="V123" s="170"/>
      <c r="W123" s="221"/>
      <c r="X123" s="1216"/>
    </row>
    <row r="124" spans="2:24" ht="14.25" customHeight="1">
      <c r="B124" s="1207" t="s">
        <v>271</v>
      </c>
      <c r="C124" s="1191" t="s">
        <v>192</v>
      </c>
      <c r="D124" s="1205" t="s">
        <v>272</v>
      </c>
      <c r="E124" s="1157" t="s">
        <v>273</v>
      </c>
      <c r="F124" s="258" t="s">
        <v>24</v>
      </c>
      <c r="G124" s="1205" t="s">
        <v>25</v>
      </c>
      <c r="H124" s="1186">
        <v>45819</v>
      </c>
      <c r="I124" s="1220"/>
      <c r="J124" s="184" t="s">
        <v>27</v>
      </c>
      <c r="K124" s="185" t="s">
        <v>274</v>
      </c>
      <c r="L124" s="186">
        <v>45804</v>
      </c>
      <c r="M124" s="187">
        <v>45812</v>
      </c>
      <c r="N124" s="426" t="s">
        <v>29</v>
      </c>
      <c r="O124" s="433">
        <f t="shared" si="6"/>
        <v>8</v>
      </c>
      <c r="P124" s="422">
        <f>_xlfn.DAYS(M124,H124)</f>
        <v>-7</v>
      </c>
      <c r="Q124" s="900" t="s">
        <v>26</v>
      </c>
      <c r="R124" s="471" t="str">
        <f>'Database PZ4 + SWBD'!L37</f>
        <v>MAKE</v>
      </c>
      <c r="S124" s="125" t="str">
        <f>'Database PZ4 + SWBD'!J37</f>
        <v>WF1656229</v>
      </c>
      <c r="T124" s="186">
        <f>'Database PZ4 + SWBD'!P37</f>
        <v>45721</v>
      </c>
      <c r="U124" s="186">
        <f>'Database PZ4 + SWBD'!R37</f>
        <v>45740</v>
      </c>
      <c r="V124" s="191" t="str">
        <f>'Database PZ4 + SWBD'!AC37</f>
        <v>C</v>
      </c>
      <c r="W124" s="162">
        <f ca="1">'Database PZ4 + SWBD'!W37</f>
        <v>13</v>
      </c>
      <c r="X124" s="900"/>
    </row>
    <row r="125" spans="2:24" ht="14.25" customHeight="1">
      <c r="B125" s="1208"/>
      <c r="C125" s="1192"/>
      <c r="D125" s="1206"/>
      <c r="E125" s="1158"/>
      <c r="F125" s="260"/>
      <c r="G125" s="1206"/>
      <c r="H125" s="1187"/>
      <c r="I125" s="1221"/>
      <c r="J125" s="163" t="s">
        <v>27</v>
      </c>
      <c r="K125" s="164" t="s">
        <v>275</v>
      </c>
      <c r="L125" s="165">
        <v>45804</v>
      </c>
      <c r="M125" s="166">
        <v>45812</v>
      </c>
      <c r="N125" s="246" t="s">
        <v>29</v>
      </c>
      <c r="O125" s="362">
        <f t="shared" si="6"/>
        <v>8</v>
      </c>
      <c r="P125" s="472">
        <f>_xlfn.DAYS(M125,H124)</f>
        <v>-7</v>
      </c>
      <c r="Q125" s="901" t="s">
        <v>26</v>
      </c>
      <c r="R125" s="471" t="str">
        <f>'Database PZ4 + SWBD'!L38</f>
        <v>BUY</v>
      </c>
      <c r="S125" s="125" t="str">
        <f>'Database PZ4 + SWBD'!J38</f>
        <v>WF1656216</v>
      </c>
      <c r="T125" s="186">
        <f>'Database PZ4 + SWBD'!P38</f>
        <v>45721</v>
      </c>
      <c r="U125" s="186">
        <f>'Database PZ4 + SWBD'!R38</f>
        <v>45729</v>
      </c>
      <c r="V125" s="191" t="str">
        <f>'Database PZ4 + SWBD'!AC38</f>
        <v>C</v>
      </c>
      <c r="W125" s="162">
        <f ca="1">'Database PZ4 + SWBD'!W38</f>
        <v>7</v>
      </c>
      <c r="X125" s="901"/>
    </row>
    <row r="126" spans="2:24" ht="14.25" customHeight="1">
      <c r="B126" s="1207" t="s">
        <v>276</v>
      </c>
      <c r="C126" s="1191" t="s">
        <v>135</v>
      </c>
      <c r="D126" s="1205" t="s">
        <v>277</v>
      </c>
      <c r="E126" s="1157" t="s">
        <v>80</v>
      </c>
      <c r="F126" s="258" t="s">
        <v>111</v>
      </c>
      <c r="G126" s="1205" t="s">
        <v>25</v>
      </c>
      <c r="H126" s="1186">
        <v>45817</v>
      </c>
      <c r="I126" s="1220"/>
      <c r="J126" s="184" t="s">
        <v>27</v>
      </c>
      <c r="K126" s="185" t="s">
        <v>278</v>
      </c>
      <c r="L126" s="186">
        <v>45807</v>
      </c>
      <c r="M126" s="187">
        <v>45814</v>
      </c>
      <c r="N126" s="426" t="s">
        <v>29</v>
      </c>
      <c r="O126" s="375">
        <f>_xlfn.DAYS(M126,L126)</f>
        <v>7</v>
      </c>
      <c r="P126" s="286">
        <f ca="1">IF(ISBLANK(H126), "", IF(ISNUMBER(M126), M126-H126, TODAY()-H126))</f>
        <v>-3</v>
      </c>
      <c r="Q126" s="1214" t="s">
        <v>26</v>
      </c>
      <c r="R126" s="403"/>
      <c r="S126" s="125"/>
      <c r="T126" s="125"/>
      <c r="U126" s="125"/>
      <c r="V126" s="191"/>
      <c r="W126" s="162"/>
      <c r="X126" s="1214"/>
    </row>
    <row r="127" spans="2:24" ht="14.25" customHeight="1">
      <c r="B127" s="1208"/>
      <c r="C127" s="1192"/>
      <c r="D127" s="1206"/>
      <c r="E127" s="1158"/>
      <c r="F127" s="260"/>
      <c r="G127" s="1206"/>
      <c r="H127" s="1186"/>
      <c r="I127" s="1230"/>
      <c r="J127" s="396" t="s">
        <v>40</v>
      </c>
      <c r="K127" s="309" t="s">
        <v>279</v>
      </c>
      <c r="L127" s="408">
        <v>45806</v>
      </c>
      <c r="M127" s="412">
        <v>45819</v>
      </c>
      <c r="N127" s="410" t="s">
        <v>29</v>
      </c>
      <c r="O127" s="473">
        <f>_xlfn.DAYS(M127,L127)</f>
        <v>13</v>
      </c>
      <c r="P127" s="474">
        <f ca="1">IF(ISBLANK(H126), "", IF(ISNUMBER(M127), M127-H126, TODAY()-H126))</f>
        <v>2</v>
      </c>
      <c r="Q127" s="1215"/>
      <c r="R127" s="400"/>
      <c r="S127" s="118"/>
      <c r="T127" s="118"/>
      <c r="U127" s="118"/>
      <c r="V127" s="290"/>
      <c r="W127" s="162"/>
      <c r="X127" s="1215"/>
    </row>
    <row r="128" spans="2:24" ht="14.25" customHeight="1">
      <c r="B128" s="1208"/>
      <c r="C128" s="1192"/>
      <c r="D128" s="1206"/>
      <c r="E128" s="1158"/>
      <c r="F128" s="260"/>
      <c r="G128" s="1206"/>
      <c r="H128" s="1187"/>
      <c r="I128" s="1221"/>
      <c r="J128" s="163" t="s">
        <v>27</v>
      </c>
      <c r="K128" s="164" t="s">
        <v>280</v>
      </c>
      <c r="L128" s="165">
        <v>45806</v>
      </c>
      <c r="M128" s="413">
        <v>45819</v>
      </c>
      <c r="N128" s="246" t="s">
        <v>29</v>
      </c>
      <c r="O128" s="475">
        <f t="shared" si="2"/>
        <v>13</v>
      </c>
      <c r="P128" s="476">
        <f ca="1">IF(ISBLANK(H126), "", IF(ISNUMBER(M128), M128-H126, TODAY()-H126))</f>
        <v>2</v>
      </c>
      <c r="Q128" s="1216"/>
      <c r="R128" s="403"/>
      <c r="S128" s="127"/>
      <c r="T128" s="127"/>
      <c r="U128" s="127"/>
      <c r="V128" s="170"/>
      <c r="W128" s="221"/>
      <c r="X128" s="1216"/>
    </row>
    <row r="129" spans="2:24" ht="14.25" customHeight="1">
      <c r="B129" s="256" t="s">
        <v>281</v>
      </c>
      <c r="C129" s="257" t="s">
        <v>282</v>
      </c>
      <c r="D129" s="258" t="s">
        <v>283</v>
      </c>
      <c r="E129" s="259" t="s">
        <v>259</v>
      </c>
      <c r="F129" s="258" t="s">
        <v>260</v>
      </c>
      <c r="G129" s="258" t="s">
        <v>25</v>
      </c>
      <c r="H129" s="198">
        <v>45835</v>
      </c>
      <c r="I129" s="261"/>
      <c r="J129" s="224" t="s">
        <v>27</v>
      </c>
      <c r="K129" s="225" t="s">
        <v>284</v>
      </c>
      <c r="L129" s="226">
        <v>45814</v>
      </c>
      <c r="M129" s="227">
        <v>45822</v>
      </c>
      <c r="N129" s="467" t="s">
        <v>29</v>
      </c>
      <c r="O129" s="428">
        <f>_xlfn.DAYS(M129,L129)</f>
        <v>8</v>
      </c>
      <c r="P129" s="188">
        <f ca="1">IF(ISBLANK(H129), "", IF(ISNUMBER(M129), M129-H129, TODAY()-H129))</f>
        <v>-13</v>
      </c>
      <c r="Q129" s="189" t="s">
        <v>26</v>
      </c>
      <c r="R129" s="469"/>
      <c r="S129" s="188"/>
      <c r="T129" s="188"/>
      <c r="U129" s="188"/>
      <c r="V129" s="425"/>
      <c r="W129" s="221"/>
      <c r="X129" s="189"/>
    </row>
    <row r="130" spans="2:24" ht="51.75" customHeight="1">
      <c r="B130" s="256" t="s">
        <v>285</v>
      </c>
      <c r="C130" s="257" t="s">
        <v>286</v>
      </c>
      <c r="D130" s="258" t="s">
        <v>287</v>
      </c>
      <c r="E130" s="259" t="s">
        <v>36</v>
      </c>
      <c r="F130" s="258" t="s">
        <v>216</v>
      </c>
      <c r="G130" s="258" t="s">
        <v>25</v>
      </c>
      <c r="H130" s="183">
        <v>45840</v>
      </c>
      <c r="I130" s="261"/>
      <c r="J130" s="224" t="s">
        <v>27</v>
      </c>
      <c r="K130" s="225" t="s">
        <v>288</v>
      </c>
      <c r="L130" s="226">
        <v>45821</v>
      </c>
      <c r="M130" s="227">
        <v>45828</v>
      </c>
      <c r="N130" s="467" t="s">
        <v>29</v>
      </c>
      <c r="O130" s="428">
        <f>_xlfn.DAYS(M130,L130)</f>
        <v>7</v>
      </c>
      <c r="P130" s="188">
        <f ca="1">IF(ISBLANK(H130), "", IF(ISNUMBER(M130), M130-H130, TODAY()-H130))</f>
        <v>-12</v>
      </c>
      <c r="Q130" s="189" t="s">
        <v>26</v>
      </c>
      <c r="R130" s="469"/>
      <c r="S130" s="188"/>
      <c r="T130" s="188"/>
      <c r="U130" s="188"/>
      <c r="V130" s="425"/>
      <c r="W130" s="221"/>
      <c r="X130" s="189"/>
    </row>
    <row r="131" spans="2:24" ht="14.25" customHeight="1">
      <c r="B131" s="256" t="s">
        <v>289</v>
      </c>
      <c r="C131" s="257" t="s">
        <v>282</v>
      </c>
      <c r="D131" s="258" t="s">
        <v>290</v>
      </c>
      <c r="E131" s="259" t="s">
        <v>259</v>
      </c>
      <c r="F131" s="258" t="s">
        <v>238</v>
      </c>
      <c r="G131" s="258" t="s">
        <v>25</v>
      </c>
      <c r="H131" s="183">
        <v>45842</v>
      </c>
      <c r="I131" s="261"/>
      <c r="J131" s="224" t="s">
        <v>27</v>
      </c>
      <c r="K131" s="225" t="s">
        <v>291</v>
      </c>
      <c r="L131" s="226">
        <v>45824</v>
      </c>
      <c r="M131" s="227">
        <v>45834</v>
      </c>
      <c r="N131" s="467" t="s">
        <v>29</v>
      </c>
      <c r="O131" s="428">
        <f>_xlfn.DAYS(M131,L131)</f>
        <v>10</v>
      </c>
      <c r="P131" s="188">
        <f ca="1">IF(ISBLANK(H131), "", IF(ISNUMBER(M131), M131-H131, TODAY()-H131))</f>
        <v>-8</v>
      </c>
      <c r="Q131" s="189" t="s">
        <v>26</v>
      </c>
      <c r="R131" s="469"/>
      <c r="S131" s="188"/>
      <c r="T131" s="188"/>
      <c r="U131" s="188"/>
      <c r="V131" s="425"/>
      <c r="W131" s="221"/>
      <c r="X131" s="189"/>
    </row>
    <row r="132" spans="2:24" ht="29.25" customHeight="1">
      <c r="B132" s="178" t="s">
        <v>292</v>
      </c>
      <c r="C132" s="477" t="s">
        <v>293</v>
      </c>
      <c r="D132" s="368" t="s">
        <v>294</v>
      </c>
      <c r="E132" s="369" t="s">
        <v>295</v>
      </c>
      <c r="F132" s="368" t="s">
        <v>264</v>
      </c>
      <c r="G132" s="368" t="s">
        <v>144</v>
      </c>
      <c r="H132" s="478">
        <v>45840</v>
      </c>
      <c r="I132" s="479"/>
      <c r="J132" s="480" t="s">
        <v>27</v>
      </c>
      <c r="K132" s="481" t="s">
        <v>296</v>
      </c>
      <c r="L132" s="317">
        <v>45823</v>
      </c>
      <c r="M132" s="318">
        <v>45834</v>
      </c>
      <c r="N132" s="482" t="s">
        <v>29</v>
      </c>
      <c r="O132" s="428">
        <f t="shared" si="2"/>
        <v>11</v>
      </c>
      <c r="P132" s="264">
        <f ca="1">IF(ISBLANK(H132), "", IF(ISNUMBER(M132), M132-H132, TODAY()-H132))</f>
        <v>-6</v>
      </c>
      <c r="Q132" s="319" t="s">
        <v>26</v>
      </c>
      <c r="R132" s="469"/>
      <c r="S132" s="188"/>
      <c r="T132" s="188"/>
      <c r="U132" s="188"/>
      <c r="V132" s="425"/>
      <c r="W132" s="220"/>
      <c r="X132" s="189"/>
    </row>
    <row r="133" spans="2:24" ht="14.25" customHeight="1">
      <c r="B133" s="1209" t="s">
        <v>114</v>
      </c>
      <c r="C133" s="1113" t="s">
        <v>257</v>
      </c>
      <c r="D133" s="1176" t="s">
        <v>116</v>
      </c>
      <c r="E133" s="1188" t="s">
        <v>113</v>
      </c>
      <c r="F133" s="181" t="s">
        <v>186</v>
      </c>
      <c r="G133" s="1176" t="s">
        <v>25</v>
      </c>
      <c r="H133" s="1222">
        <v>45833</v>
      </c>
      <c r="I133" s="1201"/>
      <c r="J133" s="60" t="s">
        <v>27</v>
      </c>
      <c r="K133" s="370" t="s">
        <v>297</v>
      </c>
      <c r="L133" s="483">
        <v>45826</v>
      </c>
      <c r="M133" s="372">
        <v>45833</v>
      </c>
      <c r="N133" s="370" t="s">
        <v>29</v>
      </c>
      <c r="O133" s="179">
        <f t="shared" ref="O133:O138" ca="1" si="7">IF(ISBLANK(L133), "", IF(ISNUMBER(M133), M133-L133, TODAY()-L133))</f>
        <v>7</v>
      </c>
      <c r="P133" s="188">
        <f ca="1">IF(ISBLANK(H133), "", IF(ISNUMBER(M133), M133-H133, TODAY()-H133))</f>
        <v>0</v>
      </c>
      <c r="Q133" s="1225" t="s">
        <v>26</v>
      </c>
      <c r="R133" s="484" t="s">
        <v>27</v>
      </c>
      <c r="S133" s="433" t="s">
        <v>298</v>
      </c>
      <c r="T133" s="371">
        <f>'Database PZ4 + SWBD'!P6</f>
        <v>45677</v>
      </c>
      <c r="U133" s="371">
        <f>'Database PZ4 + SWBD'!R6</f>
        <v>45727</v>
      </c>
      <c r="V133" s="433" t="str">
        <f>'Database PZ4 + SWBD'!AC6</f>
        <v>C</v>
      </c>
      <c r="W133" s="433">
        <f ca="1">'Database PZ4 + SWBD'!W6</f>
        <v>36</v>
      </c>
      <c r="X133" s="485">
        <f>'Database PZ4 + SWBD'!AL6</f>
        <v>45687.415686274508</v>
      </c>
    </row>
    <row r="134" spans="2:24" ht="14.25" customHeight="1">
      <c r="B134" s="1209"/>
      <c r="C134" s="1114"/>
      <c r="D134" s="1177"/>
      <c r="E134" s="1189"/>
      <c r="F134" s="196"/>
      <c r="G134" s="1177"/>
      <c r="H134" s="1223"/>
      <c r="I134" s="1202"/>
      <c r="J134" s="66" t="s">
        <v>27</v>
      </c>
      <c r="K134" s="288" t="s">
        <v>299</v>
      </c>
      <c r="L134" s="212">
        <v>45826</v>
      </c>
      <c r="M134" s="486">
        <v>45833</v>
      </c>
      <c r="N134" s="288" t="s">
        <v>29</v>
      </c>
      <c r="O134" s="355">
        <f t="shared" ca="1" si="7"/>
        <v>7</v>
      </c>
      <c r="P134" s="204">
        <f ca="1">IF(ISBLANK(H133), "", IF(ISNUMBER(M134), M134-H133, TODAY()-H133))</f>
        <v>0</v>
      </c>
      <c r="Q134" s="1226"/>
      <c r="R134" s="488"/>
      <c r="S134" s="204"/>
      <c r="T134" s="204"/>
      <c r="U134" s="204"/>
      <c r="V134" s="204"/>
      <c r="W134" s="204"/>
      <c r="X134" s="489"/>
    </row>
    <row r="135" spans="2:24" ht="14.25" customHeight="1">
      <c r="B135" s="1209"/>
      <c r="C135" s="1114"/>
      <c r="D135" s="1177"/>
      <c r="E135" s="1189"/>
      <c r="F135" s="196"/>
      <c r="G135" s="1177"/>
      <c r="H135" s="1223"/>
      <c r="I135" s="1202"/>
      <c r="J135" s="66" t="s">
        <v>27</v>
      </c>
      <c r="K135" s="288" t="s">
        <v>300</v>
      </c>
      <c r="L135" s="212">
        <v>45826</v>
      </c>
      <c r="M135" s="233">
        <v>45839</v>
      </c>
      <c r="N135" s="288" t="s">
        <v>29</v>
      </c>
      <c r="O135" s="473">
        <f t="shared" ca="1" si="7"/>
        <v>13</v>
      </c>
      <c r="P135" s="490">
        <f ca="1">IF(ISBLANK(H133), "", IF(ISNUMBER(M135), M135-H133, TODAY()-H133))</f>
        <v>6</v>
      </c>
      <c r="Q135" s="1226"/>
      <c r="R135" s="491"/>
      <c r="S135" s="204"/>
      <c r="T135" s="204"/>
      <c r="U135" s="204"/>
      <c r="V135" s="204"/>
      <c r="W135" s="204"/>
      <c r="X135" s="489"/>
    </row>
    <row r="136" spans="2:24" ht="14.25" customHeight="1">
      <c r="B136" s="1209"/>
      <c r="C136" s="1114"/>
      <c r="D136" s="1177"/>
      <c r="E136" s="1189"/>
      <c r="F136" s="492"/>
      <c r="G136" s="1178"/>
      <c r="H136" s="1224"/>
      <c r="I136" s="1203"/>
      <c r="J136" s="357" t="s">
        <v>27</v>
      </c>
      <c r="K136" s="380" t="s">
        <v>301</v>
      </c>
      <c r="L136" s="493">
        <v>45826</v>
      </c>
      <c r="M136" s="382">
        <v>45839</v>
      </c>
      <c r="N136" s="380" t="s">
        <v>29</v>
      </c>
      <c r="O136" s="473">
        <f t="shared" ca="1" si="7"/>
        <v>13</v>
      </c>
      <c r="P136" s="494">
        <f ca="1">IF(ISBLANK(H133), "", IF(ISNUMBER(M136), M136-H133, TODAY()-H133))</f>
        <v>6</v>
      </c>
      <c r="Q136" s="1227"/>
      <c r="R136" s="495"/>
      <c r="S136" s="342"/>
      <c r="T136" s="342"/>
      <c r="U136" s="342"/>
      <c r="V136" s="342"/>
      <c r="W136" s="342"/>
      <c r="X136" s="496"/>
    </row>
    <row r="137" spans="2:24" ht="14.45">
      <c r="B137" s="1110" t="s">
        <v>302</v>
      </c>
      <c r="C137" s="1141" t="s">
        <v>303</v>
      </c>
      <c r="D137" s="1105" t="s">
        <v>304</v>
      </c>
      <c r="E137" s="1188" t="s">
        <v>305</v>
      </c>
      <c r="F137" s="1176" t="s">
        <v>81</v>
      </c>
      <c r="G137" s="1176" t="s">
        <v>144</v>
      </c>
      <c r="H137" s="1198">
        <v>45849</v>
      </c>
      <c r="I137" s="1201"/>
      <c r="J137" s="60" t="s">
        <v>27</v>
      </c>
      <c r="K137" s="370" t="s">
        <v>306</v>
      </c>
      <c r="L137" s="371">
        <v>45832</v>
      </c>
      <c r="M137" s="372">
        <v>45846</v>
      </c>
      <c r="N137" s="370" t="s">
        <v>29</v>
      </c>
      <c r="O137" s="497">
        <f t="shared" ca="1" si="7"/>
        <v>14</v>
      </c>
      <c r="P137" s="179">
        <f ca="1">IF(ISBLANK(H137), "", IF(ISNUMBER(M137), M137-H137, TODAY()-H137))</f>
        <v>-3</v>
      </c>
      <c r="Q137" s="1097" t="s">
        <v>26</v>
      </c>
      <c r="R137" s="1167" t="s">
        <v>40</v>
      </c>
      <c r="S137" s="1105" t="s">
        <v>307</v>
      </c>
      <c r="T137" s="1105"/>
      <c r="U137" s="1105"/>
      <c r="V137" s="1218"/>
      <c r="W137" s="1155"/>
      <c r="X137" s="1211"/>
    </row>
    <row r="138" spans="2:24" ht="14.25" customHeight="1">
      <c r="B138" s="1111"/>
      <c r="C138" s="1210"/>
      <c r="D138" s="1116"/>
      <c r="E138" s="1189"/>
      <c r="F138" s="1177"/>
      <c r="G138" s="1177"/>
      <c r="H138" s="1199"/>
      <c r="I138" s="1202"/>
      <c r="J138" s="501" t="s">
        <v>27</v>
      </c>
      <c r="K138" s="502" t="s">
        <v>308</v>
      </c>
      <c r="L138" s="493">
        <v>45832</v>
      </c>
      <c r="M138" s="503">
        <v>45854</v>
      </c>
      <c r="N138" s="504" t="s">
        <v>29</v>
      </c>
      <c r="O138" s="430">
        <f t="shared" ca="1" si="7"/>
        <v>22</v>
      </c>
      <c r="P138" s="505">
        <f ca="1">IF(ISBLANK(H137), "", IF(ISNUMBER(M138), M138-H137, TODAY()-H137))</f>
        <v>5</v>
      </c>
      <c r="Q138" s="1136"/>
      <c r="R138" s="1168"/>
      <c r="S138" s="1204"/>
      <c r="T138" s="1204"/>
      <c r="U138" s="1204"/>
      <c r="V138" s="1219"/>
      <c r="W138" s="1217"/>
      <c r="X138" s="1212"/>
    </row>
    <row r="139" spans="2:24" ht="14.25" customHeight="1">
      <c r="B139" s="1111"/>
      <c r="C139" s="1210"/>
      <c r="D139" s="1116"/>
      <c r="E139" s="1189"/>
      <c r="F139" s="1177"/>
      <c r="G139" s="1177"/>
      <c r="H139" s="1199"/>
      <c r="I139" s="1202"/>
      <c r="J139" s="66"/>
      <c r="K139" s="53"/>
      <c r="L139" s="212"/>
      <c r="M139" s="83"/>
      <c r="N139" s="53"/>
      <c r="O139" s="491"/>
      <c r="P139" s="204"/>
      <c r="Q139" s="1136"/>
      <c r="R139" s="509" t="str">
        <f>'Database PZ4 + SWBD'!L35</f>
        <v>MAKE</v>
      </c>
      <c r="S139" s="157" t="str">
        <f>'Database PZ4 + SWBD'!J35</f>
        <v>WF1655339</v>
      </c>
      <c r="T139" s="510">
        <f>'Database PZ4 + SWBD'!P35</f>
        <v>45720</v>
      </c>
      <c r="U139" s="510">
        <f>'Database PZ4 + SWBD'!R35</f>
        <v>45740</v>
      </c>
      <c r="V139" s="429" t="str">
        <f>'Database PZ4 + SWBD'!AC35</f>
        <v>C</v>
      </c>
      <c r="W139" s="511">
        <f ca="1">'Database PZ4 + SWBD'!W35</f>
        <v>14</v>
      </c>
      <c r="X139" s="508"/>
    </row>
    <row r="140" spans="2:24" ht="14.25" customHeight="1">
      <c r="B140" s="1111"/>
      <c r="C140" s="1210"/>
      <c r="D140" s="1116"/>
      <c r="E140" s="1189"/>
      <c r="F140" s="1177"/>
      <c r="G140" s="1177"/>
      <c r="H140" s="1199"/>
      <c r="I140" s="1202"/>
      <c r="J140" s="501"/>
      <c r="K140" s="502"/>
      <c r="L140" s="493"/>
      <c r="M140" s="512"/>
      <c r="N140" s="502"/>
      <c r="O140" s="513" t="str">
        <f t="shared" ref="O140:O147" ca="1" si="8">IF(ISBLANK(L140), "", IF(ISNUMBER(M140), M140-L140, TODAY()-L140))</f>
        <v/>
      </c>
      <c r="P140" s="194" t="str">
        <f t="shared" ref="P140:P147" ca="1" si="9">IF(ISBLANK(H140), "", IF(ISNUMBER(M140), M140-H140, TODAY()-H140))</f>
        <v/>
      </c>
      <c r="Q140" s="1136"/>
      <c r="R140" s="514" t="s">
        <v>27</v>
      </c>
      <c r="S140" s="444" t="s">
        <v>309</v>
      </c>
      <c r="T140" s="515">
        <f>'Database PZ4 + SWBD'!P9</f>
        <v>45678</v>
      </c>
      <c r="U140" s="515">
        <f>'Database PZ4 + SWBD'!R9</f>
        <v>45686</v>
      </c>
      <c r="V140" s="444" t="str">
        <f>'Database PZ4 + SWBD'!AC9</f>
        <v>C</v>
      </c>
      <c r="W140" s="221">
        <f ca="1">'Database PZ4 + SWBD'!W9</f>
        <v>7</v>
      </c>
      <c r="X140" s="388">
        <f>'Database PZ4 + SWBD'!AL9</f>
        <v>45688.415686274508</v>
      </c>
    </row>
    <row r="141" spans="2:24" ht="14.25" customHeight="1">
      <c r="B141" s="1111"/>
      <c r="C141" s="1210"/>
      <c r="D141" s="1116"/>
      <c r="E141" s="1189"/>
      <c r="F141" s="1177"/>
      <c r="G141" s="1177"/>
      <c r="H141" s="1199"/>
      <c r="I141" s="1202"/>
      <c r="J141" s="66"/>
      <c r="K141" s="53"/>
      <c r="L141" s="212"/>
      <c r="M141" s="83"/>
      <c r="N141" s="53"/>
      <c r="O141" s="491" t="str">
        <f t="shared" ca="1" si="8"/>
        <v/>
      </c>
      <c r="P141" s="204" t="str">
        <f t="shared" ca="1" si="9"/>
        <v/>
      </c>
      <c r="Q141" s="1136"/>
      <c r="R141" s="509" t="s">
        <v>27</v>
      </c>
      <c r="S141" s="157" t="s">
        <v>310</v>
      </c>
      <c r="T141" s="510">
        <f>'Database PZ4 + SWBD'!P10</f>
        <v>45679</v>
      </c>
      <c r="U141" s="510">
        <f>'Database PZ4 + SWBD'!R10</f>
        <v>45693</v>
      </c>
      <c r="V141" s="157" t="str">
        <f>'Database PZ4 + SWBD'!AC10</f>
        <v>C</v>
      </c>
      <c r="W141" s="162">
        <f ca="1">'Database PZ4 + SWBD'!W10</f>
        <v>10</v>
      </c>
      <c r="X141" s="435">
        <f>'Database PZ4 + SWBD'!AL10</f>
        <v>45691.415686274508</v>
      </c>
    </row>
    <row r="142" spans="2:24" ht="14.25" customHeight="1">
      <c r="B142" s="1111"/>
      <c r="C142" s="1210"/>
      <c r="D142" s="1116"/>
      <c r="E142" s="1189"/>
      <c r="F142" s="1177"/>
      <c r="G142" s="1177"/>
      <c r="H142" s="1199"/>
      <c r="I142" s="1202"/>
      <c r="J142" s="66"/>
      <c r="K142" s="53"/>
      <c r="L142" s="212"/>
      <c r="M142" s="83"/>
      <c r="N142" s="53"/>
      <c r="O142" s="491" t="str">
        <f t="shared" ca="1" si="8"/>
        <v/>
      </c>
      <c r="P142" s="204" t="str">
        <f t="shared" ca="1" si="9"/>
        <v/>
      </c>
      <c r="Q142" s="1136"/>
      <c r="R142" s="491" t="s">
        <v>27</v>
      </c>
      <c r="S142" s="204" t="s">
        <v>311</v>
      </c>
      <c r="T142" s="212">
        <f>'Database PZ4 + SWBD'!P11</f>
        <v>45700</v>
      </c>
      <c r="U142" s="212">
        <f>'Database PZ4 + SWBD'!R11</f>
        <v>45720</v>
      </c>
      <c r="V142" s="204" t="str">
        <f>'Database PZ4 + SWBD'!AC11</f>
        <v>C</v>
      </c>
      <c r="W142" s="162">
        <f ca="1">'Database PZ4 + SWBD'!W11</f>
        <v>15</v>
      </c>
      <c r="X142" s="489">
        <f>'Database PZ4 + SWBD'!AL11</f>
        <v>45711.072512647552</v>
      </c>
    </row>
    <row r="143" spans="2:24" ht="14.25" customHeight="1">
      <c r="B143" s="1111"/>
      <c r="C143" s="1210"/>
      <c r="D143" s="1116"/>
      <c r="E143" s="1189"/>
      <c r="F143" s="1177"/>
      <c r="G143" s="1177"/>
      <c r="H143" s="1199"/>
      <c r="I143" s="1202"/>
      <c r="J143" s="66"/>
      <c r="K143" s="53"/>
      <c r="L143" s="212"/>
      <c r="M143" s="83"/>
      <c r="N143" s="53"/>
      <c r="O143" s="491" t="str">
        <f t="shared" ca="1" si="8"/>
        <v/>
      </c>
      <c r="P143" s="204" t="str">
        <f t="shared" ca="1" si="9"/>
        <v/>
      </c>
      <c r="Q143" s="1136"/>
      <c r="R143" s="491" t="s">
        <v>27</v>
      </c>
      <c r="S143" s="204" t="e">
        <f>'Database PZ4 + SWBD'!#REF!</f>
        <v>#REF!</v>
      </c>
      <c r="T143" s="212" t="e">
        <f>'Database PZ4 + SWBD'!#REF!</f>
        <v>#REF!</v>
      </c>
      <c r="U143" s="212" t="e">
        <f>'Database PZ4 + SWBD'!#REF!</f>
        <v>#REF!</v>
      </c>
      <c r="V143" s="204" t="e">
        <f>'Database PZ4 + SWBD'!#REF!</f>
        <v>#REF!</v>
      </c>
      <c r="W143" s="162" t="e">
        <f>'Database PZ4 + SWBD'!#REF!</f>
        <v>#REF!</v>
      </c>
      <c r="X143" s="489" t="e">
        <f>'Database PZ4 + SWBD'!#REF!</f>
        <v>#REF!</v>
      </c>
    </row>
    <row r="144" spans="2:24" ht="14.25" customHeight="1">
      <c r="B144" s="1111"/>
      <c r="C144" s="1210"/>
      <c r="D144" s="1116"/>
      <c r="E144" s="1189"/>
      <c r="F144" s="1177"/>
      <c r="G144" s="1177"/>
      <c r="H144" s="1199"/>
      <c r="I144" s="1202"/>
      <c r="J144" s="66"/>
      <c r="K144" s="53"/>
      <c r="L144" s="212"/>
      <c r="M144" s="83"/>
      <c r="N144" s="53"/>
      <c r="O144" s="491" t="str">
        <f t="shared" ca="1" si="8"/>
        <v/>
      </c>
      <c r="P144" s="204" t="str">
        <f t="shared" ca="1" si="9"/>
        <v/>
      </c>
      <c r="Q144" s="1136"/>
      <c r="R144" s="491" t="s">
        <v>27</v>
      </c>
      <c r="S144" s="204" t="str">
        <f>'Database PZ4 + SWBD'!J12</f>
        <v>WF1647369</v>
      </c>
      <c r="T144" s="212">
        <f>'Database PZ4 + SWBD'!P12</f>
        <v>45705</v>
      </c>
      <c r="U144" s="212">
        <f>'Database PZ4 + SWBD'!R12</f>
        <v>45720</v>
      </c>
      <c r="V144" s="204" t="str">
        <f>'Database PZ4 + SWBD'!AC12</f>
        <v>C</v>
      </c>
      <c r="W144" s="162">
        <f ca="1">'Database PZ4 + SWBD'!W12</f>
        <v>12</v>
      </c>
      <c r="X144" s="489">
        <f>'Database PZ4 + SWBD'!AL12</f>
        <v>45715.072512647552</v>
      </c>
    </row>
    <row r="145" spans="1:27" ht="14.25" customHeight="1">
      <c r="B145" s="1111"/>
      <c r="C145" s="1210"/>
      <c r="D145" s="1116"/>
      <c r="E145" s="1189"/>
      <c r="F145" s="1177"/>
      <c r="G145" s="1177"/>
      <c r="H145" s="1199"/>
      <c r="I145" s="1202"/>
      <c r="J145" s="66"/>
      <c r="K145" s="53"/>
      <c r="L145" s="212"/>
      <c r="M145" s="83"/>
      <c r="N145" s="53"/>
      <c r="O145" s="491" t="str">
        <f t="shared" ca="1" si="8"/>
        <v/>
      </c>
      <c r="P145" s="204" t="str">
        <f t="shared" ca="1" si="9"/>
        <v/>
      </c>
      <c r="Q145" s="1136"/>
      <c r="R145" s="491" t="s">
        <v>27</v>
      </c>
      <c r="S145" s="204" t="str">
        <f>'Database PZ4 + SWBD'!J13</f>
        <v>WF1647350</v>
      </c>
      <c r="T145" s="212">
        <f>'Database PZ4 + SWBD'!P13</f>
        <v>45705</v>
      </c>
      <c r="U145" s="212">
        <f>'Database PZ4 + SWBD'!R13</f>
        <v>45720</v>
      </c>
      <c r="V145" s="204" t="str">
        <f>'Database PZ4 + SWBD'!AC13</f>
        <v>C</v>
      </c>
      <c r="W145" s="162">
        <f ca="1">'Database PZ4 + SWBD'!W13</f>
        <v>12</v>
      </c>
      <c r="X145" s="489">
        <f>'Database PZ4 + SWBD'!AL13</f>
        <v>45715.072512647552</v>
      </c>
    </row>
    <row r="146" spans="1:27" ht="14.25" customHeight="1">
      <c r="B146" s="1111"/>
      <c r="C146" s="1210"/>
      <c r="D146" s="1116"/>
      <c r="E146" s="1189"/>
      <c r="F146" s="1177"/>
      <c r="G146" s="1177"/>
      <c r="H146" s="1199"/>
      <c r="I146" s="1202"/>
      <c r="J146" s="66"/>
      <c r="K146" s="53"/>
      <c r="L146" s="212"/>
      <c r="M146" s="83"/>
      <c r="N146" s="53"/>
      <c r="O146" s="491" t="str">
        <f t="shared" ca="1" si="8"/>
        <v/>
      </c>
      <c r="P146" s="204" t="str">
        <f t="shared" ca="1" si="9"/>
        <v/>
      </c>
      <c r="Q146" s="1136"/>
      <c r="R146" s="491" t="s">
        <v>27</v>
      </c>
      <c r="S146" s="204" t="str">
        <f>'Database PZ4 + SWBD'!J14</f>
        <v>WF1648774</v>
      </c>
      <c r="T146" s="212">
        <f>'Database PZ4 + SWBD'!P14</f>
        <v>45707</v>
      </c>
      <c r="U146" s="212">
        <f>'Database PZ4 + SWBD'!R14</f>
        <v>45715</v>
      </c>
      <c r="V146" s="204" t="str">
        <f>'Database PZ4 + SWBD'!AC14</f>
        <v>C</v>
      </c>
      <c r="W146" s="162">
        <f ca="1">'Database PZ4 + SWBD'!W14</f>
        <v>7</v>
      </c>
      <c r="X146" s="489">
        <f>'Database PZ4 + SWBD'!AL14</f>
        <v>45717.072512647552</v>
      </c>
    </row>
    <row r="147" spans="1:27" ht="14.25" customHeight="1">
      <c r="B147" s="1111"/>
      <c r="C147" s="1210"/>
      <c r="D147" s="1116"/>
      <c r="E147" s="1189"/>
      <c r="F147" s="1177"/>
      <c r="G147" s="1177"/>
      <c r="H147" s="1199"/>
      <c r="I147" s="1202"/>
      <c r="J147" s="66"/>
      <c r="K147" s="53"/>
      <c r="L147" s="212"/>
      <c r="M147" s="83"/>
      <c r="N147" s="53"/>
      <c r="O147" s="491" t="str">
        <f t="shared" ca="1" si="8"/>
        <v/>
      </c>
      <c r="P147" s="204" t="str">
        <f t="shared" ca="1" si="9"/>
        <v/>
      </c>
      <c r="Q147" s="1136"/>
      <c r="R147" s="491" t="s">
        <v>27</v>
      </c>
      <c r="S147" s="204" t="str">
        <f>'Database PZ4 + SWBD'!J15</f>
        <v>WF1648985</v>
      </c>
      <c r="T147" s="212">
        <f>'Database PZ4 + SWBD'!P15</f>
        <v>45707</v>
      </c>
      <c r="U147" s="212">
        <f>'Database PZ4 + SWBD'!R15</f>
        <v>45715</v>
      </c>
      <c r="V147" s="204" t="str">
        <f>'Database PZ4 + SWBD'!AC15</f>
        <v>C</v>
      </c>
      <c r="W147" s="162">
        <f ca="1">'Database PZ4 + SWBD'!W15</f>
        <v>7</v>
      </c>
      <c r="X147" s="489">
        <f>'Database PZ4 + SWBD'!AL15</f>
        <v>45718.072512647552</v>
      </c>
    </row>
    <row r="148" spans="1:27" ht="14.25" customHeight="1">
      <c r="B148" s="1111"/>
      <c r="C148" s="1210"/>
      <c r="D148" s="1116"/>
      <c r="E148" s="1189"/>
      <c r="F148" s="1177"/>
      <c r="G148" s="1177"/>
      <c r="H148" s="1199"/>
      <c r="I148" s="1202"/>
      <c r="J148" s="66"/>
      <c r="K148" s="53"/>
      <c r="L148" s="212"/>
      <c r="M148" s="83"/>
      <c r="N148" s="53"/>
      <c r="O148" s="491"/>
      <c r="P148" s="204"/>
      <c r="Q148" s="1136"/>
      <c r="R148" s="491"/>
      <c r="S148" s="204"/>
      <c r="T148" s="212"/>
      <c r="U148" s="212"/>
      <c r="V148" s="204"/>
      <c r="W148" s="162"/>
      <c r="X148" s="489"/>
    </row>
    <row r="149" spans="1:27" ht="14.25" customHeight="1">
      <c r="B149" s="1111"/>
      <c r="C149" s="1210"/>
      <c r="D149" s="1116"/>
      <c r="E149" s="1189"/>
      <c r="F149" s="1177"/>
      <c r="G149" s="1177"/>
      <c r="H149" s="1199"/>
      <c r="I149" s="1202"/>
      <c r="J149" s="66"/>
      <c r="K149" s="53"/>
      <c r="L149" s="212"/>
      <c r="M149" s="83"/>
      <c r="N149" s="53"/>
      <c r="O149" s="491" t="str">
        <f ca="1">IF(ISBLANK(L149), "", IF(ISNUMBER(M149), M149-L149, TODAY()-L149))</f>
        <v/>
      </c>
      <c r="P149" s="204" t="str">
        <f ca="1">IF(ISBLANK(H149), "", IF(ISNUMBER(M149), M149-H149, TODAY()-H149))</f>
        <v/>
      </c>
      <c r="Q149" s="1136"/>
      <c r="R149" s="491" t="s">
        <v>27</v>
      </c>
      <c r="S149" s="204" t="str">
        <f>'Database PZ4 + SWBD'!J16</f>
        <v>WF1650970</v>
      </c>
      <c r="T149" s="212">
        <f>'Database PZ4 + SWBD'!P16</f>
        <v>45712</v>
      </c>
      <c r="U149" s="212">
        <f>'Database PZ4 + SWBD'!R16</f>
        <v>45727</v>
      </c>
      <c r="V149" s="204" t="str">
        <f>'Database PZ4 + SWBD'!AC16</f>
        <v>C</v>
      </c>
      <c r="W149" s="162">
        <f ca="1">'Database PZ4 + SWBD'!W16</f>
        <v>12</v>
      </c>
      <c r="X149" s="489">
        <f>'Database PZ4 + SWBD'!AL16</f>
        <v>45722.072512647552</v>
      </c>
    </row>
    <row r="150" spans="1:27" ht="14.25" customHeight="1">
      <c r="B150" s="1111"/>
      <c r="C150" s="1210"/>
      <c r="D150" s="1116"/>
      <c r="E150" s="1189"/>
      <c r="F150" s="1177"/>
      <c r="G150" s="1177"/>
      <c r="H150" s="1199"/>
      <c r="I150" s="1202"/>
      <c r="J150" s="66"/>
      <c r="K150" s="53"/>
      <c r="L150" s="212"/>
      <c r="M150" s="83"/>
      <c r="N150" s="53"/>
      <c r="O150" s="491" t="str">
        <f ca="1">IF(ISBLANK(L150), "", IF(ISNUMBER(M150), M150-L150, TODAY()-L150))</f>
        <v/>
      </c>
      <c r="P150" s="204" t="str">
        <f ca="1">IF(ISBLANK(H150), "", IF(ISNUMBER(M150), M150-H150, TODAY()-H150))</f>
        <v/>
      </c>
      <c r="Q150" s="1136"/>
      <c r="R150" s="491" t="s">
        <v>27</v>
      </c>
      <c r="S150" s="204" t="str">
        <f>'Database PZ4 + SWBD'!J17</f>
        <v>WF1650858</v>
      </c>
      <c r="T150" s="212">
        <f>'Database PZ4 + SWBD'!P17</f>
        <v>45712</v>
      </c>
      <c r="U150" s="212">
        <f>'Database PZ4 + SWBD'!R17</f>
        <v>45715</v>
      </c>
      <c r="V150" s="204" t="str">
        <f>'Database PZ4 + SWBD'!AC17</f>
        <v>C</v>
      </c>
      <c r="W150" s="162">
        <f ca="1">'Database PZ4 + SWBD'!W17</f>
        <v>4</v>
      </c>
      <c r="X150" s="489">
        <f>'Database PZ4 + SWBD'!AL17</f>
        <v>45722.072512647552</v>
      </c>
    </row>
    <row r="151" spans="1:27" ht="14.25" customHeight="1">
      <c r="B151" s="1111"/>
      <c r="C151" s="1210"/>
      <c r="D151" s="1116"/>
      <c r="E151" s="1189"/>
      <c r="F151" s="1177"/>
      <c r="G151" s="1177"/>
      <c r="H151" s="1199"/>
      <c r="I151" s="1202"/>
      <c r="J151" s="66"/>
      <c r="K151" s="53"/>
      <c r="L151" s="212"/>
      <c r="M151" s="83"/>
      <c r="N151" s="53"/>
      <c r="O151" s="491" t="str">
        <f ca="1">IF(ISBLANK(L151), "", IF(ISNUMBER(M151), M151-L151, TODAY()-L151))</f>
        <v/>
      </c>
      <c r="P151" s="204" t="str">
        <f ca="1">IF(ISBLANK(H151), "", IF(ISNUMBER(M151), M151-H151, TODAY()-H151))</f>
        <v/>
      </c>
      <c r="Q151" s="1136"/>
      <c r="R151" s="491" t="s">
        <v>27</v>
      </c>
      <c r="S151" s="204" t="str">
        <f>'Database PZ4 + SWBD'!J18</f>
        <v>WF1650861</v>
      </c>
      <c r="T151" s="212">
        <f>'Database PZ4 + SWBD'!P18</f>
        <v>45712</v>
      </c>
      <c r="U151" s="212">
        <f>'Database PZ4 + SWBD'!R18</f>
        <v>45727</v>
      </c>
      <c r="V151" s="204" t="str">
        <f>'Database PZ4 + SWBD'!AC18</f>
        <v>C</v>
      </c>
      <c r="W151" s="162">
        <f ca="1">'Database PZ4 + SWBD'!W18</f>
        <v>12</v>
      </c>
      <c r="X151" s="489">
        <f>'Database PZ4 + SWBD'!AL18</f>
        <v>45722.072512647552</v>
      </c>
    </row>
    <row r="152" spans="1:27" ht="15" customHeight="1">
      <c r="B152" s="1111"/>
      <c r="C152" s="1210"/>
      <c r="D152" s="1116"/>
      <c r="E152" s="1189"/>
      <c r="F152" s="1177"/>
      <c r="G152" s="1177"/>
      <c r="H152" s="1199"/>
      <c r="I152" s="1202"/>
      <c r="J152" s="66"/>
      <c r="K152" s="53"/>
      <c r="L152" s="212"/>
      <c r="M152" s="83"/>
      <c r="N152" s="53"/>
      <c r="O152" s="491" t="str">
        <f ca="1">IF(ISBLANK(L152), "", IF(ISNUMBER(M152), M152-L152, TODAY()-L152))</f>
        <v/>
      </c>
      <c r="P152" s="204" t="str">
        <f ca="1">IF(ISBLANK(H152), "", IF(ISNUMBER(M152), M152-H152, TODAY()-H152))</f>
        <v/>
      </c>
      <c r="Q152" s="1136"/>
      <c r="R152" s="491" t="s">
        <v>27</v>
      </c>
      <c r="S152" s="204" t="str">
        <f>'Database PZ4 + SWBD'!J19</f>
        <v>WF1650863</v>
      </c>
      <c r="T152" s="212">
        <f>'Database PZ4 + SWBD'!P19</f>
        <v>45712</v>
      </c>
      <c r="U152" s="212">
        <f>'Database PZ4 + SWBD'!R19</f>
        <v>45727</v>
      </c>
      <c r="V152" s="204" t="str">
        <f>'Database PZ4 + SWBD'!AC19</f>
        <v>C</v>
      </c>
      <c r="W152" s="162">
        <f ca="1">'Database PZ4 + SWBD'!W19</f>
        <v>12</v>
      </c>
      <c r="X152" s="489">
        <f>'Database PZ4 + SWBD'!AL19</f>
        <v>45722.072512647552</v>
      </c>
    </row>
    <row r="153" spans="1:27" ht="14.25" customHeight="1">
      <c r="B153" s="1111"/>
      <c r="C153" s="1210"/>
      <c r="D153" s="1116"/>
      <c r="E153" s="1189"/>
      <c r="F153" s="1177"/>
      <c r="G153" s="1177"/>
      <c r="H153" s="1199"/>
      <c r="I153" s="1202"/>
      <c r="J153" s="357"/>
      <c r="K153" s="380"/>
      <c r="L153" s="381"/>
      <c r="M153" s="516"/>
      <c r="N153" s="380"/>
      <c r="O153" s="517"/>
      <c r="P153" s="517"/>
      <c r="Q153" s="1136"/>
      <c r="R153" s="517" t="s">
        <v>27</v>
      </c>
      <c r="S153" s="204" t="str">
        <f>'Database PZ4 + SWBD'!J20</f>
        <v>WF1651072</v>
      </c>
      <c r="T153" s="212">
        <f>'Database PZ4 + SWBD'!P20</f>
        <v>45712</v>
      </c>
      <c r="U153" s="212">
        <f>'Database PZ4 + SWBD'!R20</f>
        <v>45720</v>
      </c>
      <c r="V153" s="204" t="str">
        <f>'Database PZ4 + SWBD'!AC20</f>
        <v>C</v>
      </c>
      <c r="W153" s="162">
        <f ca="1">'Database PZ4 + SWBD'!W20</f>
        <v>7</v>
      </c>
      <c r="X153" s="489">
        <f>'Database PZ4 + SWBD'!AL20</f>
        <v>45723.072512647552</v>
      </c>
    </row>
    <row r="154" spans="1:27" ht="14.25" customHeight="1">
      <c r="B154" s="1112"/>
      <c r="C154" s="1142"/>
      <c r="D154" s="1106"/>
      <c r="E154" s="1190"/>
      <c r="F154" s="1178"/>
      <c r="G154" s="1178"/>
      <c r="H154" s="1200"/>
      <c r="I154" s="1203"/>
      <c r="J154" s="357"/>
      <c r="K154" s="362"/>
      <c r="L154" s="381"/>
      <c r="M154" s="516"/>
      <c r="N154" s="380"/>
      <c r="O154" s="495" t="str">
        <f t="shared" ref="O154:O159" ca="1" si="10">IF(ISBLANK(L154), "", IF(ISNUMBER(M154), M154-L154, TODAY()-L154))</f>
        <v/>
      </c>
      <c r="P154" s="517" t="str">
        <f ca="1">IF(ISBLANK(H154), "", IF(ISNUMBER(M154), M154-H154, TODAY()-H154))</f>
        <v/>
      </c>
      <c r="Q154" s="1098"/>
      <c r="R154" s="517" t="s">
        <v>27</v>
      </c>
      <c r="S154" s="204" t="str">
        <f>'Database PZ4 + SWBD'!J21</f>
        <v>WF1650856</v>
      </c>
      <c r="T154" s="212">
        <f>'Database PZ4 + SWBD'!P21</f>
        <v>45712</v>
      </c>
      <c r="U154" s="212">
        <f>'Database PZ4 + SWBD'!R21</f>
        <v>45712</v>
      </c>
      <c r="V154" s="204" t="str">
        <f>'Database PZ4 + SWBD'!AC21</f>
        <v>X</v>
      </c>
      <c r="W154" s="162">
        <f ca="1">'Database PZ4 + SWBD'!W21</f>
        <v>1</v>
      </c>
      <c r="X154" s="489">
        <f>'Database PZ4 + SWBD'!AL21</f>
        <v>45725.072512647552</v>
      </c>
    </row>
    <row r="155" spans="1:27" ht="14.25" customHeight="1">
      <c r="B155" s="1110" t="s">
        <v>312</v>
      </c>
      <c r="C155" s="1113" t="s">
        <v>313</v>
      </c>
      <c r="D155" s="1105" t="s">
        <v>314</v>
      </c>
      <c r="E155" s="1188" t="s">
        <v>80</v>
      </c>
      <c r="F155" s="180" t="s">
        <v>260</v>
      </c>
      <c r="G155" s="1171" t="s">
        <v>25</v>
      </c>
      <c r="H155" s="1173">
        <v>45842</v>
      </c>
      <c r="I155" s="1201"/>
      <c r="J155" s="60" t="s">
        <v>27</v>
      </c>
      <c r="K155" s="521" t="s">
        <v>315</v>
      </c>
      <c r="L155" s="371">
        <v>45824</v>
      </c>
      <c r="M155" s="372">
        <v>45833</v>
      </c>
      <c r="N155" s="522" t="s">
        <v>29</v>
      </c>
      <c r="O155" s="157">
        <f t="shared" ca="1" si="10"/>
        <v>9</v>
      </c>
      <c r="P155" s="497">
        <f ca="1">IF(ISBLANK(H155), "", IF(ISNUMBER(M155), M155-H155, TODAY()-H155))</f>
        <v>-9</v>
      </c>
      <c r="Q155" s="1193" t="s">
        <v>26</v>
      </c>
      <c r="R155" s="523" t="str">
        <f>'Database PZ4 + SWBD'!L22</f>
        <v>BUY</v>
      </c>
      <c r="S155" s="433" t="str">
        <f>'Database PZ4 + SWBD'!J22</f>
        <v>WF1651638</v>
      </c>
      <c r="T155" s="371">
        <f>'Database PZ4 + SWBD'!P22</f>
        <v>45713</v>
      </c>
      <c r="U155" s="371">
        <f>'Database PZ4 + SWBD'!R22</f>
        <v>45722</v>
      </c>
      <c r="V155" s="433" t="str">
        <f>'Database PZ4 + SWBD'!AC22</f>
        <v>C</v>
      </c>
      <c r="W155" s="229">
        <f ca="1">'Database PZ4 + SWBD'!W22</f>
        <v>8</v>
      </c>
      <c r="X155" s="485">
        <f>'Database PZ4 + SWBD'!AL22</f>
        <v>45723.415686274508</v>
      </c>
    </row>
    <row r="156" spans="1:27" ht="14.25" customHeight="1">
      <c r="B156" s="1111"/>
      <c r="C156" s="1114"/>
      <c r="D156" s="1116"/>
      <c r="E156" s="1189"/>
      <c r="F156" s="282"/>
      <c r="G156" s="1172"/>
      <c r="H156" s="1174"/>
      <c r="I156" s="1202"/>
      <c r="J156" s="66" t="s">
        <v>27</v>
      </c>
      <c r="K156" s="380" t="s">
        <v>316</v>
      </c>
      <c r="L156" s="510">
        <v>45824</v>
      </c>
      <c r="M156" s="524">
        <v>45839</v>
      </c>
      <c r="N156" s="353" t="s">
        <v>29</v>
      </c>
      <c r="O156" s="475">
        <f t="shared" ca="1" si="10"/>
        <v>15</v>
      </c>
      <c r="P156" s="204">
        <f ca="1">IF(ISBLANK(H155), "", IF(ISNUMBER(M156), M156-H155, TODAY()-H155))</f>
        <v>-3</v>
      </c>
      <c r="Q156" s="1194"/>
      <c r="R156" s="523" t="str">
        <f>'Database PZ4 + SWBD'!L23</f>
        <v>MAKE</v>
      </c>
      <c r="S156" s="433" t="str">
        <f>'Database PZ4 + SWBD'!J23</f>
        <v>WF1652523</v>
      </c>
      <c r="T156" s="371">
        <f>'Database PZ4 + SWBD'!P23</f>
        <v>45714</v>
      </c>
      <c r="U156" s="371">
        <f>'Database PZ4 + SWBD'!R23</f>
        <v>45722</v>
      </c>
      <c r="V156" s="433" t="str">
        <f>'Database PZ4 + SWBD'!AC23</f>
        <v>C</v>
      </c>
      <c r="W156" s="229">
        <f ca="1">'Database PZ4 + SWBD'!W23</f>
        <v>7</v>
      </c>
      <c r="X156" s="485">
        <f>'Database PZ4 + SWBD'!AL23</f>
        <v>45725.072512647552</v>
      </c>
    </row>
    <row r="157" spans="1:27" ht="14.25" customHeight="1">
      <c r="B157" s="1111"/>
      <c r="C157" s="1114"/>
      <c r="D157" s="1116"/>
      <c r="E157" s="1189"/>
      <c r="F157" s="282"/>
      <c r="G157" s="1172"/>
      <c r="H157" s="1175"/>
      <c r="I157" s="1202"/>
      <c r="J157" s="357" t="s">
        <v>27</v>
      </c>
      <c r="K157" s="380" t="s">
        <v>317</v>
      </c>
      <c r="L157" s="493">
        <v>45824</v>
      </c>
      <c r="M157" s="512">
        <v>45833</v>
      </c>
      <c r="N157" s="504" t="s">
        <v>29</v>
      </c>
      <c r="O157" s="204">
        <f t="shared" ca="1" si="10"/>
        <v>9</v>
      </c>
      <c r="P157" s="513">
        <f ca="1">IF(ISBLANK(H155), "", IF(ISNUMBER(M157), M157-H155, TODAY()-H155))</f>
        <v>-9</v>
      </c>
      <c r="Q157" s="1195"/>
      <c r="R157" s="497" t="str">
        <f>'Database PZ4 + SWBD'!L24</f>
        <v>MAKE</v>
      </c>
      <c r="S157" s="179" t="str">
        <f>'Database PZ4 + SWBD'!J24</f>
        <v>WF1652400</v>
      </c>
      <c r="T157" s="483">
        <f>'Database PZ4 + SWBD'!P24</f>
        <v>45714</v>
      </c>
      <c r="U157" s="483">
        <f>'Database PZ4 + SWBD'!R24</f>
        <v>45722</v>
      </c>
      <c r="V157" s="179" t="str">
        <f>'Database PZ4 + SWBD'!AC24</f>
        <v>C</v>
      </c>
      <c r="W157" s="243">
        <f ca="1">'Database PZ4 + SWBD'!W24</f>
        <v>7</v>
      </c>
      <c r="X157" s="500">
        <f>'Database PZ4 + SWBD'!AL24</f>
        <v>45724.072512647552</v>
      </c>
    </row>
    <row r="158" spans="1:27" s="10" customFormat="1" ht="23.25" customHeight="1">
      <c r="A158" s="966"/>
      <c r="B158" s="1181" t="s">
        <v>312</v>
      </c>
      <c r="C158" s="1113" t="s">
        <v>318</v>
      </c>
      <c r="D158" s="1105" t="s">
        <v>314</v>
      </c>
      <c r="E158" s="1188" t="s">
        <v>80</v>
      </c>
      <c r="F158" s="180" t="s">
        <v>260</v>
      </c>
      <c r="G158" s="1176" t="s">
        <v>25</v>
      </c>
      <c r="H158" s="1198">
        <v>45835</v>
      </c>
      <c r="I158" s="1201"/>
      <c r="J158" s="60" t="s">
        <v>27</v>
      </c>
      <c r="K158" s="370" t="s">
        <v>315</v>
      </c>
      <c r="L158" s="371">
        <v>45824</v>
      </c>
      <c r="M158" s="372">
        <v>45833</v>
      </c>
      <c r="N158" s="370" t="s">
        <v>29</v>
      </c>
      <c r="O158" s="375">
        <f t="shared" ca="1" si="10"/>
        <v>9</v>
      </c>
      <c r="P158" s="433">
        <f ca="1">IF(ISBLANK(H158), "", IF(ISNUMBER(M158), M158-H158, TODAY()-H158))</f>
        <v>-2</v>
      </c>
      <c r="Q158" s="1193" t="s">
        <v>26</v>
      </c>
      <c r="R158" s="525" t="str">
        <f>'Database PZ4 + SWBD'!L25</f>
        <v>BUY</v>
      </c>
      <c r="S158" s="433" t="str">
        <f>'Database PZ4 + SWBD'!J25</f>
        <v>WF1654489</v>
      </c>
      <c r="T158" s="371">
        <f>'Database PZ4 + SWBD'!P25</f>
        <v>45719</v>
      </c>
      <c r="U158" s="371">
        <f>'Database PZ4 + SWBD'!R25</f>
        <v>45727</v>
      </c>
      <c r="V158" s="433" t="str">
        <f>'Database PZ4 + SWBD'!AC25</f>
        <v>C</v>
      </c>
      <c r="W158" s="229">
        <f ca="1">'Database PZ4 + SWBD'!W25</f>
        <v>7</v>
      </c>
      <c r="X158" s="485">
        <f>'Database PZ4 + SWBD'!AL25</f>
        <v>45719.415686274508</v>
      </c>
      <c r="Y158" s="966"/>
      <c r="Z158" s="966"/>
      <c r="AA158" s="966"/>
    </row>
    <row r="159" spans="1:27" s="10" customFormat="1" ht="21.75" customHeight="1">
      <c r="A159" s="966"/>
      <c r="B159" s="1182"/>
      <c r="C159" s="1114"/>
      <c r="D159" s="1116"/>
      <c r="E159" s="1189"/>
      <c r="F159" s="282"/>
      <c r="G159" s="1177"/>
      <c r="H159" s="1199"/>
      <c r="I159" s="1202"/>
      <c r="J159" s="66" t="s">
        <v>27</v>
      </c>
      <c r="K159" s="53" t="s">
        <v>316</v>
      </c>
      <c r="L159" s="212">
        <v>45824</v>
      </c>
      <c r="M159" s="247">
        <v>45839</v>
      </c>
      <c r="N159" s="53" t="s">
        <v>29</v>
      </c>
      <c r="O159" s="473">
        <f t="shared" ca="1" si="10"/>
        <v>15</v>
      </c>
      <c r="P159" s="490">
        <f ca="1">IF(ISBLANK(H158), "", IF(ISNUMBER(M159), M159-H158, TODAY()-H158))</f>
        <v>4</v>
      </c>
      <c r="Q159" s="1194"/>
      <c r="R159" s="527" t="str">
        <f>'Database PZ4 + SWBD'!L29</f>
        <v>MAKE</v>
      </c>
      <c r="S159" s="204" t="str">
        <f>'Database PZ4 + SWBD'!J29</f>
        <v>WF1654754</v>
      </c>
      <c r="T159" s="212">
        <f>'Database PZ4 + SWBD'!P29</f>
        <v>45719</v>
      </c>
      <c r="U159" s="212">
        <f>'Database PZ4 + SWBD'!R29</f>
        <v>45740</v>
      </c>
      <c r="V159" s="204" t="str">
        <f>'Database PZ4 + SWBD'!AC29</f>
        <v>C</v>
      </c>
      <c r="W159" s="204">
        <f ca="1">'Database PZ4 + SWBD'!W29</f>
        <v>15</v>
      </c>
      <c r="X159" s="489">
        <f>'Database PZ4 + SWBD'!AL29</f>
        <v>45731.072512647552</v>
      </c>
      <c r="Y159" s="966"/>
      <c r="Z159" s="966"/>
      <c r="AA159" s="966"/>
    </row>
    <row r="160" spans="1:27" s="10" customFormat="1" ht="21.75" customHeight="1">
      <c r="A160" s="966"/>
      <c r="B160" s="1183"/>
      <c r="C160" s="1115"/>
      <c r="D160" s="1106"/>
      <c r="E160" s="1190"/>
      <c r="F160" s="293"/>
      <c r="G160" s="1178"/>
      <c r="H160" s="1200"/>
      <c r="I160" s="1203"/>
      <c r="J160" s="528"/>
      <c r="K160" s="528"/>
      <c r="L160" s="528"/>
      <c r="M160" s="528"/>
      <c r="N160" s="528"/>
      <c r="O160" s="528"/>
      <c r="P160" s="528"/>
      <c r="Q160" s="1195"/>
      <c r="R160" s="513" t="str">
        <f>'Database PZ4 + SWBD'!L30</f>
        <v>MAKE</v>
      </c>
      <c r="S160" s="194" t="str">
        <f>'Database PZ4 + SWBD'!J30</f>
        <v>WF1654757</v>
      </c>
      <c r="T160" s="493">
        <f>'Database PZ4 + SWBD'!P30</f>
        <v>45719</v>
      </c>
      <c r="U160" s="493">
        <f>'Database PZ4 + SWBD'!R30</f>
        <v>45736</v>
      </c>
      <c r="V160" s="194" t="str">
        <f>'Database PZ4 + SWBD'!AC30</f>
        <v>C</v>
      </c>
      <c r="W160" s="194">
        <f ca="1">'Database PZ4 + SWBD'!W30</f>
        <v>13</v>
      </c>
      <c r="X160" s="529">
        <f>'Database PZ4 + SWBD'!AL30</f>
        <v>45731.072512647552</v>
      </c>
      <c r="Y160" s="966"/>
      <c r="Z160" s="966"/>
      <c r="AA160" s="966"/>
    </row>
    <row r="161" spans="1:27" s="10" customFormat="1" ht="14.25" customHeight="1">
      <c r="A161" s="966"/>
      <c r="B161" s="526" t="s">
        <v>319</v>
      </c>
      <c r="C161" s="230" t="s">
        <v>320</v>
      </c>
      <c r="D161" s="194" t="s">
        <v>321</v>
      </c>
      <c r="E161" s="195" t="s">
        <v>129</v>
      </c>
      <c r="F161" s="282" t="s">
        <v>132</v>
      </c>
      <c r="G161" s="282" t="s">
        <v>25</v>
      </c>
      <c r="H161" s="455">
        <v>45835</v>
      </c>
      <c r="I161" s="459"/>
      <c r="J161" s="501" t="s">
        <v>27</v>
      </c>
      <c r="K161" s="502" t="s">
        <v>322</v>
      </c>
      <c r="L161" s="493">
        <v>45831</v>
      </c>
      <c r="M161" s="512">
        <v>45841</v>
      </c>
      <c r="N161" s="502" t="s">
        <v>29</v>
      </c>
      <c r="O161" s="530">
        <f t="shared" ref="O161:O177" ca="1" si="11">IF(ISBLANK(L161), "", IF(ISNUMBER(M161), M161-L161, TODAY()-L161))</f>
        <v>10</v>
      </c>
      <c r="P161" s="531">
        <f t="shared" ref="P161:P166" ca="1" si="12">IF(ISBLANK(H161), "", IF(ISNUMBER(M161), M161-H161, TODAY()-H161))</f>
        <v>6</v>
      </c>
      <c r="Q161" s="151" t="s">
        <v>26</v>
      </c>
      <c r="R161" s="499"/>
      <c r="S161" s="179"/>
      <c r="T161" s="179"/>
      <c r="U161" s="179"/>
      <c r="V161" s="179"/>
      <c r="W161" s="179"/>
      <c r="X161" s="458"/>
      <c r="Y161" s="966"/>
      <c r="Z161" s="966"/>
      <c r="AA161" s="966"/>
    </row>
    <row r="162" spans="1:27" ht="14.25" customHeight="1">
      <c r="B162" s="532" t="s">
        <v>323</v>
      </c>
      <c r="C162" s="533" t="s">
        <v>324</v>
      </c>
      <c r="D162" s="433" t="s">
        <v>325</v>
      </c>
      <c r="E162" s="534" t="s">
        <v>80</v>
      </c>
      <c r="F162" s="223"/>
      <c r="G162" s="223"/>
      <c r="H162" s="535"/>
      <c r="I162" s="536"/>
      <c r="J162" s="60"/>
      <c r="K162" s="370"/>
      <c r="L162" s="371"/>
      <c r="M162" s="372"/>
      <c r="N162" s="522"/>
      <c r="O162" s="433" t="str">
        <f t="shared" ca="1" si="11"/>
        <v/>
      </c>
      <c r="P162" s="179" t="str">
        <f t="shared" ca="1" si="12"/>
        <v/>
      </c>
      <c r="Q162" s="537" t="s">
        <v>26</v>
      </c>
      <c r="R162" s="525" t="s">
        <v>40</v>
      </c>
      <c r="S162" s="433" t="s">
        <v>326</v>
      </c>
      <c r="T162" s="371">
        <f>'Database PZ4 + SWBD'!P23</f>
        <v>45714</v>
      </c>
      <c r="U162" s="371">
        <f>'Database PZ4 + SWBD'!R23</f>
        <v>45722</v>
      </c>
      <c r="V162" s="433" t="str">
        <f>'Database PZ4 + SWBD'!AC23</f>
        <v>C</v>
      </c>
      <c r="W162" s="433">
        <f ca="1">'Database PZ4 + SWBD'!W23</f>
        <v>7</v>
      </c>
      <c r="X162" s="538"/>
    </row>
    <row r="163" spans="1:27" ht="14.25" customHeight="1">
      <c r="B163" s="377" t="s">
        <v>327</v>
      </c>
      <c r="C163" s="193" t="s">
        <v>328</v>
      </c>
      <c r="D163" s="194" t="s">
        <v>325</v>
      </c>
      <c r="E163" s="379" t="s">
        <v>80</v>
      </c>
      <c r="F163" s="282"/>
      <c r="G163" s="282"/>
      <c r="H163" s="455"/>
      <c r="I163" s="459"/>
      <c r="J163" s="501"/>
      <c r="K163" s="502"/>
      <c r="L163" s="493"/>
      <c r="M163" s="512"/>
      <c r="N163" s="504"/>
      <c r="O163" s="355" t="str">
        <f t="shared" ca="1" si="11"/>
        <v/>
      </c>
      <c r="P163" s="204" t="str">
        <f t="shared" ca="1" si="12"/>
        <v/>
      </c>
      <c r="Q163" s="539" t="s">
        <v>26</v>
      </c>
      <c r="R163" s="540"/>
      <c r="S163" s="194"/>
      <c r="T163" s="194"/>
      <c r="U163" s="194"/>
      <c r="V163" s="194"/>
      <c r="W163" s="220"/>
      <c r="X163" s="435"/>
    </row>
    <row r="164" spans="1:27" ht="14.25" customHeight="1">
      <c r="B164" s="541" t="s">
        <v>329</v>
      </c>
      <c r="C164" s="542" t="s">
        <v>330</v>
      </c>
      <c r="D164" s="204" t="s">
        <v>325</v>
      </c>
      <c r="E164" s="543" t="s">
        <v>80</v>
      </c>
      <c r="F164" s="231"/>
      <c r="G164" s="231"/>
      <c r="H164" s="544"/>
      <c r="I164" s="545"/>
      <c r="J164" s="66"/>
      <c r="K164" s="53"/>
      <c r="L164" s="212"/>
      <c r="M164" s="83"/>
      <c r="N164" s="288"/>
      <c r="O164" s="355" t="str">
        <f t="shared" ca="1" si="11"/>
        <v/>
      </c>
      <c r="P164" s="204" t="str">
        <f t="shared" ca="1" si="12"/>
        <v/>
      </c>
      <c r="Q164" s="151" t="s">
        <v>26</v>
      </c>
      <c r="R164" s="527"/>
      <c r="S164" s="204"/>
      <c r="T164" s="204"/>
      <c r="U164" s="204"/>
      <c r="V164" s="355"/>
      <c r="W164" s="204"/>
      <c r="X164" s="435"/>
    </row>
    <row r="165" spans="1:27" ht="14.25" customHeight="1">
      <c r="B165" s="546"/>
      <c r="C165" s="547"/>
      <c r="D165" s="362"/>
      <c r="E165" s="548"/>
      <c r="F165" s="236"/>
      <c r="G165" s="236"/>
      <c r="H165" s="549"/>
      <c r="I165" s="550"/>
      <c r="J165" s="357"/>
      <c r="K165" s="380"/>
      <c r="L165" s="381"/>
      <c r="M165" s="516"/>
      <c r="N165" s="358"/>
      <c r="O165" s="342" t="str">
        <f t="shared" ca="1" si="11"/>
        <v/>
      </c>
      <c r="P165" s="551" t="str">
        <f t="shared" ca="1" si="12"/>
        <v/>
      </c>
      <c r="Q165" s="552" t="s">
        <v>26</v>
      </c>
      <c r="R165" s="553" t="s">
        <v>27</v>
      </c>
      <c r="S165" s="342" t="s">
        <v>331</v>
      </c>
      <c r="T165" s="554">
        <f>'Database PZ4 + SWBD'!P22</f>
        <v>45713</v>
      </c>
      <c r="U165" s="554">
        <f>'Database PZ4 + SWBD'!R22</f>
        <v>45722</v>
      </c>
      <c r="V165" s="343" t="str">
        <f>'Database PZ4 + SWBD'!AC22</f>
        <v>C</v>
      </c>
      <c r="W165" s="342">
        <f ca="1">'Database PZ4 + SWBD'!W22</f>
        <v>8</v>
      </c>
      <c r="X165" s="340"/>
    </row>
    <row r="166" spans="1:27" ht="18.75" customHeight="1">
      <c r="A166" s="953" t="s">
        <v>332</v>
      </c>
      <c r="B166" s="1110" t="s">
        <v>333</v>
      </c>
      <c r="C166" s="1113" t="s">
        <v>219</v>
      </c>
      <c r="D166" s="1105" t="s">
        <v>334</v>
      </c>
      <c r="E166" s="1117" t="s">
        <v>99</v>
      </c>
      <c r="F166" s="179" t="s">
        <v>264</v>
      </c>
      <c r="G166" s="1147" t="s">
        <v>25</v>
      </c>
      <c r="H166" s="1107">
        <v>45838</v>
      </c>
      <c r="I166" s="1149"/>
      <c r="J166" s="60" t="s">
        <v>27</v>
      </c>
      <c r="K166" s="370" t="s">
        <v>335</v>
      </c>
      <c r="L166" s="371">
        <v>45834</v>
      </c>
      <c r="M166" s="555">
        <v>45849</v>
      </c>
      <c r="N166" s="522" t="s">
        <v>29</v>
      </c>
      <c r="O166" s="556">
        <f t="shared" ca="1" si="11"/>
        <v>15</v>
      </c>
      <c r="P166" s="557">
        <f t="shared" ca="1" si="12"/>
        <v>11</v>
      </c>
      <c r="Q166" s="1193" t="s">
        <v>26</v>
      </c>
      <c r="R166" s="513" t="s">
        <v>27</v>
      </c>
      <c r="S166" s="558" t="s">
        <v>336</v>
      </c>
      <c r="T166" s="559">
        <f>'Database PZ4 + SWBD'!P31</f>
        <v>45719</v>
      </c>
      <c r="U166" s="559">
        <f>'Database PZ4 + SWBD'!R31</f>
        <v>45740</v>
      </c>
      <c r="V166" s="560" t="str">
        <f>'Database PZ4 + SWBD'!AC31</f>
        <v>C</v>
      </c>
      <c r="W166" s="220">
        <f ca="1">'Database PZ4 + SWBD'!W31</f>
        <v>15</v>
      </c>
      <c r="X166" s="561">
        <f>'Database PZ4 + SWBD'!AL31</f>
        <v>45731.072512647552</v>
      </c>
    </row>
    <row r="167" spans="1:27" ht="17.25" customHeight="1">
      <c r="B167" s="1111"/>
      <c r="C167" s="1114"/>
      <c r="D167" s="1116"/>
      <c r="E167" s="1118"/>
      <c r="F167" s="194"/>
      <c r="G167" s="1148"/>
      <c r="H167" s="1108"/>
      <c r="I167" s="1150"/>
      <c r="J167" s="562" t="s">
        <v>27</v>
      </c>
      <c r="K167" s="284" t="s">
        <v>337</v>
      </c>
      <c r="L167" s="510">
        <v>45832</v>
      </c>
      <c r="M167" s="563">
        <v>45846</v>
      </c>
      <c r="N167" s="353" t="s">
        <v>29</v>
      </c>
      <c r="O167" s="204">
        <f t="shared" ca="1" si="11"/>
        <v>14</v>
      </c>
      <c r="P167" s="490">
        <f ca="1">IF(ISBLANK(H166), "", IF(ISNUMBER(M167), M167-H166, TODAY()-H166))</f>
        <v>8</v>
      </c>
      <c r="Q167" s="1194"/>
      <c r="R167" s="517"/>
      <c r="S167" s="564"/>
      <c r="T167" s="564"/>
      <c r="U167" s="564"/>
      <c r="V167" s="451"/>
      <c r="W167" s="565"/>
      <c r="X167" s="566"/>
    </row>
    <row r="168" spans="1:27" ht="15.75" customHeight="1">
      <c r="B168" s="1112"/>
      <c r="C168" s="1115"/>
      <c r="D168" s="1106"/>
      <c r="E168" s="1119"/>
      <c r="F168" s="444"/>
      <c r="G168" s="1197"/>
      <c r="H168" s="1109"/>
      <c r="I168" s="1196"/>
      <c r="J168" s="501"/>
      <c r="K168" s="502" t="s">
        <v>338</v>
      </c>
      <c r="L168" s="493">
        <v>45846</v>
      </c>
      <c r="M168" s="503">
        <v>45849</v>
      </c>
      <c r="N168" s="504" t="s">
        <v>29</v>
      </c>
      <c r="O168" s="204">
        <f t="shared" ca="1" si="11"/>
        <v>3</v>
      </c>
      <c r="P168" s="490">
        <f ca="1">IF(ISBLANK(H166), "", IF(ISNUMBER(M168), M168-H166, TODAY()-H166))</f>
        <v>11</v>
      </c>
      <c r="Q168" s="1195"/>
      <c r="R168" s="513"/>
      <c r="S168" s="558"/>
      <c r="T168" s="558"/>
      <c r="U168" s="558"/>
      <c r="V168" s="560"/>
      <c r="W168" s="220"/>
      <c r="X168" s="506"/>
    </row>
    <row r="169" spans="1:27" ht="14.25" customHeight="1">
      <c r="B169" s="1110" t="s">
        <v>339</v>
      </c>
      <c r="C169" s="1113" t="s">
        <v>135</v>
      </c>
      <c r="D169" s="1116" t="s">
        <v>340</v>
      </c>
      <c r="E169" s="1117" t="s">
        <v>273</v>
      </c>
      <c r="F169" s="179" t="s">
        <v>241</v>
      </c>
      <c r="G169" s="1147" t="s">
        <v>25</v>
      </c>
      <c r="H169" s="1108">
        <v>45848</v>
      </c>
      <c r="I169" s="1163"/>
      <c r="J169" s="571" t="s">
        <v>40</v>
      </c>
      <c r="K169" s="521" t="s">
        <v>341</v>
      </c>
      <c r="L169" s="483">
        <v>45834</v>
      </c>
      <c r="M169" s="572">
        <v>45849</v>
      </c>
      <c r="N169" s="521" t="s">
        <v>29</v>
      </c>
      <c r="O169" s="179">
        <f t="shared" ca="1" si="11"/>
        <v>15</v>
      </c>
      <c r="P169" s="573">
        <f ca="1">IF(ISBLANK(H169), "", IF(ISNUMBER(M169), M169-H169, TODAY()-H169))</f>
        <v>1</v>
      </c>
      <c r="Q169" s="1097" t="s">
        <v>26</v>
      </c>
      <c r="R169" s="574"/>
      <c r="S169" s="179"/>
      <c r="T169" s="179"/>
      <c r="U169" s="179"/>
      <c r="V169" s="575"/>
      <c r="W169" s="243"/>
      <c r="X169" s="498"/>
    </row>
    <row r="170" spans="1:27" ht="14.25" customHeight="1">
      <c r="B170" s="1111"/>
      <c r="C170" s="1114"/>
      <c r="D170" s="1116"/>
      <c r="E170" s="1118"/>
      <c r="F170" s="194"/>
      <c r="G170" s="1148"/>
      <c r="H170" s="1108"/>
      <c r="I170" s="1143"/>
      <c r="J170" s="66" t="s">
        <v>40</v>
      </c>
      <c r="K170" s="53" t="s">
        <v>342</v>
      </c>
      <c r="L170" s="212">
        <v>45826</v>
      </c>
      <c r="M170" s="83">
        <v>45835</v>
      </c>
      <c r="N170" s="288" t="s">
        <v>29</v>
      </c>
      <c r="O170" s="204">
        <f t="shared" ca="1" si="11"/>
        <v>9</v>
      </c>
      <c r="P170" s="491">
        <f ca="1">IF(ISBLANK(H169), "", IF(ISNUMBER(M170), M170-H169, TODAY()-H169))</f>
        <v>-13</v>
      </c>
      <c r="Q170" s="1136"/>
      <c r="R170" s="577"/>
      <c r="S170" s="204"/>
      <c r="T170" s="204"/>
      <c r="U170" s="204"/>
      <c r="V170" s="366"/>
      <c r="W170" s="204"/>
      <c r="X170" s="578"/>
    </row>
    <row r="171" spans="1:27" ht="14.25" customHeight="1">
      <c r="B171" s="1111"/>
      <c r="C171" s="1114"/>
      <c r="D171" s="1116"/>
      <c r="E171" s="1118"/>
      <c r="F171" s="194"/>
      <c r="G171" s="1148"/>
      <c r="H171" s="1108"/>
      <c r="I171" s="1143"/>
      <c r="J171" s="357" t="s">
        <v>27</v>
      </c>
      <c r="K171" s="380" t="s">
        <v>343</v>
      </c>
      <c r="L171" s="381">
        <v>45833</v>
      </c>
      <c r="M171" s="83">
        <v>45854</v>
      </c>
      <c r="N171" s="288" t="s">
        <v>29</v>
      </c>
      <c r="O171" s="204">
        <f t="shared" ca="1" si="11"/>
        <v>21</v>
      </c>
      <c r="P171" s="579">
        <f ca="1">IF(ISBLANK(H169), "", IF(ISNUMBER(M171), M171-H169, TODAY()-H169))</f>
        <v>6</v>
      </c>
      <c r="Q171" s="1136"/>
      <c r="R171" s="577"/>
      <c r="S171" s="204"/>
      <c r="T171" s="204"/>
      <c r="U171" s="204"/>
      <c r="V171" s="366"/>
      <c r="W171" s="204"/>
      <c r="X171" s="578"/>
    </row>
    <row r="172" spans="1:27" ht="40.5" customHeight="1">
      <c r="B172" s="1111"/>
      <c r="C172" s="1114"/>
      <c r="D172" s="1116"/>
      <c r="E172" s="1118"/>
      <c r="F172" s="194"/>
      <c r="G172" s="1148"/>
      <c r="H172" s="1108"/>
      <c r="I172" s="1164"/>
      <c r="J172" s="66" t="s">
        <v>27</v>
      </c>
      <c r="K172" s="53" t="s">
        <v>344</v>
      </c>
      <c r="L172" s="212">
        <v>45834</v>
      </c>
      <c r="M172" s="233">
        <v>45860</v>
      </c>
      <c r="N172" s="288" t="s">
        <v>29</v>
      </c>
      <c r="O172" s="210">
        <f t="shared" ca="1" si="11"/>
        <v>26</v>
      </c>
      <c r="P172" s="579">
        <f ca="1">IF(ISBLANK(H169), "", IF(ISNUMBER(M172), M172-H169, TODAY()-H169))</f>
        <v>12</v>
      </c>
      <c r="Q172" s="1136"/>
      <c r="R172" s="577"/>
      <c r="S172" s="204"/>
      <c r="T172" s="204"/>
      <c r="U172" s="204"/>
      <c r="V172" s="366"/>
      <c r="W172" s="204"/>
      <c r="X172" s="578"/>
    </row>
    <row r="173" spans="1:27" ht="14.25" customHeight="1">
      <c r="B173" s="1111"/>
      <c r="C173" s="1114"/>
      <c r="D173" s="1116"/>
      <c r="E173" s="1118"/>
      <c r="F173" s="194"/>
      <c r="G173" s="1148"/>
      <c r="H173" s="1108"/>
      <c r="I173" s="1164"/>
      <c r="J173" s="562" t="s">
        <v>27</v>
      </c>
      <c r="K173" s="284" t="s">
        <v>345</v>
      </c>
      <c r="L173" s="510">
        <v>45834</v>
      </c>
      <c r="M173" s="563">
        <v>45848</v>
      </c>
      <c r="N173" s="353" t="s">
        <v>29</v>
      </c>
      <c r="O173" s="157">
        <f t="shared" ca="1" si="11"/>
        <v>14</v>
      </c>
      <c r="P173" s="509">
        <f ca="1">IF(ISBLANK(H169), "", IF(ISNUMBER(M173), M173-H169, TODAY()-H169))</f>
        <v>0</v>
      </c>
      <c r="Q173" s="1136"/>
      <c r="R173" s="581"/>
      <c r="S173" s="157"/>
      <c r="T173" s="509"/>
      <c r="U173" s="157"/>
      <c r="V173" s="582"/>
      <c r="W173" s="157"/>
      <c r="X173" s="583"/>
    </row>
    <row r="174" spans="1:27" ht="14.25" customHeight="1">
      <c r="B174" s="1111"/>
      <c r="C174" s="1114"/>
      <c r="D174" s="1116"/>
      <c r="E174" s="1118"/>
      <c r="F174" s="194"/>
      <c r="G174" s="1148"/>
      <c r="H174" s="1108"/>
      <c r="I174" s="1164"/>
      <c r="J174" s="562" t="s">
        <v>40</v>
      </c>
      <c r="K174" s="284" t="s">
        <v>346</v>
      </c>
      <c r="L174" s="510">
        <v>45852</v>
      </c>
      <c r="M174" s="563">
        <v>45859</v>
      </c>
      <c r="N174" s="353" t="s">
        <v>29</v>
      </c>
      <c r="O174" s="157">
        <f t="shared" ca="1" si="11"/>
        <v>7</v>
      </c>
      <c r="P174" s="584">
        <f ca="1">IF(ISBLANK(H169), "", IF(ISNUMBER(M174), M174-H169, TODAY()-H169))</f>
        <v>11</v>
      </c>
      <c r="Q174" s="1136"/>
      <c r="R174" s="585"/>
      <c r="S174" s="194"/>
      <c r="T174" s="513"/>
      <c r="U174" s="194"/>
      <c r="V174" s="560"/>
      <c r="W174" s="194"/>
      <c r="X174" s="506"/>
    </row>
    <row r="175" spans="1:27" ht="14.25" customHeight="1">
      <c r="B175" s="1111"/>
      <c r="C175" s="1114"/>
      <c r="D175" s="1116"/>
      <c r="E175" s="1118"/>
      <c r="F175" s="194"/>
      <c r="G175" s="1148"/>
      <c r="H175" s="1108"/>
      <c r="I175" s="1164"/>
      <c r="J175" s="66" t="s">
        <v>27</v>
      </c>
      <c r="K175" s="53" t="s">
        <v>347</v>
      </c>
      <c r="L175" s="212">
        <v>45838</v>
      </c>
      <c r="M175" s="83">
        <v>45848</v>
      </c>
      <c r="N175" s="288" t="s">
        <v>29</v>
      </c>
      <c r="O175" s="204">
        <f t="shared" ca="1" si="11"/>
        <v>10</v>
      </c>
      <c r="P175" s="491">
        <f ca="1">IF(ISBLANK(H169), "", IF(ISNUMBER(M175), M175-H169, TODAY()-H169))</f>
        <v>0</v>
      </c>
      <c r="Q175" s="1136"/>
      <c r="R175" s="585"/>
      <c r="S175" s="194"/>
      <c r="T175" s="513"/>
      <c r="U175" s="194"/>
      <c r="V175" s="560"/>
      <c r="W175" s="194"/>
      <c r="X175" s="506"/>
    </row>
    <row r="176" spans="1:27" ht="14.25" customHeight="1">
      <c r="B176" s="1111"/>
      <c r="C176" s="1114"/>
      <c r="D176" s="1116"/>
      <c r="E176" s="1118"/>
      <c r="F176" s="194"/>
      <c r="G176" s="1148"/>
      <c r="H176" s="1109"/>
      <c r="I176" s="1143"/>
      <c r="J176" s="501" t="s">
        <v>27</v>
      </c>
      <c r="K176" s="502" t="s">
        <v>348</v>
      </c>
      <c r="L176" s="493">
        <v>45834</v>
      </c>
      <c r="M176" s="512">
        <v>45852</v>
      </c>
      <c r="N176" s="504" t="s">
        <v>29</v>
      </c>
      <c r="O176" s="194">
        <f t="shared" ca="1" si="11"/>
        <v>18</v>
      </c>
      <c r="P176" s="586">
        <f ca="1">IF(ISBLANK(H169), "", IF(ISNUMBER(M176), M176-H169, TODAY()-H169))</f>
        <v>4</v>
      </c>
      <c r="Q176" s="1098"/>
      <c r="R176" s="587">
        <v>1</v>
      </c>
      <c r="S176" s="362"/>
      <c r="T176" s="517"/>
      <c r="U176" s="362"/>
      <c r="V176" s="451"/>
      <c r="W176" s="362"/>
      <c r="X176" s="566"/>
    </row>
    <row r="177" spans="2:24" ht="14.25" customHeight="1">
      <c r="B177" s="1110" t="str">
        <f>'Database PZ4 + SWBD'!B33</f>
        <v>0050255139</v>
      </c>
      <c r="C177" s="533" t="s">
        <v>349</v>
      </c>
      <c r="D177" s="1141" t="s">
        <v>350</v>
      </c>
      <c r="E177" s="1117" t="s">
        <v>252</v>
      </c>
      <c r="F177" s="433" t="s">
        <v>216</v>
      </c>
      <c r="G177" s="1105" t="s">
        <v>25</v>
      </c>
      <c r="H177" s="1108">
        <v>45849</v>
      </c>
      <c r="I177" s="1149"/>
      <c r="J177" s="1162" t="s">
        <v>27</v>
      </c>
      <c r="K177" s="1165" t="s">
        <v>351</v>
      </c>
      <c r="L177" s="1101">
        <v>45846</v>
      </c>
      <c r="M177" s="1103">
        <v>45855</v>
      </c>
      <c r="N177" s="1165" t="s">
        <v>29</v>
      </c>
      <c r="O177" s="1105">
        <f t="shared" ca="1" si="11"/>
        <v>9</v>
      </c>
      <c r="P177" s="1145">
        <f ca="1">IF(ISBLANK(H177), "", IF(ISNUMBER(M177), M177-H177, TODAY()-H177))</f>
        <v>6</v>
      </c>
      <c r="Q177" s="1147" t="s">
        <v>26</v>
      </c>
      <c r="R177" s="1179" t="str">
        <f>'Database PZ4 + SWBD'!L33</f>
        <v>MAKE</v>
      </c>
      <c r="S177" s="1184" t="str">
        <f>'Database PZ4 + SWBD'!J33</f>
        <v>WF1655177</v>
      </c>
      <c r="T177" s="1169">
        <f>'Database PZ4 + SWBD'!P33</f>
        <v>45720</v>
      </c>
      <c r="U177" s="1101">
        <f>'Database PZ4 + SWBD'!R33</f>
        <v>45735</v>
      </c>
      <c r="V177" s="1153" t="str">
        <f>'Database PZ4 + SWBD'!AC33</f>
        <v>C</v>
      </c>
      <c r="W177" s="1155">
        <f ca="1">'Database PZ4 + SWBD'!W33</f>
        <v>11</v>
      </c>
      <c r="X177" s="588"/>
    </row>
    <row r="178" spans="2:24" ht="14.25" customHeight="1">
      <c r="B178" s="1111"/>
      <c r="C178" s="547" t="s">
        <v>352</v>
      </c>
      <c r="D178" s="1116"/>
      <c r="E178" s="1118"/>
      <c r="F178" s="362" t="s">
        <v>238</v>
      </c>
      <c r="G178" s="1106"/>
      <c r="H178" s="1108"/>
      <c r="I178" s="1150"/>
      <c r="J178" s="1121"/>
      <c r="K178" s="1166"/>
      <c r="L178" s="1102"/>
      <c r="M178" s="1104"/>
      <c r="N178" s="1166"/>
      <c r="O178" s="1106"/>
      <c r="P178" s="1146"/>
      <c r="Q178" s="1148"/>
      <c r="R178" s="1180"/>
      <c r="S178" s="1185"/>
      <c r="T178" s="1170"/>
      <c r="U178" s="1102"/>
      <c r="V178" s="1154"/>
      <c r="W178" s="1156"/>
      <c r="X178" s="566"/>
    </row>
    <row r="179" spans="2:24" ht="25.5" customHeight="1">
      <c r="B179" s="1110" t="s">
        <v>353</v>
      </c>
      <c r="C179" s="1126" t="s">
        <v>135</v>
      </c>
      <c r="D179" s="1124" t="s">
        <v>354</v>
      </c>
      <c r="E179" s="591" t="s">
        <v>80</v>
      </c>
      <c r="F179" s="433"/>
      <c r="G179" s="157"/>
      <c r="H179" s="592"/>
      <c r="I179" s="593"/>
      <c r="J179" s="562"/>
      <c r="K179" s="284"/>
      <c r="L179" s="510"/>
      <c r="M179" s="563"/>
      <c r="N179" s="284"/>
      <c r="O179" s="157" t="str">
        <f t="shared" ref="O179:O254" ca="1" si="13">IF(ISBLANK(L179), "", IF(ISNUMBER(M179), M179-L179, TODAY()-L179))</f>
        <v/>
      </c>
      <c r="P179" s="157" t="str">
        <f ca="1">IF(ISBLANK(H179), "", IF(ISNUMBER(M179), M179-H179, TODAY()-H179))</f>
        <v/>
      </c>
      <c r="Q179" s="375" t="s">
        <v>26</v>
      </c>
      <c r="R179" s="594" t="str">
        <f>'Database PZ4 + SWBD'!L43</f>
        <v>BUY</v>
      </c>
      <c r="S179" s="157" t="str">
        <f>'Database PZ4 + SWBD'!J43</f>
        <v>WF1656782</v>
      </c>
      <c r="T179" s="510">
        <f>'Database PZ4 + SWBD'!P43</f>
        <v>45722</v>
      </c>
      <c r="U179" s="510">
        <f>'Database PZ4 + SWBD'!Q43</f>
        <v>45734</v>
      </c>
      <c r="V179" s="582" t="str">
        <f>'Database PZ4 + SWBD'!AC43</f>
        <v>C</v>
      </c>
      <c r="W179" s="162">
        <f ca="1">'Database PZ4 + SWBD'!W43</f>
        <v>9</v>
      </c>
      <c r="X179" s="588"/>
    </row>
    <row r="180" spans="2:24" ht="22.5" customHeight="1">
      <c r="B180" s="1111" t="s">
        <v>353</v>
      </c>
      <c r="C180" s="1127" t="s">
        <v>135</v>
      </c>
      <c r="D180" s="1125"/>
      <c r="E180" s="595" t="s">
        <v>80</v>
      </c>
      <c r="F180" s="362"/>
      <c r="G180" s="362"/>
      <c r="H180" s="596"/>
      <c r="I180" s="597"/>
      <c r="J180" s="357"/>
      <c r="K180" s="380"/>
      <c r="L180" s="381"/>
      <c r="M180" s="516"/>
      <c r="N180" s="380"/>
      <c r="O180" s="362" t="str">
        <f t="shared" ca="1" si="13"/>
        <v/>
      </c>
      <c r="P180" s="362" t="str">
        <f ca="1">IF(ISBLANK(H180), "", IF(ISNUMBER(M180), M180-H180, TODAY()-H180))</f>
        <v/>
      </c>
      <c r="Q180" s="363" t="s">
        <v>26</v>
      </c>
      <c r="R180" s="598" t="str">
        <f>'Database PZ4 + SWBD'!L44</f>
        <v>MAKE</v>
      </c>
      <c r="S180" s="362" t="str">
        <f>'Database PZ4 + SWBD'!J44</f>
        <v>WF1657486</v>
      </c>
      <c r="T180" s="381">
        <f>'Database PZ4 + SWBD'!P44</f>
        <v>45723</v>
      </c>
      <c r="U180" s="381">
        <f>'Database PZ4 + SWBD'!Q44</f>
        <v>45733</v>
      </c>
      <c r="V180" s="451" t="str">
        <f>'Database PZ4 + SWBD'!AC44</f>
        <v>C</v>
      </c>
      <c r="W180" s="220">
        <f ca="1">'Database PZ4 + SWBD'!W44</f>
        <v>5</v>
      </c>
      <c r="X180" s="566"/>
    </row>
    <row r="181" spans="2:24" ht="14.25" customHeight="1">
      <c r="B181" s="1110" t="s">
        <v>302</v>
      </c>
      <c r="C181" s="1126" t="s">
        <v>303</v>
      </c>
      <c r="D181" s="1124" t="s">
        <v>355</v>
      </c>
      <c r="E181" s="1117" t="s">
        <v>305</v>
      </c>
      <c r="F181" s="433"/>
      <c r="G181" s="433"/>
      <c r="H181" s="592"/>
      <c r="I181" s="593"/>
      <c r="J181" s="60"/>
      <c r="K181" s="370"/>
      <c r="L181" s="371"/>
      <c r="M181" s="372"/>
      <c r="N181" s="370"/>
      <c r="O181" s="433" t="str">
        <f t="shared" ca="1" si="13"/>
        <v/>
      </c>
      <c r="P181" s="433" t="str">
        <f ca="1">IF(ISBLANK(H181), "", IF(ISNUMBER(M181), M181-H181, TODAY()-H181))</f>
        <v/>
      </c>
      <c r="Q181" s="375" t="s">
        <v>26</v>
      </c>
      <c r="R181" s="599" t="str">
        <f>'Database PZ4 + SWBD'!L45</f>
        <v>BUY</v>
      </c>
      <c r="S181" s="370" t="str">
        <f>'Database PZ4 + SWBD'!J45</f>
        <v>WF1657370</v>
      </c>
      <c r="T181" s="372">
        <f>'Database PZ4 + SWBD'!P45</f>
        <v>45723</v>
      </c>
      <c r="U181" s="372">
        <f>'Database PZ4 + SWBD'!Q45</f>
        <v>45735</v>
      </c>
      <c r="V181" s="600" t="str">
        <f>'Database PZ4 + SWBD'!AC45</f>
        <v>C</v>
      </c>
      <c r="W181" s="426">
        <f ca="1">'Database PZ4 + SWBD'!W45</f>
        <v>8</v>
      </c>
      <c r="X181" s="1159" t="s">
        <v>356</v>
      </c>
    </row>
    <row r="182" spans="2:24" ht="14.25" customHeight="1">
      <c r="B182" s="1111" t="s">
        <v>302</v>
      </c>
      <c r="C182" s="1127" t="s">
        <v>303</v>
      </c>
      <c r="D182" s="1161"/>
      <c r="E182" s="1118"/>
      <c r="F182" s="362"/>
      <c r="G182" s="362"/>
      <c r="H182" s="596"/>
      <c r="I182" s="597"/>
      <c r="J182" s="357"/>
      <c r="K182" s="380"/>
      <c r="L182" s="381"/>
      <c r="M182" s="516"/>
      <c r="N182" s="380"/>
      <c r="O182" s="362" t="str">
        <f t="shared" ca="1" si="13"/>
        <v/>
      </c>
      <c r="P182" s="362" t="str">
        <f ca="1">IF(ISBLANK(H182), "", IF(ISNUMBER(M182), M182-H182, TODAY()-H182))</f>
        <v/>
      </c>
      <c r="Q182" s="363" t="s">
        <v>26</v>
      </c>
      <c r="R182" s="601" t="str">
        <f>'Database PZ4 + SWBD'!L46</f>
        <v>MAKE</v>
      </c>
      <c r="S182" s="380" t="str">
        <f>'Database PZ4 + SWBD'!J46</f>
        <v>WF1657391</v>
      </c>
      <c r="T182" s="516">
        <f>'Database PZ4 + SWBD'!P46</f>
        <v>45723</v>
      </c>
      <c r="U182" s="516">
        <f>'Database PZ4 + SWBD'!Q46</f>
        <v>45730</v>
      </c>
      <c r="V182" s="602" t="str">
        <f>'Database PZ4 + SWBD'!AC46</f>
        <v>C</v>
      </c>
      <c r="W182" s="156">
        <f ca="1">'Database PZ4 + SWBD'!W46</f>
        <v>10</v>
      </c>
      <c r="X182" s="1160"/>
    </row>
    <row r="183" spans="2:24" ht="14.25" customHeight="1">
      <c r="B183" s="1137" t="s">
        <v>357</v>
      </c>
      <c r="C183" s="1113" t="s">
        <v>358</v>
      </c>
      <c r="D183" s="1128" t="s">
        <v>359</v>
      </c>
      <c r="E183" s="1139" t="s">
        <v>117</v>
      </c>
      <c r="F183" s="497" t="s">
        <v>111</v>
      </c>
      <c r="G183" s="1105" t="s">
        <v>25</v>
      </c>
      <c r="H183" s="1107">
        <v>45849</v>
      </c>
      <c r="I183" s="1149"/>
      <c r="J183" s="60" t="s">
        <v>27</v>
      </c>
      <c r="K183" s="370" t="s">
        <v>360</v>
      </c>
      <c r="L183" s="371">
        <v>45844</v>
      </c>
      <c r="M183" s="372">
        <v>45867</v>
      </c>
      <c r="N183" s="370" t="s">
        <v>29</v>
      </c>
      <c r="O183" s="470">
        <f t="shared" ca="1" si="13"/>
        <v>23</v>
      </c>
      <c r="P183" s="604">
        <f ca="1">IF(ISBLANK(H183), "", IF(ISNUMBER(M183), M183-H183, TODAY()-H183))</f>
        <v>18</v>
      </c>
      <c r="Q183" s="1097" t="s">
        <v>26</v>
      </c>
      <c r="R183" s="594"/>
      <c r="S183" s="433"/>
      <c r="T183" s="433"/>
      <c r="U183" s="433"/>
      <c r="V183" s="434"/>
      <c r="W183" s="229"/>
      <c r="X183" s="588"/>
    </row>
    <row r="184" spans="2:24" ht="14.25" customHeight="1">
      <c r="B184" s="1138"/>
      <c r="C184" s="1114"/>
      <c r="D184" s="1129"/>
      <c r="E184" s="1140"/>
      <c r="F184" s="513"/>
      <c r="G184" s="1116"/>
      <c r="H184" s="1108"/>
      <c r="I184" s="1150"/>
      <c r="J184" s="66" t="s">
        <v>40</v>
      </c>
      <c r="K184" s="53" t="s">
        <v>361</v>
      </c>
      <c r="L184" s="212">
        <v>45845</v>
      </c>
      <c r="M184" s="83">
        <v>45859</v>
      </c>
      <c r="N184" s="53" t="s">
        <v>29</v>
      </c>
      <c r="O184" s="204">
        <f t="shared" ca="1" si="13"/>
        <v>14</v>
      </c>
      <c r="P184" s="490">
        <f ca="1">IF(ISBLANK(H183), "", IF(ISNUMBER(M184), M184-H183, TODAY()-H183))</f>
        <v>10</v>
      </c>
      <c r="Q184" s="1136"/>
      <c r="R184" s="607"/>
      <c r="S184" s="204"/>
      <c r="T184" s="204"/>
      <c r="U184" s="204"/>
      <c r="V184" s="366"/>
      <c r="W184" s="162"/>
      <c r="X184" s="578"/>
    </row>
    <row r="185" spans="2:24" ht="14.25" customHeight="1">
      <c r="B185" s="1138"/>
      <c r="C185" s="1114"/>
      <c r="D185" s="1129"/>
      <c r="E185" s="1140"/>
      <c r="F185" s="513"/>
      <c r="G185" s="1116"/>
      <c r="H185" s="1108"/>
      <c r="I185" s="1150"/>
      <c r="J185" s="357" t="s">
        <v>40</v>
      </c>
      <c r="K185" s="380" t="s">
        <v>362</v>
      </c>
      <c r="L185" s="381">
        <v>45853</v>
      </c>
      <c r="M185" s="382">
        <v>45868</v>
      </c>
      <c r="N185" s="380" t="s">
        <v>29</v>
      </c>
      <c r="O185" s="204">
        <f t="shared" ca="1" si="13"/>
        <v>15</v>
      </c>
      <c r="P185" s="490">
        <f ca="1">IF(ISBLANK(H183), "", IF(ISNUMBER(M185), M185-H183, TODAY()-H183))</f>
        <v>19</v>
      </c>
      <c r="Q185" s="1136"/>
      <c r="R185" s="598"/>
      <c r="S185" s="362"/>
      <c r="T185" s="362"/>
      <c r="U185" s="362"/>
      <c r="V185" s="451"/>
      <c r="W185" s="220"/>
      <c r="X185" s="566"/>
    </row>
    <row r="186" spans="2:24" ht="45" customHeight="1">
      <c r="B186" s="1138"/>
      <c r="C186" s="1115"/>
      <c r="D186" s="1129"/>
      <c r="E186" s="1140"/>
      <c r="F186" s="513"/>
      <c r="G186" s="1106"/>
      <c r="H186" s="1109"/>
      <c r="I186" s="1150"/>
      <c r="J186" s="357" t="s">
        <v>363</v>
      </c>
      <c r="K186" s="380" t="s">
        <v>364</v>
      </c>
      <c r="L186" s="381">
        <v>45845</v>
      </c>
      <c r="M186" s="516">
        <v>45860</v>
      </c>
      <c r="N186" s="380" t="s">
        <v>29</v>
      </c>
      <c r="O186" s="362">
        <f t="shared" ca="1" si="13"/>
        <v>15</v>
      </c>
      <c r="P186" s="505">
        <f ca="1">IF(ISBLANK(H183), "", IF(ISNUMBER(M186), M186-H183, TODAY()-H183))</f>
        <v>11</v>
      </c>
      <c r="Q186" s="1098"/>
      <c r="R186" s="598"/>
      <c r="S186" s="362"/>
      <c r="T186" s="362"/>
      <c r="U186" s="362"/>
      <c r="V186" s="451"/>
      <c r="W186" s="220"/>
      <c r="X186" s="566"/>
    </row>
    <row r="187" spans="2:24" ht="26.25" customHeight="1">
      <c r="B187" s="1110" t="str">
        <f>'Database PZ4 + SWBD'!B49</f>
        <v>0050206201</v>
      </c>
      <c r="C187" s="1113" t="str">
        <f>'Database PZ4 + SWBD'!C49</f>
        <v>000160</v>
      </c>
      <c r="D187" s="1141" t="str">
        <f>'Database PZ4 + SWBD'!E49</f>
        <v>AT&amp;T GREENWOOD - GEAR ORDER</v>
      </c>
      <c r="E187" s="1117" t="str">
        <f>'Database PZ4 + SWBD'!H49</f>
        <v>JAM</v>
      </c>
      <c r="F187" s="433"/>
      <c r="G187" s="429"/>
      <c r="H187" s="1107">
        <f>'Database PZ4 + SWBD'!F49</f>
        <v>45769</v>
      </c>
      <c r="I187" s="608"/>
      <c r="J187" s="60"/>
      <c r="K187" s="370"/>
      <c r="L187" s="371"/>
      <c r="M187" s="372"/>
      <c r="N187" s="370"/>
      <c r="O187" s="433" t="str">
        <f t="shared" ca="1" si="13"/>
        <v/>
      </c>
      <c r="P187" s="433"/>
      <c r="Q187" s="588" t="s">
        <v>26</v>
      </c>
      <c r="R187" s="609" t="str">
        <f>'Database PZ4 + SWBD'!L49</f>
        <v>BUY</v>
      </c>
      <c r="S187" s="433" t="str">
        <f>'Database PZ4 + SWBD'!J49</f>
        <v>WF1658800</v>
      </c>
      <c r="T187" s="371">
        <f>'Database PZ4 + SWBD'!P49</f>
        <v>45727</v>
      </c>
      <c r="U187" s="371">
        <f>'Database PZ4 + SWBD'!R49</f>
        <v>45727</v>
      </c>
      <c r="V187" s="434" t="str">
        <f>'Database PZ4 + SWBD'!AC49</f>
        <v>X</v>
      </c>
      <c r="W187" s="229">
        <f ca="1">'Database PZ4 + SWBD'!W49</f>
        <v>1</v>
      </c>
      <c r="X187" s="610">
        <f>'Database PZ4 + SWBD'!AL49</f>
        <v>45740.415686274508</v>
      </c>
    </row>
    <row r="188" spans="2:24" ht="27.75" customHeight="1">
      <c r="B188" s="1112"/>
      <c r="C188" s="1115"/>
      <c r="D188" s="1142"/>
      <c r="E188" s="1119"/>
      <c r="F188" s="444"/>
      <c r="G188" s="551"/>
      <c r="H188" s="1109"/>
      <c r="I188" s="611"/>
      <c r="J188" s="336"/>
      <c r="K188" s="298"/>
      <c r="L188" s="554"/>
      <c r="M188" s="612"/>
      <c r="N188" s="298"/>
      <c r="O188" s="342" t="str">
        <f t="shared" ca="1" si="13"/>
        <v/>
      </c>
      <c r="P188" s="342" t="str">
        <f ca="1">IF(ISBLANK(H188), "", IF(ISNUMBER(M188), M188-H188, TODAY()-H188))</f>
        <v/>
      </c>
      <c r="Q188" s="613" t="s">
        <v>26</v>
      </c>
      <c r="R188" s="614" t="str">
        <f>'Database PZ4 + SWBD'!L50</f>
        <v>MAKE</v>
      </c>
      <c r="S188" s="362" t="str">
        <f>'Database PZ4 + SWBD'!J50</f>
        <v>WF1660921</v>
      </c>
      <c r="T188" s="381">
        <f>'Database PZ4 + SWBD'!P50</f>
        <v>45730</v>
      </c>
      <c r="U188" s="381">
        <f>'Database PZ4 + SWBD'!R50</f>
        <v>45740</v>
      </c>
      <c r="V188" s="451" t="str">
        <f>'Database PZ4 + SWBD'!AC50</f>
        <v>C</v>
      </c>
      <c r="W188" s="220">
        <f ca="1">'Database PZ4 + SWBD'!W50</f>
        <v>6</v>
      </c>
      <c r="X188" s="615">
        <f>'Database PZ4 + SWBD'!AL50</f>
        <v>45743.072512647552</v>
      </c>
    </row>
    <row r="189" spans="2:24" ht="15.75" customHeight="1">
      <c r="B189" s="1110" t="s">
        <v>365</v>
      </c>
      <c r="C189" s="528" t="s">
        <v>366</v>
      </c>
      <c r="D189" s="1105" t="s">
        <v>367</v>
      </c>
      <c r="E189" s="1117" t="s">
        <v>156</v>
      </c>
      <c r="F189" s="444" t="s">
        <v>37</v>
      </c>
      <c r="G189" s="1105" t="s">
        <v>25</v>
      </c>
      <c r="H189" s="568">
        <v>45896</v>
      </c>
      <c r="I189" s="616"/>
      <c r="J189" s="589" t="s">
        <v>27</v>
      </c>
      <c r="K189" s="446" t="s">
        <v>368</v>
      </c>
      <c r="L189" s="515">
        <v>45875</v>
      </c>
      <c r="M189" s="590">
        <v>45887</v>
      </c>
      <c r="N189" s="446" t="s">
        <v>29</v>
      </c>
      <c r="O189" s="342">
        <f ca="1">IF(ISBLANK(L189), "", IF(ISNUMBER(M189), M189-L189, TODAY()-L189))</f>
        <v>12</v>
      </c>
      <c r="P189" s="342">
        <f ca="1">IF(ISBLANK(H189), "", IF(ISNUMBER(M189), M189-H189, TODAY()-H189))</f>
        <v>-9</v>
      </c>
      <c r="Q189" s="520" t="s">
        <v>26</v>
      </c>
      <c r="R189" s="605"/>
      <c r="S189" s="194"/>
      <c r="T189" s="493"/>
      <c r="U189" s="493"/>
      <c r="V189" s="560"/>
      <c r="W189" s="220"/>
      <c r="X189" s="561"/>
    </row>
    <row r="190" spans="2:24" ht="14.25" customHeight="1">
      <c r="B190" s="1111"/>
      <c r="C190" s="1114" t="s">
        <v>369</v>
      </c>
      <c r="D190" s="1116"/>
      <c r="E190" s="1118"/>
      <c r="F190" s="194" t="s">
        <v>24</v>
      </c>
      <c r="G190" s="1116"/>
      <c r="H190" s="1108">
        <v>45866</v>
      </c>
      <c r="I190" s="1143"/>
      <c r="J190" s="562" t="s">
        <v>40</v>
      </c>
      <c r="K190" s="284" t="s">
        <v>370</v>
      </c>
      <c r="L190" s="510">
        <v>45854</v>
      </c>
      <c r="M190" s="563">
        <v>45862</v>
      </c>
      <c r="N190" s="284" t="s">
        <v>29</v>
      </c>
      <c r="O190" s="157">
        <f t="shared" ca="1" si="13"/>
        <v>8</v>
      </c>
      <c r="P190" s="157">
        <f ca="1">IF(ISBLANK(H190), "", IF(ISNUMBER(M190), M190-H190, TODAY()-H190))</f>
        <v>-4</v>
      </c>
      <c r="Q190" s="1097" t="s">
        <v>26</v>
      </c>
      <c r="R190" s="617"/>
      <c r="S190" s="433"/>
      <c r="T190" s="433"/>
      <c r="U190" s="433"/>
      <c r="V190" s="434"/>
      <c r="W190" s="229"/>
      <c r="X190" s="588"/>
    </row>
    <row r="191" spans="2:24" ht="14.25" customHeight="1">
      <c r="B191" s="1111"/>
      <c r="C191" s="1114"/>
      <c r="D191" s="1116"/>
      <c r="E191" s="1118"/>
      <c r="F191" s="194"/>
      <c r="G191" s="1116"/>
      <c r="H191" s="1108"/>
      <c r="I191" s="1143"/>
      <c r="J191" s="66" t="s">
        <v>27</v>
      </c>
      <c r="K191" s="53" t="s">
        <v>371</v>
      </c>
      <c r="L191" s="212">
        <v>45854</v>
      </c>
      <c r="M191" s="83">
        <v>45861</v>
      </c>
      <c r="N191" s="53" t="s">
        <v>29</v>
      </c>
      <c r="O191" s="204">
        <f t="shared" ca="1" si="13"/>
        <v>7</v>
      </c>
      <c r="P191" s="204">
        <f ca="1">IF(ISBLANK(H190), "", IF(ISNUMBER(M191), M191-H190, TODAY()-H190))</f>
        <v>-5</v>
      </c>
      <c r="Q191" s="1136"/>
      <c r="R191" s="618"/>
      <c r="S191" s="204"/>
      <c r="T191" s="204"/>
      <c r="U191" s="204"/>
      <c r="V191" s="366"/>
      <c r="W191" s="162"/>
      <c r="X191" s="578"/>
    </row>
    <row r="192" spans="2:24" ht="14.25" customHeight="1">
      <c r="B192" s="1111"/>
      <c r="C192" s="1114"/>
      <c r="D192" s="1116"/>
      <c r="E192" s="1118"/>
      <c r="F192" s="194"/>
      <c r="G192" s="1116"/>
      <c r="H192" s="1108"/>
      <c r="I192" s="1143"/>
      <c r="J192" s="66" t="s">
        <v>27</v>
      </c>
      <c r="K192" s="53" t="s">
        <v>372</v>
      </c>
      <c r="L192" s="212">
        <v>45853</v>
      </c>
      <c r="M192" s="83">
        <v>45860</v>
      </c>
      <c r="N192" s="53" t="s">
        <v>29</v>
      </c>
      <c r="O192" s="204">
        <f t="shared" ca="1" si="13"/>
        <v>7</v>
      </c>
      <c r="P192" s="204">
        <f ca="1">IF(ISBLANK(H190), "", IF(ISNUMBER(M192), M192-H190, TODAY()-H190))</f>
        <v>-6</v>
      </c>
      <c r="Q192" s="1136"/>
      <c r="R192" s="618"/>
      <c r="S192" s="204"/>
      <c r="T192" s="204"/>
      <c r="U192" s="204"/>
      <c r="V192" s="366"/>
      <c r="W192" s="162"/>
      <c r="X192" s="578"/>
    </row>
    <row r="193" spans="1:24" ht="14.25" customHeight="1">
      <c r="B193" s="1111"/>
      <c r="C193" s="1115"/>
      <c r="D193" s="1116"/>
      <c r="E193" s="1118"/>
      <c r="F193" s="444"/>
      <c r="G193" s="1116"/>
      <c r="H193" s="1108"/>
      <c r="I193" s="1143"/>
      <c r="J193" s="66" t="s">
        <v>27</v>
      </c>
      <c r="K193" s="53" t="s">
        <v>373</v>
      </c>
      <c r="L193" s="212">
        <v>45853</v>
      </c>
      <c r="M193" s="83">
        <v>45860</v>
      </c>
      <c r="N193" s="53" t="s">
        <v>29</v>
      </c>
      <c r="O193" s="204">
        <f t="shared" ca="1" si="13"/>
        <v>7</v>
      </c>
      <c r="P193" s="204">
        <f ca="1">IF(ISBLANK(H190), "", IF(ISNUMBER(M193), M193-H190, TODAY()-H190))</f>
        <v>-6</v>
      </c>
      <c r="Q193" s="1098"/>
      <c r="R193" s="618"/>
      <c r="S193" s="204"/>
      <c r="T193" s="204"/>
      <c r="U193" s="204"/>
      <c r="V193" s="366"/>
      <c r="W193" s="162"/>
      <c r="X193" s="578"/>
    </row>
    <row r="194" spans="1:24" ht="14.25" customHeight="1">
      <c r="B194" s="1111"/>
      <c r="C194" s="1114" t="s">
        <v>374</v>
      </c>
      <c r="D194" s="1116"/>
      <c r="E194" s="1118"/>
      <c r="F194" s="194" t="s">
        <v>37</v>
      </c>
      <c r="G194" s="1116"/>
      <c r="H194" s="1108"/>
      <c r="I194" s="1143"/>
      <c r="J194" s="66" t="s">
        <v>27</v>
      </c>
      <c r="K194" s="53" t="s">
        <v>375</v>
      </c>
      <c r="L194" s="212">
        <v>45853</v>
      </c>
      <c r="M194" s="247">
        <v>45863</v>
      </c>
      <c r="N194" s="53" t="s">
        <v>29</v>
      </c>
      <c r="O194" s="210">
        <f t="shared" ca="1" si="13"/>
        <v>10</v>
      </c>
      <c r="P194" s="204">
        <f ca="1">IF(ISBLANK(H190), "", IF(ISNUMBER(M194), M194-H190, TODAY()-H190))</f>
        <v>-3</v>
      </c>
      <c r="Q194" s="1151" t="s">
        <v>26</v>
      </c>
      <c r="R194" s="618"/>
      <c r="S194" s="204"/>
      <c r="T194" s="204"/>
      <c r="U194" s="204"/>
      <c r="V194" s="366"/>
      <c r="W194" s="162"/>
      <c r="X194" s="578"/>
    </row>
    <row r="195" spans="1:24" ht="14.25" customHeight="1">
      <c r="B195" s="1111"/>
      <c r="C195" s="1114"/>
      <c r="D195" s="1116"/>
      <c r="E195" s="1118"/>
      <c r="F195" s="194"/>
      <c r="G195" s="1116"/>
      <c r="H195" s="1108"/>
      <c r="I195" s="1143"/>
      <c r="J195" s="66" t="s">
        <v>27</v>
      </c>
      <c r="K195" s="53" t="s">
        <v>376</v>
      </c>
      <c r="L195" s="212">
        <v>45853</v>
      </c>
      <c r="M195" s="247">
        <v>45863</v>
      </c>
      <c r="N195" s="53" t="s">
        <v>29</v>
      </c>
      <c r="O195" s="210">
        <f t="shared" ca="1" si="13"/>
        <v>10</v>
      </c>
      <c r="P195" s="204">
        <f ca="1">IF(ISBLANK(H190), "", IF(ISNUMBER(M195), M195-H190, TODAY()-H190))</f>
        <v>-3</v>
      </c>
      <c r="Q195" s="1151"/>
      <c r="R195" s="618"/>
      <c r="S195" s="204"/>
      <c r="T195" s="204"/>
      <c r="U195" s="204"/>
      <c r="V195" s="366"/>
      <c r="W195" s="162"/>
      <c r="X195" s="578"/>
    </row>
    <row r="196" spans="1:24" ht="14.25" customHeight="1">
      <c r="B196" s="1111"/>
      <c r="C196" s="1114"/>
      <c r="D196" s="1116"/>
      <c r="E196" s="1118"/>
      <c r="F196" s="194"/>
      <c r="G196" s="1116"/>
      <c r="H196" s="1108"/>
      <c r="I196" s="1143"/>
      <c r="J196" s="66" t="s">
        <v>40</v>
      </c>
      <c r="K196" s="53" t="s">
        <v>377</v>
      </c>
      <c r="L196" s="212">
        <v>45853</v>
      </c>
      <c r="M196" s="83">
        <v>45861</v>
      </c>
      <c r="N196" s="53" t="s">
        <v>29</v>
      </c>
      <c r="O196" s="204">
        <f t="shared" ca="1" si="13"/>
        <v>8</v>
      </c>
      <c r="P196" s="204">
        <f ca="1">IF(ISBLANK(H190), "", IF(ISNUMBER(M196), M196-H190, TODAY()-H190))</f>
        <v>-5</v>
      </c>
      <c r="Q196" s="1151"/>
      <c r="R196" s="618"/>
      <c r="S196" s="204"/>
      <c r="T196" s="204"/>
      <c r="U196" s="204"/>
      <c r="V196" s="366"/>
      <c r="W196" s="162"/>
      <c r="X196" s="578"/>
    </row>
    <row r="197" spans="1:24" ht="14.25" customHeight="1">
      <c r="B197" s="1112"/>
      <c r="C197" s="1115"/>
      <c r="D197" s="1106"/>
      <c r="E197" s="1119"/>
      <c r="F197" s="444"/>
      <c r="G197" s="1106"/>
      <c r="H197" s="1109"/>
      <c r="I197" s="1144"/>
      <c r="J197" s="336" t="s">
        <v>27</v>
      </c>
      <c r="K197" s="298" t="s">
        <v>378</v>
      </c>
      <c r="L197" s="554">
        <v>45853</v>
      </c>
      <c r="M197" s="619">
        <v>45863</v>
      </c>
      <c r="N197" s="298" t="s">
        <v>29</v>
      </c>
      <c r="O197" s="620">
        <f t="shared" ca="1" si="13"/>
        <v>10</v>
      </c>
      <c r="P197" s="342">
        <f ca="1">IF(ISBLANK(H190), "", IF(ISNUMBER(M197), M197-H190, TODAY()-H190))</f>
        <v>-3</v>
      </c>
      <c r="Q197" s="1152"/>
      <c r="R197" s="621"/>
      <c r="S197" s="362"/>
      <c r="T197" s="362"/>
      <c r="U197" s="362"/>
      <c r="V197" s="451"/>
      <c r="W197" s="220"/>
      <c r="X197" s="566"/>
    </row>
    <row r="198" spans="1:24" ht="30" customHeight="1">
      <c r="B198" s="1110" t="s">
        <v>379</v>
      </c>
      <c r="C198" s="1113" t="s">
        <v>219</v>
      </c>
      <c r="D198" s="1105" t="s">
        <v>380</v>
      </c>
      <c r="E198" s="1130" t="s">
        <v>259</v>
      </c>
      <c r="F198" s="179" t="s">
        <v>260</v>
      </c>
      <c r="G198" s="1105" t="s">
        <v>25</v>
      </c>
      <c r="H198" s="1107">
        <v>45868</v>
      </c>
      <c r="I198" s="622"/>
      <c r="J198" s="623" t="s">
        <v>27</v>
      </c>
      <c r="K198" s="284" t="s">
        <v>381</v>
      </c>
      <c r="L198" s="510">
        <v>45856</v>
      </c>
      <c r="M198" s="563">
        <v>45866</v>
      </c>
      <c r="N198" s="284" t="s">
        <v>29</v>
      </c>
      <c r="O198" s="157">
        <f t="shared" ca="1" si="13"/>
        <v>10</v>
      </c>
      <c r="P198" s="157">
        <f ca="1">IF(ISBLANK(H198), "", IF(ISNUMBER(M198), M198-H198, TODAY()-H198))</f>
        <v>-2</v>
      </c>
      <c r="Q198" s="583" t="s">
        <v>26</v>
      </c>
      <c r="R198" s="617" t="s">
        <v>27</v>
      </c>
      <c r="S198" s="433" t="s">
        <v>382</v>
      </c>
      <c r="T198" s="371">
        <v>45833</v>
      </c>
      <c r="U198" s="371">
        <v>45847</v>
      </c>
      <c r="V198" s="434" t="s">
        <v>29</v>
      </c>
      <c r="W198" s="433">
        <v>14</v>
      </c>
      <c r="X198" s="588"/>
    </row>
    <row r="199" spans="1:24" ht="31.5" customHeight="1">
      <c r="B199" s="1112"/>
      <c r="C199" s="1115"/>
      <c r="D199" s="1106"/>
      <c r="E199" s="1131"/>
      <c r="F199" s="444"/>
      <c r="G199" s="1106"/>
      <c r="H199" s="1109"/>
      <c r="I199" s="624"/>
      <c r="J199" s="625" t="s">
        <v>27</v>
      </c>
      <c r="K199" s="298" t="s">
        <v>383</v>
      </c>
      <c r="L199" s="554">
        <v>45856</v>
      </c>
      <c r="M199" s="619">
        <v>45867</v>
      </c>
      <c r="N199" s="298" t="s">
        <v>29</v>
      </c>
      <c r="O199" s="620">
        <f t="shared" ca="1" si="13"/>
        <v>11</v>
      </c>
      <c r="P199" s="342">
        <f ca="1">IF(ISBLANK(H198), "", IF(ISNUMBER(M199), M199-H198, TODAY()-H198))</f>
        <v>-1</v>
      </c>
      <c r="Q199" s="613" t="s">
        <v>26</v>
      </c>
      <c r="R199" s="621"/>
      <c r="S199" s="362"/>
      <c r="T199" s="362"/>
      <c r="U199" s="362"/>
      <c r="V199" s="451"/>
      <c r="W199" s="362"/>
      <c r="X199" s="566"/>
    </row>
    <row r="200" spans="1:24" ht="25.5" customHeight="1">
      <c r="B200" s="1110" t="s">
        <v>384</v>
      </c>
      <c r="C200" s="1113" t="s">
        <v>385</v>
      </c>
      <c r="D200" s="1105" t="s">
        <v>350</v>
      </c>
      <c r="E200" s="603"/>
      <c r="F200" s="179" t="s">
        <v>238</v>
      </c>
      <c r="G200" s="1105" t="s">
        <v>25</v>
      </c>
      <c r="H200" s="1107">
        <v>45891</v>
      </c>
      <c r="I200" s="570"/>
      <c r="J200" s="480" t="s">
        <v>27</v>
      </c>
      <c r="K200" s="370" t="s">
        <v>386</v>
      </c>
      <c r="L200" s="371">
        <v>45873</v>
      </c>
      <c r="M200" s="555">
        <v>45889</v>
      </c>
      <c r="N200" s="370" t="s">
        <v>29</v>
      </c>
      <c r="O200" s="427">
        <f t="shared" ca="1" si="13"/>
        <v>16</v>
      </c>
      <c r="P200" s="362">
        <f ca="1">IF(ISBLANK(H200), "", IF(ISNUMBER(M200), M200-H200, TODAY()-H200))</f>
        <v>-2</v>
      </c>
      <c r="Q200" s="1097" t="s">
        <v>26</v>
      </c>
      <c r="R200" s="626"/>
      <c r="S200" s="627"/>
      <c r="T200" s="627"/>
      <c r="U200" s="627"/>
      <c r="V200" s="627"/>
      <c r="W200" s="628"/>
      <c r="X200" s="588"/>
    </row>
    <row r="201" spans="1:24" ht="25.5" customHeight="1">
      <c r="B201" s="1111"/>
      <c r="C201" s="1115"/>
      <c r="D201" s="1116"/>
      <c r="E201" s="606"/>
      <c r="F201" s="444"/>
      <c r="G201" s="1116"/>
      <c r="H201" s="1108"/>
      <c r="I201" s="576"/>
      <c r="J201" s="623" t="s">
        <v>27</v>
      </c>
      <c r="K201" s="284" t="s">
        <v>387</v>
      </c>
      <c r="L201" s="510">
        <v>45874</v>
      </c>
      <c r="M201" s="563">
        <v>45882</v>
      </c>
      <c r="N201" s="284" t="s">
        <v>29</v>
      </c>
      <c r="O201" s="204">
        <f t="shared" ca="1" si="13"/>
        <v>8</v>
      </c>
      <c r="P201" s="362">
        <f ca="1">IF(ISBLANK(H200), "", IF(ISNUMBER(M201), M201-H200, TODAY()-H200))</f>
        <v>-9</v>
      </c>
      <c r="Q201" s="1136"/>
      <c r="R201" s="629"/>
      <c r="S201" s="630"/>
      <c r="T201" s="630"/>
      <c r="U201" s="630"/>
      <c r="V201" s="630"/>
      <c r="W201" s="631"/>
      <c r="X201" s="583"/>
    </row>
    <row r="202" spans="1:24" ht="23.25" customHeight="1">
      <c r="A202" s="953" t="s">
        <v>388</v>
      </c>
      <c r="B202" s="1111"/>
      <c r="C202" s="1114" t="s">
        <v>389</v>
      </c>
      <c r="D202" s="1116"/>
      <c r="E202" s="632" t="s">
        <v>259</v>
      </c>
      <c r="F202" s="194" t="s">
        <v>216</v>
      </c>
      <c r="G202" s="1116"/>
      <c r="H202" s="1108"/>
      <c r="I202" s="576"/>
      <c r="J202" s="633" t="s">
        <v>27</v>
      </c>
      <c r="K202" s="380" t="s">
        <v>390</v>
      </c>
      <c r="L202" s="381">
        <v>45873</v>
      </c>
      <c r="M202" s="516">
        <v>45883</v>
      </c>
      <c r="N202" s="380" t="s">
        <v>29</v>
      </c>
      <c r="O202" s="362">
        <f t="shared" ca="1" si="13"/>
        <v>10</v>
      </c>
      <c r="P202" s="362">
        <f ca="1">IF(ISBLANK(H200), "", IF(ISNUMBER(M202), M202-H200, TODAY()-H200))</f>
        <v>-8</v>
      </c>
      <c r="Q202" s="1136"/>
      <c r="R202" s="634"/>
      <c r="S202" s="635"/>
      <c r="T202" s="635"/>
      <c r="U202" s="635"/>
      <c r="V202" s="635"/>
      <c r="W202" s="631"/>
      <c r="X202" s="578"/>
    </row>
    <row r="203" spans="1:24" ht="25.5" customHeight="1">
      <c r="B203" s="1111"/>
      <c r="C203" s="1114"/>
      <c r="D203" s="1116"/>
      <c r="E203" s="606"/>
      <c r="F203" s="194"/>
      <c r="G203" s="1116"/>
      <c r="H203" s="1108"/>
      <c r="I203" s="580"/>
      <c r="J203" s="66" t="s">
        <v>40</v>
      </c>
      <c r="K203" s="636" t="s">
        <v>391</v>
      </c>
      <c r="L203" s="212">
        <v>45873</v>
      </c>
      <c r="M203" s="83">
        <v>45882</v>
      </c>
      <c r="N203" s="53" t="s">
        <v>29</v>
      </c>
      <c r="O203" s="204">
        <f t="shared" ca="1" si="13"/>
        <v>9</v>
      </c>
      <c r="P203" s="204">
        <f ca="1">IF(ISBLANK(H200), "", IF(ISNUMBER(M203), M203-H200, TODAY()-H200))</f>
        <v>-9</v>
      </c>
      <c r="Q203" s="1136"/>
      <c r="R203" s="637"/>
      <c r="S203" s="638"/>
      <c r="T203" s="638"/>
      <c r="U203" s="638"/>
      <c r="V203" s="638"/>
      <c r="W203" s="639"/>
      <c r="X203" s="613"/>
    </row>
    <row r="204" spans="1:24" ht="25.5" customHeight="1">
      <c r="B204" s="1112"/>
      <c r="C204" s="1115"/>
      <c r="D204" s="1106"/>
      <c r="E204" s="606"/>
      <c r="F204" s="444"/>
      <c r="G204" s="1106"/>
      <c r="H204" s="1109"/>
      <c r="I204" s="576"/>
      <c r="J204" s="640" t="s">
        <v>27</v>
      </c>
      <c r="K204" s="502" t="s">
        <v>392</v>
      </c>
      <c r="L204" s="493">
        <v>45876</v>
      </c>
      <c r="M204" s="512">
        <v>45883</v>
      </c>
      <c r="N204" s="502" t="s">
        <v>29</v>
      </c>
      <c r="O204" s="204">
        <f ca="1">IF(ISBLANK(L204), "", IF(ISNUMBER(M204), M204-L204, TODAY()-L204))</f>
        <v>7</v>
      </c>
      <c r="P204" s="204">
        <f ca="1">IF(ISBLANK(H200), "", IF(ISNUMBER(M204), M204-H200, TODAY()-H200))</f>
        <v>-8</v>
      </c>
      <c r="Q204" s="1098"/>
      <c r="R204" s="641"/>
      <c r="S204" s="638"/>
      <c r="T204" s="638"/>
      <c r="U204" s="638"/>
      <c r="V204" s="638"/>
      <c r="W204" s="342"/>
      <c r="X204" s="613"/>
    </row>
    <row r="205" spans="1:24" ht="14.25" customHeight="1">
      <c r="B205" s="1110" t="s">
        <v>393</v>
      </c>
      <c r="C205" s="1113" t="s">
        <v>135</v>
      </c>
      <c r="D205" s="1105" t="s">
        <v>394</v>
      </c>
      <c r="E205" s="1117" t="s">
        <v>237</v>
      </c>
      <c r="F205" s="179" t="s">
        <v>81</v>
      </c>
      <c r="G205" s="1132" t="s">
        <v>395</v>
      </c>
      <c r="H205" s="1107">
        <v>45877</v>
      </c>
      <c r="I205" s="570"/>
      <c r="J205" s="480" t="s">
        <v>27</v>
      </c>
      <c r="K205" s="370" t="s">
        <v>396</v>
      </c>
      <c r="L205" s="371">
        <v>45869</v>
      </c>
      <c r="M205" s="372">
        <v>45882</v>
      </c>
      <c r="N205" s="370" t="s">
        <v>29</v>
      </c>
      <c r="O205" s="433">
        <f t="shared" ca="1" si="13"/>
        <v>13</v>
      </c>
      <c r="P205" s="604">
        <f ca="1">IF(ISBLANK(H205), "", IF(ISNUMBER(M205), M205-H205, TODAY()-H205))</f>
        <v>5</v>
      </c>
      <c r="Q205" s="588" t="s">
        <v>26</v>
      </c>
      <c r="R205" s="642"/>
      <c r="S205" s="630"/>
      <c r="T205" s="630"/>
      <c r="U205" s="630"/>
      <c r="V205" s="630"/>
      <c r="W205" s="631"/>
      <c r="X205" s="157"/>
    </row>
    <row r="206" spans="1:24" ht="14.25" customHeight="1">
      <c r="B206" s="1112"/>
      <c r="C206" s="1115"/>
      <c r="D206" s="1116"/>
      <c r="E206" s="1118"/>
      <c r="F206" s="194"/>
      <c r="G206" s="1133"/>
      <c r="H206" s="1108"/>
      <c r="I206" s="576"/>
      <c r="J206" s="643" t="s">
        <v>27</v>
      </c>
      <c r="K206" s="53" t="s">
        <v>397</v>
      </c>
      <c r="L206" s="212">
        <v>45869</v>
      </c>
      <c r="M206" s="83">
        <v>45881</v>
      </c>
      <c r="N206" s="53" t="s">
        <v>29</v>
      </c>
      <c r="O206" s="204">
        <f t="shared" ca="1" si="13"/>
        <v>12</v>
      </c>
      <c r="P206" s="490">
        <f ca="1">IF(ISBLANK(H205), "", IF(ISNUMBER(M206), M206-H205, TODAY()-H205))</f>
        <v>4</v>
      </c>
      <c r="Q206" s="578" t="s">
        <v>26</v>
      </c>
      <c r="R206" s="644"/>
      <c r="S206" s="635"/>
      <c r="T206" s="635"/>
      <c r="U206" s="635"/>
      <c r="V206" s="635"/>
      <c r="W206" s="631"/>
      <c r="X206" s="204"/>
    </row>
    <row r="207" spans="1:24" ht="14.25" customHeight="1">
      <c r="B207" s="1134" t="s">
        <v>398</v>
      </c>
      <c r="C207" s="1135" t="s">
        <v>135</v>
      </c>
      <c r="D207" s="1116"/>
      <c r="E207" s="1118"/>
      <c r="F207" s="194"/>
      <c r="G207" s="1133"/>
      <c r="H207" s="1108"/>
      <c r="I207" s="576"/>
      <c r="J207" s="643" t="s">
        <v>27</v>
      </c>
      <c r="K207" s="53" t="s">
        <v>399</v>
      </c>
      <c r="L207" s="212">
        <v>45868</v>
      </c>
      <c r="M207" s="83">
        <v>45882</v>
      </c>
      <c r="N207" s="53" t="s">
        <v>29</v>
      </c>
      <c r="O207" s="204">
        <f t="shared" ca="1" si="13"/>
        <v>14</v>
      </c>
      <c r="P207" s="490">
        <f ca="1">IF(ISBLANK(H205), "", IF(ISNUMBER(M207), M207-H205, TODAY()-H205))</f>
        <v>5</v>
      </c>
      <c r="Q207" s="578" t="s">
        <v>26</v>
      </c>
      <c r="R207" s="644"/>
      <c r="S207" s="635"/>
      <c r="T207" s="635"/>
      <c r="U207" s="635"/>
      <c r="V207" s="635"/>
      <c r="W207" s="631"/>
      <c r="X207" s="204"/>
    </row>
    <row r="208" spans="1:24" ht="14.25" customHeight="1">
      <c r="B208" s="1112"/>
      <c r="C208" s="1115"/>
      <c r="D208" s="1116"/>
      <c r="E208" s="1118"/>
      <c r="F208" s="194"/>
      <c r="G208" s="1133"/>
      <c r="H208" s="1108"/>
      <c r="I208" s="576"/>
      <c r="J208" s="643" t="s">
        <v>40</v>
      </c>
      <c r="K208" s="53" t="s">
        <v>400</v>
      </c>
      <c r="L208" s="212">
        <v>45874</v>
      </c>
      <c r="M208" s="83">
        <v>45882</v>
      </c>
      <c r="N208" s="53" t="s">
        <v>29</v>
      </c>
      <c r="O208" s="204">
        <f t="shared" ca="1" si="13"/>
        <v>8</v>
      </c>
      <c r="P208" s="490">
        <f ca="1">IF(ISBLANK(H205), "", IF(ISNUMBER(M208), M208-H205, TODAY()-H205))</f>
        <v>5</v>
      </c>
      <c r="Q208" s="578" t="s">
        <v>26</v>
      </c>
      <c r="R208" s="644"/>
      <c r="S208" s="635"/>
      <c r="T208" s="635"/>
      <c r="U208" s="635"/>
      <c r="V208" s="635"/>
      <c r="W208" s="631"/>
      <c r="X208" s="204"/>
    </row>
    <row r="209" spans="1:27" ht="21" customHeight="1">
      <c r="B209" s="645" t="s">
        <v>401</v>
      </c>
      <c r="C209" s="547" t="s">
        <v>135</v>
      </c>
      <c r="D209" s="1116"/>
      <c r="E209" s="1118"/>
      <c r="F209" s="194"/>
      <c r="G209" s="1133"/>
      <c r="H209" s="1108"/>
      <c r="I209" s="576"/>
      <c r="J209" s="633" t="s">
        <v>27</v>
      </c>
      <c r="K209" s="298" t="s">
        <v>402</v>
      </c>
      <c r="L209" s="554">
        <v>45868</v>
      </c>
      <c r="M209" s="619">
        <v>45883</v>
      </c>
      <c r="N209" s="298" t="s">
        <v>29</v>
      </c>
      <c r="O209" s="430">
        <f t="shared" ca="1" si="13"/>
        <v>15</v>
      </c>
      <c r="P209" s="646">
        <f ca="1">IF(ISBLANK(H205), "", IF(ISNUMBER(M209), M209-H205, TODAY()-H205))</f>
        <v>6</v>
      </c>
      <c r="Q209" s="613" t="s">
        <v>26</v>
      </c>
      <c r="R209" s="618"/>
      <c r="S209" s="157"/>
      <c r="T209" s="157"/>
      <c r="U209" s="157"/>
      <c r="V209" s="582"/>
      <c r="W209" s="162"/>
      <c r="X209" s="204"/>
    </row>
    <row r="210" spans="1:27" s="10" customFormat="1" ht="18" customHeight="1">
      <c r="A210" s="966"/>
      <c r="B210" s="647" t="s">
        <v>403</v>
      </c>
      <c r="C210" s="648" t="s">
        <v>68</v>
      </c>
      <c r="D210" s="1105" t="s">
        <v>404</v>
      </c>
      <c r="E210" s="649" t="s">
        <v>80</v>
      </c>
      <c r="F210" s="650" t="s">
        <v>264</v>
      </c>
      <c r="G210" s="650" t="s">
        <v>25</v>
      </c>
      <c r="H210" s="1107"/>
      <c r="I210" s="651"/>
      <c r="J210" s="1120" t="s">
        <v>27</v>
      </c>
      <c r="K210" s="1122" t="s">
        <v>405</v>
      </c>
      <c r="L210" s="1101">
        <v>45873</v>
      </c>
      <c r="M210" s="1103">
        <v>45883</v>
      </c>
      <c r="N210" s="1099" t="s">
        <v>29</v>
      </c>
      <c r="O210" s="1105">
        <f t="shared" ca="1" si="13"/>
        <v>10</v>
      </c>
      <c r="P210" s="1095" t="str">
        <f ca="1">IF(ISBLANK(H210), "", IF(ISNUMBER(M210), M210-H210, TODAY()-H210))</f>
        <v/>
      </c>
      <c r="Q210" s="1097" t="s">
        <v>26</v>
      </c>
      <c r="R210" s="491"/>
      <c r="S210" s="204"/>
      <c r="T210" s="204"/>
      <c r="U210" s="204"/>
      <c r="V210" s="204"/>
      <c r="W210" s="162"/>
      <c r="X210" s="204"/>
      <c r="Y210" s="966"/>
      <c r="Z210" s="966"/>
      <c r="AA210" s="966"/>
    </row>
    <row r="211" spans="1:27" ht="18" customHeight="1">
      <c r="B211" s="652" t="s">
        <v>406</v>
      </c>
      <c r="C211" s="653" t="s">
        <v>407</v>
      </c>
      <c r="D211" s="1106"/>
      <c r="E211" s="654" t="s">
        <v>80</v>
      </c>
      <c r="F211" s="342" t="s">
        <v>264</v>
      </c>
      <c r="G211" s="342" t="s">
        <v>25</v>
      </c>
      <c r="H211" s="1109"/>
      <c r="I211" s="655"/>
      <c r="J211" s="1121"/>
      <c r="K211" s="1123"/>
      <c r="L211" s="1102"/>
      <c r="M211" s="1104"/>
      <c r="N211" s="1100"/>
      <c r="O211" s="1106"/>
      <c r="P211" s="1096"/>
      <c r="Q211" s="1098"/>
      <c r="R211" s="618"/>
      <c r="S211" s="204"/>
      <c r="T211" s="204"/>
      <c r="U211" s="204"/>
      <c r="V211" s="366"/>
      <c r="W211" s="162"/>
      <c r="X211" s="204"/>
    </row>
    <row r="212" spans="1:27" ht="39.75" customHeight="1">
      <c r="B212" s="518" t="s">
        <v>408</v>
      </c>
      <c r="C212" s="528" t="s">
        <v>409</v>
      </c>
      <c r="D212" s="444" t="s">
        <v>410</v>
      </c>
      <c r="E212" s="567" t="s">
        <v>185</v>
      </c>
      <c r="F212" s="444" t="s">
        <v>241</v>
      </c>
      <c r="G212" s="444" t="s">
        <v>25</v>
      </c>
      <c r="H212" s="559">
        <v>45898</v>
      </c>
      <c r="I212" s="569"/>
      <c r="J212" s="589" t="s">
        <v>27</v>
      </c>
      <c r="K212" s="656" t="s">
        <v>411</v>
      </c>
      <c r="L212" s="515">
        <v>45883</v>
      </c>
      <c r="M212" s="590">
        <v>45894</v>
      </c>
      <c r="N212" s="657" t="s">
        <v>29</v>
      </c>
      <c r="O212" s="444">
        <f t="shared" ca="1" si="13"/>
        <v>11</v>
      </c>
      <c r="P212" s="658">
        <f ca="1">IF(ISBLANK(H212), "", IF(ISNUMBER(M212), M212-H212, TODAY()-H212))</f>
        <v>-4</v>
      </c>
      <c r="Q212" s="520" t="s">
        <v>26</v>
      </c>
      <c r="R212" s="618"/>
      <c r="S212" s="204"/>
      <c r="T212" s="204"/>
      <c r="U212" s="204"/>
      <c r="V212" s="366"/>
      <c r="W212" s="162"/>
      <c r="X212" s="204"/>
    </row>
    <row r="213" spans="1:27" ht="20.25" customHeight="1">
      <c r="B213" s="1110" t="s">
        <v>408</v>
      </c>
      <c r="C213" s="1113" t="s">
        <v>412</v>
      </c>
      <c r="D213" s="1105" t="s">
        <v>410</v>
      </c>
      <c r="E213" s="1117" t="s">
        <v>137</v>
      </c>
      <c r="F213" s="179" t="s">
        <v>260</v>
      </c>
      <c r="G213" s="1105" t="s">
        <v>25</v>
      </c>
      <c r="H213" s="1107">
        <v>45898</v>
      </c>
      <c r="I213" s="570"/>
      <c r="J213" s="60" t="s">
        <v>27</v>
      </c>
      <c r="K213" s="659" t="s">
        <v>413</v>
      </c>
      <c r="L213" s="371">
        <v>45888</v>
      </c>
      <c r="M213" s="372">
        <v>45895</v>
      </c>
      <c r="N213" s="522" t="s">
        <v>29</v>
      </c>
      <c r="O213" s="157">
        <f ca="1">IF(ISBLANK(L213), "", IF(ISNUMBER(M213), M213-L213, TODAY()-L213))</f>
        <v>7</v>
      </c>
      <c r="P213" s="660">
        <f ca="1">IF(ISBLANK(H213), "", IF(ISNUMBER(M213), M213-H213, TODAY()-H213))</f>
        <v>-3</v>
      </c>
      <c r="Q213" s="588" t="s">
        <v>26</v>
      </c>
      <c r="R213" s="618"/>
      <c r="S213" s="204"/>
      <c r="T213" s="204"/>
      <c r="U213" s="204"/>
      <c r="V213" s="366"/>
      <c r="W213" s="162"/>
      <c r="X213" s="204"/>
    </row>
    <row r="214" spans="1:27" ht="14.45">
      <c r="B214" s="1111"/>
      <c r="C214" s="1114"/>
      <c r="D214" s="1116"/>
      <c r="E214" s="1118"/>
      <c r="F214" s="194"/>
      <c r="G214" s="1116"/>
      <c r="H214" s="1108"/>
      <c r="I214" s="580"/>
      <c r="J214" s="562" t="s">
        <v>27</v>
      </c>
      <c r="K214" s="661" t="s">
        <v>414</v>
      </c>
      <c r="L214" s="510">
        <v>45884</v>
      </c>
      <c r="M214" s="524">
        <v>45904</v>
      </c>
      <c r="N214" s="353" t="s">
        <v>29</v>
      </c>
      <c r="O214" s="210">
        <f ca="1">IF(ISBLANK(L214), "", IF(ISNUMBER(M214), M214-L214, TODAY()-L214))</f>
        <v>20</v>
      </c>
      <c r="P214" s="584">
        <f ca="1">IF(ISBLANK(H213), "", IF(ISNUMBER(M214), M214-H213, TODAY()-H213))</f>
        <v>6</v>
      </c>
      <c r="Q214" s="583" t="s">
        <v>26</v>
      </c>
      <c r="R214" s="618"/>
      <c r="S214" s="204"/>
      <c r="T214" s="204"/>
      <c r="U214" s="204"/>
      <c r="V214" s="366"/>
      <c r="W214" s="162"/>
      <c r="X214" s="204"/>
    </row>
    <row r="215" spans="1:27" ht="14.45">
      <c r="B215" s="1112"/>
      <c r="C215" s="1115"/>
      <c r="D215" s="1106"/>
      <c r="E215" s="1119"/>
      <c r="F215" s="444"/>
      <c r="G215" s="1106"/>
      <c r="H215" s="1109"/>
      <c r="I215" s="576"/>
      <c r="J215" s="640" t="s">
        <v>27</v>
      </c>
      <c r="K215" s="662" t="s">
        <v>415</v>
      </c>
      <c r="L215" s="663">
        <v>45884</v>
      </c>
      <c r="M215" s="664">
        <v>45901</v>
      </c>
      <c r="N215" s="665" t="s">
        <v>29</v>
      </c>
      <c r="O215" s="362">
        <f ca="1">IF(ISBLANK(L215), "", IF(ISNUMBER(M215), M215-L215, TODAY()-L215))</f>
        <v>17</v>
      </c>
      <c r="P215" s="586">
        <f ca="1">IF(ISBLANK(H213), "", IF(ISNUMBER(M215), M215-H213, TODAY()-H213))</f>
        <v>3</v>
      </c>
      <c r="Q215" s="506" t="s">
        <v>26</v>
      </c>
      <c r="R215" s="618"/>
      <c r="S215" s="204"/>
      <c r="T215" s="204"/>
      <c r="U215" s="204"/>
      <c r="V215" s="366"/>
      <c r="W215" s="162"/>
      <c r="X215" s="204"/>
    </row>
    <row r="216" spans="1:27" s="29" customFormat="1" ht="28.9">
      <c r="A216" s="47"/>
      <c r="B216" s="647" t="s">
        <v>408</v>
      </c>
      <c r="C216" s="648" t="s">
        <v>416</v>
      </c>
      <c r="D216" s="650" t="s">
        <v>410</v>
      </c>
      <c r="E216" s="649" t="s">
        <v>137</v>
      </c>
      <c r="F216" s="650" t="s">
        <v>264</v>
      </c>
      <c r="G216" s="650" t="s">
        <v>25</v>
      </c>
      <c r="H216" s="568">
        <v>45898</v>
      </c>
      <c r="I216" s="651"/>
      <c r="J216" s="666" t="s">
        <v>27</v>
      </c>
      <c r="K216" s="667" t="s">
        <v>417</v>
      </c>
      <c r="L216" s="668">
        <v>45888</v>
      </c>
      <c r="M216" s="669">
        <v>45899</v>
      </c>
      <c r="N216" s="670" t="s">
        <v>29</v>
      </c>
      <c r="O216" s="650">
        <f ca="1">IF(ISBLANK(L216), "", IF(ISNUMBER(N216), N216-L216, TODAY()-L216))</f>
        <v>212</v>
      </c>
      <c r="P216" s="671">
        <f ca="1">IF(ISBLANK(H216), "", IF(ISNUMBER(N216), N216-H216, TODAY()-H216))</f>
        <v>202</v>
      </c>
      <c r="Q216" s="672" t="s">
        <v>26</v>
      </c>
      <c r="R216" s="618"/>
      <c r="S216" s="204"/>
      <c r="T216" s="204"/>
      <c r="U216" s="204"/>
      <c r="V216" s="366"/>
      <c r="W216" s="162"/>
      <c r="X216" s="204"/>
      <c r="Y216" s="47"/>
      <c r="Z216" s="47"/>
      <c r="AA216" s="47"/>
    </row>
    <row r="217" spans="1:27" ht="35.25" customHeight="1">
      <c r="B217" s="673" t="s">
        <v>418</v>
      </c>
      <c r="C217" s="674" t="s">
        <v>165</v>
      </c>
      <c r="D217" s="157" t="s">
        <v>419</v>
      </c>
      <c r="E217" s="675" t="s">
        <v>99</v>
      </c>
      <c r="F217" s="157" t="s">
        <v>24</v>
      </c>
      <c r="G217" s="157" t="s">
        <v>25</v>
      </c>
      <c r="H217" s="676">
        <v>45898</v>
      </c>
      <c r="I217" s="677"/>
      <c r="J217" s="562" t="s">
        <v>40</v>
      </c>
      <c r="K217" s="661" t="s">
        <v>420</v>
      </c>
      <c r="L217" s="510">
        <v>45887</v>
      </c>
      <c r="M217" s="563">
        <v>45895</v>
      </c>
      <c r="N217" s="353" t="s">
        <v>29</v>
      </c>
      <c r="O217" s="157">
        <f ca="1">IF(ISBLANK(L217), "", IF(ISNUMBER(M217), M217-L217, TODAY()-L217))</f>
        <v>8</v>
      </c>
      <c r="P217" s="509">
        <f ca="1">IF(ISBLANK(H216), "", IF(ISNUMBER(M217), M217-H216, TODAY()-H216))</f>
        <v>-3</v>
      </c>
      <c r="Q217" s="583" t="s">
        <v>26</v>
      </c>
      <c r="R217" s="618"/>
      <c r="S217" s="204"/>
      <c r="T217" s="204"/>
      <c r="U217" s="204"/>
      <c r="V217" s="366"/>
      <c r="W217" s="162"/>
      <c r="X217" s="204"/>
    </row>
    <row r="218" spans="1:27" ht="32.25" customHeight="1">
      <c r="B218" s="673" t="s">
        <v>418</v>
      </c>
      <c r="C218" s="674" t="s">
        <v>141</v>
      </c>
      <c r="D218" s="157" t="s">
        <v>419</v>
      </c>
      <c r="E218" s="675" t="s">
        <v>99</v>
      </c>
      <c r="F218" s="157" t="s">
        <v>24</v>
      </c>
      <c r="G218" s="157" t="s">
        <v>25</v>
      </c>
      <c r="H218" s="676">
        <v>45898</v>
      </c>
      <c r="I218" s="678"/>
      <c r="J218" s="562" t="s">
        <v>27</v>
      </c>
      <c r="K218" s="284" t="s">
        <v>421</v>
      </c>
      <c r="L218" s="510">
        <v>45887</v>
      </c>
      <c r="M218" s="563">
        <v>45897</v>
      </c>
      <c r="N218" s="353" t="s">
        <v>29</v>
      </c>
      <c r="O218" s="157">
        <f ca="1">IF(ISBLANK(L218), "", IF(ISNUMBER(M218), M218-L218, TODAY()-L218))</f>
        <v>10</v>
      </c>
      <c r="P218" s="509">
        <f ca="1">IF(ISBLANK(H218), "", IF(ISNUMBER(M218), M218-H218, TODAY()-H218))</f>
        <v>-1</v>
      </c>
      <c r="Q218" s="583" t="s">
        <v>26</v>
      </c>
      <c r="R218" s="618"/>
      <c r="S218" s="204"/>
      <c r="T218" s="204"/>
      <c r="U218" s="204"/>
      <c r="V218" s="366"/>
      <c r="W218" s="162"/>
      <c r="X218" s="204"/>
    </row>
    <row r="219" spans="1:27" s="29" customFormat="1" ht="29.25" customHeight="1">
      <c r="A219" s="47"/>
      <c r="B219" s="377" t="s">
        <v>418</v>
      </c>
      <c r="C219" s="230" t="s">
        <v>407</v>
      </c>
      <c r="D219" s="194" t="s">
        <v>419</v>
      </c>
      <c r="E219" s="558" t="s">
        <v>99</v>
      </c>
      <c r="F219" s="194" t="s">
        <v>24</v>
      </c>
      <c r="G219" s="194" t="s">
        <v>25</v>
      </c>
      <c r="H219" s="559">
        <v>45898</v>
      </c>
      <c r="I219" s="679"/>
      <c r="J219" s="562" t="s">
        <v>27</v>
      </c>
      <c r="K219" s="284" t="s">
        <v>422</v>
      </c>
      <c r="L219" s="510">
        <v>45897</v>
      </c>
      <c r="M219" s="524">
        <v>45909</v>
      </c>
      <c r="N219" s="353" t="s">
        <v>29</v>
      </c>
      <c r="O219" s="680">
        <f ca="1">IF(ISBLANK(L219), "", IF(ISNUMBER(M219), M219-L219, TODAY()-L219))</f>
        <v>12</v>
      </c>
      <c r="P219" s="584">
        <f ca="1">IF(ISBLANK(H219), "", IF(ISNUMBER(M219), M219-H219, TODAY()-H219))</f>
        <v>11</v>
      </c>
      <c r="Q219" s="583" t="s">
        <v>26</v>
      </c>
      <c r="R219" s="618"/>
      <c r="S219" s="204"/>
      <c r="T219" s="204"/>
      <c r="U219" s="204"/>
      <c r="V219" s="204"/>
      <c r="W219" s="162"/>
      <c r="X219" s="204"/>
      <c r="Y219" s="47"/>
      <c r="Z219" s="47"/>
      <c r="AA219" s="47"/>
    </row>
    <row r="220" spans="1:27" ht="14.25" customHeight="1">
      <c r="B220" s="532" t="s">
        <v>423</v>
      </c>
      <c r="C220" s="533" t="s">
        <v>286</v>
      </c>
      <c r="D220" s="433" t="s">
        <v>424</v>
      </c>
      <c r="E220" s="681" t="s">
        <v>36</v>
      </c>
      <c r="F220" s="433" t="s">
        <v>238</v>
      </c>
      <c r="G220" s="433" t="s">
        <v>25</v>
      </c>
      <c r="H220" s="592">
        <v>45898</v>
      </c>
      <c r="I220" s="682"/>
      <c r="J220" s="480" t="s">
        <v>40</v>
      </c>
      <c r="K220" s="370" t="s">
        <v>425</v>
      </c>
      <c r="L220" s="371">
        <v>45887</v>
      </c>
      <c r="M220" s="372">
        <v>45898</v>
      </c>
      <c r="N220" s="522" t="s">
        <v>29</v>
      </c>
      <c r="O220" s="157">
        <f t="shared" ref="O220:O225" ca="1" si="14">IF(ISBLANK(L220), "", IF(ISNUMBER(M220), M220-L220, TODAY()-L220))</f>
        <v>11</v>
      </c>
      <c r="P220" s="523">
        <f ca="1">IF(ISBLANK(H220), "", IF(ISNUMBER(M220), M220-H220, TODAY()-H220))</f>
        <v>0</v>
      </c>
      <c r="Q220" s="588" t="s">
        <v>26</v>
      </c>
      <c r="R220" s="618"/>
      <c r="S220" s="204"/>
      <c r="T220" s="204"/>
      <c r="U220" s="204"/>
      <c r="V220" s="204"/>
      <c r="W220" s="162"/>
      <c r="X220" s="204"/>
    </row>
    <row r="221" spans="1:27" ht="14.25" customHeight="1">
      <c r="B221" s="518" t="s">
        <v>423</v>
      </c>
      <c r="C221" s="528" t="s">
        <v>286</v>
      </c>
      <c r="D221" s="444" t="s">
        <v>424</v>
      </c>
      <c r="E221" s="567" t="s">
        <v>36</v>
      </c>
      <c r="F221" s="444" t="s">
        <v>238</v>
      </c>
      <c r="G221" s="444" t="s">
        <v>25</v>
      </c>
      <c r="H221" s="568">
        <v>45898</v>
      </c>
      <c r="I221" s="683"/>
      <c r="J221" s="684" t="s">
        <v>27</v>
      </c>
      <c r="K221" s="295" t="s">
        <v>426</v>
      </c>
      <c r="L221" s="296">
        <v>45887</v>
      </c>
      <c r="M221" s="685">
        <v>45898</v>
      </c>
      <c r="N221" s="686" t="s">
        <v>29</v>
      </c>
      <c r="O221" s="444">
        <f t="shared" ca="1" si="14"/>
        <v>11</v>
      </c>
      <c r="P221" s="687">
        <f ca="1">IF(ISBLANK(H220), "", IF(ISNUMBER(M221), M221-H220, TODAY()-H220))</f>
        <v>0</v>
      </c>
      <c r="Q221" s="688" t="s">
        <v>26</v>
      </c>
      <c r="R221" s="689"/>
      <c r="S221" s="286"/>
      <c r="T221" s="286"/>
      <c r="U221" s="286"/>
      <c r="V221" s="286"/>
      <c r="W221" s="162"/>
      <c r="X221" s="286"/>
    </row>
    <row r="222" spans="1:27" ht="35.25" customHeight="1">
      <c r="B222" s="406" t="s">
        <v>427</v>
      </c>
      <c r="C222" s="257" t="s">
        <v>293</v>
      </c>
      <c r="D222" s="188" t="s">
        <v>428</v>
      </c>
      <c r="E222" s="690" t="s">
        <v>252</v>
      </c>
      <c r="F222" s="188" t="s">
        <v>429</v>
      </c>
      <c r="G222" s="188" t="s">
        <v>25</v>
      </c>
      <c r="H222" s="327">
        <v>45898</v>
      </c>
      <c r="I222" s="316"/>
      <c r="J222" s="224" t="s">
        <v>27</v>
      </c>
      <c r="K222" s="225" t="s">
        <v>430</v>
      </c>
      <c r="L222" s="226">
        <v>45888</v>
      </c>
      <c r="M222" s="227">
        <v>45894</v>
      </c>
      <c r="N222" s="467" t="s">
        <v>29</v>
      </c>
      <c r="O222" s="194">
        <f t="shared" ca="1" si="14"/>
        <v>6</v>
      </c>
      <c r="P222" s="691">
        <f ca="1">IF(ISBLANK(H222), "", IF(ISNUMBER(M222), M222-H222, TODAY()-H222))</f>
        <v>-4</v>
      </c>
      <c r="Q222" s="692" t="s">
        <v>26</v>
      </c>
      <c r="R222" s="693"/>
      <c r="S222" s="118"/>
      <c r="T222" s="118"/>
      <c r="U222" s="118"/>
      <c r="V222" s="118"/>
      <c r="W222" s="162"/>
      <c r="X222" s="118"/>
    </row>
    <row r="223" spans="1:27" ht="28.9">
      <c r="B223" s="694" t="s">
        <v>431</v>
      </c>
      <c r="C223" s="695" t="s">
        <v>214</v>
      </c>
      <c r="D223" s="125" t="s">
        <v>432</v>
      </c>
      <c r="E223" s="696" t="s">
        <v>295</v>
      </c>
      <c r="F223" s="697" t="s">
        <v>111</v>
      </c>
      <c r="G223" s="697" t="s">
        <v>25</v>
      </c>
      <c r="H223" s="698">
        <v>45898</v>
      </c>
      <c r="I223" s="263"/>
      <c r="J223" s="184" t="s">
        <v>27</v>
      </c>
      <c r="K223" s="185" t="s">
        <v>433</v>
      </c>
      <c r="L223" s="186">
        <v>45890</v>
      </c>
      <c r="M223" s="187">
        <v>45901</v>
      </c>
      <c r="N223" s="426" t="s">
        <v>29</v>
      </c>
      <c r="O223" s="433">
        <f t="shared" ca="1" si="14"/>
        <v>11</v>
      </c>
      <c r="P223" s="699">
        <f ca="1">IF(ISBLANK(H223), "", IF(ISNUMBER(M223), M223-H223, TODAY()-H223))</f>
        <v>3</v>
      </c>
      <c r="Q223" s="265" t="s">
        <v>26</v>
      </c>
      <c r="R223" s="700"/>
      <c r="S223" s="701"/>
      <c r="T223" s="701"/>
      <c r="U223" s="701"/>
      <c r="V223" s="701"/>
      <c r="W223" s="162"/>
      <c r="X223" s="701"/>
    </row>
    <row r="224" spans="1:27" ht="28.9">
      <c r="B224" s="702" t="s">
        <v>431</v>
      </c>
      <c r="C224" s="703" t="s">
        <v>214</v>
      </c>
      <c r="D224" s="401" t="s">
        <v>432</v>
      </c>
      <c r="E224" s="704" t="s">
        <v>295</v>
      </c>
      <c r="F224" s="705" t="s">
        <v>111</v>
      </c>
      <c r="G224" s="705" t="s">
        <v>25</v>
      </c>
      <c r="H224" s="706">
        <v>45898</v>
      </c>
      <c r="I224" s="707"/>
      <c r="J224" s="396" t="s">
        <v>27</v>
      </c>
      <c r="K224" s="309" t="s">
        <v>434</v>
      </c>
      <c r="L224" s="408">
        <v>45890</v>
      </c>
      <c r="M224" s="412">
        <v>45911</v>
      </c>
      <c r="N224" s="410" t="s">
        <v>29</v>
      </c>
      <c r="O224" s="210">
        <f t="shared" ca="1" si="14"/>
        <v>21</v>
      </c>
      <c r="P224" s="708">
        <f ca="1">IF(ISBLANK(H224), "", IF(ISNUMBER(M224), M224-H224, TODAY()-H224))</f>
        <v>13</v>
      </c>
      <c r="Q224" s="74" t="s">
        <v>26</v>
      </c>
      <c r="R224" s="700"/>
      <c r="S224" s="701"/>
      <c r="T224" s="701"/>
      <c r="U224" s="701"/>
      <c r="V224" s="701"/>
      <c r="W224" s="162"/>
      <c r="X224" s="701"/>
    </row>
    <row r="225" spans="2:24" ht="28.9">
      <c r="B225" s="709" t="s">
        <v>431</v>
      </c>
      <c r="C225" s="710" t="s">
        <v>214</v>
      </c>
      <c r="D225" s="711" t="s">
        <v>432</v>
      </c>
      <c r="E225" s="269" t="s">
        <v>295</v>
      </c>
      <c r="F225" s="268" t="s">
        <v>111</v>
      </c>
      <c r="G225" s="268" t="s">
        <v>25</v>
      </c>
      <c r="H225" s="270">
        <v>45898</v>
      </c>
      <c r="I225" s="271"/>
      <c r="J225" s="272" t="s">
        <v>40</v>
      </c>
      <c r="K225" s="273" t="s">
        <v>435</v>
      </c>
      <c r="L225" s="274">
        <v>45890</v>
      </c>
      <c r="M225" s="275">
        <v>45903</v>
      </c>
      <c r="N225" s="712" t="s">
        <v>29</v>
      </c>
      <c r="O225" s="342">
        <f t="shared" ca="1" si="14"/>
        <v>13</v>
      </c>
      <c r="P225" s="713">
        <f t="shared" ref="P225:P254" ca="1" si="15">IF(ISBLANK(H225), "", IF(ISNUMBER(M225), M225-H225, TODAY()-H225))</f>
        <v>5</v>
      </c>
      <c r="Q225" s="277" t="s">
        <v>26</v>
      </c>
      <c r="R225" s="700"/>
      <c r="S225" s="701"/>
      <c r="T225" s="701"/>
      <c r="U225" s="701"/>
      <c r="V225" s="701"/>
      <c r="W225" s="162"/>
      <c r="X225" s="701"/>
    </row>
    <row r="226" spans="2:24" ht="28.9">
      <c r="B226" s="673" t="s">
        <v>436</v>
      </c>
      <c r="C226" s="674" t="s">
        <v>293</v>
      </c>
      <c r="D226" s="157" t="s">
        <v>437</v>
      </c>
      <c r="E226" s="714" t="s">
        <v>104</v>
      </c>
      <c r="F226" s="715" t="s">
        <v>111</v>
      </c>
      <c r="G226" s="697" t="s">
        <v>438</v>
      </c>
      <c r="H226" s="716">
        <v>45930</v>
      </c>
      <c r="I226" s="717"/>
      <c r="J226" s="562" t="s">
        <v>27</v>
      </c>
      <c r="K226" s="284" t="s">
        <v>439</v>
      </c>
      <c r="L226" s="510">
        <v>45904</v>
      </c>
      <c r="M226" s="563">
        <v>45919</v>
      </c>
      <c r="N226" s="715" t="s">
        <v>29</v>
      </c>
      <c r="O226" s="157">
        <f t="shared" ref="O226:O233" ca="1" si="16">IF(ISBLANK(L226), "", IF(ISNUMBER(M226), M226-L226, TODAY()-L226))</f>
        <v>15</v>
      </c>
      <c r="P226" s="507">
        <f t="shared" ref="P226:P233" ca="1" si="17">IF(ISBLANK(H226), "", IF(ISNUMBER(M226), M226-H226, TODAY()-H226))</f>
        <v>-11</v>
      </c>
      <c r="Q226" s="435" t="s">
        <v>26</v>
      </c>
      <c r="R226" s="700"/>
      <c r="S226" s="701"/>
      <c r="T226" s="701"/>
      <c r="U226" s="701"/>
      <c r="V226" s="701"/>
      <c r="W226" s="162"/>
      <c r="X226" s="701"/>
    </row>
    <row r="227" spans="2:24" ht="28.9">
      <c r="B227" s="541" t="s">
        <v>436</v>
      </c>
      <c r="C227" s="542" t="s">
        <v>293</v>
      </c>
      <c r="D227" s="157" t="s">
        <v>437</v>
      </c>
      <c r="E227" s="718" t="s">
        <v>104</v>
      </c>
      <c r="F227" s="231" t="s">
        <v>111</v>
      </c>
      <c r="G227" s="719" t="s">
        <v>438</v>
      </c>
      <c r="H227" s="544">
        <v>45930</v>
      </c>
      <c r="I227" s="545"/>
      <c r="J227" s="66" t="s">
        <v>27</v>
      </c>
      <c r="K227" s="53" t="s">
        <v>440</v>
      </c>
      <c r="L227" s="212">
        <v>45901</v>
      </c>
      <c r="M227" s="83">
        <v>45918</v>
      </c>
      <c r="N227" s="231" t="s">
        <v>29</v>
      </c>
      <c r="O227" s="204">
        <f t="shared" ca="1" si="16"/>
        <v>17</v>
      </c>
      <c r="P227" s="205">
        <f t="shared" ca="1" si="17"/>
        <v>-12</v>
      </c>
      <c r="Q227" s="437" t="s">
        <v>26</v>
      </c>
      <c r="R227" s="700"/>
      <c r="S227" s="701"/>
      <c r="T227" s="701"/>
      <c r="U227" s="701"/>
      <c r="V227" s="701"/>
      <c r="W227" s="162"/>
      <c r="X227" s="701"/>
    </row>
    <row r="228" spans="2:24" ht="28.9">
      <c r="B228" s="541" t="s">
        <v>436</v>
      </c>
      <c r="C228" s="542" t="s">
        <v>293</v>
      </c>
      <c r="D228" s="157" t="s">
        <v>437</v>
      </c>
      <c r="E228" s="718" t="s">
        <v>104</v>
      </c>
      <c r="F228" s="231" t="s">
        <v>111</v>
      </c>
      <c r="G228" s="719" t="s">
        <v>438</v>
      </c>
      <c r="H228" s="544">
        <v>45930</v>
      </c>
      <c r="I228" s="545"/>
      <c r="J228" s="66" t="s">
        <v>27</v>
      </c>
      <c r="K228" s="53" t="s">
        <v>441</v>
      </c>
      <c r="L228" s="212">
        <v>45904</v>
      </c>
      <c r="M228" s="83">
        <v>45919</v>
      </c>
      <c r="N228" s="231" t="s">
        <v>29</v>
      </c>
      <c r="O228" s="204">
        <f t="shared" ca="1" si="16"/>
        <v>15</v>
      </c>
      <c r="P228" s="205">
        <f t="shared" ca="1" si="17"/>
        <v>-11</v>
      </c>
      <c r="Q228" s="437" t="s">
        <v>26</v>
      </c>
      <c r="R228" s="700"/>
      <c r="S228" s="701"/>
      <c r="T228" s="701"/>
      <c r="U228" s="701"/>
      <c r="V228" s="701"/>
      <c r="W228" s="162"/>
      <c r="X228" s="701"/>
    </row>
    <row r="229" spans="2:24" ht="28.9">
      <c r="B229" s="541" t="s">
        <v>436</v>
      </c>
      <c r="C229" s="542" t="s">
        <v>293</v>
      </c>
      <c r="D229" s="157" t="s">
        <v>437</v>
      </c>
      <c r="E229" s="718" t="s">
        <v>104</v>
      </c>
      <c r="F229" s="231" t="s">
        <v>111</v>
      </c>
      <c r="G229" s="719" t="s">
        <v>438</v>
      </c>
      <c r="H229" s="544">
        <v>45930</v>
      </c>
      <c r="I229" s="545"/>
      <c r="J229" s="66" t="s">
        <v>27</v>
      </c>
      <c r="K229" s="53" t="s">
        <v>442</v>
      </c>
      <c r="L229" s="212">
        <v>45904</v>
      </c>
      <c r="M229" s="83">
        <v>45917</v>
      </c>
      <c r="N229" s="231" t="s">
        <v>29</v>
      </c>
      <c r="O229" s="204">
        <f t="shared" ca="1" si="16"/>
        <v>13</v>
      </c>
      <c r="P229" s="205">
        <f t="shared" ca="1" si="17"/>
        <v>-13</v>
      </c>
      <c r="Q229" s="437" t="s">
        <v>26</v>
      </c>
      <c r="R229" s="700"/>
      <c r="S229" s="701"/>
      <c r="T229" s="701"/>
      <c r="U229" s="701"/>
      <c r="V229" s="701"/>
      <c r="W229" s="162"/>
      <c r="X229" s="701"/>
    </row>
    <row r="230" spans="2:24" ht="28.9">
      <c r="B230" s="541" t="s">
        <v>436</v>
      </c>
      <c r="C230" s="542" t="s">
        <v>293</v>
      </c>
      <c r="D230" s="157" t="s">
        <v>437</v>
      </c>
      <c r="E230" s="718" t="s">
        <v>104</v>
      </c>
      <c r="F230" s="231" t="s">
        <v>111</v>
      </c>
      <c r="G230" s="719" t="s">
        <v>438</v>
      </c>
      <c r="H230" s="216">
        <v>45931</v>
      </c>
      <c r="I230" s="545"/>
      <c r="J230" s="66" t="s">
        <v>27</v>
      </c>
      <c r="K230" s="720" t="s">
        <v>443</v>
      </c>
      <c r="L230" s="212">
        <v>45904</v>
      </c>
      <c r="M230" s="83">
        <v>45918</v>
      </c>
      <c r="N230" s="231" t="s">
        <v>29</v>
      </c>
      <c r="O230" s="204">
        <f t="shared" ca="1" si="16"/>
        <v>14</v>
      </c>
      <c r="P230" s="205">
        <f t="shared" ca="1" si="17"/>
        <v>-13</v>
      </c>
      <c r="Q230" s="437" t="s">
        <v>26</v>
      </c>
      <c r="R230" s="700"/>
      <c r="S230" s="701"/>
      <c r="T230" s="701"/>
      <c r="U230" s="701"/>
      <c r="V230" s="701"/>
      <c r="W230" s="162"/>
      <c r="X230" s="701"/>
    </row>
    <row r="231" spans="2:24" ht="28.9">
      <c r="B231" s="518" t="s">
        <v>436</v>
      </c>
      <c r="C231" s="528" t="s">
        <v>293</v>
      </c>
      <c r="D231" s="444" t="s">
        <v>437</v>
      </c>
      <c r="E231" s="519" t="s">
        <v>104</v>
      </c>
      <c r="F231" s="293" t="s">
        <v>111</v>
      </c>
      <c r="G231" s="721" t="s">
        <v>438</v>
      </c>
      <c r="H231" s="461">
        <v>45930</v>
      </c>
      <c r="I231" s="462"/>
      <c r="J231" s="589" t="s">
        <v>27</v>
      </c>
      <c r="K231" s="722" t="s">
        <v>444</v>
      </c>
      <c r="L231" s="515">
        <v>45905</v>
      </c>
      <c r="M231" s="590">
        <v>45919</v>
      </c>
      <c r="N231" s="293" t="s">
        <v>29</v>
      </c>
      <c r="O231" s="342">
        <f t="shared" ca="1" si="16"/>
        <v>14</v>
      </c>
      <c r="P231" s="448">
        <f t="shared" ca="1" si="17"/>
        <v>-11</v>
      </c>
      <c r="Q231" s="367" t="s">
        <v>26</v>
      </c>
      <c r="R231" s="700"/>
      <c r="S231" s="701"/>
      <c r="T231" s="701"/>
      <c r="U231" s="701"/>
      <c r="V231" s="701"/>
      <c r="W231" s="162"/>
      <c r="X231" s="701"/>
    </row>
    <row r="232" spans="2:24" ht="14.45">
      <c r="B232" s="518" t="s">
        <v>436</v>
      </c>
      <c r="C232" s="528" t="s">
        <v>135</v>
      </c>
      <c r="D232" s="444" t="s">
        <v>445</v>
      </c>
      <c r="E232" s="519" t="s">
        <v>237</v>
      </c>
      <c r="F232" s="293" t="s">
        <v>111</v>
      </c>
      <c r="G232" s="293" t="s">
        <v>25</v>
      </c>
      <c r="H232" s="461">
        <v>45919</v>
      </c>
      <c r="I232" s="462"/>
      <c r="J232" s="589" t="s">
        <v>27</v>
      </c>
      <c r="K232" s="446" t="s">
        <v>446</v>
      </c>
      <c r="L232" s="515">
        <v>45905</v>
      </c>
      <c r="M232" s="590">
        <v>45918</v>
      </c>
      <c r="N232" s="293" t="s">
        <v>29</v>
      </c>
      <c r="O232" s="342">
        <f t="shared" ca="1" si="16"/>
        <v>13</v>
      </c>
      <c r="P232" s="723">
        <f t="shared" ca="1" si="17"/>
        <v>-1</v>
      </c>
      <c r="Q232" s="367" t="s">
        <v>26</v>
      </c>
      <c r="R232" s="700"/>
      <c r="S232" s="701"/>
      <c r="T232" s="701"/>
      <c r="U232" s="701"/>
      <c r="V232" s="701"/>
      <c r="W232" s="162"/>
      <c r="X232" s="701"/>
    </row>
    <row r="233" spans="2:24" ht="28.9">
      <c r="B233" s="724" t="s">
        <v>447</v>
      </c>
      <c r="C233" s="725" t="s">
        <v>448</v>
      </c>
      <c r="D233" s="726" t="s">
        <v>449</v>
      </c>
      <c r="E233" s="704" t="s">
        <v>295</v>
      </c>
      <c r="F233" s="705" t="s">
        <v>216</v>
      </c>
      <c r="G233" s="705" t="s">
        <v>25</v>
      </c>
      <c r="H233" s="706">
        <v>45905</v>
      </c>
      <c r="I233" s="727"/>
      <c r="J233" s="728" t="s">
        <v>27</v>
      </c>
      <c r="K233" s="346" t="s">
        <v>450</v>
      </c>
      <c r="L233" s="729">
        <v>45891</v>
      </c>
      <c r="M233" s="730">
        <v>45897</v>
      </c>
      <c r="N233" s="731" t="s">
        <v>29</v>
      </c>
      <c r="O233" s="157">
        <f t="shared" ca="1" si="16"/>
        <v>6</v>
      </c>
      <c r="P233" s="732">
        <f t="shared" ca="1" si="17"/>
        <v>-8</v>
      </c>
      <c r="Q233" s="442" t="s">
        <v>26</v>
      </c>
      <c r="R233" s="700"/>
      <c r="S233" s="701"/>
      <c r="T233" s="701"/>
      <c r="U233" s="701"/>
      <c r="V233" s="701"/>
      <c r="W233" s="162"/>
      <c r="X233" s="701"/>
    </row>
    <row r="234" spans="2:24" ht="28.9">
      <c r="B234" s="724" t="s">
        <v>447</v>
      </c>
      <c r="C234" s="725" t="s">
        <v>448</v>
      </c>
      <c r="D234" s="726" t="s">
        <v>449</v>
      </c>
      <c r="E234" s="704" t="s">
        <v>295</v>
      </c>
      <c r="F234" s="705" t="s">
        <v>216</v>
      </c>
      <c r="G234" s="705" t="s">
        <v>25</v>
      </c>
      <c r="H234" s="706">
        <v>45905</v>
      </c>
      <c r="I234" s="727"/>
      <c r="J234" s="728" t="s">
        <v>27</v>
      </c>
      <c r="K234" s="346" t="s">
        <v>451</v>
      </c>
      <c r="L234" s="729">
        <v>45891</v>
      </c>
      <c r="M234" s="730">
        <v>45897</v>
      </c>
      <c r="N234" s="731" t="s">
        <v>29</v>
      </c>
      <c r="O234" s="157">
        <f t="shared" ca="1" si="13"/>
        <v>6</v>
      </c>
      <c r="P234" s="726">
        <f t="shared" ca="1" si="15"/>
        <v>-8</v>
      </c>
      <c r="Q234" s="442" t="s">
        <v>26</v>
      </c>
      <c r="R234" s="700"/>
      <c r="S234" s="701"/>
      <c r="T234" s="701"/>
      <c r="U234" s="701"/>
      <c r="V234" s="701"/>
      <c r="W234" s="162"/>
      <c r="X234" s="701"/>
    </row>
    <row r="235" spans="2:24" ht="28.9">
      <c r="B235" s="724" t="s">
        <v>452</v>
      </c>
      <c r="C235" s="725" t="s">
        <v>448</v>
      </c>
      <c r="D235" s="726" t="s">
        <v>449</v>
      </c>
      <c r="E235" s="704" t="s">
        <v>295</v>
      </c>
      <c r="F235" s="705" t="s">
        <v>216</v>
      </c>
      <c r="G235" s="705" t="s">
        <v>25</v>
      </c>
      <c r="H235" s="706">
        <v>45905</v>
      </c>
      <c r="I235" s="727"/>
      <c r="J235" s="728" t="s">
        <v>27</v>
      </c>
      <c r="K235" s="346" t="s">
        <v>453</v>
      </c>
      <c r="L235" s="729">
        <v>45891</v>
      </c>
      <c r="M235" s="730">
        <v>45897</v>
      </c>
      <c r="N235" s="731" t="s">
        <v>29</v>
      </c>
      <c r="O235" s="157">
        <f t="shared" ca="1" si="13"/>
        <v>6</v>
      </c>
      <c r="P235" s="726">
        <f t="shared" ca="1" si="15"/>
        <v>-8</v>
      </c>
      <c r="Q235" s="442" t="s">
        <v>26</v>
      </c>
      <c r="R235" s="700"/>
      <c r="S235" s="701"/>
      <c r="T235" s="701"/>
      <c r="U235" s="701"/>
      <c r="V235" s="701"/>
      <c r="W235" s="162"/>
      <c r="X235" s="701"/>
    </row>
    <row r="236" spans="2:24" ht="28.9">
      <c r="B236" s="724" t="s">
        <v>454</v>
      </c>
      <c r="C236" s="725" t="s">
        <v>448</v>
      </c>
      <c r="D236" s="726" t="s">
        <v>449</v>
      </c>
      <c r="E236" s="704" t="s">
        <v>295</v>
      </c>
      <c r="F236" s="705" t="s">
        <v>216</v>
      </c>
      <c r="G236" s="705" t="s">
        <v>25</v>
      </c>
      <c r="H236" s="706">
        <v>45905</v>
      </c>
      <c r="I236" s="727"/>
      <c r="J236" s="728" t="s">
        <v>27</v>
      </c>
      <c r="K236" s="733" t="s">
        <v>455</v>
      </c>
      <c r="L236" s="729">
        <v>45894</v>
      </c>
      <c r="M236" s="730">
        <v>45904</v>
      </c>
      <c r="N236" s="731" t="s">
        <v>29</v>
      </c>
      <c r="O236" s="157">
        <f t="shared" ca="1" si="13"/>
        <v>10</v>
      </c>
      <c r="P236" s="726">
        <f t="shared" ca="1" si="15"/>
        <v>-1</v>
      </c>
      <c r="Q236" s="442" t="s">
        <v>26</v>
      </c>
      <c r="R236" s="700"/>
      <c r="S236" s="701"/>
      <c r="T236" s="701"/>
      <c r="U236" s="701"/>
      <c r="V236" s="701"/>
      <c r="W236" s="162"/>
      <c r="X236" s="701"/>
    </row>
    <row r="237" spans="2:24" ht="28.9">
      <c r="B237" s="724" t="s">
        <v>456</v>
      </c>
      <c r="C237" s="725" t="s">
        <v>448</v>
      </c>
      <c r="D237" s="726" t="s">
        <v>449</v>
      </c>
      <c r="E237" s="704" t="s">
        <v>295</v>
      </c>
      <c r="F237" s="705" t="s">
        <v>216</v>
      </c>
      <c r="G237" s="705" t="s">
        <v>25</v>
      </c>
      <c r="H237" s="706">
        <v>45905</v>
      </c>
      <c r="I237" s="727"/>
      <c r="J237" s="704" t="s">
        <v>27</v>
      </c>
      <c r="K237" s="705" t="s">
        <v>457</v>
      </c>
      <c r="L237" s="729">
        <v>45889</v>
      </c>
      <c r="M237" s="730">
        <v>45901</v>
      </c>
      <c r="N237" s="731" t="s">
        <v>29</v>
      </c>
      <c r="O237" s="157">
        <f t="shared" ref="O237:O245" ca="1" si="18">IF(ISBLANK(L237), "", IF(ISNUMBER(M237), M237-L237, TODAY()-L237))</f>
        <v>12</v>
      </c>
      <c r="P237" s="726">
        <f t="shared" ref="P237:P245" ca="1" si="19">IF(ISBLANK(H237), "", IF(ISNUMBER(M237), M237-H237, TODAY()-H237))</f>
        <v>-4</v>
      </c>
      <c r="Q237" s="442" t="s">
        <v>26</v>
      </c>
      <c r="R237" s="700"/>
      <c r="S237" s="701"/>
      <c r="T237" s="701"/>
      <c r="U237" s="701"/>
      <c r="V237" s="701"/>
      <c r="W237" s="162"/>
      <c r="X237" s="701"/>
    </row>
    <row r="238" spans="2:24" ht="28.9">
      <c r="B238" s="724" t="s">
        <v>458</v>
      </c>
      <c r="C238" s="725" t="s">
        <v>448</v>
      </c>
      <c r="D238" s="726" t="s">
        <v>449</v>
      </c>
      <c r="E238" s="704" t="s">
        <v>295</v>
      </c>
      <c r="F238" s="705" t="s">
        <v>216</v>
      </c>
      <c r="G238" s="705" t="s">
        <v>25</v>
      </c>
      <c r="H238" s="706">
        <v>45905</v>
      </c>
      <c r="I238" s="727"/>
      <c r="J238" s="704" t="s">
        <v>27</v>
      </c>
      <c r="K238" s="705" t="s">
        <v>459</v>
      </c>
      <c r="L238" s="729">
        <v>45894</v>
      </c>
      <c r="M238" s="730">
        <v>45898</v>
      </c>
      <c r="N238" s="731" t="s">
        <v>29</v>
      </c>
      <c r="O238" s="157">
        <f t="shared" ca="1" si="18"/>
        <v>4</v>
      </c>
      <c r="P238" s="726">
        <f t="shared" ca="1" si="19"/>
        <v>-7</v>
      </c>
      <c r="Q238" s="442" t="s">
        <v>26</v>
      </c>
      <c r="R238" s="700"/>
      <c r="S238" s="701"/>
      <c r="T238" s="701"/>
      <c r="U238" s="701"/>
      <c r="V238" s="701"/>
      <c r="W238" s="162"/>
      <c r="X238" s="701"/>
    </row>
    <row r="239" spans="2:24" ht="28.9">
      <c r="B239" s="724" t="s">
        <v>460</v>
      </c>
      <c r="C239" s="725" t="s">
        <v>448</v>
      </c>
      <c r="D239" s="726" t="s">
        <v>449</v>
      </c>
      <c r="E239" s="704" t="s">
        <v>295</v>
      </c>
      <c r="F239" s="705" t="s">
        <v>216</v>
      </c>
      <c r="G239" s="704" t="s">
        <v>25</v>
      </c>
      <c r="H239" s="706">
        <v>45905</v>
      </c>
      <c r="I239" s="727"/>
      <c r="J239" s="704" t="s">
        <v>27</v>
      </c>
      <c r="K239" s="705" t="s">
        <v>461</v>
      </c>
      <c r="L239" s="729">
        <v>45894</v>
      </c>
      <c r="M239" s="730">
        <v>45910</v>
      </c>
      <c r="N239" s="731" t="s">
        <v>29</v>
      </c>
      <c r="O239" s="556">
        <f t="shared" ca="1" si="18"/>
        <v>16</v>
      </c>
      <c r="P239" s="734">
        <f t="shared" ca="1" si="19"/>
        <v>5</v>
      </c>
      <c r="Q239" s="442" t="s">
        <v>26</v>
      </c>
      <c r="R239" s="700"/>
      <c r="S239" s="701"/>
      <c r="T239" s="701"/>
      <c r="U239" s="701"/>
      <c r="V239" s="701"/>
      <c r="W239" s="162"/>
      <c r="X239" s="701"/>
    </row>
    <row r="240" spans="2:24" ht="28.9">
      <c r="B240" s="724" t="s">
        <v>462</v>
      </c>
      <c r="C240" s="725" t="s">
        <v>448</v>
      </c>
      <c r="D240" s="726" t="s">
        <v>449</v>
      </c>
      <c r="E240" s="704" t="s">
        <v>295</v>
      </c>
      <c r="F240" s="705" t="s">
        <v>216</v>
      </c>
      <c r="G240" s="704" t="s">
        <v>25</v>
      </c>
      <c r="H240" s="706">
        <v>45905</v>
      </c>
      <c r="I240" s="727"/>
      <c r="J240" s="704" t="s">
        <v>27</v>
      </c>
      <c r="K240" s="705" t="s">
        <v>463</v>
      </c>
      <c r="L240" s="729">
        <v>45901</v>
      </c>
      <c r="M240" s="730">
        <v>45916</v>
      </c>
      <c r="N240" s="731" t="s">
        <v>29</v>
      </c>
      <c r="O240" s="157">
        <f ca="1">IF(ISBLANK(L240), "", IF(ISNUMBER(M240), M240-L240, TODAY()-L240))</f>
        <v>15</v>
      </c>
      <c r="P240" s="734">
        <f ca="1">IF(ISBLANK(H240), "", IF(ISNUMBER(M240), M240-H240, TODAY()-H240))</f>
        <v>11</v>
      </c>
      <c r="Q240" s="442" t="s">
        <v>26</v>
      </c>
      <c r="R240" s="700"/>
      <c r="S240" s="701"/>
      <c r="T240" s="701"/>
      <c r="U240" s="701"/>
      <c r="V240" s="701"/>
      <c r="W240" s="162"/>
      <c r="X240" s="701"/>
    </row>
    <row r="241" spans="2:24" ht="28.9">
      <c r="B241" s="724" t="s">
        <v>464</v>
      </c>
      <c r="C241" s="725" t="s">
        <v>448</v>
      </c>
      <c r="D241" s="726" t="s">
        <v>449</v>
      </c>
      <c r="E241" s="704" t="s">
        <v>295</v>
      </c>
      <c r="F241" s="705" t="s">
        <v>216</v>
      </c>
      <c r="G241" s="704" t="s">
        <v>25</v>
      </c>
      <c r="H241" s="706">
        <v>45905</v>
      </c>
      <c r="I241" s="704"/>
      <c r="J241" s="735" t="s">
        <v>27</v>
      </c>
      <c r="K241" s="705" t="s">
        <v>465</v>
      </c>
      <c r="L241" s="729">
        <v>45909</v>
      </c>
      <c r="M241" s="730">
        <v>45919</v>
      </c>
      <c r="N241" s="731" t="s">
        <v>29</v>
      </c>
      <c r="O241" s="157">
        <f ca="1">IF(ISBLANK(L241), "", IF(ISNUMBER(M241), M241-L241, TODAY()-L241))</f>
        <v>10</v>
      </c>
      <c r="P241" s="734">
        <f ca="1">IF(ISBLANK(H241), "", IF(ISNUMBER(M241), M241-H241, TODAY()-H241))</f>
        <v>14</v>
      </c>
      <c r="Q241" s="442" t="s">
        <v>26</v>
      </c>
      <c r="R241" s="700"/>
      <c r="S241" s="701"/>
      <c r="T241" s="701"/>
      <c r="U241" s="701"/>
      <c r="V241" s="701"/>
      <c r="W241" s="162"/>
      <c r="X241" s="701"/>
    </row>
    <row r="242" spans="2:24" ht="28.9">
      <c r="B242" s="724" t="s">
        <v>466</v>
      </c>
      <c r="C242" s="725" t="s">
        <v>448</v>
      </c>
      <c r="D242" s="726" t="s">
        <v>449</v>
      </c>
      <c r="E242" s="704" t="s">
        <v>295</v>
      </c>
      <c r="F242" s="705" t="s">
        <v>216</v>
      </c>
      <c r="G242" s="704" t="s">
        <v>25</v>
      </c>
      <c r="H242" s="706">
        <v>45905</v>
      </c>
      <c r="I242" s="704"/>
      <c r="J242" s="736" t="s">
        <v>40</v>
      </c>
      <c r="K242" s="705" t="s">
        <v>467</v>
      </c>
      <c r="L242" s="729">
        <v>45904</v>
      </c>
      <c r="M242" s="730">
        <v>45919</v>
      </c>
      <c r="N242" s="731" t="s">
        <v>29</v>
      </c>
      <c r="O242" s="157">
        <f ca="1">IF(ISBLANK(L242), "", IF(ISNUMBER(M242), M242-L242, TODAY()-L242))</f>
        <v>15</v>
      </c>
      <c r="P242" s="734">
        <f ca="1">IF(ISBLANK(H242), "", IF(ISNUMBER(M242), M242-H242, TODAY()-H242))</f>
        <v>14</v>
      </c>
      <c r="Q242" s="442" t="s">
        <v>26</v>
      </c>
      <c r="R242" s="700"/>
      <c r="S242" s="701"/>
      <c r="T242" s="701"/>
      <c r="U242" s="701"/>
      <c r="V242" s="701"/>
      <c r="W242" s="162"/>
      <c r="X242" s="701"/>
    </row>
    <row r="243" spans="2:24" ht="28.9">
      <c r="B243" s="724" t="s">
        <v>468</v>
      </c>
      <c r="C243" s="725" t="s">
        <v>448</v>
      </c>
      <c r="D243" s="726" t="s">
        <v>449</v>
      </c>
      <c r="E243" s="704" t="s">
        <v>295</v>
      </c>
      <c r="F243" s="705" t="s">
        <v>216</v>
      </c>
      <c r="G243" s="705" t="s">
        <v>25</v>
      </c>
      <c r="H243" s="706">
        <v>45905</v>
      </c>
      <c r="I243" s="727"/>
      <c r="J243" s="704" t="s">
        <v>40</v>
      </c>
      <c r="K243" s="705" t="s">
        <v>469</v>
      </c>
      <c r="L243" s="729">
        <v>45894</v>
      </c>
      <c r="M243" s="730">
        <v>45903</v>
      </c>
      <c r="N243" s="731" t="s">
        <v>29</v>
      </c>
      <c r="O243" s="157">
        <f t="shared" ca="1" si="18"/>
        <v>9</v>
      </c>
      <c r="P243" s="726">
        <f t="shared" ca="1" si="19"/>
        <v>-2</v>
      </c>
      <c r="Q243" s="442" t="s">
        <v>26</v>
      </c>
      <c r="R243" s="700"/>
      <c r="S243" s="701"/>
      <c r="T243" s="701"/>
      <c r="U243" s="701"/>
      <c r="V243" s="701"/>
      <c r="W243" s="162"/>
      <c r="X243" s="701"/>
    </row>
    <row r="244" spans="2:24" ht="28.9">
      <c r="B244" s="724" t="s">
        <v>470</v>
      </c>
      <c r="C244" s="725" t="s">
        <v>448</v>
      </c>
      <c r="D244" s="726" t="s">
        <v>449</v>
      </c>
      <c r="E244" s="704" t="s">
        <v>295</v>
      </c>
      <c r="F244" s="705" t="s">
        <v>216</v>
      </c>
      <c r="G244" s="705" t="s">
        <v>25</v>
      </c>
      <c r="H244" s="706">
        <v>45905</v>
      </c>
      <c r="I244" s="727"/>
      <c r="J244" s="704" t="s">
        <v>27</v>
      </c>
      <c r="K244" s="705" t="s">
        <v>471</v>
      </c>
      <c r="L244" s="729">
        <v>45894</v>
      </c>
      <c r="M244" s="730">
        <v>45904</v>
      </c>
      <c r="N244" s="731" t="s">
        <v>29</v>
      </c>
      <c r="O244" s="157">
        <f t="shared" ca="1" si="18"/>
        <v>10</v>
      </c>
      <c r="P244" s="726">
        <f t="shared" ca="1" si="19"/>
        <v>-1</v>
      </c>
      <c r="Q244" s="442" t="s">
        <v>26</v>
      </c>
      <c r="R244" s="700"/>
      <c r="S244" s="701"/>
      <c r="T244" s="701"/>
      <c r="U244" s="701"/>
      <c r="V244" s="701"/>
      <c r="W244" s="162"/>
      <c r="X244" s="701"/>
    </row>
    <row r="245" spans="2:24" ht="28.9">
      <c r="B245" s="724" t="s">
        <v>470</v>
      </c>
      <c r="C245" s="267" t="s">
        <v>448</v>
      </c>
      <c r="D245" s="726" t="s">
        <v>449</v>
      </c>
      <c r="E245" s="269" t="s">
        <v>295</v>
      </c>
      <c r="F245" s="268" t="s">
        <v>216</v>
      </c>
      <c r="G245" s="268" t="s">
        <v>25</v>
      </c>
      <c r="H245" s="270">
        <v>45905</v>
      </c>
      <c r="I245" s="237"/>
      <c r="J245" s="269" t="s">
        <v>27</v>
      </c>
      <c r="K245" s="268" t="s">
        <v>472</v>
      </c>
      <c r="L245" s="296">
        <v>45894</v>
      </c>
      <c r="M245" s="685">
        <v>45898</v>
      </c>
      <c r="N245" s="737" t="s">
        <v>29</v>
      </c>
      <c r="O245" s="444">
        <f t="shared" ca="1" si="18"/>
        <v>4</v>
      </c>
      <c r="P245" s="276">
        <f t="shared" ca="1" si="19"/>
        <v>-7</v>
      </c>
      <c r="Q245" s="218" t="s">
        <v>26</v>
      </c>
      <c r="R245" s="700"/>
      <c r="S245" s="701"/>
      <c r="T245" s="701"/>
      <c r="U245" s="701"/>
      <c r="V245" s="701"/>
      <c r="W245" s="162"/>
      <c r="X245" s="701"/>
    </row>
    <row r="246" spans="2:24" ht="28.9">
      <c r="B246" s="694" t="s">
        <v>473</v>
      </c>
      <c r="C246" s="695" t="s">
        <v>135</v>
      </c>
      <c r="D246" s="125" t="s">
        <v>474</v>
      </c>
      <c r="E246" s="738" t="s">
        <v>110</v>
      </c>
      <c r="F246" s="739" t="s">
        <v>260</v>
      </c>
      <c r="G246" s="739" t="s">
        <v>25</v>
      </c>
      <c r="H246" s="740">
        <v>45911</v>
      </c>
      <c r="I246" s="263"/>
      <c r="J246" s="738" t="s">
        <v>27</v>
      </c>
      <c r="K246" s="739" t="s">
        <v>475</v>
      </c>
      <c r="L246" s="186">
        <v>45896</v>
      </c>
      <c r="M246" s="187">
        <v>45910</v>
      </c>
      <c r="N246" s="741" t="s">
        <v>29</v>
      </c>
      <c r="O246" s="470">
        <f t="shared" ca="1" si="13"/>
        <v>14</v>
      </c>
      <c r="P246" s="125">
        <f t="shared" ca="1" si="15"/>
        <v>-1</v>
      </c>
      <c r="Q246" s="265" t="s">
        <v>26</v>
      </c>
      <c r="R246" s="700"/>
      <c r="S246" s="701"/>
      <c r="T246" s="701"/>
      <c r="U246" s="701"/>
      <c r="V246" s="701"/>
      <c r="W246" s="162"/>
      <c r="X246" s="701"/>
    </row>
    <row r="247" spans="2:24" ht="28.9">
      <c r="B247" s="709" t="s">
        <v>473</v>
      </c>
      <c r="C247" s="710" t="s">
        <v>135</v>
      </c>
      <c r="D247" s="419" t="s">
        <v>474</v>
      </c>
      <c r="E247" s="742" t="s">
        <v>110</v>
      </c>
      <c r="F247" s="743" t="s">
        <v>260</v>
      </c>
      <c r="G247" s="743" t="s">
        <v>25</v>
      </c>
      <c r="H247" s="744">
        <v>45911</v>
      </c>
      <c r="I247" s="271"/>
      <c r="J247" s="742" t="s">
        <v>27</v>
      </c>
      <c r="K247" s="743" t="s">
        <v>476</v>
      </c>
      <c r="L247" s="274">
        <v>45896</v>
      </c>
      <c r="M247" s="275">
        <v>45904</v>
      </c>
      <c r="N247" s="712" t="s">
        <v>29</v>
      </c>
      <c r="O247" s="342">
        <f t="shared" ca="1" si="13"/>
        <v>8</v>
      </c>
      <c r="P247" s="419">
        <f t="shared" ca="1" si="15"/>
        <v>-7</v>
      </c>
      <c r="Q247" s="277" t="s">
        <v>26</v>
      </c>
      <c r="R247" s="700"/>
      <c r="S247" s="701"/>
      <c r="T247" s="701"/>
      <c r="U247" s="701"/>
      <c r="V247" s="701"/>
      <c r="W247" s="162"/>
      <c r="X247" s="701"/>
    </row>
    <row r="248" spans="2:24" ht="28.9">
      <c r="B248" s="147" t="s">
        <v>473</v>
      </c>
      <c r="C248" s="745" t="s">
        <v>214</v>
      </c>
      <c r="D248" s="726" t="s">
        <v>474</v>
      </c>
      <c r="E248" s="704" t="s">
        <v>110</v>
      </c>
      <c r="F248" s="705" t="s">
        <v>24</v>
      </c>
      <c r="G248" s="705" t="s">
        <v>25</v>
      </c>
      <c r="H248" s="706">
        <v>45911</v>
      </c>
      <c r="I248" s="727"/>
      <c r="J248" s="704" t="s">
        <v>27</v>
      </c>
      <c r="K248" s="746" t="s">
        <v>477</v>
      </c>
      <c r="L248" s="729">
        <v>45901</v>
      </c>
      <c r="M248" s="730">
        <v>45912</v>
      </c>
      <c r="N248" s="731" t="s">
        <v>29</v>
      </c>
      <c r="O248" s="210">
        <f ca="1">IF(ISBLANK(L248), "", IF(ISNUMBER(M248), M248-L248, TODAY()-L248))</f>
        <v>11</v>
      </c>
      <c r="P248" s="747">
        <f ca="1">IF(ISBLANK(H248), "", IF(ISNUMBER(M248), M248-H248, TODAY()-H248))</f>
        <v>1</v>
      </c>
      <c r="Q248" s="442" t="s">
        <v>26</v>
      </c>
      <c r="R248" s="700"/>
      <c r="S248" s="701"/>
      <c r="T248" s="701"/>
      <c r="U248" s="701"/>
      <c r="V248" s="701"/>
      <c r="W248" s="162"/>
      <c r="X248" s="701"/>
    </row>
    <row r="249" spans="2:24" ht="28.9">
      <c r="B249" s="748" t="s">
        <v>473</v>
      </c>
      <c r="C249" s="749" t="s">
        <v>214</v>
      </c>
      <c r="D249" s="149" t="s">
        <v>474</v>
      </c>
      <c r="E249" s="280" t="s">
        <v>110</v>
      </c>
      <c r="F249" s="260" t="s">
        <v>24</v>
      </c>
      <c r="G249" s="260" t="s">
        <v>25</v>
      </c>
      <c r="H249" s="198">
        <v>45911</v>
      </c>
      <c r="I249" s="240"/>
      <c r="J249" s="280" t="s">
        <v>40</v>
      </c>
      <c r="K249" s="260" t="s">
        <v>478</v>
      </c>
      <c r="L249" s="154">
        <v>45901</v>
      </c>
      <c r="M249" s="155">
        <v>45905</v>
      </c>
      <c r="N249" s="175" t="s">
        <v>46</v>
      </c>
      <c r="O249" s="342">
        <f ca="1">IF(ISBLANK(L249), "", IF(ISNUMBER(M249), M249-L249, TODAY()-L249))</f>
        <v>4</v>
      </c>
      <c r="P249" s="448">
        <f ca="1">IF(ISBLANK(H249), "", IF(ISNUMBER(M249), M249-H249, TODAY()-H249))</f>
        <v>-6</v>
      </c>
      <c r="Q249" s="206" t="s">
        <v>479</v>
      </c>
      <c r="R249" s="700"/>
      <c r="S249" s="701"/>
      <c r="T249" s="701"/>
      <c r="U249" s="701"/>
      <c r="V249" s="701"/>
      <c r="W249" s="162"/>
      <c r="X249" s="701"/>
    </row>
    <row r="250" spans="2:24" ht="28.9">
      <c r="B250" s="532" t="s">
        <v>436</v>
      </c>
      <c r="C250" s="750" t="s">
        <v>97</v>
      </c>
      <c r="D250" s="125" t="s">
        <v>437</v>
      </c>
      <c r="E250" s="738" t="s">
        <v>113</v>
      </c>
      <c r="F250" s="739" t="s">
        <v>241</v>
      </c>
      <c r="G250" s="739" t="s">
        <v>438</v>
      </c>
      <c r="H250" s="740">
        <v>45930</v>
      </c>
      <c r="I250" s="263"/>
      <c r="J250" s="738" t="s">
        <v>27</v>
      </c>
      <c r="K250" s="739" t="s">
        <v>480</v>
      </c>
      <c r="L250" s="186">
        <v>45898</v>
      </c>
      <c r="M250" s="187">
        <v>45911</v>
      </c>
      <c r="N250" s="741" t="s">
        <v>29</v>
      </c>
      <c r="O250" s="433">
        <f t="shared" ca="1" si="13"/>
        <v>13</v>
      </c>
      <c r="P250" s="125">
        <f t="shared" ca="1" si="15"/>
        <v>-19</v>
      </c>
      <c r="Q250" s="265" t="s">
        <v>26</v>
      </c>
      <c r="R250" s="700"/>
      <c r="S250" s="701"/>
      <c r="T250" s="701"/>
      <c r="U250" s="701"/>
      <c r="V250" s="701"/>
      <c r="W250" s="162"/>
      <c r="X250" s="701"/>
    </row>
    <row r="251" spans="2:24" ht="28.9">
      <c r="B251" s="751" t="s">
        <v>436</v>
      </c>
      <c r="C251" s="703" t="s">
        <v>97</v>
      </c>
      <c r="D251" s="118" t="s">
        <v>437</v>
      </c>
      <c r="E251" s="752" t="s">
        <v>113</v>
      </c>
      <c r="F251" s="701" t="s">
        <v>241</v>
      </c>
      <c r="G251" s="701" t="s">
        <v>438</v>
      </c>
      <c r="H251" s="753">
        <v>45930</v>
      </c>
      <c r="I251" s="754"/>
      <c r="J251" s="752" t="s">
        <v>40</v>
      </c>
      <c r="K251" s="701" t="s">
        <v>481</v>
      </c>
      <c r="L251" s="408">
        <v>45901</v>
      </c>
      <c r="M251" s="409">
        <v>45911</v>
      </c>
      <c r="N251" s="755" t="s">
        <v>29</v>
      </c>
      <c r="O251" s="204">
        <f t="shared" ca="1" si="13"/>
        <v>10</v>
      </c>
      <c r="P251" s="118">
        <f t="shared" ca="1" si="15"/>
        <v>-19</v>
      </c>
      <c r="Q251" s="756" t="s">
        <v>26</v>
      </c>
      <c r="R251" s="700"/>
      <c r="S251" s="701"/>
      <c r="T251" s="701"/>
      <c r="U251" s="701"/>
      <c r="V251" s="701"/>
      <c r="W251" s="162"/>
      <c r="X251" s="701"/>
    </row>
    <row r="252" spans="2:24" ht="28.9">
      <c r="B252" s="709" t="s">
        <v>436</v>
      </c>
      <c r="C252" s="710" t="s">
        <v>97</v>
      </c>
      <c r="D252" s="419" t="s">
        <v>437</v>
      </c>
      <c r="E252" s="742" t="s">
        <v>113</v>
      </c>
      <c r="F252" s="743" t="s">
        <v>241</v>
      </c>
      <c r="G252" s="743" t="s">
        <v>438</v>
      </c>
      <c r="H252" s="744">
        <v>45930</v>
      </c>
      <c r="I252" s="271"/>
      <c r="J252" s="742" t="s">
        <v>27</v>
      </c>
      <c r="K252" s="743" t="s">
        <v>440</v>
      </c>
      <c r="L252" s="274">
        <v>45901</v>
      </c>
      <c r="M252" s="275">
        <v>45918</v>
      </c>
      <c r="N252" s="712" t="s">
        <v>29</v>
      </c>
      <c r="O252" s="620">
        <f t="shared" ca="1" si="13"/>
        <v>17</v>
      </c>
      <c r="P252" s="419">
        <f t="shared" ca="1" si="15"/>
        <v>-12</v>
      </c>
      <c r="Q252" s="340" t="s">
        <v>26</v>
      </c>
      <c r="R252" s="700"/>
      <c r="S252" s="701"/>
      <c r="T252" s="701"/>
      <c r="U252" s="701"/>
      <c r="V252" s="701"/>
      <c r="W252" s="162"/>
      <c r="X252" s="701"/>
    </row>
    <row r="253" spans="2:24" ht="28.9">
      <c r="B253" s="147" t="s">
        <v>436</v>
      </c>
      <c r="C253" s="148" t="s">
        <v>165</v>
      </c>
      <c r="D253" s="149" t="s">
        <v>437</v>
      </c>
      <c r="E253" s="280" t="s">
        <v>113</v>
      </c>
      <c r="F253" s="260" t="s">
        <v>37</v>
      </c>
      <c r="G253" s="260" t="s">
        <v>438</v>
      </c>
      <c r="H253" s="198">
        <v>45930</v>
      </c>
      <c r="I253" s="240"/>
      <c r="J253" s="280" t="s">
        <v>27</v>
      </c>
      <c r="K253" s="260" t="s">
        <v>482</v>
      </c>
      <c r="L253" s="154">
        <v>45903</v>
      </c>
      <c r="M253" s="155">
        <v>45918</v>
      </c>
      <c r="N253" s="175" t="s">
        <v>29</v>
      </c>
      <c r="O253" s="342">
        <f ca="1">IF(ISBLANK(L253), "", IF(ISNUMBER(M253), M253-L253, TODAY()-L253))</f>
        <v>15</v>
      </c>
      <c r="P253" s="419">
        <f ca="1">IF(ISBLANK(H253), "", IF(ISNUMBER(M253), M253-H253, TODAY()-H253))</f>
        <v>-12</v>
      </c>
      <c r="Q253" s="206" t="s">
        <v>26</v>
      </c>
      <c r="R253" s="700"/>
      <c r="S253" s="701"/>
      <c r="T253" s="701"/>
      <c r="U253" s="701"/>
      <c r="V253" s="701"/>
      <c r="W253" s="162"/>
      <c r="X253" s="701"/>
    </row>
    <row r="254" spans="2:24" ht="28.9">
      <c r="B254" s="406" t="s">
        <v>483</v>
      </c>
      <c r="C254" s="257" t="s">
        <v>214</v>
      </c>
      <c r="D254" s="188" t="s">
        <v>484</v>
      </c>
      <c r="E254" s="259" t="s">
        <v>117</v>
      </c>
      <c r="F254" s="258" t="s">
        <v>264</v>
      </c>
      <c r="G254" s="258" t="s">
        <v>25</v>
      </c>
      <c r="H254" s="183">
        <v>45898</v>
      </c>
      <c r="I254" s="261"/>
      <c r="J254" s="259" t="s">
        <v>27</v>
      </c>
      <c r="K254" s="258" t="s">
        <v>485</v>
      </c>
      <c r="L254" s="226">
        <v>45896</v>
      </c>
      <c r="M254" s="227">
        <v>45902</v>
      </c>
      <c r="N254" s="757" t="s">
        <v>29</v>
      </c>
      <c r="O254" s="179">
        <f t="shared" ca="1" si="13"/>
        <v>6</v>
      </c>
      <c r="P254" s="416">
        <f t="shared" ca="1" si="15"/>
        <v>4</v>
      </c>
      <c r="Q254" s="189" t="s">
        <v>26</v>
      </c>
      <c r="R254" s="700"/>
      <c r="S254" s="701"/>
      <c r="T254" s="701"/>
      <c r="U254" s="701"/>
      <c r="V254" s="701"/>
      <c r="W254" s="162"/>
      <c r="X254" s="701"/>
    </row>
    <row r="255" spans="2:24" ht="28.9">
      <c r="B255" s="406" t="s">
        <v>486</v>
      </c>
      <c r="C255" s="257" t="s">
        <v>487</v>
      </c>
      <c r="D255" s="188" t="s">
        <v>488</v>
      </c>
      <c r="E255" s="259" t="s">
        <v>80</v>
      </c>
      <c r="F255" s="258" t="s">
        <v>238</v>
      </c>
      <c r="G255" s="258" t="s">
        <v>25</v>
      </c>
      <c r="H255" s="183">
        <v>45912</v>
      </c>
      <c r="I255" s="261"/>
      <c r="J255" s="259" t="s">
        <v>27</v>
      </c>
      <c r="K255" s="258" t="s">
        <v>489</v>
      </c>
      <c r="L255" s="226">
        <v>45904</v>
      </c>
      <c r="M255" s="227">
        <v>45918</v>
      </c>
      <c r="N255" s="757" t="s">
        <v>29</v>
      </c>
      <c r="O255" s="179">
        <f ca="1">IF(ISBLANK(L255), "", IF(ISNUMBER(M255), NETWORKDAYS(L255, M255, Holidays!$D$4:$D$19), NETWORKDAYS(L255, TODAY(), Holidays!$D$4:$D$19)))</f>
        <v>10</v>
      </c>
      <c r="P255" s="416">
        <f ca="1">IF(ISBLANK(H255), "", IF(ISNUMBER(M255), NETWORKDAYS(H255, M255, Holidays!$D$4:$D$19), NETWORKDAYS(H255, TODAY(), Holidays!$D$4:$D$19)))</f>
        <v>4</v>
      </c>
      <c r="Q255" s="189" t="s">
        <v>26</v>
      </c>
      <c r="R255" s="700"/>
      <c r="S255" s="701"/>
      <c r="T255" s="701"/>
      <c r="U255" s="701"/>
      <c r="V255" s="701"/>
      <c r="W255" s="162"/>
      <c r="X255" s="701"/>
    </row>
    <row r="256" spans="2:24" ht="28.9">
      <c r="B256" s="406" t="s">
        <v>490</v>
      </c>
      <c r="C256" s="257" t="s">
        <v>141</v>
      </c>
      <c r="D256" s="188" t="s">
        <v>491</v>
      </c>
      <c r="E256" s="758" t="s">
        <v>113</v>
      </c>
      <c r="F256" s="759" t="s">
        <v>111</v>
      </c>
      <c r="G256" s="258" t="s">
        <v>438</v>
      </c>
      <c r="H256" s="183">
        <v>45945</v>
      </c>
      <c r="I256" s="261"/>
      <c r="J256" s="259" t="s">
        <v>27</v>
      </c>
      <c r="K256" s="258" t="s">
        <v>492</v>
      </c>
      <c r="L256" s="226">
        <v>45912</v>
      </c>
      <c r="M256" s="227">
        <v>45919</v>
      </c>
      <c r="N256" s="757" t="s">
        <v>29</v>
      </c>
      <c r="O256" s="179">
        <f ca="1">IF(ISBLANK(L256), "", IF(ISNUMBER(M256), NETWORKDAYS(L256, M256, Holidays!$D$4:$D$19), NETWORKDAYS(L256, TODAY(), Holidays!$D$4:$D$19)))</f>
        <v>5</v>
      </c>
      <c r="P256" s="188">
        <f ca="1">IF(ISBLANK(H256), "", IF(ISNUMBER(M256), NETWORKDAYS(H256, M256, Holidays!$D$4:$D$19), NETWORKDAYS(H256, TODAY(), Holidays!$D$4:$D$19)))</f>
        <v>-19</v>
      </c>
      <c r="Q256" s="189" t="s">
        <v>26</v>
      </c>
      <c r="R256" s="700"/>
      <c r="S256" s="701"/>
      <c r="T256" s="701"/>
      <c r="U256" s="701"/>
      <c r="V256" s="701"/>
      <c r="W256" s="162"/>
      <c r="X256" s="701"/>
    </row>
    <row r="257" spans="2:24" ht="28.9">
      <c r="B257" s="760" t="s">
        <v>490</v>
      </c>
      <c r="C257" s="695" t="s">
        <v>293</v>
      </c>
      <c r="D257" s="125" t="s">
        <v>491</v>
      </c>
      <c r="E257" s="738" t="s">
        <v>104</v>
      </c>
      <c r="F257" s="739" t="s">
        <v>186</v>
      </c>
      <c r="G257" s="739" t="s">
        <v>438</v>
      </c>
      <c r="H257" s="740">
        <v>45945</v>
      </c>
      <c r="I257" s="263"/>
      <c r="J257" s="738" t="s">
        <v>40</v>
      </c>
      <c r="K257" s="82" t="s">
        <v>493</v>
      </c>
      <c r="L257" s="186">
        <v>45922</v>
      </c>
      <c r="M257" s="187">
        <v>45943</v>
      </c>
      <c r="N257" s="741" t="s">
        <v>29</v>
      </c>
      <c r="O257" s="433">
        <f ca="1">IF(ISBLANK(L257), "", IF(ISNUMBER(M257), NETWORKDAYS(L257, M257, Holidays!$D$4:$D$19), NETWORKDAYS(L257, TODAY(), Holidays!$D$4:$D$19)))</f>
        <v>16</v>
      </c>
      <c r="P257" s="264">
        <f ca="1">IF(ISBLANK(H257), "", IF(ISNUMBER(M257), NETWORKDAYS(H257, M257, Holidays!$D$4:$D$19), NETWORKDAYS(H257, TODAY(), Holidays!$D$4:$D$19)))</f>
        <v>-3</v>
      </c>
      <c r="Q257" s="761" t="s">
        <v>26</v>
      </c>
      <c r="R257" s="700"/>
      <c r="S257" s="701"/>
      <c r="T257" s="701"/>
      <c r="U257" s="701"/>
      <c r="V257" s="701"/>
      <c r="W257" s="162"/>
      <c r="X257" s="701"/>
    </row>
    <row r="258" spans="2:24" ht="28.9">
      <c r="B258" s="762" t="s">
        <v>490</v>
      </c>
      <c r="C258" s="703" t="s">
        <v>293</v>
      </c>
      <c r="D258" s="118" t="s">
        <v>491</v>
      </c>
      <c r="E258" s="752" t="s">
        <v>104</v>
      </c>
      <c r="F258" s="701" t="s">
        <v>186</v>
      </c>
      <c r="G258" s="701" t="s">
        <v>438</v>
      </c>
      <c r="H258" s="753">
        <v>45945</v>
      </c>
      <c r="I258" s="754"/>
      <c r="J258" s="752" t="s">
        <v>27</v>
      </c>
      <c r="K258" s="81" t="s">
        <v>494</v>
      </c>
      <c r="L258" s="408">
        <v>45922</v>
      </c>
      <c r="M258" s="409">
        <v>45945</v>
      </c>
      <c r="N258" s="755" t="s">
        <v>29</v>
      </c>
      <c r="O258" s="204">
        <f ca="1">IF(ISBLANK(L258), "", IF(ISNUMBER(M258), NETWORKDAYS(L258, M258, Holidays!$D$4:$D$19), NETWORKDAYS(L258, TODAY(), Holidays!$D$4:$D$19)))</f>
        <v>18</v>
      </c>
      <c r="P258" s="763">
        <f ca="1">IF(ISBLANK(H258), "", IF(ISNUMBER(M258), NETWORKDAYS(H258, M258, Holidays!$D$4:$D$19), NETWORKDAYS(H258, TODAY(), Holidays!$D$4:$D$19)))</f>
        <v>1</v>
      </c>
      <c r="Q258" s="764" t="s">
        <v>26</v>
      </c>
      <c r="R258" s="700"/>
      <c r="S258" s="701"/>
      <c r="T258" s="701"/>
      <c r="U258" s="701"/>
      <c r="V258" s="701"/>
      <c r="W258" s="162"/>
      <c r="X258" s="701"/>
    </row>
    <row r="259" spans="2:24" ht="28.9">
      <c r="B259" s="762" t="s">
        <v>490</v>
      </c>
      <c r="C259" s="703" t="s">
        <v>293</v>
      </c>
      <c r="D259" s="118" t="s">
        <v>491</v>
      </c>
      <c r="E259" s="752" t="s">
        <v>104</v>
      </c>
      <c r="F259" s="701" t="s">
        <v>186</v>
      </c>
      <c r="G259" s="701" t="s">
        <v>438</v>
      </c>
      <c r="H259" s="753">
        <v>45945</v>
      </c>
      <c r="I259" s="754"/>
      <c r="J259" s="752" t="s">
        <v>27</v>
      </c>
      <c r="K259" s="81" t="s">
        <v>495</v>
      </c>
      <c r="L259" s="408">
        <v>45922</v>
      </c>
      <c r="M259" s="409">
        <v>45934</v>
      </c>
      <c r="N259" s="755" t="s">
        <v>29</v>
      </c>
      <c r="O259" s="204">
        <f ca="1">IF(ISBLANK(L259), "", IF(ISNUMBER(M259), NETWORKDAYS(L259, M259, Holidays!$D$4:$D$19), NETWORKDAYS(L259, TODAY(), Holidays!$D$4:$D$19)))</f>
        <v>10</v>
      </c>
      <c r="P259" s="763">
        <f ca="1">IF(ISBLANK(H259), "", IF(ISNUMBER(M259), NETWORKDAYS(H259, M259, Holidays!$D$4:$D$19), NETWORKDAYS(H259, TODAY(), Holidays!$D$4:$D$19)))</f>
        <v>-8</v>
      </c>
      <c r="Q259" s="764" t="s">
        <v>26</v>
      </c>
      <c r="R259" s="700"/>
      <c r="S259" s="701"/>
      <c r="T259" s="701"/>
      <c r="U259" s="701"/>
      <c r="V259" s="701"/>
      <c r="W259" s="162"/>
      <c r="X259" s="701"/>
    </row>
    <row r="260" spans="2:24" ht="28.9">
      <c r="B260" s="765" t="s">
        <v>490</v>
      </c>
      <c r="C260" s="710" t="s">
        <v>293</v>
      </c>
      <c r="D260" s="419" t="s">
        <v>491</v>
      </c>
      <c r="E260" s="742" t="s">
        <v>104</v>
      </c>
      <c r="F260" s="743" t="s">
        <v>186</v>
      </c>
      <c r="G260" s="743" t="s">
        <v>438</v>
      </c>
      <c r="H260" s="744">
        <v>45945</v>
      </c>
      <c r="I260" s="271"/>
      <c r="J260" s="742" t="s">
        <v>27</v>
      </c>
      <c r="K260" s="89" t="s">
        <v>496</v>
      </c>
      <c r="L260" s="274">
        <v>45922</v>
      </c>
      <c r="M260" s="275">
        <v>45943</v>
      </c>
      <c r="N260" s="712" t="s">
        <v>29</v>
      </c>
      <c r="O260" s="342">
        <f ca="1">IF(ISBLANK(L260), "", IF(ISNUMBER(M260), NETWORKDAYS(L260, M260, Holidays!$D$4:$D$19), NETWORKDAYS(L260, TODAY(), Holidays!$D$4:$D$19)))</f>
        <v>16</v>
      </c>
      <c r="P260" s="766">
        <f ca="1">IF(ISBLANK(H260), "", IF(ISNUMBER(M260), NETWORKDAYS(H260, M260, Holidays!$D$4:$D$19), NETWORKDAYS(H260, TODAY(), Holidays!$D$4:$D$19)))</f>
        <v>-3</v>
      </c>
      <c r="Q260" s="767" t="s">
        <v>26</v>
      </c>
      <c r="R260" s="700"/>
      <c r="S260" s="701"/>
      <c r="T260" s="701"/>
      <c r="U260" s="701"/>
      <c r="V260" s="701"/>
      <c r="W260" s="162"/>
      <c r="X260" s="701"/>
    </row>
    <row r="261" spans="2:24" ht="28.9">
      <c r="B261" s="673" t="s">
        <v>490</v>
      </c>
      <c r="C261" s="674" t="s">
        <v>282</v>
      </c>
      <c r="D261" s="157" t="s">
        <v>491</v>
      </c>
      <c r="E261" s="714" t="s">
        <v>104</v>
      </c>
      <c r="F261" s="715" t="s">
        <v>37</v>
      </c>
      <c r="G261" s="715" t="s">
        <v>438</v>
      </c>
      <c r="H261" s="716">
        <v>45945</v>
      </c>
      <c r="I261" s="717"/>
      <c r="J261" s="714" t="s">
        <v>27</v>
      </c>
      <c r="K261" s="715" t="s">
        <v>497</v>
      </c>
      <c r="L261" s="510">
        <v>45919</v>
      </c>
      <c r="M261" s="563">
        <v>45945</v>
      </c>
      <c r="N261" s="715" t="s">
        <v>29</v>
      </c>
      <c r="O261" s="157">
        <f ca="1">IF(ISBLANK(L261), "", IF(ISNUMBER(M261), NETWORKDAYS(L261, M261, Holidays!$D$4:$D$19), NETWORKDAYS(L261, TODAY(), Holidays!$D$4:$D$19)))</f>
        <v>19</v>
      </c>
      <c r="P261" s="157">
        <f ca="1">IF(ISBLANK(H261), "", IF(ISNUMBER(M261), NETWORKDAYS(H261, M261, Holidays!$D$4:$D$19), NETWORKDAYS(H261, TODAY(), Holidays!$D$4:$D$19)))</f>
        <v>1</v>
      </c>
      <c r="Q261" s="768" t="s">
        <v>26</v>
      </c>
      <c r="R261" s="700"/>
      <c r="S261" s="701"/>
      <c r="T261" s="701"/>
      <c r="U261" s="701"/>
      <c r="V261" s="701"/>
      <c r="W261" s="162"/>
      <c r="X261" s="701"/>
    </row>
    <row r="262" spans="2:24" ht="28.9">
      <c r="B262" s="541" t="s">
        <v>490</v>
      </c>
      <c r="C262" s="542" t="s">
        <v>282</v>
      </c>
      <c r="D262" s="231" t="s">
        <v>491</v>
      </c>
      <c r="E262" s="718" t="s">
        <v>104</v>
      </c>
      <c r="F262" s="231" t="s">
        <v>37</v>
      </c>
      <c r="G262" s="231" t="s">
        <v>438</v>
      </c>
      <c r="H262" s="544">
        <v>45945</v>
      </c>
      <c r="I262" s="545"/>
      <c r="J262" s="718" t="s">
        <v>40</v>
      </c>
      <c r="K262" s="231" t="s">
        <v>498</v>
      </c>
      <c r="L262" s="212">
        <v>45918</v>
      </c>
      <c r="M262" s="83">
        <v>45938</v>
      </c>
      <c r="N262" s="231" t="s">
        <v>29</v>
      </c>
      <c r="O262" s="204">
        <f ca="1">IF(ISBLANK(L262), "", IF(ISNUMBER(M262), NETWORKDAYS(L262, M262, Holidays!$D$4:$D$19), NETWORKDAYS(L262, TODAY(), Holidays!$D$4:$D$19)))</f>
        <v>15</v>
      </c>
      <c r="P262" s="204">
        <f ca="1">IF(ISBLANK(H262), "", IF(ISNUMBER(M262), NETWORKDAYS(H262, M262, Holidays!$D$4:$D$19), NETWORKDAYS(H262, TODAY(), Holidays!$D$4:$D$19)))</f>
        <v>-6</v>
      </c>
      <c r="Q262" s="437" t="s">
        <v>26</v>
      </c>
      <c r="R262" s="700"/>
      <c r="S262" s="701"/>
      <c r="T262" s="701"/>
      <c r="U262" s="701"/>
      <c r="V262" s="701"/>
      <c r="W262" s="162"/>
      <c r="X262" s="701"/>
    </row>
    <row r="263" spans="2:24" ht="28.9">
      <c r="B263" s="541" t="s">
        <v>490</v>
      </c>
      <c r="C263" s="542" t="s">
        <v>282</v>
      </c>
      <c r="D263" s="231" t="s">
        <v>491</v>
      </c>
      <c r="E263" s="718" t="s">
        <v>104</v>
      </c>
      <c r="F263" s="231" t="s">
        <v>37</v>
      </c>
      <c r="G263" s="231" t="s">
        <v>438</v>
      </c>
      <c r="H263" s="544">
        <v>45945</v>
      </c>
      <c r="I263" s="545"/>
      <c r="J263" s="718" t="s">
        <v>27</v>
      </c>
      <c r="K263" s="231" t="s">
        <v>499</v>
      </c>
      <c r="L263" s="212">
        <v>45918</v>
      </c>
      <c r="M263" s="83">
        <v>45933</v>
      </c>
      <c r="N263" s="231" t="s">
        <v>29</v>
      </c>
      <c r="O263" s="204">
        <f ca="1">IF(ISBLANK(L263), "", IF(ISNUMBER(M263), NETWORKDAYS(L263, M263, Holidays!$D$4:$D$19), NETWORKDAYS(L263, TODAY(), Holidays!$D$4:$D$19)))</f>
        <v>12</v>
      </c>
      <c r="P263" s="204">
        <f ca="1">IF(ISBLANK(H263), "", IF(ISNUMBER(M263), NETWORKDAYS(H263, M263, Holidays!$D$4:$D$19), NETWORKDAYS(H263, TODAY(), Holidays!$D$4:$D$19)))</f>
        <v>-9</v>
      </c>
      <c r="Q263" s="437" t="s">
        <v>26</v>
      </c>
      <c r="R263" s="700"/>
      <c r="S263" s="701"/>
      <c r="T263" s="701"/>
      <c r="U263" s="701"/>
      <c r="V263" s="701"/>
      <c r="W263" s="162"/>
      <c r="X263" s="701"/>
    </row>
    <row r="264" spans="2:24" ht="28.9">
      <c r="B264" s="769" t="s">
        <v>490</v>
      </c>
      <c r="C264" s="542" t="s">
        <v>282</v>
      </c>
      <c r="D264" s="231" t="s">
        <v>491</v>
      </c>
      <c r="E264" s="718" t="s">
        <v>104</v>
      </c>
      <c r="F264" s="231" t="s">
        <v>37</v>
      </c>
      <c r="G264" s="231" t="s">
        <v>500</v>
      </c>
      <c r="H264" s="544">
        <v>45945</v>
      </c>
      <c r="I264" s="545"/>
      <c r="J264" s="718" t="s">
        <v>40</v>
      </c>
      <c r="K264" s="231" t="s">
        <v>501</v>
      </c>
      <c r="L264" s="212">
        <v>45918</v>
      </c>
      <c r="M264" s="83">
        <v>45932</v>
      </c>
      <c r="N264" s="231" t="s">
        <v>29</v>
      </c>
      <c r="O264" s="204">
        <f ca="1">IF(ISBLANK(L264), "", IF(ISNUMBER(M264), NETWORKDAYS(L264, M264, Holidays!$D$4:$D$19), NETWORKDAYS(L264, TODAY(), Holidays!$D$4:$D$19)))</f>
        <v>11</v>
      </c>
      <c r="P264" s="204">
        <f ca="1">IF(ISBLANK(H264), "", IF(ISNUMBER(M264), NETWORKDAYS(H264, M264, Holidays!$D$4:$D$19), NETWORKDAYS(H264, TODAY(), Holidays!$D$4:$D$19)))</f>
        <v>-10</v>
      </c>
      <c r="Q264" s="437" t="s">
        <v>26</v>
      </c>
      <c r="R264" s="700"/>
      <c r="S264" s="701"/>
      <c r="T264" s="701"/>
      <c r="U264" s="701"/>
      <c r="V264" s="701"/>
      <c r="W264" s="162"/>
      <c r="X264" s="701"/>
    </row>
    <row r="265" spans="2:24" ht="28.9">
      <c r="B265" s="769" t="s">
        <v>490</v>
      </c>
      <c r="C265" s="542" t="s">
        <v>282</v>
      </c>
      <c r="D265" s="231" t="s">
        <v>491</v>
      </c>
      <c r="E265" s="718" t="s">
        <v>104</v>
      </c>
      <c r="F265" s="231" t="s">
        <v>37</v>
      </c>
      <c r="G265" s="231" t="s">
        <v>502</v>
      </c>
      <c r="H265" s="544">
        <v>45945</v>
      </c>
      <c r="I265" s="545"/>
      <c r="J265" s="718" t="s">
        <v>40</v>
      </c>
      <c r="K265" s="231" t="s">
        <v>503</v>
      </c>
      <c r="L265" s="212">
        <v>45918</v>
      </c>
      <c r="M265" s="83">
        <v>45932</v>
      </c>
      <c r="N265" s="231" t="s">
        <v>29</v>
      </c>
      <c r="O265" s="204">
        <f ca="1">IF(ISBLANK(L265), "", IF(ISNUMBER(M265), NETWORKDAYS(L265, M265, Holidays!$D$4:$D$19), NETWORKDAYS(L265, TODAY(), Holidays!$D$4:$D$19)))</f>
        <v>11</v>
      </c>
      <c r="P265" s="204">
        <f ca="1">IF(ISBLANK(H265), "", IF(ISNUMBER(M265), NETWORKDAYS(H265, M265, Holidays!$D$4:$D$19), NETWORKDAYS(H265, TODAY(), Holidays!$D$4:$D$19)))</f>
        <v>-10</v>
      </c>
      <c r="Q265" s="437" t="s">
        <v>26</v>
      </c>
      <c r="R265" s="700"/>
      <c r="S265" s="701"/>
      <c r="T265" s="701"/>
      <c r="U265" s="701"/>
      <c r="V265" s="701"/>
      <c r="W265" s="162"/>
      <c r="X265" s="701"/>
    </row>
    <row r="266" spans="2:24" ht="28.9">
      <c r="B266" s="769" t="s">
        <v>490</v>
      </c>
      <c r="C266" s="542" t="s">
        <v>282</v>
      </c>
      <c r="D266" s="231" t="s">
        <v>491</v>
      </c>
      <c r="E266" s="718" t="s">
        <v>104</v>
      </c>
      <c r="F266" s="231" t="s">
        <v>37</v>
      </c>
      <c r="G266" s="231" t="s">
        <v>504</v>
      </c>
      <c r="H266" s="544">
        <v>45945</v>
      </c>
      <c r="I266" s="545"/>
      <c r="J266" s="718" t="s">
        <v>40</v>
      </c>
      <c r="K266" s="231" t="s">
        <v>505</v>
      </c>
      <c r="L266" s="212">
        <v>45919</v>
      </c>
      <c r="M266" s="83">
        <v>45929</v>
      </c>
      <c r="N266" s="231" t="s">
        <v>46</v>
      </c>
      <c r="O266" s="204">
        <f ca="1">IF(ISBLANK(L266), "", IF(ISNUMBER(M266), NETWORKDAYS(L266, M266, Holidays!$D$4:$D$19), NETWORKDAYS(L266, TODAY(), Holidays!$D$4:$D$19)))</f>
        <v>7</v>
      </c>
      <c r="P266" s="204">
        <f ca="1">IF(ISBLANK(H266), "", IF(ISNUMBER(M266), NETWORKDAYS(H266, M266, Holidays!$D$4:$D$19), NETWORKDAYS(H266, TODAY(), Holidays!$D$4:$D$19)))</f>
        <v>-13</v>
      </c>
      <c r="Q266" s="437" t="s">
        <v>60</v>
      </c>
      <c r="R266" s="700"/>
      <c r="S266" s="701"/>
      <c r="T266" s="701"/>
      <c r="U266" s="701"/>
      <c r="V266" s="701"/>
      <c r="W266" s="162"/>
      <c r="X266" s="701"/>
    </row>
    <row r="267" spans="2:24" ht="28.9">
      <c r="B267" s="769" t="s">
        <v>490</v>
      </c>
      <c r="C267" s="542" t="s">
        <v>282</v>
      </c>
      <c r="D267" s="231" t="s">
        <v>491</v>
      </c>
      <c r="E267" s="718" t="s">
        <v>104</v>
      </c>
      <c r="F267" s="231" t="s">
        <v>37</v>
      </c>
      <c r="G267" s="231" t="s">
        <v>506</v>
      </c>
      <c r="H267" s="544">
        <v>45945</v>
      </c>
      <c r="I267" s="545"/>
      <c r="J267" s="718" t="s">
        <v>27</v>
      </c>
      <c r="K267" s="231" t="s">
        <v>507</v>
      </c>
      <c r="L267" s="212">
        <v>45918</v>
      </c>
      <c r="M267" s="83">
        <v>45943</v>
      </c>
      <c r="N267" s="231" t="s">
        <v>29</v>
      </c>
      <c r="O267" s="204">
        <f ca="1">IF(ISBLANK(L267), "", IF(ISNUMBER(M267), NETWORKDAYS(L267, M267, Holidays!$D$4:$D$19), NETWORKDAYS(L267, TODAY(), Holidays!$D$4:$D$19)))</f>
        <v>18</v>
      </c>
      <c r="P267" s="204">
        <f ca="1">IF(ISBLANK(H267), "", IF(ISNUMBER(M267), NETWORKDAYS(H267, M267, Holidays!$D$4:$D$19), NETWORKDAYS(H267, TODAY(), Holidays!$D$4:$D$19)))</f>
        <v>-3</v>
      </c>
      <c r="Q267" s="437" t="s">
        <v>26</v>
      </c>
      <c r="R267" s="700"/>
      <c r="S267" s="701"/>
      <c r="T267" s="701"/>
      <c r="U267" s="701"/>
      <c r="V267" s="701"/>
      <c r="W267" s="162"/>
      <c r="X267" s="701"/>
    </row>
    <row r="268" spans="2:24" ht="28.9">
      <c r="B268" s="769" t="s">
        <v>490</v>
      </c>
      <c r="C268" s="542" t="s">
        <v>282</v>
      </c>
      <c r="D268" s="231" t="s">
        <v>491</v>
      </c>
      <c r="E268" s="718" t="s">
        <v>104</v>
      </c>
      <c r="F268" s="231" t="s">
        <v>37</v>
      </c>
      <c r="G268" s="231" t="s">
        <v>508</v>
      </c>
      <c r="H268" s="544">
        <v>45945</v>
      </c>
      <c r="I268" s="545"/>
      <c r="J268" s="718" t="s">
        <v>27</v>
      </c>
      <c r="K268" s="231" t="s">
        <v>509</v>
      </c>
      <c r="L268" s="212">
        <v>45918</v>
      </c>
      <c r="M268" s="83">
        <v>45939</v>
      </c>
      <c r="N268" s="231" t="s">
        <v>29</v>
      </c>
      <c r="O268" s="204">
        <f ca="1">IF(ISBLANK(L268), "", IF(ISNUMBER(M268), NETWORKDAYS(L268, M268, Holidays!$D$4:$D$19), NETWORKDAYS(L268, TODAY(), Holidays!$D$4:$D$19)))</f>
        <v>16</v>
      </c>
      <c r="P268" s="204">
        <f ca="1">IF(ISBLANK(H268), "", IF(ISNUMBER(M268), NETWORKDAYS(H268, M268, Holidays!$D$4:$D$19), NETWORKDAYS(H268, TODAY(), Holidays!$D$4:$D$19)))</f>
        <v>-5</v>
      </c>
      <c r="Q268" s="437" t="s">
        <v>26</v>
      </c>
      <c r="R268" s="700"/>
      <c r="S268" s="701"/>
      <c r="T268" s="701"/>
      <c r="U268" s="701"/>
      <c r="V268" s="701"/>
      <c r="W268" s="162"/>
      <c r="X268" s="701"/>
    </row>
    <row r="269" spans="2:24" ht="28.9">
      <c r="B269" s="769" t="s">
        <v>490</v>
      </c>
      <c r="C269" s="542" t="s">
        <v>282</v>
      </c>
      <c r="D269" s="231" t="s">
        <v>491</v>
      </c>
      <c r="E269" s="718" t="s">
        <v>104</v>
      </c>
      <c r="F269" s="231" t="s">
        <v>37</v>
      </c>
      <c r="G269" s="231" t="s">
        <v>510</v>
      </c>
      <c r="H269" s="544">
        <v>45945</v>
      </c>
      <c r="I269" s="545"/>
      <c r="J269" s="718" t="s">
        <v>27</v>
      </c>
      <c r="K269" s="231" t="s">
        <v>511</v>
      </c>
      <c r="L269" s="212">
        <v>45918</v>
      </c>
      <c r="M269" s="83">
        <v>45943</v>
      </c>
      <c r="N269" s="231" t="s">
        <v>29</v>
      </c>
      <c r="O269" s="204">
        <f ca="1">IF(ISBLANK(L269), "", IF(ISNUMBER(M269), NETWORKDAYS(L269, M269, Holidays!$D$4:$D$19), NETWORKDAYS(L269, TODAY(), Holidays!$D$4:$D$19)))</f>
        <v>18</v>
      </c>
      <c r="P269" s="204">
        <f ca="1">IF(ISBLANK(H269), "", IF(ISNUMBER(M269), NETWORKDAYS(H269, M269, Holidays!$D$4:$D$19), NETWORKDAYS(H269, TODAY(), Holidays!$D$4:$D$19)))</f>
        <v>-3</v>
      </c>
      <c r="Q269" s="437" t="s">
        <v>26</v>
      </c>
      <c r="R269" s="700"/>
      <c r="S269" s="701"/>
      <c r="T269" s="701"/>
      <c r="U269" s="701"/>
      <c r="V269" s="701"/>
      <c r="W269" s="162"/>
      <c r="X269" s="701"/>
    </row>
    <row r="270" spans="2:24" ht="28.9">
      <c r="B270" s="769" t="s">
        <v>490</v>
      </c>
      <c r="C270" s="542" t="s">
        <v>282</v>
      </c>
      <c r="D270" s="231" t="s">
        <v>491</v>
      </c>
      <c r="E270" s="718" t="s">
        <v>104</v>
      </c>
      <c r="F270" s="231" t="s">
        <v>37</v>
      </c>
      <c r="G270" s="231" t="s">
        <v>512</v>
      </c>
      <c r="H270" s="544">
        <v>45945</v>
      </c>
      <c r="I270" s="545"/>
      <c r="J270" s="718" t="s">
        <v>27</v>
      </c>
      <c r="K270" s="231" t="s">
        <v>513</v>
      </c>
      <c r="L270" s="212">
        <v>45919</v>
      </c>
      <c r="M270" s="83">
        <v>45929</v>
      </c>
      <c r="N270" s="231" t="s">
        <v>29</v>
      </c>
      <c r="O270" s="204">
        <f ca="1">IF(ISBLANK(L270), "", IF(ISNUMBER(M270), NETWORKDAYS(L270, M270, Holidays!$D$4:$D$19), NETWORKDAYS(L270, TODAY(), Holidays!$D$4:$D$19)))</f>
        <v>7</v>
      </c>
      <c r="P270" s="204">
        <f ca="1">IF(ISBLANK(H270), "", IF(ISNUMBER(M270), NETWORKDAYS(H270, M270, Holidays!$D$4:$D$19), NETWORKDAYS(H270, TODAY(), Holidays!$D$4:$D$19)))</f>
        <v>-13</v>
      </c>
      <c r="Q270" s="437" t="s">
        <v>26</v>
      </c>
      <c r="R270" s="700"/>
      <c r="S270" s="701"/>
      <c r="T270" s="701"/>
      <c r="U270" s="701"/>
      <c r="V270" s="701"/>
      <c r="W270" s="162"/>
      <c r="X270" s="701"/>
    </row>
    <row r="271" spans="2:24" ht="28.9">
      <c r="B271" s="769" t="s">
        <v>490</v>
      </c>
      <c r="C271" s="542" t="s">
        <v>282</v>
      </c>
      <c r="D271" s="231" t="s">
        <v>491</v>
      </c>
      <c r="E271" s="718" t="s">
        <v>104</v>
      </c>
      <c r="F271" s="231" t="s">
        <v>37</v>
      </c>
      <c r="G271" s="231" t="s">
        <v>514</v>
      </c>
      <c r="H271" s="544">
        <v>45945</v>
      </c>
      <c r="I271" s="545"/>
      <c r="J271" s="718" t="s">
        <v>27</v>
      </c>
      <c r="K271" s="231" t="s">
        <v>515</v>
      </c>
      <c r="L271" s="212">
        <v>45919</v>
      </c>
      <c r="M271" s="83">
        <v>45943</v>
      </c>
      <c r="N271" s="231" t="s">
        <v>29</v>
      </c>
      <c r="O271" s="204">
        <f ca="1">IF(ISBLANK(L271), "", IF(ISNUMBER(M271), NETWORKDAYS(L271, M271, Holidays!$D$4:$D$19), NETWORKDAYS(L271, TODAY(), Holidays!$D$4:$D$19)))</f>
        <v>17</v>
      </c>
      <c r="P271" s="204">
        <f ca="1">IF(ISBLANK(H271), "", IF(ISNUMBER(M271), NETWORKDAYS(H271, M271, Holidays!$D$4:$D$19), NETWORKDAYS(H271, TODAY(), Holidays!$D$4:$D$19)))</f>
        <v>-3</v>
      </c>
      <c r="Q271" s="437" t="s">
        <v>26</v>
      </c>
      <c r="R271" s="700"/>
      <c r="S271" s="701"/>
      <c r="T271" s="701"/>
      <c r="U271" s="701"/>
      <c r="V271" s="701"/>
      <c r="W271" s="162"/>
      <c r="X271" s="701"/>
    </row>
    <row r="272" spans="2:24" ht="28.9">
      <c r="B272" s="769" t="s">
        <v>490</v>
      </c>
      <c r="C272" s="542" t="s">
        <v>282</v>
      </c>
      <c r="D272" s="231" t="s">
        <v>491</v>
      </c>
      <c r="E272" s="718" t="s">
        <v>104</v>
      </c>
      <c r="F272" s="231" t="s">
        <v>37</v>
      </c>
      <c r="G272" s="231" t="s">
        <v>516</v>
      </c>
      <c r="H272" s="544">
        <v>45945</v>
      </c>
      <c r="I272" s="545"/>
      <c r="J272" s="718" t="s">
        <v>27</v>
      </c>
      <c r="K272" s="231" t="s">
        <v>517</v>
      </c>
      <c r="L272" s="212">
        <v>45919</v>
      </c>
      <c r="M272" s="83">
        <v>45943</v>
      </c>
      <c r="N272" s="231" t="s">
        <v>29</v>
      </c>
      <c r="O272" s="204">
        <f ca="1">IF(ISBLANK(L272), "", IF(ISNUMBER(M272), NETWORKDAYS(L272, M272, Holidays!$D$4:$D$19), NETWORKDAYS(L272, TODAY(), Holidays!$D$4:$D$19)))</f>
        <v>17</v>
      </c>
      <c r="P272" s="204">
        <f ca="1">IF(ISBLANK(H272), "", IF(ISNUMBER(M272), NETWORKDAYS(H272, M272, Holidays!$D$4:$D$19), NETWORKDAYS(H272, TODAY(), Holidays!$D$4:$D$19)))</f>
        <v>-3</v>
      </c>
      <c r="Q272" s="437" t="s">
        <v>26</v>
      </c>
      <c r="R272" s="700"/>
      <c r="S272" s="701"/>
      <c r="T272" s="701"/>
      <c r="U272" s="701"/>
      <c r="V272" s="701"/>
      <c r="W272" s="162"/>
      <c r="X272" s="701"/>
    </row>
    <row r="273" spans="2:24" ht="28.9">
      <c r="B273" s="769" t="s">
        <v>490</v>
      </c>
      <c r="C273" s="542" t="s">
        <v>282</v>
      </c>
      <c r="D273" s="231" t="s">
        <v>491</v>
      </c>
      <c r="E273" s="718" t="s">
        <v>104</v>
      </c>
      <c r="F273" s="231" t="s">
        <v>37</v>
      </c>
      <c r="G273" s="231" t="s">
        <v>518</v>
      </c>
      <c r="H273" s="544">
        <v>45945</v>
      </c>
      <c r="I273" s="545"/>
      <c r="J273" s="718" t="s">
        <v>27</v>
      </c>
      <c r="K273" s="231" t="s">
        <v>519</v>
      </c>
      <c r="L273" s="212">
        <v>45919</v>
      </c>
      <c r="M273" s="83">
        <v>45943</v>
      </c>
      <c r="N273" s="231" t="s">
        <v>29</v>
      </c>
      <c r="O273" s="204">
        <f ca="1">IF(ISBLANK(L273), "", IF(ISNUMBER(M273), NETWORKDAYS(L273, M273, Holidays!$D$4:$D$19), NETWORKDAYS(L273, TODAY(), Holidays!$D$4:$D$19)))</f>
        <v>17</v>
      </c>
      <c r="P273" s="204">
        <f ca="1">IF(ISBLANK(H273), "", IF(ISNUMBER(M273), NETWORKDAYS(H273, M273, Holidays!$D$4:$D$19), NETWORKDAYS(H273, TODAY(), Holidays!$D$4:$D$19)))</f>
        <v>-3</v>
      </c>
      <c r="Q273" s="437" t="s">
        <v>26</v>
      </c>
      <c r="R273" s="700"/>
      <c r="S273" s="701"/>
      <c r="T273" s="701"/>
      <c r="U273" s="701"/>
      <c r="V273" s="701"/>
      <c r="W273" s="162"/>
      <c r="X273" s="701"/>
    </row>
    <row r="274" spans="2:24" ht="28.9">
      <c r="B274" s="769" t="s">
        <v>490</v>
      </c>
      <c r="C274" s="542" t="s">
        <v>282</v>
      </c>
      <c r="D274" s="231" t="s">
        <v>491</v>
      </c>
      <c r="E274" s="718" t="s">
        <v>104</v>
      </c>
      <c r="F274" s="231" t="s">
        <v>37</v>
      </c>
      <c r="G274" s="231" t="s">
        <v>520</v>
      </c>
      <c r="H274" s="544">
        <v>45945</v>
      </c>
      <c r="I274" s="545"/>
      <c r="J274" s="718" t="s">
        <v>27</v>
      </c>
      <c r="K274" s="231" t="s">
        <v>521</v>
      </c>
      <c r="L274" s="212">
        <v>45919</v>
      </c>
      <c r="M274" s="83">
        <v>45945</v>
      </c>
      <c r="N274" s="231" t="s">
        <v>29</v>
      </c>
      <c r="O274" s="204">
        <f ca="1">IF(ISBLANK(L274), "", IF(ISNUMBER(M274), NETWORKDAYS(L274, M274, Holidays!$D$4:$D$19), NETWORKDAYS(L274, TODAY(), Holidays!$D$4:$D$19)))</f>
        <v>19</v>
      </c>
      <c r="P274" s="204">
        <f ca="1">IF(ISBLANK(H274), "", IF(ISNUMBER(M274), NETWORKDAYS(H274, M274, Holidays!$D$4:$D$19), NETWORKDAYS(H274, TODAY(), Holidays!$D$4:$D$19)))</f>
        <v>1</v>
      </c>
      <c r="Q274" s="437" t="s">
        <v>26</v>
      </c>
      <c r="R274" s="700"/>
      <c r="S274" s="701"/>
      <c r="T274" s="701"/>
      <c r="U274" s="701"/>
      <c r="V274" s="701"/>
      <c r="W274" s="162"/>
      <c r="X274" s="701"/>
    </row>
    <row r="275" spans="2:24" ht="28.9">
      <c r="B275" s="769" t="s">
        <v>490</v>
      </c>
      <c r="C275" s="542" t="s">
        <v>282</v>
      </c>
      <c r="D275" s="231" t="s">
        <v>491</v>
      </c>
      <c r="E275" s="718" t="s">
        <v>104</v>
      </c>
      <c r="F275" s="231" t="s">
        <v>37</v>
      </c>
      <c r="G275" s="231" t="s">
        <v>522</v>
      </c>
      <c r="H275" s="544">
        <v>45945</v>
      </c>
      <c r="I275" s="545"/>
      <c r="J275" s="718" t="s">
        <v>27</v>
      </c>
      <c r="K275" s="231" t="s">
        <v>523</v>
      </c>
      <c r="L275" s="212">
        <v>45919</v>
      </c>
      <c r="M275" s="83">
        <v>45945</v>
      </c>
      <c r="N275" s="231" t="s">
        <v>29</v>
      </c>
      <c r="O275" s="204">
        <f ca="1">IF(ISBLANK(L275), "", IF(ISNUMBER(M275), NETWORKDAYS(L275, M275, Holidays!$D$4:$D$19), NETWORKDAYS(L275, TODAY(), Holidays!$D$4:$D$19)))</f>
        <v>19</v>
      </c>
      <c r="P275" s="204">
        <f ca="1">IF(ISBLANK(H275), "", IF(ISNUMBER(M275), NETWORKDAYS(H275, M275, Holidays!$D$4:$D$19), NETWORKDAYS(H275, TODAY(), Holidays!$D$4:$D$19)))</f>
        <v>1</v>
      </c>
      <c r="Q275" s="437" t="s">
        <v>26</v>
      </c>
      <c r="R275" s="700"/>
      <c r="S275" s="701"/>
      <c r="T275" s="701"/>
      <c r="U275" s="701"/>
      <c r="V275" s="701"/>
      <c r="W275" s="162"/>
      <c r="X275" s="701"/>
    </row>
    <row r="276" spans="2:24" ht="28.9">
      <c r="B276" s="769" t="s">
        <v>490</v>
      </c>
      <c r="C276" s="542" t="s">
        <v>282</v>
      </c>
      <c r="D276" s="231" t="s">
        <v>491</v>
      </c>
      <c r="E276" s="718" t="s">
        <v>104</v>
      </c>
      <c r="F276" s="231" t="s">
        <v>37</v>
      </c>
      <c r="G276" s="231" t="s">
        <v>524</v>
      </c>
      <c r="H276" s="544">
        <v>45945</v>
      </c>
      <c r="I276" s="545"/>
      <c r="J276" s="718" t="s">
        <v>27</v>
      </c>
      <c r="K276" s="231" t="s">
        <v>525</v>
      </c>
      <c r="L276" s="212">
        <v>45922</v>
      </c>
      <c r="M276" s="83">
        <v>45945</v>
      </c>
      <c r="N276" s="231" t="s">
        <v>29</v>
      </c>
      <c r="O276" s="204">
        <f ca="1">IF(ISBLANK(L276), "", IF(ISNUMBER(M276), NETWORKDAYS(L276, M276, Holidays!$D$4:$D$19), NETWORKDAYS(L276, TODAY(), Holidays!$D$4:$D$19)))</f>
        <v>18</v>
      </c>
      <c r="P276" s="204">
        <f ca="1">IF(ISBLANK(H276), "", IF(ISNUMBER(M276), NETWORKDAYS(H276, M276, Holidays!$D$4:$D$19), NETWORKDAYS(H276, TODAY(), Holidays!$D$4:$D$19)))</f>
        <v>1</v>
      </c>
      <c r="Q276" s="437" t="s">
        <v>26</v>
      </c>
      <c r="R276" s="700"/>
      <c r="S276" s="701"/>
      <c r="T276" s="701"/>
      <c r="U276" s="701"/>
      <c r="V276" s="701"/>
      <c r="W276" s="162"/>
      <c r="X276" s="701"/>
    </row>
    <row r="277" spans="2:24" ht="28.9">
      <c r="B277" s="769" t="s">
        <v>490</v>
      </c>
      <c r="C277" s="542" t="s">
        <v>282</v>
      </c>
      <c r="D277" s="231" t="s">
        <v>491</v>
      </c>
      <c r="E277" s="718" t="s">
        <v>104</v>
      </c>
      <c r="F277" s="231" t="s">
        <v>37</v>
      </c>
      <c r="G277" s="231" t="s">
        <v>526</v>
      </c>
      <c r="H277" s="544">
        <v>45945</v>
      </c>
      <c r="I277" s="545"/>
      <c r="J277" s="718" t="s">
        <v>27</v>
      </c>
      <c r="K277" s="231" t="s">
        <v>527</v>
      </c>
      <c r="L277" s="212">
        <v>45918</v>
      </c>
      <c r="M277" s="83">
        <v>45938</v>
      </c>
      <c r="N277" s="231" t="s">
        <v>29</v>
      </c>
      <c r="O277" s="204">
        <f ca="1">IF(ISBLANK(L277), "", IF(ISNUMBER(M277), NETWORKDAYS(L277, M277, Holidays!$D$4:$D$19), NETWORKDAYS(L277, TODAY(), Holidays!$D$4:$D$19)))</f>
        <v>15</v>
      </c>
      <c r="P277" s="204">
        <f ca="1">IF(ISBLANK(H277), "", IF(ISNUMBER(M277), NETWORKDAYS(H277, M277, Holidays!$D$4:$D$19), NETWORKDAYS(H277, TODAY(), Holidays!$D$4:$D$19)))</f>
        <v>-6</v>
      </c>
      <c r="Q277" s="437" t="s">
        <v>26</v>
      </c>
      <c r="R277" s="700"/>
      <c r="S277" s="701"/>
      <c r="T277" s="701"/>
      <c r="U277" s="701"/>
      <c r="V277" s="701"/>
      <c r="W277" s="162"/>
      <c r="X277" s="701"/>
    </row>
    <row r="278" spans="2:24" ht="28.9">
      <c r="B278" s="192" t="s">
        <v>490</v>
      </c>
      <c r="C278" s="230" t="s">
        <v>282</v>
      </c>
      <c r="D278" s="282" t="s">
        <v>491</v>
      </c>
      <c r="E278" s="195" t="s">
        <v>104</v>
      </c>
      <c r="F278" s="282" t="s">
        <v>37</v>
      </c>
      <c r="G278" s="282" t="s">
        <v>528</v>
      </c>
      <c r="H278" s="455">
        <v>45945</v>
      </c>
      <c r="I278" s="459"/>
      <c r="J278" s="195" t="s">
        <v>27</v>
      </c>
      <c r="K278" s="282" t="s">
        <v>529</v>
      </c>
      <c r="L278" s="493">
        <v>45929</v>
      </c>
      <c r="M278" s="512">
        <v>45945</v>
      </c>
      <c r="N278" s="282" t="s">
        <v>29</v>
      </c>
      <c r="O278" s="194">
        <f ca="1">IF(ISBLANK(L278), "", IF(ISNUMBER(M278), NETWORKDAYS(L278, M278, Holidays!$D$4:$D$19), NETWORKDAYS(L278, TODAY(), Holidays!$D$4:$D$19)))</f>
        <v>13</v>
      </c>
      <c r="P278" s="194">
        <f ca="1">IF(ISBLANK(H278), "", IF(ISNUMBER(M278), NETWORKDAYS(H278, M278, Holidays!$D$4:$D$19), NETWORKDAYS(H278, TODAY(), Holidays!$D$4:$D$19)))</f>
        <v>1</v>
      </c>
      <c r="Q278" s="350" t="s">
        <v>26</v>
      </c>
      <c r="R278" s="700"/>
      <c r="S278" s="701"/>
      <c r="T278" s="701"/>
      <c r="U278" s="701"/>
      <c r="V278" s="701"/>
      <c r="W278" s="162"/>
      <c r="X278" s="701"/>
    </row>
    <row r="279" spans="2:24" ht="14.45">
      <c r="B279" s="770" t="s">
        <v>530</v>
      </c>
      <c r="C279" s="695" t="s">
        <v>531</v>
      </c>
      <c r="D279" s="739" t="s">
        <v>532</v>
      </c>
      <c r="E279" s="738" t="s">
        <v>104</v>
      </c>
      <c r="F279" s="697" t="s">
        <v>111</v>
      </c>
      <c r="G279" s="739" t="s">
        <v>144</v>
      </c>
      <c r="H279" s="740">
        <v>45944</v>
      </c>
      <c r="I279" s="263"/>
      <c r="J279" s="738" t="s">
        <v>27</v>
      </c>
      <c r="K279" s="739" t="s">
        <v>533</v>
      </c>
      <c r="L279" s="186">
        <v>45930</v>
      </c>
      <c r="M279" s="187">
        <v>45953</v>
      </c>
      <c r="N279" s="739" t="s">
        <v>29</v>
      </c>
      <c r="O279" s="433">
        <f ca="1">IF(ISBLANK(L279), "", IF(ISNUMBER(M279), NETWORKDAYS(L279, M279, Holidays!$D$4:$D$19), NETWORKDAYS(L279, TODAY(), Holidays!$D$4:$D$19)))</f>
        <v>18</v>
      </c>
      <c r="P279" s="264">
        <f ca="1">IF(ISBLANK(H279), "", IF(ISNUMBER(M279), NETWORKDAYS(H279, M279, Holidays!$D$4:$D$19), NETWORKDAYS(H279, TODAY(), Holidays!$D$4:$D$19)))</f>
        <v>8</v>
      </c>
      <c r="Q279" s="265" t="s">
        <v>26</v>
      </c>
      <c r="R279" s="700"/>
      <c r="S279" s="701"/>
      <c r="T279" s="701"/>
      <c r="U279" s="701"/>
      <c r="V279" s="701"/>
      <c r="W279" s="162"/>
      <c r="X279" s="701"/>
    </row>
    <row r="280" spans="2:24" ht="14.45">
      <c r="B280" s="771" t="s">
        <v>530</v>
      </c>
      <c r="C280" s="772" t="s">
        <v>531</v>
      </c>
      <c r="D280" s="773" t="s">
        <v>532</v>
      </c>
      <c r="E280" s="774" t="s">
        <v>104</v>
      </c>
      <c r="F280" s="260" t="s">
        <v>111</v>
      </c>
      <c r="G280" s="773" t="s">
        <v>144</v>
      </c>
      <c r="H280" s="775">
        <v>45944</v>
      </c>
      <c r="I280" s="244"/>
      <c r="J280" s="774" t="s">
        <v>27</v>
      </c>
      <c r="K280" s="773" t="s">
        <v>534</v>
      </c>
      <c r="L280" s="165">
        <v>45931</v>
      </c>
      <c r="M280" s="166">
        <v>45944</v>
      </c>
      <c r="N280" s="773" t="s">
        <v>29</v>
      </c>
      <c r="O280" s="362">
        <f ca="1">IF(ISBLANK(L280), "", IF(ISNUMBER(M280), NETWORKDAYS(L280, M280, Holidays!$D$4:$D$19), NETWORKDAYS(L280, TODAY(), Holidays!$D$4:$D$19)))</f>
        <v>10</v>
      </c>
      <c r="P280" s="776">
        <f ca="1">IF(ISBLANK(H280), "", IF(ISNUMBER(M280), NETWORKDAYS(H280, M280, Holidays!$D$4:$D$19), NETWORKDAYS(H280, TODAY(), Holidays!$D$4:$D$19)))</f>
        <v>1</v>
      </c>
      <c r="Q280" s="177" t="s">
        <v>26</v>
      </c>
      <c r="R280" s="700"/>
      <c r="S280" s="701"/>
      <c r="T280" s="701"/>
      <c r="U280" s="701"/>
      <c r="V280" s="701"/>
      <c r="W280" s="162"/>
      <c r="X280" s="701"/>
    </row>
    <row r="281" spans="2:24" ht="14.45">
      <c r="B281" s="256" t="s">
        <v>535</v>
      </c>
      <c r="C281" s="257" t="s">
        <v>135</v>
      </c>
      <c r="D281" s="258" t="s">
        <v>536</v>
      </c>
      <c r="E281" s="259" t="s">
        <v>305</v>
      </c>
      <c r="F281" s="258" t="s">
        <v>429</v>
      </c>
      <c r="G281" s="258" t="s">
        <v>25</v>
      </c>
      <c r="H281" s="183">
        <v>45945</v>
      </c>
      <c r="I281" s="261"/>
      <c r="J281" s="259" t="s">
        <v>27</v>
      </c>
      <c r="K281" s="258" t="s">
        <v>537</v>
      </c>
      <c r="L281" s="226">
        <v>45925</v>
      </c>
      <c r="M281" s="227">
        <v>45933</v>
      </c>
      <c r="N281" s="258" t="s">
        <v>29</v>
      </c>
      <c r="O281" s="179">
        <f ca="1">IF(ISBLANK(L281), "", IF(ISNUMBER(M281), NETWORKDAYS(L281, M281, Holidays!$D$4:$D$19), NETWORKDAYS(L281, TODAY(), Holidays!$D$4:$D$19)))</f>
        <v>7</v>
      </c>
      <c r="P281" s="188">
        <f ca="1">IF(ISBLANK(H281), "", IF(ISNUMBER(M281), NETWORKDAYS(H281, M281, Holidays!$D$4:$D$19), NETWORKDAYS(H281, TODAY(), Holidays!$D$4:$D$19)))</f>
        <v>-9</v>
      </c>
      <c r="Q281" s="189" t="s">
        <v>26</v>
      </c>
      <c r="R281" s="700"/>
      <c r="S281" s="701"/>
      <c r="T281" s="701"/>
      <c r="U281" s="701"/>
      <c r="V281" s="701"/>
      <c r="W281" s="162"/>
      <c r="X281" s="701"/>
    </row>
    <row r="282" spans="2:24" ht="28.9">
      <c r="B282" s="770" t="s">
        <v>538</v>
      </c>
      <c r="C282" s="695" t="s">
        <v>539</v>
      </c>
      <c r="D282" s="739" t="s">
        <v>540</v>
      </c>
      <c r="E282" s="738" t="s">
        <v>110</v>
      </c>
      <c r="F282" s="739" t="s">
        <v>37</v>
      </c>
      <c r="G282" s="739" t="s">
        <v>25</v>
      </c>
      <c r="H282" s="740">
        <v>45940</v>
      </c>
      <c r="I282" s="263"/>
      <c r="J282" s="738" t="s">
        <v>27</v>
      </c>
      <c r="K282" s="739" t="s">
        <v>541</v>
      </c>
      <c r="L282" s="186">
        <v>45933</v>
      </c>
      <c r="M282" s="187">
        <v>45939</v>
      </c>
      <c r="N282" s="739" t="s">
        <v>29</v>
      </c>
      <c r="O282" s="433">
        <f ca="1">IF(ISBLANK(L282), "", IF(ISNUMBER(M282), NETWORKDAYS(L282, M282, Holidays!$D$4:$D$19), NETWORKDAYS(L282, TODAY(), Holidays!$D$4:$D$19)))</f>
        <v>5</v>
      </c>
      <c r="P282" s="264">
        <f ca="1">IF(ISBLANK(H282), "", IF(ISNUMBER(M282), NETWORKDAYS(H282, M282, Holidays!$D$4:$D$19), NETWORKDAYS(H282, TODAY(), Holidays!$D$4:$D$19)))</f>
        <v>-2</v>
      </c>
      <c r="Q282" s="265" t="s">
        <v>26</v>
      </c>
      <c r="R282" s="700"/>
      <c r="S282" s="701"/>
      <c r="T282" s="701"/>
      <c r="U282" s="701"/>
      <c r="V282" s="701"/>
      <c r="W282" s="162"/>
      <c r="X282" s="701"/>
    </row>
    <row r="283" spans="2:24" ht="28.9">
      <c r="B283" s="777" t="s">
        <v>538</v>
      </c>
      <c r="C283" s="778" t="s">
        <v>539</v>
      </c>
      <c r="D283" s="779" t="s">
        <v>540</v>
      </c>
      <c r="E283" s="780" t="s">
        <v>110</v>
      </c>
      <c r="F283" s="779" t="s">
        <v>37</v>
      </c>
      <c r="G283" s="701" t="s">
        <v>25</v>
      </c>
      <c r="H283" s="753">
        <v>45940</v>
      </c>
      <c r="I283" s="754"/>
      <c r="J283" s="752" t="s">
        <v>40</v>
      </c>
      <c r="K283" s="701" t="s">
        <v>542</v>
      </c>
      <c r="L283" s="408">
        <v>45933</v>
      </c>
      <c r="M283" s="409">
        <v>45939</v>
      </c>
      <c r="N283" s="701" t="s">
        <v>29</v>
      </c>
      <c r="O283" s="204">
        <f ca="1">IF(ISBLANK(L283), "", IF(ISNUMBER(M283), NETWORKDAYS(L283, M283, Holidays!$D$4:$D$19), NETWORKDAYS(L283, TODAY(), Holidays!$D$4:$D$19)))</f>
        <v>5</v>
      </c>
      <c r="P283" s="763">
        <f ca="1">IF(ISBLANK(H283), "", IF(ISNUMBER(M283), NETWORKDAYS(H283, M283, Holidays!$D$4:$D$19), NETWORKDAYS(H283, TODAY(), Holidays!$D$4:$D$19)))</f>
        <v>-2</v>
      </c>
      <c r="Q283" s="756" t="s">
        <v>26</v>
      </c>
      <c r="R283" s="700"/>
      <c r="S283" s="701"/>
      <c r="T283" s="701"/>
      <c r="U283" s="701"/>
      <c r="V283" s="701"/>
      <c r="W283" s="162"/>
      <c r="X283" s="701"/>
    </row>
    <row r="284" spans="2:24" ht="28.9">
      <c r="B284" s="777" t="s">
        <v>538</v>
      </c>
      <c r="C284" s="778" t="s">
        <v>539</v>
      </c>
      <c r="D284" s="779" t="s">
        <v>540</v>
      </c>
      <c r="E284" s="780" t="s">
        <v>110</v>
      </c>
      <c r="F284" s="779" t="s">
        <v>37</v>
      </c>
      <c r="G284" s="701" t="s">
        <v>25</v>
      </c>
      <c r="H284" s="753">
        <v>45940</v>
      </c>
      <c r="I284" s="754"/>
      <c r="J284" s="752" t="s">
        <v>27</v>
      </c>
      <c r="K284" s="701" t="s">
        <v>543</v>
      </c>
      <c r="L284" s="408">
        <v>45932</v>
      </c>
      <c r="M284" s="409">
        <v>45937</v>
      </c>
      <c r="N284" s="701" t="s">
        <v>29</v>
      </c>
      <c r="O284" s="204">
        <f ca="1">IF(ISBLANK(L284), "", IF(ISNUMBER(M284), NETWORKDAYS(L284, M284, Holidays!$D$4:$D$19), NETWORKDAYS(L284, TODAY(), Holidays!$D$4:$D$19)))</f>
        <v>4</v>
      </c>
      <c r="P284" s="763">
        <f ca="1">IF(ISBLANK(H284), "", IF(ISNUMBER(M284), NETWORKDAYS(H284, M284, Holidays!$D$4:$D$19), NETWORKDAYS(H284, TODAY(), Holidays!$D$4:$D$19)))</f>
        <v>-4</v>
      </c>
      <c r="Q284" s="756" t="s">
        <v>26</v>
      </c>
      <c r="R284" s="700"/>
      <c r="S284" s="701"/>
      <c r="T284" s="701"/>
      <c r="U284" s="701"/>
      <c r="V284" s="701"/>
      <c r="W284" s="162"/>
      <c r="X284" s="701"/>
    </row>
    <row r="285" spans="2:24" ht="28.9">
      <c r="B285" s="777" t="s">
        <v>538</v>
      </c>
      <c r="C285" s="778" t="s">
        <v>539</v>
      </c>
      <c r="D285" s="779" t="s">
        <v>540</v>
      </c>
      <c r="E285" s="780" t="s">
        <v>110</v>
      </c>
      <c r="F285" s="779" t="s">
        <v>37</v>
      </c>
      <c r="G285" s="701" t="s">
        <v>25</v>
      </c>
      <c r="H285" s="753">
        <v>45940</v>
      </c>
      <c r="I285" s="754"/>
      <c r="J285" s="752" t="s">
        <v>27</v>
      </c>
      <c r="K285" s="701" t="s">
        <v>544</v>
      </c>
      <c r="L285" s="408">
        <v>45931</v>
      </c>
      <c r="M285" s="409">
        <v>45937</v>
      </c>
      <c r="N285" s="701" t="s">
        <v>29</v>
      </c>
      <c r="O285" s="204">
        <f ca="1">IF(ISBLANK(L285), "", IF(ISNUMBER(M285), NETWORKDAYS(L285, M285, Holidays!$D$4:$D$19), NETWORKDAYS(L285, TODAY(), Holidays!$D$4:$D$19)))</f>
        <v>5</v>
      </c>
      <c r="P285" s="763">
        <f ca="1">IF(ISBLANK(H285), "", IF(ISNUMBER(M285), NETWORKDAYS(H285, M285, Holidays!$D$4:$D$19), NETWORKDAYS(H285, TODAY(), Holidays!$D$4:$D$19)))</f>
        <v>-4</v>
      </c>
      <c r="Q285" s="756" t="s">
        <v>26</v>
      </c>
      <c r="R285" s="700"/>
      <c r="S285" s="701"/>
      <c r="T285" s="701"/>
      <c r="U285" s="701"/>
      <c r="V285" s="701"/>
      <c r="W285" s="162"/>
      <c r="X285" s="701"/>
    </row>
    <row r="286" spans="2:24" ht="28.9">
      <c r="B286" s="777" t="s">
        <v>538</v>
      </c>
      <c r="C286" s="778" t="s">
        <v>539</v>
      </c>
      <c r="D286" s="779" t="s">
        <v>540</v>
      </c>
      <c r="E286" s="780" t="s">
        <v>110</v>
      </c>
      <c r="F286" s="779" t="s">
        <v>37</v>
      </c>
      <c r="G286" s="701" t="s">
        <v>25</v>
      </c>
      <c r="H286" s="753">
        <v>45940</v>
      </c>
      <c r="I286" s="754"/>
      <c r="J286" s="752" t="s">
        <v>40</v>
      </c>
      <c r="K286" s="701" t="s">
        <v>545</v>
      </c>
      <c r="L286" s="408">
        <v>45931</v>
      </c>
      <c r="M286" s="409">
        <v>45939</v>
      </c>
      <c r="N286" s="701" t="s">
        <v>29</v>
      </c>
      <c r="O286" s="204">
        <f ca="1">IF(ISBLANK(L286), "", IF(ISNUMBER(M286), NETWORKDAYS(L286, M286, Holidays!$D$4:$D$19), NETWORKDAYS(L286, TODAY(), Holidays!$D$4:$D$19)))</f>
        <v>7</v>
      </c>
      <c r="P286" s="763">
        <f ca="1">IF(ISBLANK(H286), "", IF(ISNUMBER(M286), NETWORKDAYS(H286, M286, Holidays!$D$4:$D$19), NETWORKDAYS(H286, TODAY(), Holidays!$D$4:$D$19)))</f>
        <v>-2</v>
      </c>
      <c r="Q286" s="756" t="s">
        <v>26</v>
      </c>
      <c r="R286" s="700"/>
      <c r="S286" s="701"/>
      <c r="T286" s="701"/>
      <c r="U286" s="701"/>
      <c r="V286" s="701"/>
      <c r="W286" s="162"/>
      <c r="X286" s="701"/>
    </row>
    <row r="287" spans="2:24" ht="28.9">
      <c r="B287" s="777" t="s">
        <v>538</v>
      </c>
      <c r="C287" s="778" t="s">
        <v>539</v>
      </c>
      <c r="D287" s="779" t="s">
        <v>540</v>
      </c>
      <c r="E287" s="780" t="s">
        <v>110</v>
      </c>
      <c r="F287" s="779" t="s">
        <v>37</v>
      </c>
      <c r="G287" s="701" t="s">
        <v>25</v>
      </c>
      <c r="H287" s="753">
        <v>45940</v>
      </c>
      <c r="I287" s="754"/>
      <c r="J287" s="752" t="s">
        <v>27</v>
      </c>
      <c r="K287" s="701" t="s">
        <v>546</v>
      </c>
      <c r="L287" s="408">
        <v>45931</v>
      </c>
      <c r="M287" s="409">
        <v>45939</v>
      </c>
      <c r="N287" s="701" t="s">
        <v>29</v>
      </c>
      <c r="O287" s="204">
        <f ca="1">IF(ISBLANK(L287), "", IF(ISNUMBER(M287), NETWORKDAYS(L287, M287, Holidays!$D$4:$D$19), NETWORKDAYS(L287, TODAY(), Holidays!$D$4:$D$19)))</f>
        <v>7</v>
      </c>
      <c r="P287" s="763">
        <f ca="1">IF(ISBLANK(H287), "", IF(ISNUMBER(M287), NETWORKDAYS(H287, M287, Holidays!$D$4:$D$19), NETWORKDAYS(H287, TODAY(), Holidays!$D$4:$D$19)))</f>
        <v>-2</v>
      </c>
      <c r="Q287" s="756" t="s">
        <v>26</v>
      </c>
      <c r="R287" s="700"/>
      <c r="S287" s="701"/>
      <c r="T287" s="701"/>
      <c r="U287" s="701"/>
      <c r="V287" s="701"/>
      <c r="W287" s="162"/>
      <c r="X287" s="701"/>
    </row>
    <row r="288" spans="2:24" ht="28.9">
      <c r="B288" s="777" t="s">
        <v>538</v>
      </c>
      <c r="C288" s="778" t="s">
        <v>539</v>
      </c>
      <c r="D288" s="779" t="s">
        <v>540</v>
      </c>
      <c r="E288" s="780" t="s">
        <v>110</v>
      </c>
      <c r="F288" s="779" t="s">
        <v>37</v>
      </c>
      <c r="G288" s="701" t="s">
        <v>25</v>
      </c>
      <c r="H288" s="753">
        <v>45940</v>
      </c>
      <c r="I288" s="754"/>
      <c r="J288" s="752" t="s">
        <v>27</v>
      </c>
      <c r="K288" s="701" t="s">
        <v>547</v>
      </c>
      <c r="L288" s="408">
        <v>45931</v>
      </c>
      <c r="M288" s="409">
        <v>45941</v>
      </c>
      <c r="N288" s="701" t="s">
        <v>29</v>
      </c>
      <c r="O288" s="204">
        <f ca="1">IF(ISBLANK(L288), "", IF(ISNUMBER(M288), NETWORKDAYS(L288, M288, Holidays!$D$4:$D$19), NETWORKDAYS(L288, TODAY(), Holidays!$D$4:$D$19)))</f>
        <v>8</v>
      </c>
      <c r="P288" s="763">
        <f ca="1">IF(ISBLANK(H288), "", IF(ISNUMBER(M288), NETWORKDAYS(H288, M288, Holidays!$D$4:$D$19), NETWORKDAYS(H288, TODAY(), Holidays!$D$4:$D$19)))</f>
        <v>1</v>
      </c>
      <c r="Q288" s="756" t="s">
        <v>26</v>
      </c>
      <c r="R288" s="700"/>
      <c r="S288" s="701"/>
      <c r="T288" s="701"/>
      <c r="U288" s="701"/>
      <c r="V288" s="701"/>
      <c r="W288" s="162"/>
      <c r="X288" s="701"/>
    </row>
    <row r="289" spans="2:24" ht="28.9">
      <c r="B289" s="777" t="s">
        <v>538</v>
      </c>
      <c r="C289" s="778" t="s">
        <v>539</v>
      </c>
      <c r="D289" s="779" t="s">
        <v>540</v>
      </c>
      <c r="E289" s="780" t="s">
        <v>110</v>
      </c>
      <c r="F289" s="779" t="s">
        <v>37</v>
      </c>
      <c r="G289" s="701" t="s">
        <v>25</v>
      </c>
      <c r="H289" s="753">
        <v>45940</v>
      </c>
      <c r="I289" s="244"/>
      <c r="J289" s="774" t="s">
        <v>27</v>
      </c>
      <c r="K289" s="773" t="s">
        <v>548</v>
      </c>
      <c r="L289" s="165">
        <v>45950</v>
      </c>
      <c r="M289" s="166">
        <v>45952</v>
      </c>
      <c r="N289" s="773" t="s">
        <v>29</v>
      </c>
      <c r="O289" s="204">
        <f ca="1">IF(ISBLANK(L289), "", IF(ISNUMBER(M289), NETWORKDAYS(L289, M289, Holidays!$D$4:$D$19), NETWORKDAYS(L289, TODAY(), Holidays!$D$4:$D$19)))</f>
        <v>3</v>
      </c>
      <c r="P289" s="763">
        <f ca="1">IF(ISBLANK(H289), "", IF(ISNUMBER(M289), NETWORKDAYS(H289, M289, Holidays!$D$4:$D$19), NETWORKDAYS(H289, TODAY(), Holidays!$D$4:$D$19)))</f>
        <v>9</v>
      </c>
      <c r="Q289" s="177" t="s">
        <v>26</v>
      </c>
      <c r="R289" s="700"/>
      <c r="S289" s="701"/>
      <c r="T289" s="701"/>
      <c r="U289" s="701"/>
      <c r="V289" s="701"/>
      <c r="W289" s="162"/>
      <c r="X289" s="701"/>
    </row>
    <row r="290" spans="2:24" ht="28.9">
      <c r="B290" s="324" t="s">
        <v>538</v>
      </c>
      <c r="C290" s="148" t="s">
        <v>539</v>
      </c>
      <c r="D290" s="260" t="s">
        <v>540</v>
      </c>
      <c r="E290" s="280" t="s">
        <v>110</v>
      </c>
      <c r="F290" s="260" t="s">
        <v>37</v>
      </c>
      <c r="G290" s="773" t="s">
        <v>25</v>
      </c>
      <c r="H290" s="775">
        <v>45940</v>
      </c>
      <c r="I290" s="244"/>
      <c r="J290" s="774" t="s">
        <v>27</v>
      </c>
      <c r="K290" s="773" t="s">
        <v>549</v>
      </c>
      <c r="L290" s="165">
        <v>45931</v>
      </c>
      <c r="M290" s="166">
        <v>45937</v>
      </c>
      <c r="N290" s="773" t="s">
        <v>29</v>
      </c>
      <c r="O290" s="362">
        <f ca="1">IF(ISBLANK(L290), "", IF(ISNUMBER(M290), NETWORKDAYS(L290, M290, Holidays!$D$4:$D$19), NETWORKDAYS(L290, TODAY(), Holidays!$D$4:$D$19)))</f>
        <v>5</v>
      </c>
      <c r="P290" s="776">
        <f ca="1">IF(ISBLANK(H290), "", IF(ISNUMBER(M290), NETWORKDAYS(H290, M290, Holidays!$D$4:$D$19), NETWORKDAYS(H290, TODAY(), Holidays!$D$4:$D$19)))</f>
        <v>-4</v>
      </c>
      <c r="Q290" s="177" t="s">
        <v>26</v>
      </c>
      <c r="R290" s="700"/>
      <c r="S290" s="701"/>
      <c r="T290" s="701"/>
      <c r="U290" s="701"/>
      <c r="V290" s="701"/>
      <c r="W290" s="162"/>
      <c r="X290" s="701"/>
    </row>
    <row r="291" spans="2:24" ht="28.9">
      <c r="B291" s="770" t="s">
        <v>550</v>
      </c>
      <c r="C291" s="695" t="s">
        <v>214</v>
      </c>
      <c r="D291" s="739" t="s">
        <v>551</v>
      </c>
      <c r="E291" s="738" t="s">
        <v>80</v>
      </c>
      <c r="F291" s="739" t="s">
        <v>260</v>
      </c>
      <c r="G291" s="739" t="s">
        <v>25</v>
      </c>
      <c r="H291" s="740">
        <v>45947</v>
      </c>
      <c r="I291" s="263"/>
      <c r="J291" s="738" t="s">
        <v>27</v>
      </c>
      <c r="K291" s="739" t="s">
        <v>552</v>
      </c>
      <c r="L291" s="186">
        <v>45932</v>
      </c>
      <c r="M291" s="227">
        <v>45951</v>
      </c>
      <c r="N291" s="739" t="s">
        <v>29</v>
      </c>
      <c r="O291" s="433">
        <f ca="1">IF(ISBLANK(L291), "", IF(ISNUMBER(M291), NETWORKDAYS(L291, M291, Holidays!$D$4:$D$19), NETWORKDAYS(L291, TODAY(), Holidays!$D$4:$D$19)))</f>
        <v>14</v>
      </c>
      <c r="P291" s="264">
        <f ca="1">IF(ISBLANK(H291), "", IF(ISNUMBER(M291), NETWORKDAYS(H291, M291, Holidays!$D$4:$D$19), NETWORKDAYS(H291, TODAY(), Holidays!$D$4:$D$19)))</f>
        <v>3</v>
      </c>
      <c r="Q291" s="265" t="s">
        <v>26</v>
      </c>
      <c r="R291" s="700"/>
      <c r="S291" s="701"/>
      <c r="T291" s="701"/>
      <c r="U291" s="701"/>
      <c r="V291" s="701"/>
      <c r="W291" s="162"/>
      <c r="X291" s="701"/>
    </row>
    <row r="292" spans="2:24" ht="28.9">
      <c r="B292" s="781" t="s">
        <v>550</v>
      </c>
      <c r="C292" s="703" t="s">
        <v>214</v>
      </c>
      <c r="D292" s="701" t="s">
        <v>551</v>
      </c>
      <c r="E292" s="752" t="s">
        <v>80</v>
      </c>
      <c r="F292" s="701" t="s">
        <v>260</v>
      </c>
      <c r="G292" s="701" t="s">
        <v>25</v>
      </c>
      <c r="H292" s="753">
        <v>45947</v>
      </c>
      <c r="I292" s="754"/>
      <c r="J292" s="752" t="s">
        <v>40</v>
      </c>
      <c r="K292" s="701" t="s">
        <v>553</v>
      </c>
      <c r="L292" s="408">
        <v>45932</v>
      </c>
      <c r="M292" s="166">
        <v>45943</v>
      </c>
      <c r="N292" s="701" t="s">
        <v>29</v>
      </c>
      <c r="O292" s="204">
        <f ca="1">IF(ISBLANK(L292), "", IF(ISNUMBER(M292), NETWORKDAYS(L292, M292, Holidays!$D$4:$D$19), NETWORKDAYS(L292, TODAY(), Holidays!$D$4:$D$19)))</f>
        <v>8</v>
      </c>
      <c r="P292" s="763">
        <f ca="1">IF(ISBLANK(H292), "", IF(ISNUMBER(M292), NETWORKDAYS(H292, M292, Holidays!$D$4:$D$19), NETWORKDAYS(H292, TODAY(), Holidays!$D$4:$D$19)))</f>
        <v>-5</v>
      </c>
      <c r="Q292" s="756" t="s">
        <v>26</v>
      </c>
      <c r="R292" s="700"/>
      <c r="S292" s="701"/>
      <c r="T292" s="701"/>
      <c r="U292" s="701"/>
      <c r="V292" s="701"/>
      <c r="W292" s="162"/>
      <c r="X292" s="701"/>
    </row>
    <row r="293" spans="2:24" ht="28.9">
      <c r="B293" s="771" t="s">
        <v>550</v>
      </c>
      <c r="C293" s="772" t="s">
        <v>214</v>
      </c>
      <c r="D293" s="773" t="s">
        <v>551</v>
      </c>
      <c r="E293" s="774" t="s">
        <v>80</v>
      </c>
      <c r="F293" s="773" t="s">
        <v>260</v>
      </c>
      <c r="G293" s="773" t="s">
        <v>25</v>
      </c>
      <c r="H293" s="775">
        <v>45947</v>
      </c>
      <c r="I293" s="244"/>
      <c r="J293" s="774" t="s">
        <v>27</v>
      </c>
      <c r="K293" s="773" t="s">
        <v>554</v>
      </c>
      <c r="L293" s="165">
        <v>45932</v>
      </c>
      <c r="M293" s="166">
        <v>45939</v>
      </c>
      <c r="N293" s="773" t="s">
        <v>29</v>
      </c>
      <c r="O293" s="362">
        <f ca="1">IF(ISBLANK(L293), "", IF(ISNUMBER(M293), NETWORKDAYS(L293, M293, Holidays!$D$4:$D$19), NETWORKDAYS(L293, TODAY(), Holidays!$D$4:$D$19)))</f>
        <v>6</v>
      </c>
      <c r="P293" s="776">
        <f ca="1">IF(ISBLANK(H293), "", IF(ISNUMBER(M293), NETWORKDAYS(H293, M293, Holidays!$D$4:$D$19), NETWORKDAYS(H293, TODAY(), Holidays!$D$4:$D$19)))</f>
        <v>-7</v>
      </c>
      <c r="Q293" s="177" t="s">
        <v>26</v>
      </c>
      <c r="R293" s="700"/>
      <c r="S293" s="701"/>
      <c r="T293" s="701"/>
      <c r="U293" s="701"/>
      <c r="V293" s="701"/>
      <c r="W293" s="162"/>
      <c r="X293" s="701"/>
    </row>
    <row r="294" spans="2:24" ht="28.9">
      <c r="B294" s="782" t="s">
        <v>550</v>
      </c>
      <c r="C294" s="533" t="s">
        <v>555</v>
      </c>
      <c r="D294" s="258" t="s">
        <v>551</v>
      </c>
      <c r="E294" s="259" t="s">
        <v>80</v>
      </c>
      <c r="F294" s="258" t="s">
        <v>216</v>
      </c>
      <c r="G294" s="258" t="s">
        <v>25</v>
      </c>
      <c r="H294" s="183">
        <v>45947</v>
      </c>
      <c r="I294" s="536"/>
      <c r="J294" s="534" t="s">
        <v>27</v>
      </c>
      <c r="K294" s="223" t="s">
        <v>556</v>
      </c>
      <c r="L294" s="226">
        <v>45933</v>
      </c>
      <c r="M294" s="227">
        <v>45953</v>
      </c>
      <c r="N294" s="223" t="s">
        <v>29</v>
      </c>
      <c r="O294" s="179">
        <f ca="1">IF(ISBLANK(L294), "", IF(ISNUMBER(M294), NETWORKDAYS(L294, M294, Holidays!$D$4:$D$19), NETWORKDAYS(L294, TODAY(), Holidays!$D$4:$D$19)))</f>
        <v>15</v>
      </c>
      <c r="P294" s="188">
        <f ca="1">IF(ISBLANK(H294), "", IF(ISNUMBER(M294), NETWORKDAYS(H294, M294, Holidays!$D$4:$D$19), NETWORKDAYS(H294, TODAY(), Holidays!$D$4:$D$19)))</f>
        <v>5</v>
      </c>
      <c r="Q294" s="538" t="s">
        <v>26</v>
      </c>
      <c r="R294" s="700"/>
      <c r="S294" s="701"/>
      <c r="T294" s="701"/>
      <c r="U294" s="701"/>
      <c r="V294" s="701"/>
      <c r="W294" s="162"/>
      <c r="X294" s="701"/>
    </row>
    <row r="295" spans="2:24" ht="28.9">
      <c r="B295" s="769" t="s">
        <v>550</v>
      </c>
      <c r="C295" s="542" t="s">
        <v>555</v>
      </c>
      <c r="D295" s="773" t="s">
        <v>551</v>
      </c>
      <c r="E295" s="774" t="s">
        <v>80</v>
      </c>
      <c r="F295" s="773" t="s">
        <v>216</v>
      </c>
      <c r="G295" s="773" t="s">
        <v>25</v>
      </c>
      <c r="H295" s="775">
        <v>45947</v>
      </c>
      <c r="I295" s="545"/>
      <c r="J295" s="718" t="s">
        <v>40</v>
      </c>
      <c r="K295" s="231" t="s">
        <v>557</v>
      </c>
      <c r="L295" s="165">
        <v>45933</v>
      </c>
      <c r="M295" s="166">
        <v>45947</v>
      </c>
      <c r="N295" s="231" t="s">
        <v>29</v>
      </c>
      <c r="O295" s="362">
        <f ca="1">IF(ISBLANK(L295), "", IF(ISNUMBER(M295), NETWORKDAYS(L295, M295, Holidays!$D$4:$D$19), NETWORKDAYS(L295, TODAY(), Holidays!$D$4:$D$19)))</f>
        <v>11</v>
      </c>
      <c r="P295" s="776">
        <f ca="1">IF(ISBLANK(H295), "", IF(ISNUMBER(M295), NETWORKDAYS(H295, M295, Holidays!$D$4:$D$19), NETWORKDAYS(H295, TODAY(), Holidays!$D$4:$D$19)))</f>
        <v>1</v>
      </c>
      <c r="Q295" s="437" t="s">
        <v>26</v>
      </c>
      <c r="R295" s="700"/>
      <c r="S295" s="701"/>
      <c r="T295" s="701"/>
      <c r="U295" s="701"/>
      <c r="V295" s="701"/>
      <c r="W295" s="162"/>
      <c r="X295" s="701"/>
    </row>
    <row r="296" spans="2:24" ht="28.9">
      <c r="B296" s="783" t="s">
        <v>550</v>
      </c>
      <c r="C296" s="547" t="s">
        <v>555</v>
      </c>
      <c r="D296" s="773" t="s">
        <v>551</v>
      </c>
      <c r="E296" s="774" t="s">
        <v>80</v>
      </c>
      <c r="F296" s="773" t="s">
        <v>216</v>
      </c>
      <c r="G296" s="773" t="s">
        <v>25</v>
      </c>
      <c r="H296" s="775">
        <v>45947</v>
      </c>
      <c r="I296" s="550"/>
      <c r="J296" s="784" t="s">
        <v>27</v>
      </c>
      <c r="K296" s="236" t="s">
        <v>558</v>
      </c>
      <c r="L296" s="165">
        <v>45933</v>
      </c>
      <c r="M296" s="166">
        <v>45951</v>
      </c>
      <c r="N296" s="236" t="s">
        <v>29</v>
      </c>
      <c r="O296" s="362">
        <f ca="1">IF(ISBLANK(L296), "", IF(ISNUMBER(M296), NETWORKDAYS(L296, M296, Holidays!$D$4:$D$19), NETWORKDAYS(L296, TODAY(), Holidays!$D$4:$D$19)))</f>
        <v>13</v>
      </c>
      <c r="P296" s="776">
        <f ca="1">IF(ISBLANK(H296), "", IF(ISNUMBER(M296), NETWORKDAYS(H296, M296, Holidays!$D$4:$D$19), NETWORKDAYS(H296, TODAY(), Holidays!$D$4:$D$19)))</f>
        <v>3</v>
      </c>
      <c r="Q296" s="785" t="s">
        <v>26</v>
      </c>
      <c r="R296" s="700"/>
      <c r="S296" s="701"/>
      <c r="T296" s="701"/>
      <c r="U296" s="701"/>
      <c r="V296" s="701"/>
      <c r="W296" s="162"/>
      <c r="X296" s="701"/>
    </row>
    <row r="297" spans="2:24" ht="28.9">
      <c r="B297" s="178" t="s">
        <v>550</v>
      </c>
      <c r="C297" s="222" t="s">
        <v>183</v>
      </c>
      <c r="D297" s="258" t="s">
        <v>551</v>
      </c>
      <c r="E297" s="259" t="s">
        <v>80</v>
      </c>
      <c r="F297" s="258" t="s">
        <v>264</v>
      </c>
      <c r="G297" s="258" t="s">
        <v>25</v>
      </c>
      <c r="H297" s="183">
        <v>45947</v>
      </c>
      <c r="I297" s="456"/>
      <c r="J297" s="239" t="s">
        <v>27</v>
      </c>
      <c r="K297" s="180" t="s">
        <v>559</v>
      </c>
      <c r="L297" s="226">
        <v>45937</v>
      </c>
      <c r="M297" s="227">
        <v>45950</v>
      </c>
      <c r="N297" s="180" t="s">
        <v>29</v>
      </c>
      <c r="O297" s="179">
        <f ca="1">IF(ISBLANK(L297), "", IF(ISNUMBER(M297), NETWORKDAYS(L297, M297, Holidays!$D$4:$D$19), NETWORKDAYS(L297, TODAY(), Holidays!$D$4:$D$19)))</f>
        <v>10</v>
      </c>
      <c r="P297" s="188">
        <f ca="1">IF(ISBLANK(H297), "", IF(ISNUMBER(M297), NETWORKDAYS(H297, M297, Holidays!$D$4:$D$19), NETWORKDAYS(H297, TODAY(), Holidays!$D$4:$D$19)))</f>
        <v>2</v>
      </c>
      <c r="Q297" s="458" t="s">
        <v>26</v>
      </c>
      <c r="R297" s="700"/>
      <c r="S297" s="701"/>
      <c r="T297" s="701"/>
      <c r="U297" s="701"/>
      <c r="V297" s="701"/>
      <c r="W297" s="162"/>
      <c r="X297" s="701"/>
    </row>
    <row r="298" spans="2:24" ht="57.6">
      <c r="B298" s="782" t="s">
        <v>550</v>
      </c>
      <c r="C298" s="533" t="s">
        <v>560</v>
      </c>
      <c r="D298" s="697" t="s">
        <v>551</v>
      </c>
      <c r="E298" s="534" t="s">
        <v>80</v>
      </c>
      <c r="F298" s="223" t="s">
        <v>561</v>
      </c>
      <c r="G298" s="223" t="s">
        <v>25</v>
      </c>
      <c r="H298" s="535">
        <v>45947</v>
      </c>
      <c r="I298" s="536"/>
      <c r="J298" s="534" t="s">
        <v>27</v>
      </c>
      <c r="K298" s="223" t="s">
        <v>562</v>
      </c>
      <c r="L298" s="226">
        <v>45919</v>
      </c>
      <c r="M298" s="227">
        <v>45953</v>
      </c>
      <c r="N298" s="223" t="s">
        <v>29</v>
      </c>
      <c r="O298" s="179">
        <f ca="1">IF(ISBLANK(L298), "", IF(ISNUMBER(M298), NETWORKDAYS(L298, M298, Holidays!$D$4:$D$19), NETWORKDAYS(L298, TODAY(), Holidays!$D$4:$D$19)))</f>
        <v>25</v>
      </c>
      <c r="P298" s="188">
        <f ca="1">IF(ISBLANK(H298), "", IF(ISNUMBER(M298), NETWORKDAYS(H298, M298, Holidays!$D$4:$D$19), NETWORKDAYS(H298, TODAY(), Holidays!$D$4:$D$19)))</f>
        <v>5</v>
      </c>
      <c r="Q298" s="538" t="s">
        <v>26</v>
      </c>
      <c r="R298" s="700"/>
      <c r="S298" s="701"/>
      <c r="T298" s="701"/>
      <c r="U298" s="701"/>
      <c r="V298" s="701"/>
      <c r="W298" s="162"/>
      <c r="X298" s="701"/>
    </row>
    <row r="299" spans="2:24" ht="57.6">
      <c r="B299" s="769" t="s">
        <v>550</v>
      </c>
      <c r="C299" s="542" t="s">
        <v>560</v>
      </c>
      <c r="D299" s="719" t="s">
        <v>551</v>
      </c>
      <c r="E299" s="718" t="s">
        <v>80</v>
      </c>
      <c r="F299" s="231" t="s">
        <v>561</v>
      </c>
      <c r="G299" s="231" t="s">
        <v>25</v>
      </c>
      <c r="H299" s="544">
        <v>45947</v>
      </c>
      <c r="I299" s="545"/>
      <c r="J299" s="718" t="s">
        <v>27</v>
      </c>
      <c r="K299" s="231" t="s">
        <v>563</v>
      </c>
      <c r="L299" s="165">
        <v>45933</v>
      </c>
      <c r="M299" s="166">
        <v>45954</v>
      </c>
      <c r="N299" s="231" t="s">
        <v>29</v>
      </c>
      <c r="O299" s="362">
        <f ca="1">IF(ISBLANK(L299), "", IF(ISNUMBER(M299), NETWORKDAYS(L299, M299, Holidays!$D$4:$D$19), NETWORKDAYS(L299, TODAY(), Holidays!$D$4:$D$19)))</f>
        <v>16</v>
      </c>
      <c r="P299" s="776">
        <f ca="1">IF(ISBLANK(H299), "", IF(ISNUMBER(M299), NETWORKDAYS(H299, M299, Holidays!$D$4:$D$19), NETWORKDAYS(H299, TODAY(), Holidays!$D$4:$D$19)))</f>
        <v>6</v>
      </c>
      <c r="Q299" s="437" t="s">
        <v>26</v>
      </c>
      <c r="R299" s="700"/>
      <c r="S299" s="701"/>
      <c r="T299" s="701"/>
      <c r="U299" s="701"/>
      <c r="V299" s="701"/>
      <c r="W299" s="162"/>
      <c r="X299" s="701"/>
    </row>
    <row r="300" spans="2:24" ht="57.6">
      <c r="B300" s="769" t="s">
        <v>550</v>
      </c>
      <c r="C300" s="542" t="s">
        <v>560</v>
      </c>
      <c r="D300" s="719" t="s">
        <v>551</v>
      </c>
      <c r="E300" s="718" t="s">
        <v>80</v>
      </c>
      <c r="F300" s="231" t="s">
        <v>561</v>
      </c>
      <c r="G300" s="231" t="s">
        <v>25</v>
      </c>
      <c r="H300" s="544">
        <v>45947</v>
      </c>
      <c r="I300" s="545"/>
      <c r="J300" s="718" t="s">
        <v>27</v>
      </c>
      <c r="K300" s="231" t="s">
        <v>564</v>
      </c>
      <c r="L300" s="165">
        <v>45919</v>
      </c>
      <c r="M300" s="166">
        <v>45952</v>
      </c>
      <c r="N300" s="231" t="s">
        <v>29</v>
      </c>
      <c r="O300" s="362">
        <f ca="1">IF(ISBLANK(L300), "", IF(ISNUMBER(M300), NETWORKDAYS(L300, M300, Holidays!$D$4:$D$19), NETWORKDAYS(L300, TODAY(), Holidays!$D$4:$D$19)))</f>
        <v>24</v>
      </c>
      <c r="P300" s="776">
        <f ca="1">IF(ISBLANK(H300), "", IF(ISNUMBER(M300), NETWORKDAYS(H300, M300, Holidays!$D$4:$D$19), NETWORKDAYS(H300, TODAY(), Holidays!$D$4:$D$19)))</f>
        <v>4</v>
      </c>
      <c r="Q300" s="437" t="s">
        <v>26</v>
      </c>
      <c r="R300" s="700"/>
      <c r="S300" s="701"/>
      <c r="T300" s="701"/>
      <c r="U300" s="701"/>
      <c r="V300" s="701"/>
      <c r="W300" s="162"/>
      <c r="X300" s="701"/>
    </row>
    <row r="301" spans="2:24" ht="57.6">
      <c r="B301" s="769" t="s">
        <v>550</v>
      </c>
      <c r="C301" s="542" t="s">
        <v>560</v>
      </c>
      <c r="D301" s="719" t="s">
        <v>551</v>
      </c>
      <c r="E301" s="718" t="s">
        <v>80</v>
      </c>
      <c r="F301" s="231" t="s">
        <v>561</v>
      </c>
      <c r="G301" s="231" t="s">
        <v>25</v>
      </c>
      <c r="H301" s="544">
        <v>45947</v>
      </c>
      <c r="I301" s="545"/>
      <c r="J301" s="718" t="s">
        <v>27</v>
      </c>
      <c r="K301" s="231" t="s">
        <v>565</v>
      </c>
      <c r="L301" s="165">
        <v>45919</v>
      </c>
      <c r="M301" s="166">
        <v>45951</v>
      </c>
      <c r="N301" s="231" t="s">
        <v>29</v>
      </c>
      <c r="O301" s="362">
        <f ca="1">IF(ISBLANK(L301), "", IF(ISNUMBER(M301), NETWORKDAYS(L301, M301, Holidays!$D$4:$D$19), NETWORKDAYS(L301, TODAY(), Holidays!$D$4:$D$19)))</f>
        <v>23</v>
      </c>
      <c r="P301" s="776">
        <f ca="1">IF(ISBLANK(H301), "", IF(ISNUMBER(M301), NETWORKDAYS(H301, M301, Holidays!$D$4:$D$19), NETWORKDAYS(H301, TODAY(), Holidays!$D$4:$D$19)))</f>
        <v>3</v>
      </c>
      <c r="Q301" s="437" t="s">
        <v>26</v>
      </c>
      <c r="R301" s="700"/>
      <c r="S301" s="701"/>
      <c r="T301" s="701"/>
      <c r="U301" s="701"/>
      <c r="V301" s="701"/>
      <c r="W301" s="162"/>
      <c r="X301" s="701"/>
    </row>
    <row r="302" spans="2:24" ht="57.6">
      <c r="B302" s="783" t="s">
        <v>550</v>
      </c>
      <c r="C302" s="547" t="s">
        <v>560</v>
      </c>
      <c r="D302" s="786" t="s">
        <v>551</v>
      </c>
      <c r="E302" s="784" t="s">
        <v>80</v>
      </c>
      <c r="F302" s="236" t="s">
        <v>561</v>
      </c>
      <c r="G302" s="236" t="s">
        <v>25</v>
      </c>
      <c r="H302" s="549">
        <v>45947</v>
      </c>
      <c r="I302" s="550"/>
      <c r="J302" s="784" t="s">
        <v>27</v>
      </c>
      <c r="K302" s="236" t="s">
        <v>566</v>
      </c>
      <c r="L302" s="165">
        <v>45919</v>
      </c>
      <c r="M302" s="166">
        <v>45950</v>
      </c>
      <c r="N302" s="236" t="s">
        <v>29</v>
      </c>
      <c r="O302" s="362">
        <f ca="1">IF(ISBLANK(L302), "", IF(ISNUMBER(M302), NETWORKDAYS(L302, M302, Holidays!$D$4:$D$19), NETWORKDAYS(L302, TODAY(), Holidays!$D$4:$D$19)))</f>
        <v>22</v>
      </c>
      <c r="P302" s="776">
        <f ca="1">IF(ISBLANK(H302), "", IF(ISNUMBER(M302), NETWORKDAYS(H302, M302, Holidays!$D$4:$D$19), NETWORKDAYS(H302, TODAY(), Holidays!$D$4:$D$19)))</f>
        <v>2</v>
      </c>
      <c r="Q302" s="785" t="s">
        <v>26</v>
      </c>
      <c r="R302" s="700"/>
      <c r="S302" s="701"/>
      <c r="T302" s="701"/>
      <c r="U302" s="701"/>
      <c r="V302" s="701"/>
      <c r="W302" s="162"/>
      <c r="X302" s="701"/>
    </row>
    <row r="303" spans="2:24" ht="14.45">
      <c r="B303" s="770" t="s">
        <v>403</v>
      </c>
      <c r="C303" s="695" t="s">
        <v>68</v>
      </c>
      <c r="D303" s="739" t="s">
        <v>404</v>
      </c>
      <c r="E303" s="738" t="s">
        <v>80</v>
      </c>
      <c r="F303" s="739" t="s">
        <v>264</v>
      </c>
      <c r="G303" s="739" t="s">
        <v>25</v>
      </c>
      <c r="H303" s="740">
        <v>45945</v>
      </c>
      <c r="I303" s="263"/>
      <c r="J303" s="738" t="s">
        <v>27</v>
      </c>
      <c r="K303" s="739" t="s">
        <v>567</v>
      </c>
      <c r="L303" s="186">
        <v>45933</v>
      </c>
      <c r="M303" s="227">
        <v>45945</v>
      </c>
      <c r="N303" s="739" t="s">
        <v>29</v>
      </c>
      <c r="O303" s="433">
        <f ca="1">IF(ISBLANK(L303), "", IF(ISNUMBER(M303), NETWORKDAYS(L303, M303, Holidays!$D$4:$D$19), NETWORKDAYS(L303, TODAY(), Holidays!$D$4:$D$19)))</f>
        <v>9</v>
      </c>
      <c r="P303" s="264">
        <f ca="1">IF(ISBLANK(H303), "", IF(ISNUMBER(M303), NETWORKDAYS(H303, M303, Holidays!$D$4:$D$19), NETWORKDAYS(H303, TODAY(), Holidays!$D$4:$D$19)))</f>
        <v>1</v>
      </c>
      <c r="Q303" s="265" t="s">
        <v>26</v>
      </c>
      <c r="R303" s="700"/>
      <c r="S303" s="701"/>
      <c r="T303" s="701"/>
      <c r="U303" s="701"/>
      <c r="V303" s="701"/>
      <c r="W303" s="701"/>
      <c r="X303" s="701"/>
    </row>
    <row r="304" spans="2:24" ht="14.45">
      <c r="B304" s="781" t="s">
        <v>403</v>
      </c>
      <c r="C304" s="703" t="s">
        <v>68</v>
      </c>
      <c r="D304" s="701" t="s">
        <v>404</v>
      </c>
      <c r="E304" s="752" t="s">
        <v>80</v>
      </c>
      <c r="F304" s="701" t="s">
        <v>264</v>
      </c>
      <c r="G304" s="701" t="s">
        <v>25</v>
      </c>
      <c r="H304" s="753">
        <v>45945</v>
      </c>
      <c r="I304" s="754"/>
      <c r="J304" s="752" t="s">
        <v>27</v>
      </c>
      <c r="K304" s="701" t="s">
        <v>568</v>
      </c>
      <c r="L304" s="408">
        <v>45933</v>
      </c>
      <c r="M304" s="166">
        <v>45943</v>
      </c>
      <c r="N304" s="701" t="s">
        <v>29</v>
      </c>
      <c r="O304" s="204">
        <f ca="1">IF(ISBLANK(L304), "", IF(ISNUMBER(M304), NETWORKDAYS(L304, M304, Holidays!$D$4:$D$19), NETWORKDAYS(L304, TODAY(), Holidays!$D$4:$D$19)))</f>
        <v>7</v>
      </c>
      <c r="P304" s="763">
        <f ca="1">IF(ISBLANK(H304), "", IF(ISNUMBER(M304), NETWORKDAYS(H304, M304, Holidays!$D$4:$D$19), NETWORKDAYS(H304, TODAY(), Holidays!$D$4:$D$19)))</f>
        <v>-3</v>
      </c>
      <c r="Q304" s="756" t="s">
        <v>26</v>
      </c>
      <c r="R304" s="700"/>
      <c r="S304" s="701"/>
      <c r="T304" s="701"/>
      <c r="U304" s="701"/>
      <c r="V304" s="701"/>
      <c r="W304" s="701"/>
      <c r="X304" s="701"/>
    </row>
    <row r="305" spans="2:24" ht="14.25" customHeight="1">
      <c r="B305" s="787" t="s">
        <v>403</v>
      </c>
      <c r="C305" s="710" t="s">
        <v>68</v>
      </c>
      <c r="D305" s="743" t="s">
        <v>404</v>
      </c>
      <c r="E305" s="742" t="s">
        <v>80</v>
      </c>
      <c r="F305" s="743" t="s">
        <v>264</v>
      </c>
      <c r="G305" s="743" t="s">
        <v>25</v>
      </c>
      <c r="H305" s="744">
        <v>45945</v>
      </c>
      <c r="I305" s="271"/>
      <c r="J305" s="742" t="s">
        <v>40</v>
      </c>
      <c r="K305" s="743" t="s">
        <v>569</v>
      </c>
      <c r="L305" s="274">
        <v>45938</v>
      </c>
      <c r="M305" s="275">
        <v>45945</v>
      </c>
      <c r="N305" s="743" t="s">
        <v>29</v>
      </c>
      <c r="O305" s="342">
        <f ca="1">IF(ISBLANK(L305), "", IF(ISNUMBER(M305), NETWORKDAYS(L305, M305, Holidays!$D$4:$D$19), NETWORKDAYS(L305, TODAY(), Holidays!$D$4:$D$19)))</f>
        <v>6</v>
      </c>
      <c r="P305" s="766">
        <f ca="1">IF(ISBLANK(H305), "", IF(ISNUMBER(M305), NETWORKDAYS(H305, M305, Holidays!$D$4:$D$19), NETWORKDAYS(H305, TODAY(), Holidays!$D$4:$D$19)))</f>
        <v>1</v>
      </c>
      <c r="Q305" s="277" t="s">
        <v>26</v>
      </c>
      <c r="R305" s="700"/>
      <c r="S305" s="701"/>
      <c r="T305" s="701"/>
      <c r="U305" s="701"/>
      <c r="V305" s="701"/>
      <c r="W305" s="701"/>
      <c r="X305" s="701"/>
    </row>
    <row r="306" spans="2:24" ht="14.45">
      <c r="B306" s="777" t="s">
        <v>570</v>
      </c>
      <c r="C306" s="725" t="s">
        <v>135</v>
      </c>
      <c r="D306" s="779" t="s">
        <v>571</v>
      </c>
      <c r="E306" s="780" t="s">
        <v>259</v>
      </c>
      <c r="F306" s="779" t="s">
        <v>24</v>
      </c>
      <c r="G306" s="779" t="s">
        <v>144</v>
      </c>
      <c r="H306" s="788">
        <v>45943</v>
      </c>
      <c r="I306" s="789"/>
      <c r="J306" s="780" t="s">
        <v>27</v>
      </c>
      <c r="K306" s="779" t="s">
        <v>572</v>
      </c>
      <c r="L306" s="201">
        <v>45940</v>
      </c>
      <c r="M306" s="202">
        <v>45953</v>
      </c>
      <c r="N306" s="779" t="s">
        <v>29</v>
      </c>
      <c r="O306" s="157">
        <f ca="1">IF(ISBLANK(L306), "", IF(ISNUMBER(M306), NETWORKDAYS(L306, M306, Holidays!$D$4:$D$19), NETWORKDAYS(L306, TODAY(), Holidays!$D$4:$D$19)))</f>
        <v>10</v>
      </c>
      <c r="P306" s="726">
        <f ca="1">IF(ISBLANK(H306), "", IF(ISNUMBER(M306), NETWORKDAYS(H306, M306, Holidays!$D$4:$D$19), NETWORKDAYS(H306, TODAY(), Holidays!$D$4:$D$19)))</f>
        <v>9</v>
      </c>
      <c r="Q306" s="790" t="s">
        <v>26</v>
      </c>
      <c r="R306" s="700"/>
      <c r="S306" s="701"/>
      <c r="T306" s="701"/>
      <c r="U306" s="701"/>
      <c r="V306" s="701"/>
      <c r="W306" s="701"/>
      <c r="X306" s="701"/>
    </row>
    <row r="307" spans="2:24" ht="14.45">
      <c r="B307" s="781" t="s">
        <v>570</v>
      </c>
      <c r="C307" s="791" t="s">
        <v>135</v>
      </c>
      <c r="D307" s="701" t="s">
        <v>573</v>
      </c>
      <c r="E307" s="752" t="s">
        <v>259</v>
      </c>
      <c r="F307" s="701" t="s">
        <v>24</v>
      </c>
      <c r="G307" s="701" t="s">
        <v>144</v>
      </c>
      <c r="H307" s="753">
        <v>45943</v>
      </c>
      <c r="I307" s="754"/>
      <c r="J307" s="752" t="s">
        <v>40</v>
      </c>
      <c r="K307" s="701" t="s">
        <v>574</v>
      </c>
      <c r="L307" s="408">
        <v>45939</v>
      </c>
      <c r="M307" s="409">
        <v>45951</v>
      </c>
      <c r="N307" s="701" t="s">
        <v>29</v>
      </c>
      <c r="O307" s="204">
        <f ca="1">IF(ISBLANK(L307), "", IF(ISNUMBER(M307), NETWORKDAYS(L307, M307, Holidays!$D$4:$D$19), NETWORKDAYS(L307, TODAY(), Holidays!$D$4:$D$19)))</f>
        <v>9</v>
      </c>
      <c r="P307" s="763">
        <f ca="1">IF(ISBLANK(H307), "", IF(ISNUMBER(M307), NETWORKDAYS(H307, M307, Holidays!$D$4:$D$19), NETWORKDAYS(H307, TODAY(), Holidays!$D$4:$D$19)))</f>
        <v>7</v>
      </c>
      <c r="Q307" s="756" t="s">
        <v>26</v>
      </c>
      <c r="R307" s="700"/>
      <c r="S307" s="701"/>
      <c r="T307" s="701"/>
      <c r="U307" s="701"/>
      <c r="V307" s="701"/>
      <c r="W307" s="701"/>
      <c r="X307" s="701"/>
    </row>
    <row r="308" spans="2:24" ht="14.45">
      <c r="B308" s="781" t="s">
        <v>570</v>
      </c>
      <c r="C308" s="791" t="s">
        <v>135</v>
      </c>
      <c r="D308" s="701" t="s">
        <v>573</v>
      </c>
      <c r="E308" s="752" t="s">
        <v>259</v>
      </c>
      <c r="F308" s="701" t="s">
        <v>24</v>
      </c>
      <c r="G308" s="701" t="s">
        <v>144</v>
      </c>
      <c r="H308" s="753">
        <v>45943</v>
      </c>
      <c r="I308" s="754"/>
      <c r="J308" s="752" t="s">
        <v>27</v>
      </c>
      <c r="K308" s="701" t="s">
        <v>575</v>
      </c>
      <c r="L308" s="408">
        <v>45939</v>
      </c>
      <c r="M308" s="409">
        <v>45953</v>
      </c>
      <c r="N308" s="701" t="s">
        <v>29</v>
      </c>
      <c r="O308" s="204">
        <f ca="1">IF(ISBLANK(L308), "", IF(ISNUMBER(M308), NETWORKDAYS(L308, M308, Holidays!$D$4:$D$19), NETWORKDAYS(L308, TODAY(), Holidays!$D$4:$D$19)))</f>
        <v>11</v>
      </c>
      <c r="P308" s="763">
        <f ca="1">IF(ISBLANK(H308), "", IF(ISNUMBER(M308), NETWORKDAYS(H308, M308, Holidays!$D$4:$D$19), NETWORKDAYS(H308, TODAY(), Holidays!$D$4:$D$19)))</f>
        <v>9</v>
      </c>
      <c r="Q308" s="756" t="s">
        <v>26</v>
      </c>
      <c r="R308" s="700"/>
      <c r="S308" s="701"/>
      <c r="T308" s="701"/>
      <c r="U308" s="701"/>
      <c r="V308" s="701"/>
      <c r="W308" s="701"/>
      <c r="X308" s="701"/>
    </row>
    <row r="309" spans="2:24" ht="14.45">
      <c r="B309" s="781" t="s">
        <v>570</v>
      </c>
      <c r="C309" s="791" t="s">
        <v>135</v>
      </c>
      <c r="D309" s="701" t="s">
        <v>573</v>
      </c>
      <c r="E309" s="752" t="s">
        <v>259</v>
      </c>
      <c r="F309" s="701" t="s">
        <v>24</v>
      </c>
      <c r="G309" s="701" t="s">
        <v>144</v>
      </c>
      <c r="H309" s="753">
        <v>45943</v>
      </c>
      <c r="I309" s="754"/>
      <c r="J309" s="752" t="s">
        <v>27</v>
      </c>
      <c r="K309" s="701" t="s">
        <v>576</v>
      </c>
      <c r="L309" s="408">
        <v>45939</v>
      </c>
      <c r="M309" s="409">
        <v>45954</v>
      </c>
      <c r="N309" s="701" t="s">
        <v>29</v>
      </c>
      <c r="O309" s="204">
        <f ca="1">IF(ISBLANK(L309), "", IF(ISNUMBER(M309), NETWORKDAYS(L309, M309, Holidays!$D$4:$D$19), NETWORKDAYS(L309, TODAY(), Holidays!$D$4:$D$19)))</f>
        <v>12</v>
      </c>
      <c r="P309" s="763">
        <f ca="1">IF(ISBLANK(H309), "", IF(ISNUMBER(M309), NETWORKDAYS(H309, M309, Holidays!$D$4:$D$19), NETWORKDAYS(H309, TODAY(), Holidays!$D$4:$D$19)))</f>
        <v>10</v>
      </c>
      <c r="Q309" s="756" t="s">
        <v>26</v>
      </c>
      <c r="R309" s="700"/>
      <c r="S309" s="701"/>
      <c r="T309" s="701"/>
      <c r="U309" s="701"/>
      <c r="V309" s="701"/>
      <c r="W309" s="701"/>
      <c r="X309" s="701"/>
    </row>
    <row r="310" spans="2:24" ht="14.45">
      <c r="B310" s="771" t="s">
        <v>570</v>
      </c>
      <c r="C310" s="792" t="s">
        <v>135</v>
      </c>
      <c r="D310" s="773" t="s">
        <v>573</v>
      </c>
      <c r="E310" s="774" t="s">
        <v>259</v>
      </c>
      <c r="F310" s="773" t="s">
        <v>24</v>
      </c>
      <c r="G310" s="773" t="s">
        <v>144</v>
      </c>
      <c r="H310" s="775">
        <v>45943</v>
      </c>
      <c r="I310" s="244"/>
      <c r="J310" s="774" t="s">
        <v>27</v>
      </c>
      <c r="K310" s="773" t="s">
        <v>577</v>
      </c>
      <c r="L310" s="165">
        <v>45939</v>
      </c>
      <c r="M310" s="166">
        <v>45957</v>
      </c>
      <c r="N310" s="773" t="s">
        <v>29</v>
      </c>
      <c r="O310" s="362">
        <f ca="1">IF(ISBLANK(L310), "", IF(ISNUMBER(M310), NETWORKDAYS(L310, M310, Holidays!$D$4:$D$19), NETWORKDAYS(L310, TODAY(), Holidays!$D$4:$D$19)))</f>
        <v>13</v>
      </c>
      <c r="P310" s="776">
        <f ca="1">IF(ISBLANK(H310), "", IF(ISNUMBER(M310), NETWORKDAYS(H310, M310, Holidays!$D$4:$D$19), NETWORKDAYS(H310, TODAY(), Holidays!$D$4:$D$19)))</f>
        <v>11</v>
      </c>
      <c r="Q310" s="177" t="s">
        <v>26</v>
      </c>
      <c r="R310" s="700"/>
      <c r="S310" s="701"/>
      <c r="T310" s="701"/>
      <c r="U310" s="701"/>
      <c r="V310" s="701"/>
      <c r="W310" s="701"/>
      <c r="X310" s="701"/>
    </row>
    <row r="311" spans="2:24" ht="28.9">
      <c r="B311" s="770" t="s">
        <v>384</v>
      </c>
      <c r="C311" s="695" t="s">
        <v>578</v>
      </c>
      <c r="D311" s="739" t="s">
        <v>579</v>
      </c>
      <c r="E311" s="738" t="s">
        <v>259</v>
      </c>
      <c r="F311" s="739" t="s">
        <v>580</v>
      </c>
      <c r="G311" s="739" t="s">
        <v>25</v>
      </c>
      <c r="H311" s="740">
        <v>45939</v>
      </c>
      <c r="I311" s="263"/>
      <c r="J311" s="738" t="s">
        <v>40</v>
      </c>
      <c r="K311" s="739" t="s">
        <v>581</v>
      </c>
      <c r="L311" s="186">
        <v>45943</v>
      </c>
      <c r="M311" s="187">
        <v>45947</v>
      </c>
      <c r="N311" s="739" t="s">
        <v>29</v>
      </c>
      <c r="O311" s="433">
        <f ca="1">IF(ISBLANK(L311), "", IF(ISNUMBER(M311), NETWORKDAYS(L311, M311, Holidays!$D$4:$D$19), NETWORKDAYS(L311, TODAY(), Holidays!$D$4:$D$19)))</f>
        <v>5</v>
      </c>
      <c r="P311" s="264">
        <f ca="1">IF(ISBLANK(H311), "", IF(ISNUMBER(M311), NETWORKDAYS(H311, M311, Holidays!$D$4:$D$19), NETWORKDAYS(H311, TODAY(), Holidays!$D$4:$D$19)))</f>
        <v>7</v>
      </c>
      <c r="Q311" s="265" t="s">
        <v>26</v>
      </c>
      <c r="R311" s="700"/>
      <c r="S311" s="701"/>
      <c r="T311" s="701"/>
      <c r="U311" s="701"/>
      <c r="V311" s="701"/>
      <c r="W311" s="701"/>
      <c r="X311" s="701"/>
    </row>
    <row r="312" spans="2:24" ht="28.9">
      <c r="B312" s="781" t="s">
        <v>384</v>
      </c>
      <c r="C312" s="703" t="s">
        <v>578</v>
      </c>
      <c r="D312" s="701" t="s">
        <v>579</v>
      </c>
      <c r="E312" s="752" t="s">
        <v>259</v>
      </c>
      <c r="F312" s="701" t="s">
        <v>580</v>
      </c>
      <c r="G312" s="701" t="s">
        <v>25</v>
      </c>
      <c r="H312" s="753">
        <v>45939</v>
      </c>
      <c r="I312" s="754"/>
      <c r="J312" s="752" t="s">
        <v>40</v>
      </c>
      <c r="K312" s="701" t="s">
        <v>582</v>
      </c>
      <c r="L312" s="408">
        <v>45943</v>
      </c>
      <c r="M312" s="409">
        <v>45947</v>
      </c>
      <c r="N312" s="701" t="s">
        <v>29</v>
      </c>
      <c r="O312" s="204">
        <f ca="1">IF(ISBLANK(L312), "", IF(ISNUMBER(M312), NETWORKDAYS(L312, M312, Holidays!$D$4:$D$19), NETWORKDAYS(L312, TODAY(), Holidays!$D$4:$D$19)))</f>
        <v>5</v>
      </c>
      <c r="P312" s="763">
        <f ca="1">IF(ISBLANK(H312), "", IF(ISNUMBER(M312), NETWORKDAYS(H312, M312, Holidays!$D$4:$D$19), NETWORKDAYS(H312, TODAY(), Holidays!$D$4:$D$19)))</f>
        <v>7</v>
      </c>
      <c r="Q312" s="756" t="s">
        <v>26</v>
      </c>
      <c r="R312" s="700"/>
      <c r="S312" s="701"/>
      <c r="T312" s="701"/>
      <c r="U312" s="701"/>
      <c r="V312" s="701"/>
      <c r="W312" s="701"/>
      <c r="X312" s="701"/>
    </row>
    <row r="313" spans="2:24" ht="28.9">
      <c r="B313" s="781" t="s">
        <v>384</v>
      </c>
      <c r="C313" s="703" t="s">
        <v>578</v>
      </c>
      <c r="D313" s="701" t="s">
        <v>579</v>
      </c>
      <c r="E313" s="752" t="s">
        <v>259</v>
      </c>
      <c r="F313" s="701" t="s">
        <v>580</v>
      </c>
      <c r="G313" s="701" t="s">
        <v>25</v>
      </c>
      <c r="H313" s="753">
        <v>45939</v>
      </c>
      <c r="I313" s="754"/>
      <c r="J313" s="752" t="s">
        <v>27</v>
      </c>
      <c r="K313" s="701" t="s">
        <v>583</v>
      </c>
      <c r="L313" s="408">
        <v>45943</v>
      </c>
      <c r="M313" s="409">
        <v>45947</v>
      </c>
      <c r="N313" s="701" t="s">
        <v>29</v>
      </c>
      <c r="O313" s="204">
        <f ca="1">IF(ISBLANK(L313), "", IF(ISNUMBER(M313), NETWORKDAYS(L313, M313, Holidays!$D$4:$D$19), NETWORKDAYS(L313, TODAY(), Holidays!$D$4:$D$19)))</f>
        <v>5</v>
      </c>
      <c r="P313" s="763">
        <f ca="1">IF(ISBLANK(H313), "", IF(ISNUMBER(M313), NETWORKDAYS(H313, M313, Holidays!$D$4:$D$19), NETWORKDAYS(H313, TODAY(), Holidays!$D$4:$D$19)))</f>
        <v>7</v>
      </c>
      <c r="Q313" s="756" t="s">
        <v>26</v>
      </c>
      <c r="R313" s="700"/>
      <c r="S313" s="701"/>
      <c r="T313" s="701"/>
      <c r="U313" s="701"/>
      <c r="V313" s="701"/>
      <c r="W313" s="701"/>
      <c r="X313" s="701"/>
    </row>
    <row r="314" spans="2:24" ht="28.9">
      <c r="B314" s="781" t="s">
        <v>384</v>
      </c>
      <c r="C314" s="703" t="s">
        <v>578</v>
      </c>
      <c r="D314" s="701" t="s">
        <v>579</v>
      </c>
      <c r="E314" s="752" t="s">
        <v>259</v>
      </c>
      <c r="F314" s="701" t="s">
        <v>580</v>
      </c>
      <c r="G314" s="701" t="s">
        <v>25</v>
      </c>
      <c r="H314" s="753">
        <v>45939</v>
      </c>
      <c r="I314" s="754"/>
      <c r="J314" s="752" t="s">
        <v>40</v>
      </c>
      <c r="K314" s="701" t="s">
        <v>584</v>
      </c>
      <c r="L314" s="408">
        <v>45944</v>
      </c>
      <c r="M314" s="409">
        <v>45947</v>
      </c>
      <c r="N314" s="701" t="s">
        <v>29</v>
      </c>
      <c r="O314" s="204">
        <f ca="1">IF(ISBLANK(L314), "", IF(ISNUMBER(M314), NETWORKDAYS(L314, M314, Holidays!$D$4:$D$19), NETWORKDAYS(L314, TODAY(), Holidays!$D$4:$D$19)))</f>
        <v>4</v>
      </c>
      <c r="P314" s="763">
        <f ca="1">IF(ISBLANK(H314), "", IF(ISNUMBER(M314), NETWORKDAYS(H314, M314, Holidays!$D$4:$D$19), NETWORKDAYS(H314, TODAY(), Holidays!$D$4:$D$19)))</f>
        <v>7</v>
      </c>
      <c r="Q314" s="756" t="s">
        <v>26</v>
      </c>
      <c r="R314" s="700"/>
      <c r="S314" s="701"/>
      <c r="T314" s="701"/>
      <c r="U314" s="701"/>
      <c r="V314" s="701"/>
      <c r="W314" s="701"/>
      <c r="X314" s="701"/>
    </row>
    <row r="315" spans="2:24" ht="28.9">
      <c r="B315" s="781" t="s">
        <v>384</v>
      </c>
      <c r="C315" s="703" t="s">
        <v>578</v>
      </c>
      <c r="D315" s="701" t="s">
        <v>579</v>
      </c>
      <c r="E315" s="752" t="s">
        <v>259</v>
      </c>
      <c r="F315" s="701" t="s">
        <v>580</v>
      </c>
      <c r="G315" s="701" t="s">
        <v>25</v>
      </c>
      <c r="H315" s="753">
        <v>45939</v>
      </c>
      <c r="I315" s="754"/>
      <c r="J315" s="752" t="s">
        <v>27</v>
      </c>
      <c r="K315" s="701" t="s">
        <v>585</v>
      </c>
      <c r="L315" s="408">
        <v>45946</v>
      </c>
      <c r="M315" s="409">
        <v>45955</v>
      </c>
      <c r="N315" s="701" t="s">
        <v>29</v>
      </c>
      <c r="O315" s="204">
        <f ca="1">IF(ISBLANK(L315), "", IF(ISNUMBER(M315), NETWORKDAYS(L315, M315, Holidays!$D$4:$D$19), NETWORKDAYS(L315, TODAY(), Holidays!$D$4:$D$19)))</f>
        <v>7</v>
      </c>
      <c r="P315" s="763">
        <f ca="1">IF(ISBLANK(H315), "", IF(ISNUMBER(M315), NETWORKDAYS(H315, M315, Holidays!$D$4:$D$19), NETWORKDAYS(H315, TODAY(), Holidays!$D$4:$D$19)))</f>
        <v>12</v>
      </c>
      <c r="Q315" s="756" t="s">
        <v>26</v>
      </c>
      <c r="R315" s="700"/>
      <c r="S315" s="701"/>
      <c r="T315" s="701"/>
      <c r="U315" s="701"/>
      <c r="V315" s="701"/>
      <c r="W315" s="701"/>
      <c r="X315" s="701"/>
    </row>
    <row r="316" spans="2:24" ht="28.9">
      <c r="B316" s="781" t="s">
        <v>384</v>
      </c>
      <c r="C316" s="703" t="s">
        <v>578</v>
      </c>
      <c r="D316" s="701" t="s">
        <v>579</v>
      </c>
      <c r="E316" s="752" t="s">
        <v>259</v>
      </c>
      <c r="F316" s="701" t="s">
        <v>580</v>
      </c>
      <c r="G316" s="701" t="s">
        <v>25</v>
      </c>
      <c r="H316" s="753">
        <v>45939</v>
      </c>
      <c r="I316" s="754"/>
      <c r="J316" s="752" t="s">
        <v>27</v>
      </c>
      <c r="K316" s="701" t="s">
        <v>586</v>
      </c>
      <c r="L316" s="408">
        <v>45946</v>
      </c>
      <c r="M316" s="409">
        <v>45955</v>
      </c>
      <c r="N316" s="701" t="s">
        <v>29</v>
      </c>
      <c r="O316" s="204">
        <f ca="1">IF(ISBLANK(L316), "", IF(ISNUMBER(M316), NETWORKDAYS(L316, M316, Holidays!$D$4:$D$19), NETWORKDAYS(L316, TODAY(), Holidays!$D$4:$D$19)))</f>
        <v>7</v>
      </c>
      <c r="P316" s="763">
        <f ca="1">IF(ISBLANK(H316), "", IF(ISNUMBER(M316), NETWORKDAYS(H316, M316, Holidays!$D$4:$D$19), NETWORKDAYS(H316, TODAY(), Holidays!$D$4:$D$19)))</f>
        <v>12</v>
      </c>
      <c r="Q316" s="756" t="s">
        <v>26</v>
      </c>
      <c r="R316" s="700"/>
      <c r="S316" s="701"/>
      <c r="T316" s="701"/>
      <c r="U316" s="701"/>
      <c r="V316" s="701"/>
      <c r="W316" s="701"/>
      <c r="X316" s="701"/>
    </row>
    <row r="317" spans="2:24" ht="28.9">
      <c r="B317" s="787" t="s">
        <v>384</v>
      </c>
      <c r="C317" s="710" t="s">
        <v>578</v>
      </c>
      <c r="D317" s="743" t="s">
        <v>579</v>
      </c>
      <c r="E317" s="742" t="s">
        <v>259</v>
      </c>
      <c r="F317" s="743" t="s">
        <v>580</v>
      </c>
      <c r="G317" s="743" t="s">
        <v>25</v>
      </c>
      <c r="H317" s="744">
        <v>45939</v>
      </c>
      <c r="I317" s="271"/>
      <c r="J317" s="742" t="s">
        <v>27</v>
      </c>
      <c r="K317" s="743" t="s">
        <v>587</v>
      </c>
      <c r="L317" s="274">
        <v>45946</v>
      </c>
      <c r="M317" s="275">
        <v>45953</v>
      </c>
      <c r="N317" s="743" t="s">
        <v>29</v>
      </c>
      <c r="O317" s="342">
        <f ca="1">IF(ISBLANK(L317), "", IF(ISNUMBER(M317), NETWORKDAYS(L317, M317, Holidays!$D$4:$D$19), NETWORKDAYS(L317, TODAY(), Holidays!$D$4:$D$19)))</f>
        <v>6</v>
      </c>
      <c r="P317" s="766">
        <f ca="1">IF(ISBLANK(H317), "", IF(ISNUMBER(M317), NETWORKDAYS(H317, M317, Holidays!$D$4:$D$19), NETWORKDAYS(H317, TODAY(), Holidays!$D$4:$D$19)))</f>
        <v>11</v>
      </c>
      <c r="Q317" s="277" t="s">
        <v>26</v>
      </c>
      <c r="R317" s="700"/>
      <c r="S317" s="701"/>
      <c r="T317" s="701"/>
      <c r="U317" s="701"/>
      <c r="V317" s="701"/>
      <c r="W317" s="701"/>
      <c r="X317" s="701"/>
    </row>
    <row r="318" spans="2:24" ht="28.9">
      <c r="B318" s="324" t="s">
        <v>588</v>
      </c>
      <c r="C318" s="148" t="s">
        <v>135</v>
      </c>
      <c r="D318" s="260" t="s">
        <v>589</v>
      </c>
      <c r="E318" s="280" t="s">
        <v>305</v>
      </c>
      <c r="F318" s="260" t="s">
        <v>241</v>
      </c>
      <c r="G318" s="260" t="s">
        <v>25</v>
      </c>
      <c r="H318" s="198">
        <v>45959</v>
      </c>
      <c r="I318" s="240"/>
      <c r="J318" s="280" t="s">
        <v>27</v>
      </c>
      <c r="K318" s="260" t="s">
        <v>590</v>
      </c>
      <c r="L318" s="154">
        <v>45943</v>
      </c>
      <c r="M318" s="155">
        <v>45952</v>
      </c>
      <c r="N318" s="260" t="s">
        <v>29</v>
      </c>
      <c r="O318" s="194">
        <f ca="1">IF(ISBLANK(L318), "", IF(ISNUMBER(M318), NETWORKDAYS(L318, M318, Holidays!$D$4:$D$19), NETWORKDAYS(L318, TODAY(), Holidays!$D$4:$D$19)))</f>
        <v>8</v>
      </c>
      <c r="P318" s="149">
        <f ca="1">IF(ISBLANK(H318), "", IF(ISNUMBER(M318), NETWORKDAYS(H318, M318, Holidays!$D$4:$D$19), NETWORKDAYS(H318, TODAY(), Holidays!$D$4:$D$19)))</f>
        <v>-6</v>
      </c>
      <c r="Q318" s="206" t="s">
        <v>26</v>
      </c>
      <c r="R318" s="700"/>
      <c r="S318" s="701"/>
      <c r="T318" s="701"/>
      <c r="U318" s="701"/>
      <c r="V318" s="701"/>
      <c r="W318" s="701"/>
      <c r="X318" s="701"/>
    </row>
    <row r="319" spans="2:24" ht="14.45">
      <c r="B319" s="770" t="s">
        <v>591</v>
      </c>
      <c r="C319" s="695" t="s">
        <v>135</v>
      </c>
      <c r="D319" s="739" t="s">
        <v>592</v>
      </c>
      <c r="E319" s="738" t="s">
        <v>185</v>
      </c>
      <c r="F319" s="739" t="s">
        <v>593</v>
      </c>
      <c r="G319" s="739" t="s">
        <v>144</v>
      </c>
      <c r="H319" s="740">
        <v>45957</v>
      </c>
      <c r="I319" s="263"/>
      <c r="J319" s="738" t="s">
        <v>27</v>
      </c>
      <c r="K319" s="739" t="s">
        <v>594</v>
      </c>
      <c r="L319" s="186">
        <v>45946</v>
      </c>
      <c r="M319" s="187">
        <v>45959</v>
      </c>
      <c r="N319" s="739" t="s">
        <v>29</v>
      </c>
      <c r="O319" s="433">
        <f ca="1">IF(ISBLANK(L319), "", IF(ISNUMBER(M319), NETWORKDAYS(L319, M319, Holidays!$D$4:$D$19), NETWORKDAYS(L319, TODAY(), Holidays!$D$4:$D$19)))</f>
        <v>10</v>
      </c>
      <c r="P319" s="264">
        <f ca="1">IF(ISBLANK(H319), "", IF(ISNUMBER(M319), NETWORKDAYS(H319, M319, Holidays!$D$4:$D$19), NETWORKDAYS(H319, TODAY(), Holidays!$D$4:$D$19)))</f>
        <v>3</v>
      </c>
      <c r="Q319" s="265" t="s">
        <v>26</v>
      </c>
      <c r="R319" s="700"/>
      <c r="S319" s="701"/>
      <c r="T319" s="701"/>
      <c r="U319" s="701"/>
      <c r="V319" s="701"/>
      <c r="W319" s="701"/>
      <c r="X319" s="701"/>
    </row>
    <row r="320" spans="2:24" ht="14.45">
      <c r="B320" s="781" t="s">
        <v>591</v>
      </c>
      <c r="C320" s="703" t="s">
        <v>135</v>
      </c>
      <c r="D320" s="701" t="s">
        <v>592</v>
      </c>
      <c r="E320" s="752" t="s">
        <v>185</v>
      </c>
      <c r="F320" s="701" t="s">
        <v>593</v>
      </c>
      <c r="G320" s="701" t="s">
        <v>144</v>
      </c>
      <c r="H320" s="753">
        <v>45957</v>
      </c>
      <c r="I320" s="754"/>
      <c r="J320" s="752" t="s">
        <v>27</v>
      </c>
      <c r="K320" s="701" t="s">
        <v>595</v>
      </c>
      <c r="L320" s="408">
        <v>45946</v>
      </c>
      <c r="M320" s="409">
        <v>45959</v>
      </c>
      <c r="N320" s="701" t="s">
        <v>29</v>
      </c>
      <c r="O320" s="204">
        <f ca="1">IF(ISBLANK(L320), "", IF(ISNUMBER(M320), NETWORKDAYS(L320, M320, Holidays!$D$4:$D$19), NETWORKDAYS(L320, TODAY(), Holidays!$D$4:$D$19)))</f>
        <v>10</v>
      </c>
      <c r="P320" s="763">
        <f ca="1">IF(ISBLANK(H320), "", IF(ISNUMBER(M320), NETWORKDAYS(H320, M320, Holidays!$D$4:$D$19), NETWORKDAYS(H320, TODAY(), Holidays!$D$4:$D$19)))</f>
        <v>3</v>
      </c>
      <c r="Q320" s="756" t="s">
        <v>26</v>
      </c>
      <c r="R320" s="700"/>
      <c r="S320" s="701"/>
      <c r="T320" s="701"/>
      <c r="U320" s="701"/>
      <c r="V320" s="701"/>
      <c r="W320" s="701"/>
      <c r="X320" s="701"/>
    </row>
    <row r="321" spans="2:24" ht="14.45">
      <c r="B321" s="781" t="s">
        <v>591</v>
      </c>
      <c r="C321" s="703" t="s">
        <v>135</v>
      </c>
      <c r="D321" s="701" t="s">
        <v>592</v>
      </c>
      <c r="E321" s="752" t="s">
        <v>185</v>
      </c>
      <c r="F321" s="701" t="s">
        <v>593</v>
      </c>
      <c r="G321" s="701" t="s">
        <v>144</v>
      </c>
      <c r="H321" s="753">
        <v>45957</v>
      </c>
      <c r="I321" s="754"/>
      <c r="J321" s="752" t="s">
        <v>40</v>
      </c>
      <c r="K321" s="701" t="s">
        <v>596</v>
      </c>
      <c r="L321" s="408">
        <v>45946</v>
      </c>
      <c r="M321" s="409">
        <v>45958</v>
      </c>
      <c r="N321" s="701" t="s">
        <v>29</v>
      </c>
      <c r="O321" s="204">
        <f ca="1">IF(ISBLANK(L321), "", IF(ISNUMBER(M321), NETWORKDAYS(L321, M321, Holidays!$D$4:$D$19), NETWORKDAYS(L321, TODAY(), Holidays!$D$4:$D$19)))</f>
        <v>9</v>
      </c>
      <c r="P321" s="763">
        <f ca="1">IF(ISBLANK(H321), "", IF(ISNUMBER(M321), NETWORKDAYS(H321, M321, Holidays!$D$4:$D$19), NETWORKDAYS(H321, TODAY(), Holidays!$D$4:$D$19)))</f>
        <v>2</v>
      </c>
      <c r="Q321" s="756" t="s">
        <v>26</v>
      </c>
      <c r="R321" s="700"/>
      <c r="S321" s="701"/>
      <c r="T321" s="701"/>
      <c r="U321" s="701"/>
      <c r="V321" s="701"/>
      <c r="W321" s="701"/>
      <c r="X321" s="701"/>
    </row>
    <row r="322" spans="2:24" ht="14.45">
      <c r="B322" s="771" t="s">
        <v>591</v>
      </c>
      <c r="C322" s="703" t="s">
        <v>135</v>
      </c>
      <c r="D322" s="701" t="s">
        <v>592</v>
      </c>
      <c r="E322" s="774" t="s">
        <v>185</v>
      </c>
      <c r="F322" s="773" t="s">
        <v>593</v>
      </c>
      <c r="G322" s="773" t="s">
        <v>144</v>
      </c>
      <c r="H322" s="775">
        <v>45957</v>
      </c>
      <c r="I322" s="244"/>
      <c r="J322" s="774" t="s">
        <v>40</v>
      </c>
      <c r="K322" s="773" t="s">
        <v>597</v>
      </c>
      <c r="L322" s="793">
        <v>45944</v>
      </c>
      <c r="M322" s="793">
        <v>45953</v>
      </c>
      <c r="N322" s="773" t="s">
        <v>46</v>
      </c>
      <c r="O322" s="794">
        <v>9</v>
      </c>
      <c r="P322" s="776"/>
      <c r="Q322" s="177"/>
      <c r="R322" s="700"/>
      <c r="S322" s="701"/>
      <c r="T322" s="701"/>
      <c r="U322" s="701"/>
      <c r="V322" s="701"/>
      <c r="W322" s="701"/>
      <c r="X322" s="701"/>
    </row>
    <row r="323" spans="2:24" ht="14.45">
      <c r="B323" s="771" t="s">
        <v>591</v>
      </c>
      <c r="C323" s="703" t="s">
        <v>135</v>
      </c>
      <c r="D323" s="701" t="s">
        <v>592</v>
      </c>
      <c r="E323" s="774" t="s">
        <v>185</v>
      </c>
      <c r="F323" s="773" t="s">
        <v>593</v>
      </c>
      <c r="G323" s="773" t="s">
        <v>144</v>
      </c>
      <c r="H323" s="775">
        <v>45957</v>
      </c>
      <c r="I323" s="244"/>
      <c r="J323" s="774" t="s">
        <v>27</v>
      </c>
      <c r="K323" s="773" t="s">
        <v>598</v>
      </c>
      <c r="L323" s="165">
        <v>45953</v>
      </c>
      <c r="M323" s="166">
        <v>45958</v>
      </c>
      <c r="N323" s="773" t="s">
        <v>29</v>
      </c>
      <c r="O323" s="362"/>
      <c r="P323" s="776"/>
      <c r="Q323" s="177" t="s">
        <v>26</v>
      </c>
      <c r="R323" s="700"/>
      <c r="S323" s="701"/>
      <c r="T323" s="701"/>
      <c r="U323" s="701"/>
      <c r="V323" s="701"/>
      <c r="W323" s="701"/>
      <c r="X323" s="701"/>
    </row>
    <row r="324" spans="2:24" ht="14.45">
      <c r="B324" s="771" t="s">
        <v>591</v>
      </c>
      <c r="C324" s="772" t="s">
        <v>135</v>
      </c>
      <c r="D324" s="773" t="s">
        <v>592</v>
      </c>
      <c r="E324" s="774" t="s">
        <v>185</v>
      </c>
      <c r="F324" s="773" t="s">
        <v>593</v>
      </c>
      <c r="G324" s="773" t="s">
        <v>144</v>
      </c>
      <c r="H324" s="775">
        <v>45957</v>
      </c>
      <c r="I324" s="244"/>
      <c r="J324" s="774" t="s">
        <v>40</v>
      </c>
      <c r="K324" s="773" t="s">
        <v>599</v>
      </c>
      <c r="L324" s="165">
        <v>45954</v>
      </c>
      <c r="M324" s="166">
        <v>45964</v>
      </c>
      <c r="N324" s="773" t="s">
        <v>29</v>
      </c>
      <c r="O324" s="362"/>
      <c r="P324" s="776"/>
      <c r="Q324" s="177" t="s">
        <v>26</v>
      </c>
      <c r="R324" s="700"/>
      <c r="S324" s="701"/>
      <c r="T324" s="701"/>
      <c r="U324" s="701"/>
      <c r="V324" s="701"/>
      <c r="W324" s="701"/>
      <c r="X324" s="701"/>
    </row>
    <row r="325" spans="2:24" ht="14.45">
      <c r="B325" s="771" t="s">
        <v>591</v>
      </c>
      <c r="C325" s="772" t="s">
        <v>135</v>
      </c>
      <c r="D325" s="773" t="s">
        <v>592</v>
      </c>
      <c r="E325" s="774" t="s">
        <v>185</v>
      </c>
      <c r="F325" s="773" t="s">
        <v>593</v>
      </c>
      <c r="G325" s="773" t="s">
        <v>144</v>
      </c>
      <c r="H325" s="775">
        <v>45957</v>
      </c>
      <c r="I325" s="244"/>
      <c r="J325" s="774" t="s">
        <v>27</v>
      </c>
      <c r="K325" s="773" t="s">
        <v>600</v>
      </c>
      <c r="L325" s="165">
        <v>45947</v>
      </c>
      <c r="M325" s="166">
        <v>45959</v>
      </c>
      <c r="N325" s="773" t="s">
        <v>29</v>
      </c>
      <c r="O325" s="362">
        <f ca="1">IF(ISBLANK(L325), "", IF(ISNUMBER(M325), NETWORKDAYS(L325, M325, Holidays!$D$4:$D$19), NETWORKDAYS(L325, TODAY(), Holidays!$D$4:$D$19)))</f>
        <v>9</v>
      </c>
      <c r="P325" s="776">
        <f ca="1">IF(ISBLANK(H325), "", IF(ISNUMBER(M325), NETWORKDAYS(H325, M325, Holidays!$D$4:$D$19), NETWORKDAYS(H325, TODAY(), Holidays!$D$4:$D$19)))</f>
        <v>3</v>
      </c>
      <c r="Q325" s="177" t="s">
        <v>26</v>
      </c>
      <c r="R325" s="700"/>
      <c r="S325" s="701"/>
      <c r="T325" s="701"/>
      <c r="U325" s="701"/>
      <c r="V325" s="701"/>
      <c r="W325" s="701"/>
      <c r="X325" s="701"/>
    </row>
    <row r="326" spans="2:24" ht="28.9">
      <c r="B326" s="256" t="s">
        <v>601</v>
      </c>
      <c r="C326" s="257" t="s">
        <v>102</v>
      </c>
      <c r="D326" s="697" t="s">
        <v>602</v>
      </c>
      <c r="E326" s="738" t="s">
        <v>137</v>
      </c>
      <c r="F326" s="739" t="s">
        <v>238</v>
      </c>
      <c r="G326" s="739" t="s">
        <v>144</v>
      </c>
      <c r="H326" s="740">
        <v>45985</v>
      </c>
      <c r="I326" s="263"/>
      <c r="J326" s="738" t="s">
        <v>27</v>
      </c>
      <c r="K326" s="739" t="s">
        <v>603</v>
      </c>
      <c r="L326" s="186">
        <v>45952</v>
      </c>
      <c r="M326" s="187">
        <v>45958</v>
      </c>
      <c r="N326" s="741" t="s">
        <v>29</v>
      </c>
      <c r="O326" s="433">
        <f ca="1">IF(ISBLANK(L326), "", IF(ISNUMBER(M326), NETWORKDAYS(L326, M326, Holidays!$D$4:$D$19), NETWORKDAYS(L326, TODAY(), Holidays!$D$4:$D$19)))</f>
        <v>5</v>
      </c>
      <c r="P326" s="433">
        <f ca="1">IF(ISBLANK(H326), "", IF(ISNUMBER(M326), NETWORKDAYS(H326, M326, Holidays!$D$4:$D$19), NETWORKDAYS(H326, TODAY(), Holidays!$D$4:$D$19)))</f>
        <v>-16</v>
      </c>
      <c r="Q326" s="795" t="s">
        <v>26</v>
      </c>
      <c r="R326" s="700"/>
      <c r="S326" s="701"/>
      <c r="T326" s="701"/>
      <c r="U326" s="701"/>
      <c r="V326" s="701"/>
      <c r="W326" s="701"/>
      <c r="X326" s="701"/>
    </row>
    <row r="327" spans="2:24" ht="28.9">
      <c r="B327" s="796" t="s">
        <v>601</v>
      </c>
      <c r="C327" s="797" t="s">
        <v>102</v>
      </c>
      <c r="D327" s="719" t="s">
        <v>602</v>
      </c>
      <c r="E327" s="780" t="s">
        <v>137</v>
      </c>
      <c r="F327" s="779" t="s">
        <v>238</v>
      </c>
      <c r="G327" s="779" t="s">
        <v>144</v>
      </c>
      <c r="H327" s="788">
        <v>45985</v>
      </c>
      <c r="I327" s="789"/>
      <c r="J327" s="780" t="s">
        <v>40</v>
      </c>
      <c r="K327" s="779" t="s">
        <v>604</v>
      </c>
      <c r="L327" s="201">
        <v>45972</v>
      </c>
      <c r="M327" s="202">
        <v>45981</v>
      </c>
      <c r="N327" s="798" t="s">
        <v>29</v>
      </c>
      <c r="O327" s="204">
        <f ca="1">IF(ISBLANK(L327), "", IF(ISNUMBER(M327), NETWORKDAYS(L327, M327, Holidays!$D$4:$D$19), NETWORKDAYS(L327, TODAY(), Holidays!$D$4:$D$19)))</f>
        <v>5</v>
      </c>
      <c r="P327" s="204">
        <f ca="1">IF(ISBLANK(H327), "", IF(ISNUMBER(M327), NETWORKDAYS(H327, M327, Holidays!$D$4:$D$19), NETWORKDAYS(H327, TODAY(), Holidays!$D$4:$D$19)))</f>
        <v>-2</v>
      </c>
      <c r="Q327" s="799" t="s">
        <v>26</v>
      </c>
      <c r="R327" s="700"/>
      <c r="S327" s="701"/>
      <c r="T327" s="701"/>
      <c r="U327" s="701"/>
      <c r="V327" s="701"/>
      <c r="W327" s="701"/>
      <c r="X327" s="701"/>
    </row>
    <row r="328" spans="2:24" ht="28.9">
      <c r="B328" s="796" t="s">
        <v>601</v>
      </c>
      <c r="C328" s="797" t="s">
        <v>102</v>
      </c>
      <c r="D328" s="719" t="s">
        <v>602</v>
      </c>
      <c r="E328" s="780" t="s">
        <v>137</v>
      </c>
      <c r="F328" s="779" t="s">
        <v>238</v>
      </c>
      <c r="G328" s="779" t="s">
        <v>144</v>
      </c>
      <c r="H328" s="788">
        <v>45985</v>
      </c>
      <c r="I328" s="789"/>
      <c r="J328" s="780" t="s">
        <v>27</v>
      </c>
      <c r="K328" s="779" t="s">
        <v>605</v>
      </c>
      <c r="L328" s="201">
        <v>45973</v>
      </c>
      <c r="M328" s="202">
        <v>45982</v>
      </c>
      <c r="N328" s="798" t="s">
        <v>29</v>
      </c>
      <c r="O328" s="204">
        <f ca="1">IF(ISBLANK(L328), "", IF(ISNUMBER(M328), NETWORKDAYS(L328, M328, Holidays!$D$4:$D$19), NETWORKDAYS(L328, TODAY(), Holidays!$D$4:$D$19)))</f>
        <v>5</v>
      </c>
      <c r="P328" s="204">
        <f ca="1">IF(ISBLANK(H328), "", IF(ISNUMBER(M328), NETWORKDAYS(H328, M328, Holidays!$D$4:$D$19), NETWORKDAYS(H328, TODAY(), Holidays!$D$4:$D$19)))</f>
        <v>-2</v>
      </c>
      <c r="Q328" s="799" t="s">
        <v>26</v>
      </c>
      <c r="R328" s="700"/>
      <c r="S328" s="701"/>
      <c r="T328" s="701"/>
      <c r="U328" s="701"/>
      <c r="V328" s="701"/>
      <c r="W328" s="701"/>
      <c r="X328" s="701"/>
    </row>
    <row r="329" spans="2:24" ht="28.9">
      <c r="B329" s="796" t="s">
        <v>601</v>
      </c>
      <c r="C329" s="797" t="s">
        <v>102</v>
      </c>
      <c r="D329" s="719" t="s">
        <v>602</v>
      </c>
      <c r="E329" s="780" t="s">
        <v>137</v>
      </c>
      <c r="F329" s="779" t="s">
        <v>238</v>
      </c>
      <c r="G329" s="779" t="s">
        <v>144</v>
      </c>
      <c r="H329" s="788">
        <v>45985</v>
      </c>
      <c r="I329" s="789"/>
      <c r="J329" s="780" t="s">
        <v>27</v>
      </c>
      <c r="K329" s="779" t="s">
        <v>606</v>
      </c>
      <c r="L329" s="201">
        <v>45972</v>
      </c>
      <c r="M329" s="202">
        <v>45982</v>
      </c>
      <c r="N329" s="798" t="s">
        <v>29</v>
      </c>
      <c r="O329" s="204">
        <f ca="1">IF(ISBLANK(L329), "", IF(ISNUMBER(M329), NETWORKDAYS(L329, M329, Holidays!$D$4:$D$19), NETWORKDAYS(L329, TODAY(), Holidays!$D$4:$D$19)))</f>
        <v>6</v>
      </c>
      <c r="P329" s="204">
        <f ca="1">IF(ISBLANK(H329), "", IF(ISNUMBER(M329), NETWORKDAYS(H329, M329, Holidays!$D$4:$D$19), NETWORKDAYS(H329, TODAY(), Holidays!$D$4:$D$19)))</f>
        <v>-2</v>
      </c>
      <c r="Q329" s="799" t="s">
        <v>26</v>
      </c>
      <c r="R329" s="700"/>
      <c r="S329" s="701"/>
      <c r="T329" s="701"/>
      <c r="U329" s="701"/>
      <c r="V329" s="701"/>
      <c r="W329" s="701"/>
      <c r="X329" s="701"/>
    </row>
    <row r="330" spans="2:24" ht="28.9">
      <c r="B330" s="800" t="s">
        <v>601</v>
      </c>
      <c r="C330" s="792" t="s">
        <v>102</v>
      </c>
      <c r="D330" s="719" t="s">
        <v>602</v>
      </c>
      <c r="E330" s="704" t="s">
        <v>137</v>
      </c>
      <c r="F330" s="705" t="s">
        <v>238</v>
      </c>
      <c r="G330" s="705" t="s">
        <v>144</v>
      </c>
      <c r="H330" s="706">
        <v>45985</v>
      </c>
      <c r="I330" s="727"/>
      <c r="J330" s="704" t="s">
        <v>27</v>
      </c>
      <c r="K330" s="705" t="s">
        <v>607</v>
      </c>
      <c r="L330" s="729">
        <v>45986</v>
      </c>
      <c r="M330" s="730">
        <v>45992</v>
      </c>
      <c r="N330" s="731" t="s">
        <v>29</v>
      </c>
      <c r="O330" s="204">
        <f ca="1">IF(ISBLANK(L330), "", IF(ISNUMBER(M330), NETWORKDAYS(L330, M330, Holidays!$D$4:$D$19), NETWORKDAYS(L330, TODAY(), Holidays!$D$4:$D$19)))</f>
        <v>5</v>
      </c>
      <c r="P330" s="204">
        <f ca="1">IF(ISBLANK(H330), "", IF(ISNUMBER(M330), NETWORKDAYS(H330, M330, Holidays!$D$4:$D$19), NETWORKDAYS(H330, TODAY(), Holidays!$D$4:$D$19)))</f>
        <v>6</v>
      </c>
      <c r="Q330" s="801" t="s">
        <v>26</v>
      </c>
      <c r="R330" s="700"/>
      <c r="S330" s="701"/>
      <c r="T330" s="701"/>
      <c r="U330" s="701"/>
      <c r="V330" s="701"/>
      <c r="W330" s="701"/>
      <c r="X330" s="701"/>
    </row>
    <row r="331" spans="2:24" ht="28.9">
      <c r="B331" s="800" t="s">
        <v>601</v>
      </c>
      <c r="C331" s="792" t="s">
        <v>102</v>
      </c>
      <c r="D331" s="260" t="s">
        <v>602</v>
      </c>
      <c r="E331" s="280" t="s">
        <v>137</v>
      </c>
      <c r="F331" s="260" t="s">
        <v>238</v>
      </c>
      <c r="G331" s="260" t="s">
        <v>144</v>
      </c>
      <c r="H331" s="198">
        <v>45985</v>
      </c>
      <c r="I331" s="240"/>
      <c r="J331" s="280" t="s">
        <v>27</v>
      </c>
      <c r="K331" s="260" t="s">
        <v>608</v>
      </c>
      <c r="L331" s="154">
        <v>45975</v>
      </c>
      <c r="M331" s="155">
        <v>45982</v>
      </c>
      <c r="N331" s="175" t="s">
        <v>29</v>
      </c>
      <c r="O331" s="194">
        <f ca="1">IF(ISBLANK(L331), "", IF(ISNUMBER(M331), NETWORKDAYS(L331, M331, Holidays!$D$4:$D$19), NETWORKDAYS(L331, TODAY(), Holidays!$D$4:$D$19)))</f>
        <v>3</v>
      </c>
      <c r="P331" s="194">
        <f ca="1">IF(ISBLANK(H331), "", IF(ISNUMBER(M331), NETWORKDAYS(H331, M331, Holidays!$D$4:$D$19), NETWORKDAYS(H331, TODAY(), Holidays!$D$4:$D$19)))</f>
        <v>-2</v>
      </c>
      <c r="Q331" s="487" t="s">
        <v>26</v>
      </c>
      <c r="R331" s="700"/>
      <c r="S331" s="701"/>
      <c r="T331" s="701"/>
      <c r="U331" s="701"/>
      <c r="V331" s="701"/>
      <c r="W331" s="701"/>
      <c r="X331" s="701"/>
    </row>
    <row r="332" spans="2:24" ht="28.9">
      <c r="B332" s="802" t="s">
        <v>601</v>
      </c>
      <c r="C332" s="313" t="s">
        <v>609</v>
      </c>
      <c r="D332" s="803" t="s">
        <v>602</v>
      </c>
      <c r="E332" s="804" t="s">
        <v>137</v>
      </c>
      <c r="F332" s="803" t="s">
        <v>429</v>
      </c>
      <c r="G332" s="803" t="s">
        <v>144</v>
      </c>
      <c r="H332" s="805">
        <v>45985</v>
      </c>
      <c r="I332" s="806"/>
      <c r="J332" s="804" t="s">
        <v>27</v>
      </c>
      <c r="K332" s="803" t="s">
        <v>610</v>
      </c>
      <c r="L332" s="807">
        <v>45950</v>
      </c>
      <c r="M332" s="808">
        <v>45957</v>
      </c>
      <c r="N332" s="803" t="s">
        <v>29</v>
      </c>
      <c r="O332" s="650">
        <f ca="1">IF(ISBLANK(L332), "", IF(ISNUMBER(M332), NETWORKDAYS(L332, M332, Holidays!$D$4:$D$19), NETWORKDAYS(L332, TODAY(), Holidays!$D$4:$D$19)))</f>
        <v>6</v>
      </c>
      <c r="P332" s="809">
        <f ca="1">IF(ISBLANK(H332), "", IF(ISNUMBER(M332), NETWORKDAYS(H332, M332, Holidays!$D$4:$D$19), NETWORKDAYS(H332, TODAY(), Holidays!$D$4:$D$19)))</f>
        <v>-17</v>
      </c>
      <c r="Q332" s="810" t="s">
        <v>26</v>
      </c>
      <c r="R332" s="700"/>
      <c r="S332" s="701"/>
      <c r="T332" s="701"/>
      <c r="U332" s="701"/>
      <c r="V332" s="701"/>
      <c r="W332" s="701"/>
      <c r="X332" s="701"/>
    </row>
    <row r="333" spans="2:24" ht="28.9">
      <c r="B333" s="324" t="s">
        <v>601</v>
      </c>
      <c r="C333" s="148" t="s">
        <v>609</v>
      </c>
      <c r="D333" s="260" t="s">
        <v>602</v>
      </c>
      <c r="E333" s="280" t="s">
        <v>137</v>
      </c>
      <c r="F333" s="260" t="s">
        <v>429</v>
      </c>
      <c r="G333" s="260" t="s">
        <v>144</v>
      </c>
      <c r="H333" s="198">
        <v>45985</v>
      </c>
      <c r="I333" s="240"/>
      <c r="J333" s="280" t="s">
        <v>27</v>
      </c>
      <c r="K333" s="260" t="s">
        <v>611</v>
      </c>
      <c r="L333" s="154">
        <v>45944</v>
      </c>
      <c r="M333" s="155">
        <v>45959</v>
      </c>
      <c r="N333" s="260" t="s">
        <v>29</v>
      </c>
      <c r="O333" s="194">
        <f ca="1">IF(ISBLANK(L333), "", IF(ISNUMBER(M333), NETWORKDAYS(L333, M333, Holidays!$D$4:$D$19), NETWORKDAYS(L333, TODAY(), Holidays!$D$4:$D$19)))</f>
        <v>12</v>
      </c>
      <c r="P333" s="149">
        <f ca="1">IF(ISBLANK(H333), "", IF(ISNUMBER(M333), NETWORKDAYS(H333, M333, Holidays!$D$4:$D$19), NETWORKDAYS(H333, TODAY(), Holidays!$D$4:$D$19)))</f>
        <v>-15</v>
      </c>
      <c r="Q333" s="206" t="s">
        <v>26</v>
      </c>
      <c r="R333" s="700"/>
      <c r="S333" s="701"/>
      <c r="T333" s="701"/>
      <c r="U333" s="701"/>
      <c r="V333" s="701"/>
      <c r="W333" s="701"/>
      <c r="X333" s="701"/>
    </row>
    <row r="334" spans="2:24" ht="28.9">
      <c r="B334" s="256" t="s">
        <v>365</v>
      </c>
      <c r="C334" s="257" t="s">
        <v>612</v>
      </c>
      <c r="D334" s="258" t="s">
        <v>613</v>
      </c>
      <c r="E334" s="259" t="s">
        <v>156</v>
      </c>
      <c r="F334" s="258" t="s">
        <v>24</v>
      </c>
      <c r="G334" s="258" t="s">
        <v>25</v>
      </c>
      <c r="H334" s="183">
        <v>45953</v>
      </c>
      <c r="I334" s="261"/>
      <c r="J334" s="259" t="s">
        <v>27</v>
      </c>
      <c r="K334" s="258" t="s">
        <v>614</v>
      </c>
      <c r="L334" s="226">
        <v>45952</v>
      </c>
      <c r="M334" s="227">
        <v>45960</v>
      </c>
      <c r="N334" s="258" t="s">
        <v>29</v>
      </c>
      <c r="O334" s="179">
        <f ca="1">IF(ISBLANK(L334), "", IF(ISNUMBER(M334), NETWORKDAYS(L334, M334, Holidays!$D$4:$D$19), NETWORKDAYS(L334, TODAY(), Holidays!$D$4:$D$19)))</f>
        <v>7</v>
      </c>
      <c r="P334" s="188">
        <f ca="1">IF(ISBLANK(H334), "", IF(ISNUMBER(M334), NETWORKDAYS(H334, M334, Holidays!$D$4:$D$19), NETWORKDAYS(H334, TODAY(), Holidays!$D$4:$D$19)))</f>
        <v>6</v>
      </c>
      <c r="Q334" s="189" t="s">
        <v>26</v>
      </c>
      <c r="R334" s="700"/>
      <c r="S334" s="701"/>
      <c r="T334" s="701"/>
      <c r="U334" s="701"/>
      <c r="V334" s="701"/>
      <c r="W334" s="701"/>
      <c r="X334" s="701"/>
    </row>
    <row r="335" spans="2:24" ht="50.25" customHeight="1">
      <c r="B335" s="770" t="s">
        <v>615</v>
      </c>
      <c r="C335" s="695" t="s">
        <v>616</v>
      </c>
      <c r="D335" s="739" t="s">
        <v>617</v>
      </c>
      <c r="E335" s="738" t="s">
        <v>137</v>
      </c>
      <c r="F335" s="739" t="s">
        <v>429</v>
      </c>
      <c r="G335" s="739" t="s">
        <v>25</v>
      </c>
      <c r="H335" s="740">
        <v>45957</v>
      </c>
      <c r="I335" s="263"/>
      <c r="J335" s="738" t="s">
        <v>27</v>
      </c>
      <c r="K335" s="739" t="s">
        <v>618</v>
      </c>
      <c r="L335" s="186">
        <v>45945</v>
      </c>
      <c r="M335" s="187">
        <v>45960</v>
      </c>
      <c r="N335" s="739" t="s">
        <v>29</v>
      </c>
      <c r="O335" s="433">
        <f ca="1">IF(ISBLANK(L335), "", IF(ISNUMBER(M335), NETWORKDAYS(L335, M335, Holidays!$D$4:$D$19), NETWORKDAYS(L335, TODAY(), Holidays!$D$4:$D$19)))</f>
        <v>12</v>
      </c>
      <c r="P335" s="264">
        <f ca="1">IF(ISBLANK(H335), "", IF(ISNUMBER(M335), NETWORKDAYS(H335, M335, Holidays!$D$4:$D$19), NETWORKDAYS(H335, TODAY(), Holidays!$D$4:$D$19)))</f>
        <v>4</v>
      </c>
      <c r="Q335" s="265" t="s">
        <v>26</v>
      </c>
      <c r="R335" s="700"/>
      <c r="S335" s="701"/>
      <c r="T335" s="701"/>
      <c r="U335" s="701"/>
      <c r="V335" s="701"/>
      <c r="W335" s="701"/>
      <c r="X335" s="701"/>
    </row>
    <row r="336" spans="2:24" ht="47.25" customHeight="1">
      <c r="B336" s="324" t="s">
        <v>615</v>
      </c>
      <c r="C336" s="772" t="s">
        <v>616</v>
      </c>
      <c r="D336" s="773" t="s">
        <v>617</v>
      </c>
      <c r="E336" s="774" t="s">
        <v>137</v>
      </c>
      <c r="F336" s="773" t="s">
        <v>429</v>
      </c>
      <c r="G336" s="773" t="s">
        <v>25</v>
      </c>
      <c r="H336" s="775">
        <v>45957</v>
      </c>
      <c r="I336" s="244"/>
      <c r="J336" s="774" t="s">
        <v>27</v>
      </c>
      <c r="K336" s="773" t="s">
        <v>619</v>
      </c>
      <c r="L336" s="165">
        <v>45950</v>
      </c>
      <c r="M336" s="166">
        <v>45965</v>
      </c>
      <c r="N336" s="773" t="s">
        <v>29</v>
      </c>
      <c r="O336" s="362">
        <f ca="1">IF(ISBLANK(L336), "", IF(ISNUMBER(M336), NETWORKDAYS(L336, M336, Holidays!$D$4:$D$19), NETWORKDAYS(L336, TODAY(), Holidays!$D$4:$D$19)))</f>
        <v>11</v>
      </c>
      <c r="P336" s="776">
        <f ca="1">IF(ISBLANK(H336), "", IF(ISNUMBER(M336), NETWORKDAYS(H336, M336, Holidays!$D$4:$D$19), NETWORKDAYS(H336, TODAY(), Holidays!$D$4:$D$19)))</f>
        <v>6</v>
      </c>
      <c r="Q336" s="177" t="s">
        <v>26</v>
      </c>
      <c r="R336" s="700"/>
      <c r="S336" s="701"/>
      <c r="T336" s="701"/>
      <c r="U336" s="701"/>
      <c r="V336" s="701"/>
      <c r="W336" s="701"/>
      <c r="X336" s="701"/>
    </row>
    <row r="337" spans="2:24" ht="28.9">
      <c r="B337" s="770" t="s">
        <v>447</v>
      </c>
      <c r="C337" s="695" t="s">
        <v>620</v>
      </c>
      <c r="D337" s="739" t="s">
        <v>621</v>
      </c>
      <c r="E337" s="738" t="s">
        <v>295</v>
      </c>
      <c r="F337" s="739" t="s">
        <v>81</v>
      </c>
      <c r="G337" s="739" t="s">
        <v>25</v>
      </c>
      <c r="H337" s="740">
        <v>45964</v>
      </c>
      <c r="I337" s="263"/>
      <c r="J337" s="738" t="s">
        <v>27</v>
      </c>
      <c r="K337" s="739" t="s">
        <v>622</v>
      </c>
      <c r="L337" s="186">
        <v>45964</v>
      </c>
      <c r="M337" s="187">
        <v>45973</v>
      </c>
      <c r="N337" s="739" t="s">
        <v>29</v>
      </c>
      <c r="O337" s="433">
        <f ca="1">IF(ISBLANK(L337), "", IF(ISNUMBER(M337), NETWORKDAYS(L337, M337, Holidays!$D$4:$D$19), NETWORKDAYS(L337, TODAY(), Holidays!$D$4:$D$19)))</f>
        <v>8</v>
      </c>
      <c r="P337" s="264">
        <f ca="1">IF(ISBLANK(H337), "", IF(ISNUMBER(M337), NETWORKDAYS(H337, M337, Holidays!$D$4:$D$19), NETWORKDAYS(H337, TODAY(), Holidays!$D$4:$D$19)))</f>
        <v>8</v>
      </c>
      <c r="Q337" s="265" t="s">
        <v>26</v>
      </c>
      <c r="R337" s="700"/>
      <c r="S337" s="701"/>
      <c r="T337" s="701"/>
      <c r="U337" s="701"/>
      <c r="V337" s="701"/>
      <c r="W337" s="701"/>
      <c r="X337" s="701"/>
    </row>
    <row r="338" spans="2:24" ht="28.9">
      <c r="B338" s="781" t="s">
        <v>447</v>
      </c>
      <c r="C338" s="703" t="s">
        <v>620</v>
      </c>
      <c r="D338" s="701" t="s">
        <v>621</v>
      </c>
      <c r="E338" s="752" t="s">
        <v>295</v>
      </c>
      <c r="F338" s="701" t="s">
        <v>81</v>
      </c>
      <c r="G338" s="701" t="s">
        <v>25</v>
      </c>
      <c r="H338" s="753">
        <v>45964</v>
      </c>
      <c r="I338" s="754"/>
      <c r="J338" s="752" t="s">
        <v>27</v>
      </c>
      <c r="K338" s="701" t="s">
        <v>623</v>
      </c>
      <c r="L338" s="408">
        <v>45964</v>
      </c>
      <c r="M338" s="409">
        <v>45973</v>
      </c>
      <c r="N338" s="701" t="s">
        <v>29</v>
      </c>
      <c r="O338" s="204">
        <f ca="1">IF(ISBLANK(L338), "", IF(ISNUMBER(M338), NETWORKDAYS(L338, M338, Holidays!$D$4:$D$19), NETWORKDAYS(L338, TODAY(), Holidays!$D$4:$D$19)))</f>
        <v>8</v>
      </c>
      <c r="P338" s="763">
        <f ca="1">IF(ISBLANK(H338), "", IF(ISNUMBER(M338), NETWORKDAYS(H338, M338, Holidays!$D$4:$D$19), NETWORKDAYS(H338, TODAY(), Holidays!$D$4:$D$19)))</f>
        <v>8</v>
      </c>
      <c r="Q338" s="756" t="s">
        <v>26</v>
      </c>
      <c r="R338" s="700"/>
      <c r="S338" s="701"/>
      <c r="T338" s="701"/>
      <c r="U338" s="701"/>
      <c r="V338" s="701"/>
      <c r="W338" s="701"/>
      <c r="X338" s="701"/>
    </row>
    <row r="339" spans="2:24" ht="28.9">
      <c r="B339" s="771" t="s">
        <v>447</v>
      </c>
      <c r="C339" s="772" t="s">
        <v>620</v>
      </c>
      <c r="D339" s="773" t="s">
        <v>621</v>
      </c>
      <c r="E339" s="774" t="s">
        <v>295</v>
      </c>
      <c r="F339" s="773" t="s">
        <v>81</v>
      </c>
      <c r="G339" s="773" t="s">
        <v>25</v>
      </c>
      <c r="H339" s="775">
        <v>45964</v>
      </c>
      <c r="I339" s="244"/>
      <c r="J339" s="774" t="s">
        <v>27</v>
      </c>
      <c r="K339" s="773" t="s">
        <v>624</v>
      </c>
      <c r="L339" s="165">
        <v>45964</v>
      </c>
      <c r="M339" s="166">
        <v>45973</v>
      </c>
      <c r="N339" s="773" t="s">
        <v>29</v>
      </c>
      <c r="O339" s="362">
        <f ca="1">IF(ISBLANK(L339), "", IF(ISNUMBER(M339), NETWORKDAYS(L339, M339, Holidays!$D$4:$D$19), NETWORKDAYS(L339, TODAY(), Holidays!$D$4:$D$19)))</f>
        <v>8</v>
      </c>
      <c r="P339" s="776">
        <f ca="1">IF(ISBLANK(H339), "", IF(ISNUMBER(M339), NETWORKDAYS(H339, M339, Holidays!$D$4:$D$19), NETWORKDAYS(H339, TODAY(), Holidays!$D$4:$D$19)))</f>
        <v>8</v>
      </c>
      <c r="Q339" s="177" t="s">
        <v>26</v>
      </c>
      <c r="R339" s="700"/>
      <c r="S339" s="701"/>
      <c r="T339" s="701"/>
      <c r="U339" s="701"/>
      <c r="V339" s="701"/>
      <c r="W339" s="701"/>
      <c r="X339" s="701"/>
    </row>
    <row r="340" spans="2:24" ht="28.9">
      <c r="B340" s="256" t="s">
        <v>625</v>
      </c>
      <c r="C340" s="257" t="s">
        <v>282</v>
      </c>
      <c r="D340" s="258" t="s">
        <v>626</v>
      </c>
      <c r="E340" s="259" t="s">
        <v>305</v>
      </c>
      <c r="F340" s="258" t="s">
        <v>216</v>
      </c>
      <c r="G340" s="258" t="s">
        <v>25</v>
      </c>
      <c r="H340" s="183">
        <v>45973</v>
      </c>
      <c r="I340" s="261"/>
      <c r="J340" s="259" t="s">
        <v>27</v>
      </c>
      <c r="K340" s="258" t="s">
        <v>627</v>
      </c>
      <c r="L340" s="226">
        <v>45974</v>
      </c>
      <c r="M340" s="227">
        <v>45981</v>
      </c>
      <c r="N340" s="258" t="s">
        <v>29</v>
      </c>
      <c r="O340" s="179">
        <f ca="1">IF(ISBLANK(L340), "", IF(ISNUMBER(M340), NETWORKDAYS(L340, M340, Holidays!$D$4:$D$19), NETWORKDAYS(L340, TODAY(), Holidays!$D$4:$D$19)))</f>
        <v>3</v>
      </c>
      <c r="P340" s="188">
        <f ca="1">IF(ISBLANK(H340), "", IF(ISNUMBER(M340), NETWORKDAYS(H340, M340, Holidays!$D$4:$D$19), NETWORKDAYS(H340, TODAY(), Holidays!$D$4:$D$19)))</f>
        <v>4</v>
      </c>
      <c r="Q340" s="189" t="s">
        <v>26</v>
      </c>
      <c r="R340" s="700"/>
      <c r="S340" s="701"/>
      <c r="T340" s="701"/>
      <c r="U340" s="701"/>
      <c r="V340" s="701"/>
      <c r="W340" s="701"/>
      <c r="X340" s="701"/>
    </row>
    <row r="341" spans="2:24" ht="14.45">
      <c r="B341" s="770" t="s">
        <v>628</v>
      </c>
      <c r="C341" s="695" t="s">
        <v>257</v>
      </c>
      <c r="D341" s="739" t="s">
        <v>629</v>
      </c>
      <c r="E341" s="738" t="s">
        <v>252</v>
      </c>
      <c r="F341" s="739" t="s">
        <v>264</v>
      </c>
      <c r="G341" s="739" t="s">
        <v>25</v>
      </c>
      <c r="H341" s="740">
        <v>45982</v>
      </c>
      <c r="I341" s="263"/>
      <c r="J341" s="738" t="s">
        <v>27</v>
      </c>
      <c r="K341" s="739" t="s">
        <v>630</v>
      </c>
      <c r="L341" s="186">
        <v>45972</v>
      </c>
      <c r="M341" s="187">
        <v>45978</v>
      </c>
      <c r="N341" s="739" t="s">
        <v>29</v>
      </c>
      <c r="O341" s="433">
        <f ca="1">IF(ISBLANK(L341), "", IF(ISNUMBER(M341), NETWORKDAYS(L341, M341, Holidays!$D$4:$D$19), NETWORKDAYS(L341, TODAY(), Holidays!$D$4:$D$19)))</f>
        <v>4</v>
      </c>
      <c r="P341" s="264">
        <f ca="1">IF(ISBLANK(H341), "", IF(ISNUMBER(M341), NETWORKDAYS(H341, M341, Holidays!$D$4:$D$19), NETWORKDAYS(H341, TODAY(), Holidays!$D$4:$D$19)))</f>
        <v>-2</v>
      </c>
      <c r="Q341" s="265" t="s">
        <v>26</v>
      </c>
      <c r="R341" s="700"/>
      <c r="S341" s="701"/>
      <c r="T341" s="701"/>
      <c r="U341" s="701"/>
      <c r="V341" s="701"/>
      <c r="W341" s="701"/>
      <c r="X341" s="701"/>
    </row>
    <row r="342" spans="2:24" ht="14.45">
      <c r="B342" s="781" t="s">
        <v>628</v>
      </c>
      <c r="C342" s="703" t="s">
        <v>257</v>
      </c>
      <c r="D342" s="701" t="s">
        <v>629</v>
      </c>
      <c r="E342" s="752" t="s">
        <v>252</v>
      </c>
      <c r="F342" s="701" t="s">
        <v>264</v>
      </c>
      <c r="G342" s="701" t="s">
        <v>25</v>
      </c>
      <c r="H342" s="753">
        <v>45982</v>
      </c>
      <c r="I342" s="754"/>
      <c r="J342" s="752" t="s">
        <v>27</v>
      </c>
      <c r="K342" s="701" t="s">
        <v>631</v>
      </c>
      <c r="L342" s="408">
        <v>45974</v>
      </c>
      <c r="M342" s="409">
        <v>45981</v>
      </c>
      <c r="N342" s="701" t="s">
        <v>29</v>
      </c>
      <c r="O342" s="204">
        <f ca="1">IF(ISBLANK(L342), "", IF(ISNUMBER(M342), NETWORKDAYS(L342, M342, Holidays!$D$4:$D$19), NETWORKDAYS(L342, TODAY(), Holidays!$D$4:$D$19)))</f>
        <v>3</v>
      </c>
      <c r="P342" s="763">
        <f ca="1">IF(ISBLANK(H342), "", IF(ISNUMBER(M342), NETWORKDAYS(H342, M342, Holidays!$D$4:$D$19), NETWORKDAYS(H342, TODAY(), Holidays!$D$4:$D$19)))</f>
        <v>-1</v>
      </c>
      <c r="Q342" s="756" t="s">
        <v>26</v>
      </c>
      <c r="R342" s="700"/>
      <c r="S342" s="701"/>
      <c r="T342" s="701"/>
      <c r="U342" s="701"/>
      <c r="V342" s="701"/>
      <c r="W342" s="701"/>
      <c r="X342" s="701"/>
    </row>
    <row r="343" spans="2:24" ht="14.45">
      <c r="B343" s="771" t="s">
        <v>628</v>
      </c>
      <c r="C343" s="772" t="s">
        <v>257</v>
      </c>
      <c r="D343" s="773" t="s">
        <v>629</v>
      </c>
      <c r="E343" s="774" t="s">
        <v>252</v>
      </c>
      <c r="F343" s="773" t="s">
        <v>264</v>
      </c>
      <c r="G343" s="773" t="s">
        <v>25</v>
      </c>
      <c r="H343" s="775">
        <v>45982</v>
      </c>
      <c r="I343" s="244"/>
      <c r="J343" s="774" t="s">
        <v>27</v>
      </c>
      <c r="K343" s="773" t="s">
        <v>632</v>
      </c>
      <c r="L343" s="165">
        <v>45974</v>
      </c>
      <c r="M343" s="166">
        <v>45985</v>
      </c>
      <c r="N343" s="773" t="s">
        <v>29</v>
      </c>
      <c r="O343" s="362">
        <f ca="1">IF(ISBLANK(L343), "", IF(ISNUMBER(M343), NETWORKDAYS(L343, M343, Holidays!$D$4:$D$19), NETWORKDAYS(L343, TODAY(), Holidays!$D$4:$D$19)))</f>
        <v>5</v>
      </c>
      <c r="P343" s="776">
        <f ca="1">IF(ISBLANK(H343), "", IF(ISNUMBER(M343), NETWORKDAYS(H343, M343, Holidays!$D$4:$D$19), NETWORKDAYS(H343, TODAY(), Holidays!$D$4:$D$19)))</f>
        <v>2</v>
      </c>
      <c r="Q343" s="177" t="s">
        <v>26</v>
      </c>
      <c r="R343" s="700"/>
      <c r="S343" s="701"/>
      <c r="T343" s="701"/>
      <c r="U343" s="701"/>
      <c r="V343" s="701"/>
      <c r="W343" s="701"/>
      <c r="X343" s="701"/>
    </row>
    <row r="344" spans="2:24" ht="28.9">
      <c r="B344" s="770" t="s">
        <v>633</v>
      </c>
      <c r="C344" s="695" t="s">
        <v>257</v>
      </c>
      <c r="D344" s="739" t="s">
        <v>634</v>
      </c>
      <c r="E344" s="738" t="s">
        <v>252</v>
      </c>
      <c r="F344" s="739" t="s">
        <v>260</v>
      </c>
      <c r="G344" s="739" t="s">
        <v>25</v>
      </c>
      <c r="H344" s="740">
        <v>45982</v>
      </c>
      <c r="I344" s="263"/>
      <c r="J344" s="738" t="s">
        <v>27</v>
      </c>
      <c r="K344" s="739" t="s">
        <v>635</v>
      </c>
      <c r="L344" s="186">
        <v>45971</v>
      </c>
      <c r="M344" s="187">
        <v>45982</v>
      </c>
      <c r="N344" s="739" t="s">
        <v>29</v>
      </c>
      <c r="O344" s="433">
        <f ca="1">IF(ISBLANK(L344), "", IF(ISNUMBER(M344), NETWORKDAYS(L344, M344, Holidays!$D$4:$D$19), NETWORKDAYS(L344, TODAY(), Holidays!$D$4:$D$19)))</f>
        <v>7</v>
      </c>
      <c r="P344" s="264">
        <f ca="1">IF(ISBLANK(H344), "", IF(ISNUMBER(M344), NETWORKDAYS(H344, M344, Holidays!$D$4:$D$19), NETWORKDAYS(H344, TODAY(), Holidays!$D$4:$D$19)))</f>
        <v>1</v>
      </c>
      <c r="Q344" s="265" t="s">
        <v>26</v>
      </c>
      <c r="R344" s="700"/>
      <c r="S344" s="701"/>
      <c r="T344" s="701"/>
      <c r="U344" s="701"/>
      <c r="V344" s="701"/>
      <c r="W344" s="701"/>
      <c r="X344" s="701"/>
    </row>
    <row r="345" spans="2:24" ht="28.9">
      <c r="B345" s="771" t="s">
        <v>636</v>
      </c>
      <c r="C345" s="772" t="s">
        <v>257</v>
      </c>
      <c r="D345" s="773" t="s">
        <v>634</v>
      </c>
      <c r="E345" s="774" t="s">
        <v>252</v>
      </c>
      <c r="F345" s="773" t="s">
        <v>260</v>
      </c>
      <c r="G345" s="773" t="s">
        <v>25</v>
      </c>
      <c r="H345" s="775">
        <v>45982</v>
      </c>
      <c r="I345" s="244"/>
      <c r="J345" s="774" t="s">
        <v>40</v>
      </c>
      <c r="K345" s="773" t="s">
        <v>637</v>
      </c>
      <c r="L345" s="165">
        <v>45971</v>
      </c>
      <c r="M345" s="166">
        <v>45982</v>
      </c>
      <c r="N345" s="773" t="s">
        <v>29</v>
      </c>
      <c r="O345" s="362">
        <f ca="1">IF(ISBLANK(L345), "", IF(ISNUMBER(M345), NETWORKDAYS(L345, M345, Holidays!$D$4:$D$19), NETWORKDAYS(L345, TODAY(), Holidays!$D$4:$D$19)))</f>
        <v>7</v>
      </c>
      <c r="P345" s="776">
        <f ca="1">IF(ISBLANK(H345), "", IF(ISNUMBER(M345), NETWORKDAYS(H345, M345, Holidays!$D$4:$D$19), NETWORKDAYS(H345, TODAY(), Holidays!$D$4:$D$19)))</f>
        <v>1</v>
      </c>
      <c r="Q345" s="177" t="s">
        <v>26</v>
      </c>
      <c r="R345" s="700"/>
      <c r="S345" s="701"/>
      <c r="T345" s="701"/>
      <c r="U345" s="701"/>
      <c r="V345" s="701"/>
      <c r="W345" s="701"/>
      <c r="X345" s="701"/>
    </row>
    <row r="346" spans="2:24" ht="57.6">
      <c r="B346" s="811" t="s">
        <v>638</v>
      </c>
      <c r="C346" s="812" t="s">
        <v>639</v>
      </c>
      <c r="D346" s="258" t="s">
        <v>640</v>
      </c>
      <c r="E346" s="258" t="s">
        <v>641</v>
      </c>
      <c r="F346" s="258" t="s">
        <v>642</v>
      </c>
      <c r="G346" s="258" t="s">
        <v>643</v>
      </c>
      <c r="H346" s="813" t="s">
        <v>643</v>
      </c>
      <c r="I346" s="261"/>
      <c r="J346" s="258" t="s">
        <v>644</v>
      </c>
      <c r="K346" s="258" t="s">
        <v>645</v>
      </c>
      <c r="L346" s="226">
        <v>45975</v>
      </c>
      <c r="M346" s="227">
        <v>45980</v>
      </c>
      <c r="N346" s="258" t="s">
        <v>29</v>
      </c>
      <c r="O346" s="179">
        <f ca="1">IF(ISBLANK(L346), "", IF(ISNUMBER(M346), NETWORKDAYS(L346, M346, Holidays!$D$4:$D$19), NETWORKDAYS(L346, TODAY(), Holidays!$D$4:$D$19)))</f>
        <v>2</v>
      </c>
      <c r="P346" s="188"/>
      <c r="Q346" s="189" t="s">
        <v>26</v>
      </c>
      <c r="R346" s="700"/>
      <c r="S346" s="701"/>
      <c r="T346" s="701"/>
      <c r="U346" s="701"/>
      <c r="V346" s="701"/>
      <c r="W346" s="701"/>
      <c r="X346" s="701"/>
    </row>
    <row r="347" spans="2:24" ht="14.45">
      <c r="B347" s="814" t="s">
        <v>646</v>
      </c>
      <c r="C347" s="257" t="s">
        <v>647</v>
      </c>
      <c r="D347" s="117" t="s">
        <v>648</v>
      </c>
      <c r="E347" s="259" t="s">
        <v>237</v>
      </c>
      <c r="F347" s="258" t="s">
        <v>81</v>
      </c>
      <c r="G347" s="258" t="s">
        <v>25</v>
      </c>
      <c r="H347" s="183">
        <v>45986</v>
      </c>
      <c r="I347" s="261"/>
      <c r="J347" s="259" t="s">
        <v>27</v>
      </c>
      <c r="K347" s="258" t="s">
        <v>649</v>
      </c>
      <c r="L347" s="226">
        <v>45974</v>
      </c>
      <c r="M347" s="227">
        <v>45982</v>
      </c>
      <c r="N347" s="258" t="s">
        <v>29</v>
      </c>
      <c r="O347" s="179">
        <f ca="1">IF(ISBLANK(L347), "", IF(ISNUMBER(M347), NETWORKDAYS(L347, M347, Holidays!$D$4:$D$19), NETWORKDAYS(L347, TODAY(), Holidays!$D$4:$D$19)))</f>
        <v>4</v>
      </c>
      <c r="P347" s="188">
        <f ca="1">IF(ISBLANK(H347), "", IF(ISNUMBER(M347), NETWORKDAYS(H347, M347, Holidays!$D$4:$D$19), NETWORKDAYS(H347, TODAY(), Holidays!$D$4:$D$19)))</f>
        <v>-3</v>
      </c>
      <c r="Q347" s="189" t="s">
        <v>26</v>
      </c>
      <c r="R347" s="700"/>
      <c r="S347" s="701"/>
      <c r="T347" s="701"/>
      <c r="U347" s="701"/>
      <c r="V347" s="701"/>
      <c r="W347" s="701"/>
      <c r="X347" s="701"/>
    </row>
    <row r="348" spans="2:24" ht="28.9">
      <c r="B348" s="770" t="s">
        <v>650</v>
      </c>
      <c r="C348" s="695" t="s">
        <v>651</v>
      </c>
      <c r="D348" s="739" t="s">
        <v>652</v>
      </c>
      <c r="E348" s="738" t="s">
        <v>80</v>
      </c>
      <c r="F348" s="739" t="s">
        <v>653</v>
      </c>
      <c r="G348" s="739" t="s">
        <v>25</v>
      </c>
      <c r="H348" s="740">
        <v>45989</v>
      </c>
      <c r="I348" s="263"/>
      <c r="J348" s="738" t="s">
        <v>27</v>
      </c>
      <c r="K348" s="739" t="s">
        <v>654</v>
      </c>
      <c r="L348" s="186">
        <v>45978</v>
      </c>
      <c r="M348" s="187">
        <v>45992</v>
      </c>
      <c r="N348" s="739" t="s">
        <v>29</v>
      </c>
      <c r="O348" s="433">
        <f ca="1">IF(ISBLANK(L348), "", IF(ISNUMBER(M348), NETWORKDAYS(L348, M348, Holidays!$D$4:$D$19), NETWORKDAYS(L348, TODAY(), Holidays!$D$4:$D$19)))</f>
        <v>8</v>
      </c>
      <c r="P348" s="264">
        <f ca="1">IF(ISBLANK(H348), "", IF(ISNUMBER(M348), NETWORKDAYS(H348, M348, Holidays!$D$4:$D$19), NETWORKDAYS(H348, TODAY(), Holidays!$D$4:$D$19)))</f>
        <v>2</v>
      </c>
      <c r="Q348" s="265" t="s">
        <v>26</v>
      </c>
      <c r="R348" s="700"/>
      <c r="S348" s="701"/>
      <c r="T348" s="701"/>
      <c r="U348" s="701"/>
      <c r="V348" s="701"/>
      <c r="W348" s="701"/>
      <c r="X348" s="701"/>
    </row>
    <row r="349" spans="2:24" ht="28.9">
      <c r="B349" s="781" t="s">
        <v>650</v>
      </c>
      <c r="C349" s="703" t="s">
        <v>651</v>
      </c>
      <c r="D349" s="701" t="s">
        <v>652</v>
      </c>
      <c r="E349" s="752" t="s">
        <v>80</v>
      </c>
      <c r="F349" s="701" t="s">
        <v>653</v>
      </c>
      <c r="G349" s="701" t="s">
        <v>25</v>
      </c>
      <c r="H349" s="753">
        <v>45989</v>
      </c>
      <c r="I349" s="754"/>
      <c r="J349" s="752" t="s">
        <v>27</v>
      </c>
      <c r="K349" s="701" t="s">
        <v>655</v>
      </c>
      <c r="L349" s="408">
        <v>45979</v>
      </c>
      <c r="M349" s="409">
        <v>45987</v>
      </c>
      <c r="N349" s="701" t="s">
        <v>29</v>
      </c>
      <c r="O349" s="204">
        <f ca="1">IF(ISBLANK(L349), "", IF(ISNUMBER(M349), NETWORKDAYS(L349, M349, Holidays!$D$4:$D$19), NETWORKDAYS(L349, TODAY(), Holidays!$D$4:$D$19)))</f>
        <v>5</v>
      </c>
      <c r="P349" s="763">
        <f ca="1">IF(ISBLANK(H349), "", IF(ISNUMBER(M349), NETWORKDAYS(H349, M349, Holidays!$D$4:$D$19), NETWORKDAYS(H349, TODAY(), Holidays!$D$4:$D$19)))</f>
        <v>-3</v>
      </c>
      <c r="Q349" s="756" t="s">
        <v>26</v>
      </c>
      <c r="R349" s="700"/>
      <c r="S349" s="701"/>
      <c r="T349" s="701"/>
      <c r="U349" s="701"/>
      <c r="V349" s="701"/>
      <c r="W349" s="701"/>
      <c r="X349" s="701"/>
    </row>
    <row r="350" spans="2:24" ht="14.45">
      <c r="B350" s="771" t="s">
        <v>650</v>
      </c>
      <c r="C350" s="772" t="s">
        <v>656</v>
      </c>
      <c r="D350" s="773" t="s">
        <v>652</v>
      </c>
      <c r="E350" s="774" t="s">
        <v>80</v>
      </c>
      <c r="F350" s="773" t="s">
        <v>186</v>
      </c>
      <c r="G350" s="773" t="s">
        <v>25</v>
      </c>
      <c r="H350" s="775">
        <v>45989</v>
      </c>
      <c r="I350" s="244"/>
      <c r="J350" s="774" t="s">
        <v>27</v>
      </c>
      <c r="K350" s="773" t="s">
        <v>657</v>
      </c>
      <c r="L350" s="165">
        <v>45980</v>
      </c>
      <c r="M350" s="166">
        <v>45987</v>
      </c>
      <c r="N350" s="773" t="s">
        <v>29</v>
      </c>
      <c r="O350" s="362">
        <f ca="1">IF(ISBLANK(L350), "", IF(ISNUMBER(M350), NETWORKDAYS(L350, M350, Holidays!$D$4:$D$19), NETWORKDAYS(L350, TODAY(), Holidays!$D$4:$D$19)))</f>
        <v>4</v>
      </c>
      <c r="P350" s="776">
        <f ca="1">IF(ISBLANK(H350), "", IF(ISNUMBER(M350), NETWORKDAYS(H350, M350, Holidays!$D$4:$D$19), NETWORKDAYS(H350, TODAY(), Holidays!$D$4:$D$19)))</f>
        <v>-3</v>
      </c>
      <c r="Q350" s="177" t="s">
        <v>26</v>
      </c>
      <c r="R350" s="700"/>
      <c r="S350" s="701"/>
      <c r="T350" s="701"/>
      <c r="U350" s="701"/>
      <c r="V350" s="701"/>
      <c r="W350" s="701"/>
      <c r="X350" s="701"/>
    </row>
    <row r="351" spans="2:24" ht="28.9">
      <c r="B351" s="770" t="s">
        <v>658</v>
      </c>
      <c r="C351" s="695" t="s">
        <v>135</v>
      </c>
      <c r="D351" s="112" t="s">
        <v>659</v>
      </c>
      <c r="E351" s="738" t="s">
        <v>104</v>
      </c>
      <c r="F351" s="739" t="s">
        <v>111</v>
      </c>
      <c r="G351" s="739" t="s">
        <v>25</v>
      </c>
      <c r="H351" s="740">
        <v>45993</v>
      </c>
      <c r="I351" s="263"/>
      <c r="J351" s="738" t="s">
        <v>27</v>
      </c>
      <c r="K351" s="739" t="s">
        <v>660</v>
      </c>
      <c r="L351" s="186">
        <v>45981</v>
      </c>
      <c r="M351" s="187">
        <v>45987</v>
      </c>
      <c r="N351" s="739" t="s">
        <v>29</v>
      </c>
      <c r="O351" s="433">
        <f ca="1">IF(ISBLANK(L351), "", IF(ISNUMBER(M351), NETWORKDAYS(L351, M351, Holidays!$D$4:$D$19), NETWORKDAYS(L351, TODAY(), Holidays!$D$4:$D$19)))</f>
        <v>4</v>
      </c>
      <c r="P351" s="264">
        <f ca="1">IF(ISBLANK(H351), "", IF(ISNUMBER(M351), NETWORKDAYS(H351, M351, Holidays!$D$4:$D$19), NETWORKDAYS(H351, TODAY(), Holidays!$D$4:$D$19)))</f>
        <v>-5</v>
      </c>
      <c r="Q351" s="265" t="s">
        <v>26</v>
      </c>
      <c r="R351" s="700"/>
      <c r="S351" s="701"/>
      <c r="T351" s="701"/>
      <c r="U351" s="701"/>
      <c r="V351" s="701"/>
      <c r="W351" s="701"/>
      <c r="X351" s="701"/>
    </row>
    <row r="352" spans="2:24" ht="28.9">
      <c r="B352" s="781" t="s">
        <v>658</v>
      </c>
      <c r="C352" s="703" t="s">
        <v>135</v>
      </c>
      <c r="D352" s="111" t="s">
        <v>659</v>
      </c>
      <c r="E352" s="752" t="s">
        <v>104</v>
      </c>
      <c r="F352" s="701" t="s">
        <v>111</v>
      </c>
      <c r="G352" s="701" t="s">
        <v>25</v>
      </c>
      <c r="H352" s="753">
        <v>45993</v>
      </c>
      <c r="I352" s="754"/>
      <c r="J352" s="752" t="s">
        <v>27</v>
      </c>
      <c r="K352" s="701" t="s">
        <v>661</v>
      </c>
      <c r="L352" s="408">
        <v>45980</v>
      </c>
      <c r="M352" s="409">
        <v>45996</v>
      </c>
      <c r="N352" s="701" t="s">
        <v>29</v>
      </c>
      <c r="O352" s="204">
        <f ca="1">IF(ISBLANK(L352), "", IF(ISNUMBER(M352), NETWORKDAYS(L352, M352, Holidays!$D$4:$D$19), NETWORKDAYS(L352, TODAY(), Holidays!$D$4:$D$19)))</f>
        <v>11</v>
      </c>
      <c r="P352" s="763">
        <f ca="1">IF(ISBLANK(H352), "", IF(ISNUMBER(M352), NETWORKDAYS(H352, M352, Holidays!$D$4:$D$19), NETWORKDAYS(H352, TODAY(), Holidays!$D$4:$D$19)))</f>
        <v>4</v>
      </c>
      <c r="Q352" s="756" t="s">
        <v>26</v>
      </c>
      <c r="R352" s="700"/>
      <c r="S352" s="701"/>
      <c r="T352" s="701"/>
      <c r="U352" s="701"/>
      <c r="V352" s="701"/>
      <c r="W352" s="701"/>
      <c r="X352" s="701"/>
    </row>
    <row r="353" spans="2:24" ht="28.9">
      <c r="B353" s="702" t="s">
        <v>658</v>
      </c>
      <c r="C353" s="703" t="s">
        <v>135</v>
      </c>
      <c r="D353" s="111" t="s">
        <v>659</v>
      </c>
      <c r="E353" s="735" t="s">
        <v>104</v>
      </c>
      <c r="F353" s="118" t="s">
        <v>111</v>
      </c>
      <c r="G353" s="118" t="s">
        <v>25</v>
      </c>
      <c r="H353" s="815">
        <v>45993</v>
      </c>
      <c r="I353" s="816"/>
      <c r="J353" s="735" t="s">
        <v>40</v>
      </c>
      <c r="K353" s="735" t="s">
        <v>662</v>
      </c>
      <c r="L353" s="815">
        <v>45980</v>
      </c>
      <c r="M353" s="815">
        <v>45995</v>
      </c>
      <c r="N353" s="735" t="s">
        <v>29</v>
      </c>
      <c r="O353" s="204">
        <f ca="1">IF(ISBLANK(L353), "", IF(ISNUMBER(M353), NETWORKDAYS(L353, M353, Holidays!$D$4:$D$19), NETWORKDAYS(L353, TODAY(), Holidays!$D$4:$D$19)))</f>
        <v>10</v>
      </c>
      <c r="P353" s="763">
        <f ca="1">IF(ISBLANK(H353), "", IF(ISNUMBER(M353), NETWORKDAYS(H353, M353, Holidays!$D$4:$D$19), NETWORKDAYS(H353, TODAY(), Holidays!$D$4:$D$19)))</f>
        <v>3</v>
      </c>
      <c r="Q353" s="817" t="s">
        <v>26</v>
      </c>
      <c r="R353" s="818"/>
      <c r="S353" s="735"/>
      <c r="T353" s="735"/>
      <c r="U353" s="735"/>
      <c r="V353" s="819"/>
      <c r="W353" s="819"/>
      <c r="X353" s="118"/>
    </row>
    <row r="354" spans="2:24" ht="28.9">
      <c r="B354" s="748" t="s">
        <v>658</v>
      </c>
      <c r="C354" s="772" t="s">
        <v>135</v>
      </c>
      <c r="D354" s="114" t="s">
        <v>659</v>
      </c>
      <c r="E354" s="820" t="s">
        <v>104</v>
      </c>
      <c r="F354" s="127" t="s">
        <v>111</v>
      </c>
      <c r="G354" s="127" t="s">
        <v>25</v>
      </c>
      <c r="H354" s="821">
        <v>45993</v>
      </c>
      <c r="I354" s="822"/>
      <c r="J354" s="820" t="s">
        <v>27</v>
      </c>
      <c r="K354" s="820" t="s">
        <v>663</v>
      </c>
      <c r="L354" s="821">
        <v>45980</v>
      </c>
      <c r="M354" s="821">
        <v>45993</v>
      </c>
      <c r="N354" s="820" t="s">
        <v>29</v>
      </c>
      <c r="O354" s="362">
        <f ca="1">IF(ISBLANK(L354), "", IF(ISNUMBER(M354), NETWORKDAYS(L354, M354, Holidays!$D$4:$D$19), NETWORKDAYS(L354, TODAY(), Holidays!$D$4:$D$19)))</f>
        <v>8</v>
      </c>
      <c r="P354" s="776">
        <f ca="1">IF(ISBLANK(H354), "", IF(ISNUMBER(M354), NETWORKDAYS(H354, M354, Holidays!$D$4:$D$19), NETWORKDAYS(H354, TODAY(), Holidays!$D$4:$D$19)))</f>
        <v>1</v>
      </c>
      <c r="Q354" s="168" t="s">
        <v>26</v>
      </c>
      <c r="R354" s="818"/>
      <c r="S354" s="735"/>
      <c r="T354" s="735"/>
      <c r="U354" s="735"/>
      <c r="V354" s="819"/>
      <c r="W354" s="819"/>
      <c r="X354" s="118"/>
    </row>
    <row r="355" spans="2:24" ht="28.9">
      <c r="B355" s="406" t="s">
        <v>664</v>
      </c>
      <c r="C355" s="257" t="s">
        <v>165</v>
      </c>
      <c r="D355" s="188" t="s">
        <v>665</v>
      </c>
      <c r="E355" s="690" t="s">
        <v>110</v>
      </c>
      <c r="F355" s="188" t="s">
        <v>264</v>
      </c>
      <c r="G355" s="188" t="s">
        <v>25</v>
      </c>
      <c r="H355" s="315">
        <v>46006</v>
      </c>
      <c r="I355" s="316"/>
      <c r="J355" s="690" t="s">
        <v>27</v>
      </c>
      <c r="K355" s="690" t="s">
        <v>666</v>
      </c>
      <c r="L355" s="315">
        <v>45980</v>
      </c>
      <c r="M355" s="315">
        <v>45987</v>
      </c>
      <c r="N355" s="690" t="s">
        <v>29</v>
      </c>
      <c r="O355" s="179">
        <f ca="1">IF(ISBLANK(L355), "", IF(ISNUMBER(M355), NETWORKDAYS(L355, M355, Holidays!$D$4:$D$19), NETWORKDAYS(L355, TODAY(), Holidays!$D$4:$D$19)))</f>
        <v>4</v>
      </c>
      <c r="P355" s="188">
        <f ca="1">IF(ISBLANK(H355), "", IF(ISNUMBER(M355), NETWORKDAYS(H355, M355, Holidays!$D$4:$D$19), NETWORKDAYS(H355, TODAY(), Holidays!$D$4:$D$19)))</f>
        <v>-13</v>
      </c>
      <c r="Q355" s="692" t="s">
        <v>26</v>
      </c>
      <c r="R355" s="818"/>
      <c r="S355" s="735"/>
      <c r="T355" s="735"/>
      <c r="U355" s="735"/>
      <c r="V355" s="819"/>
      <c r="W355" s="819"/>
      <c r="X355" s="118"/>
    </row>
    <row r="356" spans="2:24" ht="28.9">
      <c r="B356" s="406" t="s">
        <v>667</v>
      </c>
      <c r="C356" s="257" t="s">
        <v>385</v>
      </c>
      <c r="D356" s="759" t="s">
        <v>668</v>
      </c>
      <c r="E356" s="690" t="s">
        <v>259</v>
      </c>
      <c r="F356" s="188" t="s">
        <v>216</v>
      </c>
      <c r="G356" s="188" t="s">
        <v>25</v>
      </c>
      <c r="H356" s="315">
        <v>46001</v>
      </c>
      <c r="I356" s="316"/>
      <c r="J356" s="690" t="s">
        <v>27</v>
      </c>
      <c r="K356" s="690" t="s">
        <v>669</v>
      </c>
      <c r="L356" s="315">
        <v>45984</v>
      </c>
      <c r="M356" s="315">
        <v>45996</v>
      </c>
      <c r="N356" s="690" t="s">
        <v>29</v>
      </c>
      <c r="O356" s="179">
        <f ca="1">IF(ISBLANK(L356), "", IF(ISNUMBER(M356), NETWORKDAYS(L356, M356, Holidays!$D$4:$D$19), NETWORKDAYS(L356, TODAY(), Holidays!$D$4:$D$19)))</f>
        <v>10</v>
      </c>
      <c r="P356" s="188">
        <f ca="1">IF(ISBLANK(H356), "", IF(ISNUMBER(M356), NETWORKDAYS(H356, M356, Holidays!$D$4:$D$19), NETWORKDAYS(H356, TODAY(), Holidays!$D$4:$D$19)))</f>
        <v>-4</v>
      </c>
      <c r="Q356" s="692" t="s">
        <v>26</v>
      </c>
      <c r="R356" s="818"/>
      <c r="S356" s="735"/>
      <c r="T356" s="735"/>
      <c r="U356" s="735"/>
      <c r="V356" s="819"/>
      <c r="W356" s="819"/>
      <c r="X356" s="118"/>
    </row>
    <row r="357" spans="2:24" ht="28.9">
      <c r="B357" s="892" t="s">
        <v>667</v>
      </c>
      <c r="C357" s="797" t="s">
        <v>385</v>
      </c>
      <c r="D357" s="893" t="s">
        <v>668</v>
      </c>
      <c r="E357" s="894" t="s">
        <v>259</v>
      </c>
      <c r="F357" s="895" t="s">
        <v>216</v>
      </c>
      <c r="G357" s="895" t="s">
        <v>25</v>
      </c>
      <c r="H357" s="896">
        <v>46002</v>
      </c>
      <c r="I357" s="897"/>
      <c r="J357" s="894" t="s">
        <v>27</v>
      </c>
      <c r="K357" s="894" t="s">
        <v>670</v>
      </c>
      <c r="L357" s="896">
        <v>46001</v>
      </c>
      <c r="M357" s="896">
        <v>46010</v>
      </c>
      <c r="N357" s="894" t="s">
        <v>29</v>
      </c>
      <c r="O357" s="362">
        <f ca="1">IF(ISBLANK(L357), "", IF(ISNUMBER(M357), NETWORKDAYS(L357, M357, Holidays!$D$4:$D$19), NETWORKDAYS(L357, TODAY(), Holidays!$D$4:$D$19)))</f>
        <v>7</v>
      </c>
      <c r="P357" s="776">
        <f ca="1">IF(ISBLANK(H357), "", IF(ISNUMBER(M357), NETWORKDAYS(H357, M357, Holidays!$D$4:$D$19), NETWORKDAYS(H357, TODAY(), Holidays!$D$4:$D$19)))</f>
        <v>6</v>
      </c>
      <c r="Q357" s="898" t="s">
        <v>26</v>
      </c>
      <c r="R357" s="818"/>
      <c r="S357" s="735"/>
      <c r="T357" s="735"/>
      <c r="U357" s="735"/>
      <c r="V357" s="819"/>
      <c r="W357" s="819"/>
      <c r="X357" s="118"/>
    </row>
    <row r="358" spans="2:24" ht="28.9">
      <c r="B358" s="147" t="s">
        <v>667</v>
      </c>
      <c r="C358" s="148" t="s">
        <v>385</v>
      </c>
      <c r="D358" s="124" t="s">
        <v>668</v>
      </c>
      <c r="E358" s="826" t="s">
        <v>259</v>
      </c>
      <c r="F358" s="149" t="s">
        <v>216</v>
      </c>
      <c r="G358" s="149" t="s">
        <v>25</v>
      </c>
      <c r="H358" s="327">
        <v>46001</v>
      </c>
      <c r="I358" s="827"/>
      <c r="J358" s="826" t="s">
        <v>27</v>
      </c>
      <c r="K358" s="826" t="s">
        <v>671</v>
      </c>
      <c r="L358" s="327">
        <v>45995</v>
      </c>
      <c r="M358" s="327">
        <v>46008</v>
      </c>
      <c r="N358" s="150" t="s">
        <v>29</v>
      </c>
      <c r="O358" s="204">
        <f ca="1">IF(ISBLANK(L358), "", IF(ISNUMBER(M358), NETWORKDAYS(L358, M358, Holidays!$D$4:$D$19), NETWORKDAYS(L358, TODAY(), Holidays!$D$4:$D$19)))</f>
        <v>9</v>
      </c>
      <c r="P358" s="204">
        <f ca="1">IF(ISBLANK(H358), "", IF(ISNUMBER(M358), NETWORKDAYS(H358, M358, Holidays!$D$4:$D$19), NETWORKDAYS(H358, TODAY(), Holidays!$D$4:$D$19)))</f>
        <v>5</v>
      </c>
      <c r="Q358" s="828" t="s">
        <v>26</v>
      </c>
      <c r="R358" s="818"/>
      <c r="S358" s="735"/>
      <c r="T358" s="735"/>
      <c r="U358" s="735"/>
      <c r="V358" s="819"/>
      <c r="W358" s="819"/>
      <c r="X358" s="118"/>
    </row>
    <row r="359" spans="2:24" ht="28.9">
      <c r="B359" s="748" t="s">
        <v>667</v>
      </c>
      <c r="C359" s="772" t="s">
        <v>385</v>
      </c>
      <c r="D359" s="126" t="s">
        <v>668</v>
      </c>
      <c r="E359" s="820" t="s">
        <v>259</v>
      </c>
      <c r="F359" s="127" t="s">
        <v>216</v>
      </c>
      <c r="G359" s="127" t="s">
        <v>25</v>
      </c>
      <c r="H359" s="821">
        <v>46001</v>
      </c>
      <c r="I359" s="822"/>
      <c r="J359" s="820" t="s">
        <v>27</v>
      </c>
      <c r="K359" s="820" t="s">
        <v>672</v>
      </c>
      <c r="L359" s="821">
        <v>45986</v>
      </c>
      <c r="M359" s="821">
        <v>45996</v>
      </c>
      <c r="N359" s="820" t="s">
        <v>29</v>
      </c>
      <c r="O359" s="194">
        <f ca="1">IF(ISBLANK(L359), "", IF(ISNUMBER(M359), NETWORKDAYS(L359, M359, Holidays!$D$4:$D$19), NETWORKDAYS(L359, TODAY(), Holidays!$D$4:$D$19)))</f>
        <v>9</v>
      </c>
      <c r="P359" s="149">
        <f ca="1">IF(ISBLANK(H359), "", IF(ISNUMBER(M359), NETWORKDAYS(H359, M359, Holidays!$D$4:$D$19), NETWORKDAYS(H359, TODAY(), Holidays!$D$4:$D$19)))</f>
        <v>-4</v>
      </c>
      <c r="Q359" s="168" t="s">
        <v>26</v>
      </c>
      <c r="R359" s="818"/>
      <c r="S359" s="735"/>
      <c r="T359" s="735"/>
      <c r="U359" s="735"/>
      <c r="V359" s="819"/>
      <c r="W359" s="819"/>
      <c r="X359" s="118"/>
    </row>
    <row r="360" spans="2:24" ht="28.9">
      <c r="B360" s="694" t="s">
        <v>673</v>
      </c>
      <c r="C360" s="695" t="s">
        <v>674</v>
      </c>
      <c r="D360" s="125" t="s">
        <v>675</v>
      </c>
      <c r="E360" s="431" t="s">
        <v>676</v>
      </c>
      <c r="F360" s="125" t="s">
        <v>241</v>
      </c>
      <c r="G360" s="125" t="s">
        <v>25</v>
      </c>
      <c r="H360" s="823">
        <v>45993</v>
      </c>
      <c r="I360" s="824"/>
      <c r="J360" s="431" t="s">
        <v>27</v>
      </c>
      <c r="K360" s="431" t="s">
        <v>677</v>
      </c>
      <c r="L360" s="823">
        <v>45986</v>
      </c>
      <c r="M360" s="823">
        <v>45996</v>
      </c>
      <c r="N360" s="431" t="s">
        <v>29</v>
      </c>
      <c r="O360" s="433">
        <f ca="1">IF(ISBLANK(L360), "", IF(ISNUMBER(M360), NETWORKDAYS(L360, M360, Holidays!$D$4:$D$19), NETWORKDAYS(L360, TODAY(), Holidays!$D$4:$D$19)))</f>
        <v>9</v>
      </c>
      <c r="P360" s="264">
        <f ca="1">IF(ISBLANK(H360), "", IF(ISNUMBER(M360), NETWORKDAYS(H360, M360, Holidays!$D$4:$D$19), NETWORKDAYS(H360, TODAY(), Holidays!$D$4:$D$19)))</f>
        <v>4</v>
      </c>
      <c r="Q360" s="825" t="s">
        <v>26</v>
      </c>
      <c r="R360" s="818"/>
      <c r="S360" s="735"/>
      <c r="T360" s="735"/>
      <c r="U360" s="735"/>
      <c r="V360" s="819"/>
      <c r="W360" s="819"/>
      <c r="X360" s="118"/>
    </row>
    <row r="361" spans="2:24" ht="28.9">
      <c r="B361" s="702" t="s">
        <v>673</v>
      </c>
      <c r="C361" s="703" t="s">
        <v>674</v>
      </c>
      <c r="D361" s="118" t="s">
        <v>675</v>
      </c>
      <c r="E361" s="735" t="s">
        <v>676</v>
      </c>
      <c r="F361" s="118" t="s">
        <v>241</v>
      </c>
      <c r="G361" s="118" t="s">
        <v>25</v>
      </c>
      <c r="H361" s="815">
        <v>45993</v>
      </c>
      <c r="I361" s="816"/>
      <c r="J361" s="735" t="s">
        <v>27</v>
      </c>
      <c r="K361" s="735" t="s">
        <v>678</v>
      </c>
      <c r="L361" s="815">
        <v>45986</v>
      </c>
      <c r="M361" s="815">
        <v>45996</v>
      </c>
      <c r="N361" s="735" t="s">
        <v>29</v>
      </c>
      <c r="O361" s="204">
        <f ca="1">IF(ISBLANK(L361), "", IF(ISNUMBER(M361), NETWORKDAYS(L361, M361, Holidays!$D$4:$D$19), NETWORKDAYS(L361, TODAY(), Holidays!$D$4:$D$19)))</f>
        <v>9</v>
      </c>
      <c r="P361" s="763">
        <f ca="1">IF(ISBLANK(H361), "", IF(ISNUMBER(M361), NETWORKDAYS(H361, M361, Holidays!$D$4:$D$19), NETWORKDAYS(H361, TODAY(), Holidays!$D$4:$D$19)))</f>
        <v>4</v>
      </c>
      <c r="Q361" s="817" t="s">
        <v>26</v>
      </c>
      <c r="R361" s="818"/>
      <c r="S361" s="735"/>
      <c r="T361" s="735"/>
      <c r="U361" s="735"/>
      <c r="V361" s="819"/>
      <c r="W361" s="819"/>
      <c r="X361" s="118"/>
    </row>
    <row r="362" spans="2:24" ht="28.9">
      <c r="B362" s="702" t="s">
        <v>673</v>
      </c>
      <c r="C362" s="703" t="s">
        <v>674</v>
      </c>
      <c r="D362" s="118" t="s">
        <v>675</v>
      </c>
      <c r="E362" s="735" t="s">
        <v>676</v>
      </c>
      <c r="F362" s="118" t="s">
        <v>241</v>
      </c>
      <c r="G362" s="118" t="s">
        <v>25</v>
      </c>
      <c r="H362" s="815">
        <v>45993</v>
      </c>
      <c r="I362" s="816"/>
      <c r="J362" s="735" t="s">
        <v>27</v>
      </c>
      <c r="K362" s="735" t="s">
        <v>679</v>
      </c>
      <c r="L362" s="815">
        <v>45986</v>
      </c>
      <c r="M362" s="815">
        <v>45992</v>
      </c>
      <c r="N362" s="735" t="s">
        <v>46</v>
      </c>
      <c r="O362" s="204">
        <f ca="1">IF(ISBLANK(L362), "", IF(ISNUMBER(M362), NETWORKDAYS(L362, M362, Holidays!$D$4:$D$19), NETWORKDAYS(L362, TODAY(), Holidays!$D$4:$D$19)))</f>
        <v>5</v>
      </c>
      <c r="P362" s="763">
        <f ca="1">IF(ISBLANK(H362), "", IF(ISNUMBER(M362), NETWORKDAYS(H362, M362, Holidays!$D$4:$D$19), NETWORKDAYS(H362, TODAY(), Holidays!$D$4:$D$19)))</f>
        <v>-2</v>
      </c>
      <c r="Q362" s="817" t="s">
        <v>60</v>
      </c>
      <c r="R362" s="818"/>
      <c r="S362" s="735"/>
      <c r="T362" s="735"/>
      <c r="U362" s="735"/>
      <c r="V362" s="819"/>
      <c r="W362" s="819"/>
      <c r="X362" s="118"/>
    </row>
    <row r="363" spans="2:24" ht="28.9">
      <c r="B363" s="702" t="s">
        <v>673</v>
      </c>
      <c r="C363" s="703" t="s">
        <v>674</v>
      </c>
      <c r="D363" s="118" t="s">
        <v>675</v>
      </c>
      <c r="E363" s="735" t="s">
        <v>676</v>
      </c>
      <c r="F363" s="118" t="s">
        <v>241</v>
      </c>
      <c r="G363" s="118" t="s">
        <v>25</v>
      </c>
      <c r="H363" s="815">
        <v>45993</v>
      </c>
      <c r="I363" s="816"/>
      <c r="J363" s="735" t="s">
        <v>27</v>
      </c>
      <c r="K363" s="735" t="s">
        <v>680</v>
      </c>
      <c r="L363" s="815">
        <v>45987</v>
      </c>
      <c r="M363" s="815">
        <v>45995</v>
      </c>
      <c r="N363" s="735" t="s">
        <v>29</v>
      </c>
      <c r="O363" s="204">
        <f ca="1">IF(ISBLANK(L363), "", IF(ISNUMBER(M363), NETWORKDAYS(L363, M363, Holidays!$D$4:$D$19), NETWORKDAYS(L363, TODAY(), Holidays!$D$4:$D$19)))</f>
        <v>7</v>
      </c>
      <c r="P363" s="763">
        <f ca="1">IF(ISBLANK(H363), "", IF(ISNUMBER(M363), NETWORKDAYS(H363, M363, Holidays!$D$4:$D$19), NETWORKDAYS(H363, TODAY(), Holidays!$D$4:$D$19)))</f>
        <v>3</v>
      </c>
      <c r="Q363" s="817" t="s">
        <v>26</v>
      </c>
      <c r="R363" s="818"/>
      <c r="S363" s="735"/>
      <c r="T363" s="735"/>
      <c r="U363" s="735"/>
      <c r="V363" s="819"/>
      <c r="W363" s="819"/>
      <c r="X363" s="118"/>
    </row>
    <row r="364" spans="2:24" ht="28.9">
      <c r="B364" s="702" t="s">
        <v>673</v>
      </c>
      <c r="C364" s="703" t="s">
        <v>674</v>
      </c>
      <c r="D364" s="118" t="s">
        <v>675</v>
      </c>
      <c r="E364" s="735" t="s">
        <v>676</v>
      </c>
      <c r="F364" s="118" t="s">
        <v>241</v>
      </c>
      <c r="G364" s="118" t="s">
        <v>25</v>
      </c>
      <c r="H364" s="815">
        <v>45993</v>
      </c>
      <c r="I364" s="816"/>
      <c r="J364" s="735" t="s">
        <v>27</v>
      </c>
      <c r="K364" s="735" t="s">
        <v>681</v>
      </c>
      <c r="L364" s="815">
        <v>45987</v>
      </c>
      <c r="M364" s="815">
        <v>46019</v>
      </c>
      <c r="N364" s="735" t="s">
        <v>29</v>
      </c>
      <c r="O364" s="204">
        <f ca="1">IF(ISBLANK(L364), "", IF(ISNUMBER(M364), NETWORKDAYS(L364, M364, Holidays!$D$4:$D$19), NETWORKDAYS(L364, TODAY(), Holidays!$D$4:$D$19)))</f>
        <v>20</v>
      </c>
      <c r="P364" s="763">
        <f ca="1">IF(ISBLANK(H364), "", IF(ISNUMBER(M364), NETWORKDAYS(H364, M364, Holidays!$D$4:$D$19), NETWORKDAYS(H364, TODAY(), Holidays!$D$4:$D$19)))</f>
        <v>16</v>
      </c>
      <c r="Q364" s="817" t="s">
        <v>26</v>
      </c>
      <c r="R364" s="818"/>
      <c r="S364" s="735"/>
      <c r="T364" s="735"/>
      <c r="U364" s="735"/>
      <c r="V364" s="819"/>
      <c r="W364" s="819"/>
      <c r="X364" s="118"/>
    </row>
    <row r="365" spans="2:24" ht="28.9">
      <c r="B365" s="702" t="s">
        <v>673</v>
      </c>
      <c r="C365" s="703" t="s">
        <v>674</v>
      </c>
      <c r="D365" s="118" t="s">
        <v>675</v>
      </c>
      <c r="E365" s="735" t="s">
        <v>676</v>
      </c>
      <c r="F365" s="118" t="s">
        <v>241</v>
      </c>
      <c r="G365" s="118" t="s">
        <v>25</v>
      </c>
      <c r="H365" s="815">
        <v>45993</v>
      </c>
      <c r="I365" s="816"/>
      <c r="J365" s="735" t="s">
        <v>40</v>
      </c>
      <c r="K365" s="735" t="s">
        <v>682</v>
      </c>
      <c r="L365" s="815">
        <v>45986</v>
      </c>
      <c r="M365" s="815">
        <v>45992</v>
      </c>
      <c r="N365" s="735" t="s">
        <v>29</v>
      </c>
      <c r="O365" s="204">
        <f ca="1">IF(ISBLANK(L365), "", IF(ISNUMBER(M365), NETWORKDAYS(L365, M365, Holidays!$D$4:$D$19), NETWORKDAYS(L365, TODAY(), Holidays!$D$4:$D$19)))</f>
        <v>5</v>
      </c>
      <c r="P365" s="763">
        <f ca="1">IF(ISBLANK(H365), "", IF(ISNUMBER(M365), NETWORKDAYS(H365, M365, Holidays!$D$4:$D$19), NETWORKDAYS(H365, TODAY(), Holidays!$D$4:$D$19)))</f>
        <v>-2</v>
      </c>
      <c r="Q365" s="817" t="s">
        <v>26</v>
      </c>
      <c r="R365" s="818"/>
      <c r="S365" s="735"/>
      <c r="T365" s="735"/>
      <c r="U365" s="735"/>
      <c r="V365" s="819"/>
      <c r="W365" s="819"/>
      <c r="X365" s="118"/>
    </row>
    <row r="366" spans="2:24" ht="28.9">
      <c r="B366" s="702" t="s">
        <v>673</v>
      </c>
      <c r="C366" s="703" t="s">
        <v>674</v>
      </c>
      <c r="D366" s="118" t="s">
        <v>675</v>
      </c>
      <c r="E366" s="735" t="s">
        <v>676</v>
      </c>
      <c r="F366" s="118" t="s">
        <v>241</v>
      </c>
      <c r="G366" s="118" t="s">
        <v>25</v>
      </c>
      <c r="H366" s="815">
        <v>45994</v>
      </c>
      <c r="I366" s="816"/>
      <c r="J366" s="735" t="s">
        <v>27</v>
      </c>
      <c r="K366" s="735" t="s">
        <v>683</v>
      </c>
      <c r="L366" s="815">
        <v>46002</v>
      </c>
      <c r="M366" s="815">
        <v>46010</v>
      </c>
      <c r="N366" s="735" t="s">
        <v>29</v>
      </c>
      <c r="O366" s="204">
        <f ca="1">IF(ISBLANK(L366), "", IF(ISNUMBER(M366), NETWORKDAYS(L366, M366, Holidays!$D$4:$D$19), NETWORKDAYS(L366, TODAY(), Holidays!$D$4:$D$19)))</f>
        <v>6</v>
      </c>
      <c r="P366" s="763">
        <f ca="1">IF(ISBLANK(H366), "", IF(ISNUMBER(M366), NETWORKDAYS(H366, M366, Holidays!$D$4:$D$19), NETWORKDAYS(H366, TODAY(), Holidays!$D$4:$D$19)))</f>
        <v>12</v>
      </c>
      <c r="Q366" s="817" t="s">
        <v>26</v>
      </c>
      <c r="R366" s="818"/>
      <c r="S366" s="735"/>
      <c r="T366" s="735"/>
      <c r="U366" s="735"/>
      <c r="V366" s="819"/>
      <c r="W366" s="819"/>
      <c r="X366" s="118"/>
    </row>
    <row r="367" spans="2:24" ht="28.9">
      <c r="B367" s="702" t="s">
        <v>673</v>
      </c>
      <c r="C367" s="703" t="s">
        <v>674</v>
      </c>
      <c r="D367" s="118" t="s">
        <v>675</v>
      </c>
      <c r="E367" s="735" t="s">
        <v>676</v>
      </c>
      <c r="F367" s="118" t="s">
        <v>241</v>
      </c>
      <c r="G367" s="118" t="s">
        <v>25</v>
      </c>
      <c r="H367" s="815">
        <v>45995</v>
      </c>
      <c r="I367" s="816"/>
      <c r="J367" s="735" t="s">
        <v>27</v>
      </c>
      <c r="K367" s="735" t="s">
        <v>684</v>
      </c>
      <c r="L367" s="815">
        <v>46000</v>
      </c>
      <c r="M367" s="815">
        <v>46010</v>
      </c>
      <c r="N367" s="735" t="s">
        <v>29</v>
      </c>
      <c r="O367" s="204">
        <f ca="1">IF(ISBLANK(L367), "", IF(ISNUMBER(M367), NETWORKDAYS(L367, M367, Holidays!$D$4:$D$19), NETWORKDAYS(L367, TODAY(), Holidays!$D$4:$D$19)))</f>
        <v>8</v>
      </c>
      <c r="P367" s="763">
        <f ca="1">IF(ISBLANK(H367), "", IF(ISNUMBER(M367), NETWORKDAYS(H367, M367, Holidays!$D$4:$D$19), NETWORKDAYS(H367, TODAY(), Holidays!$D$4:$D$19)))</f>
        <v>11</v>
      </c>
      <c r="Q367" s="817" t="s">
        <v>26</v>
      </c>
      <c r="R367" s="818"/>
      <c r="S367" s="735"/>
      <c r="T367" s="735"/>
      <c r="U367" s="735"/>
      <c r="V367" s="819"/>
      <c r="W367" s="819"/>
      <c r="X367" s="118"/>
    </row>
    <row r="368" spans="2:24" ht="28.9">
      <c r="B368" s="748" t="s">
        <v>673</v>
      </c>
      <c r="C368" s="772" t="s">
        <v>674</v>
      </c>
      <c r="D368" s="127" t="s">
        <v>675</v>
      </c>
      <c r="E368" s="820" t="s">
        <v>676</v>
      </c>
      <c r="F368" s="127" t="s">
        <v>241</v>
      </c>
      <c r="G368" s="127" t="s">
        <v>25</v>
      </c>
      <c r="H368" s="821">
        <v>45993</v>
      </c>
      <c r="I368" s="822"/>
      <c r="J368" s="820" t="s">
        <v>27</v>
      </c>
      <c r="K368" s="820" t="s">
        <v>685</v>
      </c>
      <c r="L368" s="821">
        <v>45985</v>
      </c>
      <c r="M368" s="821">
        <v>45996</v>
      </c>
      <c r="N368" s="820" t="s">
        <v>29</v>
      </c>
      <c r="O368" s="204">
        <f ca="1">IF(ISBLANK(L368), "", IF(ISNUMBER(M368), NETWORKDAYS(L368, M368, Holidays!$D$4:$D$19), NETWORKDAYS(L368, TODAY(), Holidays!$D$4:$D$19)))</f>
        <v>10</v>
      </c>
      <c r="P368" s="763">
        <f ca="1">IF(ISBLANK(H368), "", IF(ISNUMBER(M368), NETWORKDAYS(H368, M368, Holidays!$D$4:$D$19), NETWORKDAYS(H368, TODAY(), Holidays!$D$4:$D$19)))</f>
        <v>4</v>
      </c>
      <c r="Q368" s="168" t="s">
        <v>26</v>
      </c>
      <c r="R368" s="818"/>
      <c r="S368" s="735"/>
      <c r="T368" s="735"/>
      <c r="U368" s="735"/>
      <c r="V368" s="819"/>
      <c r="W368" s="819"/>
      <c r="X368" s="118"/>
    </row>
    <row r="369" spans="2:24" ht="28.9">
      <c r="B369" s="748" t="s">
        <v>673</v>
      </c>
      <c r="C369" s="772" t="s">
        <v>674</v>
      </c>
      <c r="D369" s="127" t="s">
        <v>675</v>
      </c>
      <c r="E369" s="820" t="s">
        <v>676</v>
      </c>
      <c r="F369" s="127" t="s">
        <v>241</v>
      </c>
      <c r="G369" s="127" t="s">
        <v>25</v>
      </c>
      <c r="H369" s="821">
        <v>45994</v>
      </c>
      <c r="I369" s="822"/>
      <c r="J369" s="820" t="s">
        <v>27</v>
      </c>
      <c r="K369" s="820" t="s">
        <v>686</v>
      </c>
      <c r="L369" s="821">
        <v>46002</v>
      </c>
      <c r="M369" s="821">
        <v>46010</v>
      </c>
      <c r="N369" s="820" t="s">
        <v>29</v>
      </c>
      <c r="O369" s="204">
        <f ca="1">IF(ISBLANK(L369), "", IF(ISNUMBER(M369), NETWORKDAYS(L369, M369, Holidays!$D$4:$D$19), NETWORKDAYS(L369, TODAY(), Holidays!$D$4:$D$19)))</f>
        <v>6</v>
      </c>
      <c r="P369" s="763">
        <f ca="1">IF(ISBLANK(H369), "", IF(ISNUMBER(M369), NETWORKDAYS(H369, M369, Holidays!$D$4:$D$19), NETWORKDAYS(H369, TODAY(), Holidays!$D$4:$D$19)))</f>
        <v>12</v>
      </c>
      <c r="Q369" s="168" t="s">
        <v>26</v>
      </c>
      <c r="R369" s="818"/>
      <c r="S369" s="735"/>
      <c r="T369" s="735"/>
      <c r="U369" s="735"/>
      <c r="V369" s="819"/>
      <c r="W369" s="819"/>
      <c r="X369" s="118"/>
    </row>
    <row r="370" spans="2:24" ht="28.9">
      <c r="B370" s="748" t="s">
        <v>673</v>
      </c>
      <c r="C370" s="772" t="s">
        <v>674</v>
      </c>
      <c r="D370" s="127" t="s">
        <v>675</v>
      </c>
      <c r="E370" s="820" t="s">
        <v>676</v>
      </c>
      <c r="F370" s="127" t="s">
        <v>241</v>
      </c>
      <c r="G370" s="127" t="s">
        <v>25</v>
      </c>
      <c r="H370" s="821">
        <v>45995</v>
      </c>
      <c r="I370" s="822"/>
      <c r="J370" s="820" t="s">
        <v>27</v>
      </c>
      <c r="K370" s="820" t="s">
        <v>687</v>
      </c>
      <c r="L370" s="821">
        <v>46000</v>
      </c>
      <c r="M370" s="821">
        <v>46014</v>
      </c>
      <c r="N370" s="820" t="s">
        <v>29</v>
      </c>
      <c r="O370" s="204">
        <f ca="1">IF(ISBLANK(L370), "", IF(ISNUMBER(M370), NETWORKDAYS(L370, M370, Holidays!$D$4:$D$19), NETWORKDAYS(L370, TODAY(), Holidays!$D$4:$D$19)))</f>
        <v>10</v>
      </c>
      <c r="P370" s="763">
        <f ca="1">IF(ISBLANK(H370), "", IF(ISNUMBER(M370), NETWORKDAYS(H370, M370, Holidays!$D$4:$D$19), NETWORKDAYS(H370, TODAY(), Holidays!$D$4:$D$19)))</f>
        <v>13</v>
      </c>
      <c r="Q370" s="168" t="s">
        <v>26</v>
      </c>
      <c r="R370" s="818"/>
      <c r="S370" s="735"/>
      <c r="T370" s="735"/>
      <c r="U370" s="735"/>
      <c r="V370" s="819"/>
      <c r="W370" s="819"/>
      <c r="X370" s="118"/>
    </row>
    <row r="371" spans="2:24" ht="28.9">
      <c r="B371" s="748" t="s">
        <v>673</v>
      </c>
      <c r="C371" s="772" t="s">
        <v>674</v>
      </c>
      <c r="D371" s="127" t="s">
        <v>675</v>
      </c>
      <c r="E371" s="820" t="s">
        <v>676</v>
      </c>
      <c r="F371" s="127" t="s">
        <v>241</v>
      </c>
      <c r="G371" s="127" t="s">
        <v>25</v>
      </c>
      <c r="H371" s="821">
        <v>45996</v>
      </c>
      <c r="I371" s="822"/>
      <c r="J371" s="820" t="s">
        <v>27</v>
      </c>
      <c r="K371" s="820" t="s">
        <v>688</v>
      </c>
      <c r="L371" s="821">
        <v>46008</v>
      </c>
      <c r="M371" s="821">
        <v>46014</v>
      </c>
      <c r="N371" s="820" t="s">
        <v>29</v>
      </c>
      <c r="O371" s="204">
        <f ca="1">IF(ISBLANK(L371), "", IF(ISNUMBER(M371), NETWORKDAYS(L371, M371, Holidays!$D$4:$D$19), NETWORKDAYS(L371, TODAY(), Holidays!$D$4:$D$19)))</f>
        <v>5</v>
      </c>
      <c r="P371" s="763">
        <f ca="1">IF(ISBLANK(H371), "", IF(ISNUMBER(M371), NETWORKDAYS(H371, M371, Holidays!$D$4:$D$19), NETWORKDAYS(H371, TODAY(), Holidays!$D$4:$D$19)))</f>
        <v>12</v>
      </c>
      <c r="Q371" s="168" t="s">
        <v>26</v>
      </c>
      <c r="R371" s="818"/>
      <c r="S371" s="735"/>
      <c r="T371" s="735"/>
      <c r="U371" s="735"/>
      <c r="V371" s="819"/>
      <c r="W371" s="819"/>
      <c r="X371" s="118"/>
    </row>
    <row r="372" spans="2:24" ht="28.9">
      <c r="B372" s="748" t="s">
        <v>673</v>
      </c>
      <c r="C372" s="772" t="s">
        <v>674</v>
      </c>
      <c r="D372" s="127" t="s">
        <v>675</v>
      </c>
      <c r="E372" s="820" t="s">
        <v>676</v>
      </c>
      <c r="F372" s="127" t="s">
        <v>241</v>
      </c>
      <c r="G372" s="127" t="s">
        <v>25</v>
      </c>
      <c r="H372" s="821">
        <v>45996</v>
      </c>
      <c r="I372" s="822"/>
      <c r="J372" s="820" t="s">
        <v>27</v>
      </c>
      <c r="K372" s="820" t="s">
        <v>689</v>
      </c>
      <c r="L372" s="821">
        <v>46002</v>
      </c>
      <c r="M372" s="821">
        <v>46011</v>
      </c>
      <c r="N372" s="820" t="s">
        <v>29</v>
      </c>
      <c r="O372" s="204">
        <f ca="1">IF(ISBLANK(L372), "", IF(ISNUMBER(M372), NETWORKDAYS(L372, M372, Holidays!$D$4:$D$19), NETWORKDAYS(L372, TODAY(), Holidays!$D$4:$D$19)))</f>
        <v>6</v>
      </c>
      <c r="P372" s="763">
        <f ca="1">IF(ISBLANK(H372), "", IF(ISNUMBER(M372), NETWORKDAYS(H372, M372, Holidays!$D$4:$D$19), NETWORKDAYS(H372, TODAY(), Holidays!$D$4:$D$19)))</f>
        <v>10</v>
      </c>
      <c r="Q372" s="168" t="s">
        <v>26</v>
      </c>
      <c r="R372" s="818"/>
      <c r="S372" s="735"/>
      <c r="T372" s="735"/>
      <c r="U372" s="735"/>
      <c r="V372" s="819"/>
      <c r="W372" s="819"/>
      <c r="X372" s="118"/>
    </row>
    <row r="373" spans="2:24" ht="28.9">
      <c r="B373" s="748" t="s">
        <v>673</v>
      </c>
      <c r="C373" s="772" t="s">
        <v>674</v>
      </c>
      <c r="D373" s="127" t="s">
        <v>675</v>
      </c>
      <c r="E373" s="820" t="s">
        <v>676</v>
      </c>
      <c r="F373" s="127" t="s">
        <v>241</v>
      </c>
      <c r="G373" s="127" t="s">
        <v>25</v>
      </c>
      <c r="H373" s="821">
        <v>45997</v>
      </c>
      <c r="I373" s="822"/>
      <c r="J373" s="820" t="s">
        <v>27</v>
      </c>
      <c r="K373" s="820" t="s">
        <v>690</v>
      </c>
      <c r="L373" s="821">
        <v>46002</v>
      </c>
      <c r="M373" s="821">
        <v>46014</v>
      </c>
      <c r="N373" s="820" t="s">
        <v>29</v>
      </c>
      <c r="O373" s="204">
        <f ca="1">IF(ISBLANK(L373), "", IF(ISNUMBER(M373), NETWORKDAYS(L373, M373, Holidays!$D$4:$D$19), NETWORKDAYS(L373, TODAY(), Holidays!$D$4:$D$19)))</f>
        <v>8</v>
      </c>
      <c r="P373" s="763">
        <f ca="1">IF(ISBLANK(H373), "", IF(ISNUMBER(M373), NETWORKDAYS(H373, M373, Holidays!$D$4:$D$19), NETWORKDAYS(H373, TODAY(), Holidays!$D$4:$D$19)))</f>
        <v>11</v>
      </c>
      <c r="Q373" s="168" t="s">
        <v>26</v>
      </c>
      <c r="R373" s="818"/>
      <c r="S373" s="735"/>
      <c r="T373" s="735"/>
      <c r="U373" s="735"/>
      <c r="V373" s="819"/>
      <c r="W373" s="819"/>
      <c r="X373" s="118"/>
    </row>
    <row r="374" spans="2:24" ht="28.9">
      <c r="B374" s="748" t="s">
        <v>673</v>
      </c>
      <c r="C374" s="772" t="s">
        <v>674</v>
      </c>
      <c r="D374" s="127" t="s">
        <v>675</v>
      </c>
      <c r="E374" s="820" t="s">
        <v>676</v>
      </c>
      <c r="F374" s="127" t="s">
        <v>241</v>
      </c>
      <c r="G374" s="127" t="s">
        <v>25</v>
      </c>
      <c r="H374" s="821">
        <v>45997</v>
      </c>
      <c r="I374" s="822"/>
      <c r="J374" s="820" t="s">
        <v>27</v>
      </c>
      <c r="K374" s="820" t="s">
        <v>691</v>
      </c>
      <c r="L374" s="821">
        <v>46002</v>
      </c>
      <c r="M374" s="821">
        <v>46010</v>
      </c>
      <c r="N374" s="820" t="s">
        <v>29</v>
      </c>
      <c r="O374" s="204">
        <f ca="1">IF(ISBLANK(L374), "", IF(ISNUMBER(M374), NETWORKDAYS(L374, M374, Holidays!$D$4:$D$19), NETWORKDAYS(L374, TODAY(), Holidays!$D$4:$D$19)))</f>
        <v>6</v>
      </c>
      <c r="P374" s="763">
        <f ca="1">IF(ISBLANK(H374), "", IF(ISNUMBER(M374), NETWORKDAYS(H374, M374, Holidays!$D$4:$D$19), NETWORKDAYS(H374, TODAY(), Holidays!$D$4:$D$19)))</f>
        <v>9</v>
      </c>
      <c r="Q374" s="168" t="s">
        <v>26</v>
      </c>
      <c r="R374" s="818"/>
      <c r="S374" s="735"/>
      <c r="T374" s="735"/>
      <c r="U374" s="735"/>
      <c r="V374" s="819"/>
      <c r="W374" s="819"/>
      <c r="X374" s="118"/>
    </row>
    <row r="375" spans="2:24" ht="28.9">
      <c r="B375" s="748" t="s">
        <v>673</v>
      </c>
      <c r="C375" s="772" t="s">
        <v>674</v>
      </c>
      <c r="D375" s="127" t="s">
        <v>675</v>
      </c>
      <c r="E375" s="820" t="s">
        <v>676</v>
      </c>
      <c r="F375" s="127" t="s">
        <v>241</v>
      </c>
      <c r="G375" s="127" t="s">
        <v>25</v>
      </c>
      <c r="H375" s="821">
        <v>45993</v>
      </c>
      <c r="I375" s="822"/>
      <c r="J375" s="820" t="s">
        <v>27</v>
      </c>
      <c r="K375" s="820" t="s">
        <v>692</v>
      </c>
      <c r="L375" s="821">
        <v>45986</v>
      </c>
      <c r="M375" s="821">
        <v>45996</v>
      </c>
      <c r="N375" s="820" t="s">
        <v>29</v>
      </c>
      <c r="O375" s="362">
        <f ca="1">IF(ISBLANK(L375), "", IF(ISNUMBER(M375), NETWORKDAYS(L375, M375, Holidays!$D$4:$D$19), NETWORKDAYS(L375, TODAY(), Holidays!$D$4:$D$19)))</f>
        <v>9</v>
      </c>
      <c r="P375" s="776">
        <f ca="1">IF(ISBLANK(H375), "", IF(ISNUMBER(M375), NETWORKDAYS(H375, M375, Holidays!$D$4:$D$19), NETWORKDAYS(H375, TODAY(), Holidays!$D$4:$D$19)))</f>
        <v>4</v>
      </c>
      <c r="Q375" s="168" t="s">
        <v>26</v>
      </c>
      <c r="R375" s="818"/>
      <c r="S375" s="735"/>
      <c r="T375" s="735"/>
      <c r="U375" s="735"/>
      <c r="V375" s="819"/>
      <c r="W375" s="819"/>
      <c r="X375" s="118"/>
    </row>
    <row r="376" spans="2:24" ht="28.9">
      <c r="B376" s="694" t="s">
        <v>436</v>
      </c>
      <c r="C376" s="695" t="s">
        <v>165</v>
      </c>
      <c r="D376" s="119" t="s">
        <v>437</v>
      </c>
      <c r="E376" s="431" t="s">
        <v>113</v>
      </c>
      <c r="F376" s="125" t="s">
        <v>37</v>
      </c>
      <c r="G376" s="125" t="s">
        <v>438</v>
      </c>
      <c r="H376" s="823">
        <v>45930</v>
      </c>
      <c r="I376" s="824"/>
      <c r="J376" s="829" t="s">
        <v>27</v>
      </c>
      <c r="K376" s="858" t="s">
        <v>693</v>
      </c>
      <c r="L376" s="830">
        <v>45993</v>
      </c>
      <c r="M376" s="823">
        <v>46000</v>
      </c>
      <c r="N376" s="431" t="s">
        <v>29</v>
      </c>
      <c r="O376" s="433">
        <f ca="1">IF(ISBLANK(L376), "", IF(ISNUMBER(M376), NETWORKDAYS(L376, M376, Holidays!$D$4:$D$19), NETWORKDAYS(L376, TODAY(), Holidays!$D$4:$D$19)))</f>
        <v>6</v>
      </c>
      <c r="P376" s="264">
        <f ca="1">IF(ISBLANK(H376), "", IF(ISNUMBER(M376), NETWORKDAYS(H376, M376, Holidays!$D$4:$D$19), NETWORKDAYS(H376, TODAY(), Holidays!$D$4:$D$19)))</f>
        <v>47</v>
      </c>
      <c r="Q376" s="825" t="s">
        <v>26</v>
      </c>
      <c r="R376" s="818"/>
      <c r="S376" s="735"/>
      <c r="T376" s="735"/>
      <c r="U376" s="735"/>
      <c r="V376" s="819"/>
      <c r="W376" s="819"/>
      <c r="X376" s="118"/>
    </row>
    <row r="377" spans="2:24" ht="28.9">
      <c r="B377" s="702" t="s">
        <v>436</v>
      </c>
      <c r="C377" s="703" t="s">
        <v>165</v>
      </c>
      <c r="D377" s="831" t="s">
        <v>437</v>
      </c>
      <c r="E377" s="735" t="s">
        <v>113</v>
      </c>
      <c r="F377" s="118" t="s">
        <v>37</v>
      </c>
      <c r="G377" s="118" t="s">
        <v>438</v>
      </c>
      <c r="H377" s="815">
        <v>45930</v>
      </c>
      <c r="I377" s="816"/>
      <c r="J377" s="832" t="s">
        <v>27</v>
      </c>
      <c r="K377" s="855" t="s">
        <v>694</v>
      </c>
      <c r="L377" s="833">
        <v>45988</v>
      </c>
      <c r="M377" s="815">
        <v>46001</v>
      </c>
      <c r="N377" s="735" t="s">
        <v>29</v>
      </c>
      <c r="O377" s="204">
        <f ca="1">IF(ISBLANK(L377), "", IF(ISNUMBER(M377), NETWORKDAYS(L377, M377, Holidays!$D$4:$D$19), NETWORKDAYS(L377, TODAY(), Holidays!$D$4:$D$19)))</f>
        <v>10</v>
      </c>
      <c r="P377" s="763">
        <f ca="1">IF(ISBLANK(H377), "", IF(ISNUMBER(M377), NETWORKDAYS(H377, M377, Holidays!$D$4:$D$19), NETWORKDAYS(H377, TODAY(), Holidays!$D$4:$D$19)))</f>
        <v>48</v>
      </c>
      <c r="Q377" s="817" t="s">
        <v>26</v>
      </c>
      <c r="R377" s="818"/>
      <c r="S377" s="735"/>
      <c r="T377" s="735"/>
      <c r="U377" s="735"/>
      <c r="V377" s="819"/>
      <c r="W377" s="819"/>
      <c r="X377" s="118"/>
    </row>
    <row r="378" spans="2:24" ht="28.9">
      <c r="B378" s="709" t="s">
        <v>436</v>
      </c>
      <c r="C378" s="710" t="s">
        <v>165</v>
      </c>
      <c r="D378" s="834" t="s">
        <v>437</v>
      </c>
      <c r="E378" s="835" t="s">
        <v>113</v>
      </c>
      <c r="F378" s="419" t="s">
        <v>37</v>
      </c>
      <c r="G378" s="419" t="s">
        <v>438</v>
      </c>
      <c r="H378" s="836">
        <v>45930</v>
      </c>
      <c r="I378" s="837"/>
      <c r="J378" s="838" t="s">
        <v>27</v>
      </c>
      <c r="K378" s="857" t="s">
        <v>695</v>
      </c>
      <c r="L378" s="839">
        <v>45989</v>
      </c>
      <c r="M378" s="836">
        <v>46000</v>
      </c>
      <c r="N378" s="835" t="s">
        <v>29</v>
      </c>
      <c r="O378" s="342">
        <f ca="1">IF(ISBLANK(L378), "", IF(ISNUMBER(M378), NETWORKDAYS(L378, M378, Holidays!$D$4:$D$19), NETWORKDAYS(L378, TODAY(), Holidays!$D$4:$D$19)))</f>
        <v>8</v>
      </c>
      <c r="P378" s="766">
        <f ca="1">IF(ISBLANK(H378), "", IF(ISNUMBER(M378), NETWORKDAYS(H378, M378, Holidays!$D$4:$D$19), NETWORKDAYS(H378, TODAY(), Holidays!$D$4:$D$19)))</f>
        <v>47</v>
      </c>
      <c r="Q378" s="840" t="s">
        <v>26</v>
      </c>
      <c r="R378" s="818"/>
      <c r="S378" s="735"/>
      <c r="T378" s="735"/>
      <c r="U378" s="735"/>
      <c r="V378" s="819"/>
      <c r="W378" s="819"/>
      <c r="X378" s="118"/>
    </row>
    <row r="379" spans="2:24" ht="28.9">
      <c r="B379" s="147" t="s">
        <v>436</v>
      </c>
      <c r="C379" s="148" t="s">
        <v>97</v>
      </c>
      <c r="D379" s="149" t="s">
        <v>437</v>
      </c>
      <c r="E379" s="826" t="s">
        <v>113</v>
      </c>
      <c r="F379" s="149" t="s">
        <v>241</v>
      </c>
      <c r="G379" s="149" t="s">
        <v>438</v>
      </c>
      <c r="H379" s="327">
        <v>45930</v>
      </c>
      <c r="I379" s="827"/>
      <c r="J379" s="826" t="s">
        <v>27</v>
      </c>
      <c r="K379" s="826" t="s">
        <v>696</v>
      </c>
      <c r="L379" s="327">
        <v>45994</v>
      </c>
      <c r="M379" s="327">
        <v>46010</v>
      </c>
      <c r="N379" s="826" t="s">
        <v>29</v>
      </c>
      <c r="O379" s="194">
        <f ca="1">IF(ISBLANK(L379), "", IF(ISNUMBER(M379), NETWORKDAYS(L379, M379, Holidays!$D$4:$D$19), NETWORKDAYS(L379, TODAY(), Holidays!$D$4:$D$19)))</f>
        <v>12</v>
      </c>
      <c r="P379" s="149">
        <f ca="1">IF(ISBLANK(H379), "", IF(ISNUMBER(M379), NETWORKDAYS(H379, M379, Holidays!$D$4:$D$19), NETWORKDAYS(H379, TODAY(), Holidays!$D$4:$D$19)))</f>
        <v>54</v>
      </c>
      <c r="Q379" s="159" t="s">
        <v>26</v>
      </c>
      <c r="R379" s="818"/>
      <c r="S379" s="735"/>
      <c r="T379" s="735"/>
      <c r="U379" s="735"/>
      <c r="V379" s="819"/>
      <c r="W379" s="819"/>
      <c r="X379" s="118"/>
    </row>
    <row r="380" spans="2:24" ht="28.9">
      <c r="B380" s="406" t="s">
        <v>436</v>
      </c>
      <c r="C380" s="257" t="s">
        <v>293</v>
      </c>
      <c r="D380" s="188" t="s">
        <v>437</v>
      </c>
      <c r="E380" s="690" t="s">
        <v>104</v>
      </c>
      <c r="F380" s="188" t="s">
        <v>593</v>
      </c>
      <c r="G380" s="188" t="s">
        <v>438</v>
      </c>
      <c r="H380" s="315">
        <v>45930</v>
      </c>
      <c r="I380" s="316"/>
      <c r="J380" s="690" t="s">
        <v>27</v>
      </c>
      <c r="K380" s="690" t="s">
        <v>697</v>
      </c>
      <c r="L380" s="315">
        <v>45996</v>
      </c>
      <c r="M380" s="315">
        <v>46003</v>
      </c>
      <c r="N380" s="690" t="s">
        <v>29</v>
      </c>
      <c r="O380" s="179">
        <f ca="1">IF(ISBLANK(L380), "", IF(ISNUMBER(M380), NETWORKDAYS(L380, M380, Holidays!$D$4:$D$19), NETWORKDAYS(L380, TODAY(), Holidays!$D$4:$D$19)))</f>
        <v>5</v>
      </c>
      <c r="P380" s="188">
        <f ca="1">IF(ISBLANK(H380), "", IF(ISNUMBER(M380), NETWORKDAYS(H380, M380, Holidays!$D$4:$D$19), NETWORKDAYS(H380, TODAY(), Holidays!$D$4:$D$19)))</f>
        <v>49</v>
      </c>
      <c r="Q380" s="692" t="s">
        <v>26</v>
      </c>
      <c r="R380" s="818"/>
      <c r="S380" s="735"/>
      <c r="T380" s="735"/>
      <c r="U380" s="735"/>
      <c r="V380" s="819"/>
      <c r="W380" s="819"/>
      <c r="X380" s="118"/>
    </row>
    <row r="381" spans="2:24" ht="43.15">
      <c r="B381" s="880" t="s">
        <v>698</v>
      </c>
      <c r="C381" s="884" t="s">
        <v>699</v>
      </c>
      <c r="D381" s="882" t="s">
        <v>700</v>
      </c>
      <c r="E381" s="858" t="s">
        <v>156</v>
      </c>
      <c r="F381" s="858" t="s">
        <v>260</v>
      </c>
      <c r="G381" s="125" t="s">
        <v>25</v>
      </c>
      <c r="H381" s="861">
        <v>46028</v>
      </c>
      <c r="I381" s="824"/>
      <c r="J381" s="858" t="s">
        <v>27</v>
      </c>
      <c r="K381" s="858" t="s">
        <v>701</v>
      </c>
      <c r="L381" s="823">
        <v>45998</v>
      </c>
      <c r="M381" s="823">
        <v>46008</v>
      </c>
      <c r="N381" s="431" t="s">
        <v>29</v>
      </c>
      <c r="O381" s="433">
        <f ca="1">IF(ISBLANK(L381), "", IF(ISNUMBER(M381), NETWORKDAYS(L381, M381, Holidays!$D$4:$D$19), NETWORKDAYS(L381, TODAY(), Holidays!$D$4:$D$19)))</f>
        <v>7</v>
      </c>
      <c r="P381" s="264">
        <f ca="1">IF(ISBLANK(H381), "", IF(ISNUMBER(M381), NETWORKDAYS(H381, M381, Holidays!$D$4:$D$19), NETWORKDAYS(H381, TODAY(), Holidays!$D$4:$D$19)))</f>
        <v>-12</v>
      </c>
      <c r="Q381" s="825" t="s">
        <v>26</v>
      </c>
      <c r="R381" s="818"/>
      <c r="S381" s="735"/>
      <c r="T381" s="735"/>
      <c r="U381" s="735"/>
      <c r="V381" s="819"/>
      <c r="W381" s="819"/>
      <c r="X381" s="118"/>
    </row>
    <row r="382" spans="2:24" ht="43.15">
      <c r="B382" s="881" t="s">
        <v>698</v>
      </c>
      <c r="C382" s="885" t="s">
        <v>699</v>
      </c>
      <c r="D382" s="883" t="s">
        <v>700</v>
      </c>
      <c r="E382" s="855" t="s">
        <v>156</v>
      </c>
      <c r="F382" s="855" t="s">
        <v>260</v>
      </c>
      <c r="G382" s="118" t="s">
        <v>25</v>
      </c>
      <c r="H382" s="856">
        <v>46028</v>
      </c>
      <c r="I382" s="816"/>
      <c r="J382" s="855" t="s">
        <v>27</v>
      </c>
      <c r="K382" s="855" t="s">
        <v>702</v>
      </c>
      <c r="L382" s="815">
        <v>45998</v>
      </c>
      <c r="M382" s="815">
        <v>46001</v>
      </c>
      <c r="N382" s="735" t="s">
        <v>29</v>
      </c>
      <c r="O382" s="157">
        <f ca="1">IF(ISBLANK(L382), "", IF(ISNUMBER(M382), NETWORKDAYS(L382, M382, Holidays!$D$4:$D$19), NETWORKDAYS(L382, TODAY(), Holidays!$D$4:$D$19)))</f>
        <v>3</v>
      </c>
      <c r="P382" s="726">
        <f ca="1">IF(ISBLANK(H382), "", IF(ISNUMBER(M382), NETWORKDAYS(H382, M382, Holidays!$D$4:$D$19), NETWORKDAYS(H382, TODAY(), Holidays!$D$4:$D$19)))</f>
        <v>-16</v>
      </c>
      <c r="Q382" s="817" t="s">
        <v>26</v>
      </c>
      <c r="R382" s="818"/>
      <c r="S382" s="735"/>
      <c r="T382" s="735"/>
      <c r="U382" s="735"/>
      <c r="V382" s="819"/>
      <c r="W382" s="819"/>
      <c r="X382" s="118"/>
    </row>
    <row r="383" spans="2:24" ht="43.15">
      <c r="B383" s="881" t="s">
        <v>698</v>
      </c>
      <c r="C383" s="885" t="s">
        <v>699</v>
      </c>
      <c r="D383" s="883" t="s">
        <v>700</v>
      </c>
      <c r="E383" s="855" t="s">
        <v>156</v>
      </c>
      <c r="F383" s="855" t="s">
        <v>260</v>
      </c>
      <c r="G383" s="118" t="s">
        <v>25</v>
      </c>
      <c r="H383" s="856">
        <v>46028</v>
      </c>
      <c r="I383" s="816"/>
      <c r="J383" s="855" t="s">
        <v>27</v>
      </c>
      <c r="K383" s="855" t="s">
        <v>703</v>
      </c>
      <c r="L383" s="815">
        <v>45998</v>
      </c>
      <c r="M383" s="815">
        <v>46001</v>
      </c>
      <c r="N383" s="735" t="s">
        <v>29</v>
      </c>
      <c r="O383" s="204">
        <f ca="1">IF(ISBLANK(L383), "", IF(ISNUMBER(M383), NETWORKDAYS(L383, M383, Holidays!$D$4:$D$19), NETWORKDAYS(L383, TODAY(), Holidays!$D$4:$D$19)))</f>
        <v>3</v>
      </c>
      <c r="P383" s="763">
        <f ca="1">IF(ISBLANK(H383), "", IF(ISNUMBER(M383), NETWORKDAYS(H383, M383, Holidays!$D$4:$D$19), NETWORKDAYS(H383, TODAY(), Holidays!$D$4:$D$19)))</f>
        <v>-16</v>
      </c>
      <c r="Q383" s="817" t="s">
        <v>26</v>
      </c>
      <c r="R383" s="818"/>
      <c r="S383" s="735"/>
      <c r="T383" s="735"/>
      <c r="U383" s="735"/>
      <c r="V383" s="819"/>
      <c r="W383" s="819"/>
      <c r="X383" s="118"/>
    </row>
    <row r="384" spans="2:24" ht="43.15">
      <c r="B384" s="881" t="s">
        <v>698</v>
      </c>
      <c r="C384" s="885" t="s">
        <v>699</v>
      </c>
      <c r="D384" s="883" t="s">
        <v>700</v>
      </c>
      <c r="E384" s="855" t="s">
        <v>156</v>
      </c>
      <c r="F384" s="855" t="s">
        <v>260</v>
      </c>
      <c r="G384" s="118" t="s">
        <v>25</v>
      </c>
      <c r="H384" s="856">
        <v>46028</v>
      </c>
      <c r="I384" s="816"/>
      <c r="J384" s="855" t="s">
        <v>27</v>
      </c>
      <c r="K384" s="855" t="s">
        <v>704</v>
      </c>
      <c r="L384" s="815">
        <v>45999</v>
      </c>
      <c r="M384" s="815">
        <v>46010</v>
      </c>
      <c r="N384" s="735" t="s">
        <v>29</v>
      </c>
      <c r="O384" s="204">
        <f ca="1">IF(ISBLANK(L384), "", IF(ISNUMBER(M384), NETWORKDAYS(L384, M384, Holidays!$D$4:$D$19), NETWORKDAYS(L384, TODAY(), Holidays!$D$4:$D$19)))</f>
        <v>9</v>
      </c>
      <c r="P384" s="763">
        <f ca="1">IF(ISBLANK(H384), "", IF(ISNUMBER(M384), NETWORKDAYS(H384, M384, Holidays!$D$4:$D$19), NETWORKDAYS(H384, TODAY(), Holidays!$D$4:$D$19)))</f>
        <v>-10</v>
      </c>
      <c r="Q384" s="817" t="s">
        <v>26</v>
      </c>
      <c r="R384" s="818"/>
      <c r="S384" s="735"/>
      <c r="T384" s="735"/>
      <c r="U384" s="735"/>
      <c r="V384" s="819"/>
      <c r="W384" s="819"/>
      <c r="X384" s="118"/>
    </row>
    <row r="385" spans="2:24" ht="43.15">
      <c r="B385" s="886" t="s">
        <v>698</v>
      </c>
      <c r="C385" s="887" t="s">
        <v>699</v>
      </c>
      <c r="D385" s="888" t="s">
        <v>700</v>
      </c>
      <c r="E385" s="889" t="s">
        <v>156</v>
      </c>
      <c r="F385" s="889" t="s">
        <v>260</v>
      </c>
      <c r="G385" s="127" t="s">
        <v>25</v>
      </c>
      <c r="H385" s="890">
        <v>46028</v>
      </c>
      <c r="I385" s="822"/>
      <c r="J385" s="889" t="s">
        <v>27</v>
      </c>
      <c r="K385" s="889" t="s">
        <v>705</v>
      </c>
      <c r="L385" s="821">
        <v>45999</v>
      </c>
      <c r="M385" s="821">
        <v>46010</v>
      </c>
      <c r="N385" s="820" t="s">
        <v>29</v>
      </c>
      <c r="O385" s="362">
        <f ca="1">IF(ISBLANK(L385), "", IF(ISNUMBER(M385), NETWORKDAYS(L385, M385, Holidays!$D$4:$D$19), NETWORKDAYS(L385, TODAY(), Holidays!$D$4:$D$19)))</f>
        <v>9</v>
      </c>
      <c r="P385" s="776">
        <f ca="1">IF(ISBLANK(H385), "", IF(ISNUMBER(M385), NETWORKDAYS(H385, M385, Holidays!$D$4:$D$19), NETWORKDAYS(H385, TODAY(), Holidays!$D$4:$D$19)))</f>
        <v>-10</v>
      </c>
      <c r="Q385" s="168" t="s">
        <v>26</v>
      </c>
      <c r="R385" s="818"/>
      <c r="S385" s="735"/>
      <c r="T385" s="735"/>
      <c r="U385" s="735"/>
      <c r="V385" s="819"/>
      <c r="W385" s="819"/>
      <c r="X385" s="118"/>
    </row>
    <row r="386" spans="2:24" ht="14.45">
      <c r="B386" s="940" t="s">
        <v>706</v>
      </c>
      <c r="C386" s="750" t="s">
        <v>707</v>
      </c>
      <c r="D386" s="125" t="s">
        <v>708</v>
      </c>
      <c r="E386" s="941" t="s">
        <v>709</v>
      </c>
      <c r="F386" s="942" t="s">
        <v>81</v>
      </c>
      <c r="G386" s="125" t="s">
        <v>25</v>
      </c>
      <c r="H386" s="861">
        <v>46009</v>
      </c>
      <c r="I386" s="824"/>
      <c r="J386" s="858" t="s">
        <v>40</v>
      </c>
      <c r="K386" s="82" t="s">
        <v>710</v>
      </c>
      <c r="L386" s="823">
        <v>45999</v>
      </c>
      <c r="M386" s="823">
        <v>46014</v>
      </c>
      <c r="N386" s="431" t="s">
        <v>29</v>
      </c>
      <c r="O386" s="433">
        <f ca="1">IF(ISBLANK(L386), "", IF(ISNUMBER(M386), NETWORKDAYS(L386, M386, Holidays!$D$4:$D$19), NETWORKDAYS(L386, TODAY(), Holidays!$D$4:$D$19)))</f>
        <v>11</v>
      </c>
      <c r="P386" s="264">
        <f ca="1">IF(ISBLANK(H386), "", IF(ISNUMBER(M386), NETWORKDAYS(H386, M386, Holidays!$D$4:$D$19), NETWORKDAYS(H386, TODAY(), Holidays!$D$4:$D$19)))</f>
        <v>4</v>
      </c>
      <c r="Q386" s="825" t="s">
        <v>26</v>
      </c>
      <c r="R386" s="818"/>
      <c r="S386" s="735"/>
      <c r="T386" s="735"/>
      <c r="U386" s="735"/>
      <c r="V386" s="819"/>
      <c r="W386" s="819"/>
      <c r="X386" s="118"/>
    </row>
    <row r="387" spans="2:24" ht="14.45">
      <c r="B387" s="943" t="s">
        <v>706</v>
      </c>
      <c r="C387" s="860" t="s">
        <v>707</v>
      </c>
      <c r="D387" s="118" t="s">
        <v>708</v>
      </c>
      <c r="E387" s="944" t="s">
        <v>709</v>
      </c>
      <c r="F387" s="945" t="s">
        <v>81</v>
      </c>
      <c r="G387" s="118" t="s">
        <v>25</v>
      </c>
      <c r="H387" s="856">
        <v>46009</v>
      </c>
      <c r="I387" s="816"/>
      <c r="J387" s="855" t="s">
        <v>27</v>
      </c>
      <c r="K387" s="81" t="s">
        <v>711</v>
      </c>
      <c r="L387" s="815">
        <v>45999</v>
      </c>
      <c r="M387" s="815">
        <v>46015</v>
      </c>
      <c r="N387" s="735" t="s">
        <v>29</v>
      </c>
      <c r="O387" s="204">
        <f ca="1">IF(ISBLANK(L387), "", IF(ISNUMBER(M387), NETWORKDAYS(L387, M387, Holidays!$D$4:$D$19), NETWORKDAYS(L387, TODAY(), Holidays!$D$4:$D$19)))</f>
        <v>11</v>
      </c>
      <c r="P387" s="763">
        <f ca="1">IF(ISBLANK(H387), "", IF(ISNUMBER(M387), NETWORKDAYS(H387, M387, Holidays!$D$4:$D$19), NETWORKDAYS(H387, TODAY(), Holidays!$D$4:$D$19)))</f>
        <v>4</v>
      </c>
      <c r="Q387" s="817" t="s">
        <v>26</v>
      </c>
      <c r="R387" s="818"/>
      <c r="S387" s="735"/>
      <c r="T387" s="735"/>
      <c r="U387" s="735"/>
      <c r="V387" s="819"/>
      <c r="W387" s="819"/>
      <c r="X387" s="118"/>
    </row>
    <row r="388" spans="2:24" ht="14.45">
      <c r="B388" s="946" t="s">
        <v>706</v>
      </c>
      <c r="C388" s="860" t="s">
        <v>707</v>
      </c>
      <c r="D388" s="118" t="s">
        <v>708</v>
      </c>
      <c r="E388" s="947" t="s">
        <v>709</v>
      </c>
      <c r="F388" s="948" t="s">
        <v>81</v>
      </c>
      <c r="G388" s="118" t="s">
        <v>25</v>
      </c>
      <c r="H388" s="856">
        <v>46009</v>
      </c>
      <c r="I388" s="816"/>
      <c r="J388" s="855" t="s">
        <v>27</v>
      </c>
      <c r="K388" s="644" t="s">
        <v>712</v>
      </c>
      <c r="L388" s="815">
        <v>46001</v>
      </c>
      <c r="M388" s="815">
        <v>46028</v>
      </c>
      <c r="N388" s="735" t="s">
        <v>29</v>
      </c>
      <c r="O388" s="204">
        <f ca="1">IF(ISBLANK(L388), "", IF(ISNUMBER(M388), NETWORKDAYS(L388, M388, Holidays!$D$4:$D$19), NETWORKDAYS(L388, TODAY(), Holidays!$D$4:$D$19)))</f>
        <v>16</v>
      </c>
      <c r="P388" s="763">
        <f ca="1">IF(ISBLANK(H388), "", IF(ISNUMBER(M388), NETWORKDAYS(H388, M388, Holidays!$D$4:$D$19), NETWORKDAYS(H388, TODAY(), Holidays!$D$4:$D$19)))</f>
        <v>11</v>
      </c>
      <c r="Q388" s="817" t="s">
        <v>26</v>
      </c>
      <c r="R388" s="818"/>
      <c r="S388" s="735"/>
      <c r="T388" s="735"/>
      <c r="U388" s="735"/>
      <c r="V388" s="819"/>
      <c r="W388" s="819"/>
      <c r="X388" s="118"/>
    </row>
    <row r="389" spans="2:24" ht="15" customHeight="1">
      <c r="B389" s="949" t="s">
        <v>706</v>
      </c>
      <c r="C389" s="902" t="s">
        <v>707</v>
      </c>
      <c r="D389" s="127" t="s">
        <v>708</v>
      </c>
      <c r="E389" s="950" t="s">
        <v>709</v>
      </c>
      <c r="F389" s="951" t="s">
        <v>81</v>
      </c>
      <c r="G389" s="127" t="s">
        <v>25</v>
      </c>
      <c r="H389" s="821">
        <v>46009</v>
      </c>
      <c r="I389" s="822"/>
      <c r="J389" s="820" t="s">
        <v>40</v>
      </c>
      <c r="K389" s="952" t="s">
        <v>713</v>
      </c>
      <c r="L389" s="821">
        <v>46001</v>
      </c>
      <c r="M389" s="821">
        <v>46014</v>
      </c>
      <c r="N389" s="820" t="s">
        <v>29</v>
      </c>
      <c r="O389" s="362">
        <f ca="1">IF(ISBLANK(L389), "", IF(ISNUMBER(M389), NETWORKDAYS(L389, M389, Holidays!$D$4:$D$19), NETWORKDAYS(L389, TODAY(), Holidays!$D$4:$D$19)))</f>
        <v>9</v>
      </c>
      <c r="P389" s="776">
        <f ca="1">IF(ISBLANK(H389), "", IF(ISNUMBER(M389), NETWORKDAYS(H389, M389, Holidays!$D$4:$D$19), NETWORKDAYS(H389, TODAY(), Holidays!$D$4:$D$19)))</f>
        <v>4</v>
      </c>
      <c r="Q389" s="168" t="s">
        <v>26</v>
      </c>
      <c r="R389" s="818"/>
      <c r="S389" s="735"/>
      <c r="T389" s="735"/>
      <c r="U389" s="735"/>
      <c r="V389" s="819"/>
      <c r="W389" s="819"/>
      <c r="X389" s="118"/>
    </row>
    <row r="390" spans="2:24" ht="28.9">
      <c r="B390" s="694" t="s">
        <v>714</v>
      </c>
      <c r="C390" s="695" t="s">
        <v>715</v>
      </c>
      <c r="D390" s="125" t="s">
        <v>716</v>
      </c>
      <c r="E390" s="431" t="s">
        <v>237</v>
      </c>
      <c r="F390" s="125" t="s">
        <v>264</v>
      </c>
      <c r="G390" s="125" t="s">
        <v>25</v>
      </c>
      <c r="H390" s="823">
        <v>46009</v>
      </c>
      <c r="I390" s="824"/>
      <c r="J390" s="431" t="s">
        <v>27</v>
      </c>
      <c r="K390" s="431" t="s">
        <v>717</v>
      </c>
      <c r="L390" s="823">
        <v>46001</v>
      </c>
      <c r="M390" s="823">
        <v>46035</v>
      </c>
      <c r="N390" s="431" t="s">
        <v>29</v>
      </c>
      <c r="O390" s="433">
        <f ca="1">IF(ISBLANK(L390), "", IF(ISNUMBER(M390), NETWORKDAYS(L390, M390, Holidays!$D$4:$D$19), NETWORKDAYS(L390, TODAY(), Holidays!$D$4:$D$19)))</f>
        <v>21</v>
      </c>
      <c r="P390" s="264">
        <f ca="1">IF(ISBLANK(H390), "", IF(ISNUMBER(M390), NETWORKDAYS(H390, M390, Holidays!$D$4:$D$19), NETWORKDAYS(H390, TODAY(), Holidays!$D$4:$D$19)))</f>
        <v>16</v>
      </c>
      <c r="Q390" s="825" t="s">
        <v>26</v>
      </c>
      <c r="R390" s="818"/>
      <c r="S390" s="735"/>
      <c r="T390" s="735"/>
      <c r="U390" s="735"/>
      <c r="V390" s="819"/>
      <c r="W390" s="819"/>
      <c r="X390" s="118"/>
    </row>
    <row r="391" spans="2:24" ht="28.9">
      <c r="B391" s="702" t="s">
        <v>714</v>
      </c>
      <c r="C391" s="703" t="s">
        <v>715</v>
      </c>
      <c r="D391" s="118" t="s">
        <v>716</v>
      </c>
      <c r="E391" s="735" t="s">
        <v>237</v>
      </c>
      <c r="F391" s="118" t="s">
        <v>264</v>
      </c>
      <c r="G391" s="118" t="s">
        <v>25</v>
      </c>
      <c r="H391" s="815">
        <v>46009</v>
      </c>
      <c r="I391" s="816"/>
      <c r="J391" s="735" t="s">
        <v>27</v>
      </c>
      <c r="K391" s="735" t="s">
        <v>718</v>
      </c>
      <c r="L391" s="815">
        <v>46001</v>
      </c>
      <c r="M391" s="815">
        <v>46032</v>
      </c>
      <c r="N391" s="735" t="s">
        <v>29</v>
      </c>
      <c r="O391" s="204">
        <f ca="1">IF(ISBLANK(L391), "", IF(ISNUMBER(M391), NETWORKDAYS(L391, M391, Holidays!$D$4:$D$19), NETWORKDAYS(L391, TODAY(), Holidays!$D$4:$D$19)))</f>
        <v>19</v>
      </c>
      <c r="P391" s="763">
        <f ca="1">IF(ISBLANK(H391), "", IF(ISNUMBER(M391), NETWORKDAYS(H391, M391, Holidays!$D$4:$D$19), NETWORKDAYS(H391, TODAY(), Holidays!$D$4:$D$19)))</f>
        <v>14</v>
      </c>
      <c r="Q391" s="817" t="s">
        <v>26</v>
      </c>
      <c r="R391" s="818"/>
      <c r="S391" s="735"/>
      <c r="T391" s="735"/>
      <c r="U391" s="735"/>
      <c r="V391" s="819"/>
      <c r="W391" s="819"/>
      <c r="X391" s="118"/>
    </row>
    <row r="392" spans="2:24" ht="28.9">
      <c r="B392" s="702" t="s">
        <v>714</v>
      </c>
      <c r="C392" s="703" t="s">
        <v>715</v>
      </c>
      <c r="D392" s="118" t="s">
        <v>716</v>
      </c>
      <c r="E392" s="735" t="s">
        <v>237</v>
      </c>
      <c r="F392" s="118" t="s">
        <v>264</v>
      </c>
      <c r="G392" s="118" t="s">
        <v>25</v>
      </c>
      <c r="H392" s="815">
        <v>46009</v>
      </c>
      <c r="I392" s="816"/>
      <c r="J392" s="735" t="s">
        <v>40</v>
      </c>
      <c r="K392" s="735" t="s">
        <v>719</v>
      </c>
      <c r="L392" s="815">
        <v>46002</v>
      </c>
      <c r="M392" s="815">
        <v>46020</v>
      </c>
      <c r="N392" s="735" t="s">
        <v>46</v>
      </c>
      <c r="O392" s="204">
        <f ca="1">IF(ISBLANK(L392), "", IF(ISNUMBER(M392), NETWORKDAYS(L392, M392, Holidays!$D$4:$D$19), NETWORKDAYS(L392, TODAY(), Holidays!$D$4:$D$19)))</f>
        <v>10</v>
      </c>
      <c r="P392" s="763">
        <f ca="1">IF(ISBLANK(H392), "", IF(ISNUMBER(M392), NETWORKDAYS(H392, M392, Holidays!$D$4:$D$19), NETWORKDAYS(H392, TODAY(), Holidays!$D$4:$D$19)))</f>
        <v>6</v>
      </c>
      <c r="Q392" s="817" t="s">
        <v>60</v>
      </c>
      <c r="R392" s="818"/>
      <c r="S392" s="735"/>
      <c r="T392" s="735"/>
      <c r="U392" s="735"/>
      <c r="V392" s="819"/>
      <c r="W392" s="819"/>
      <c r="X392" s="118"/>
    </row>
    <row r="393" spans="2:24" ht="28.9">
      <c r="B393" s="702" t="s">
        <v>714</v>
      </c>
      <c r="C393" s="703" t="s">
        <v>715</v>
      </c>
      <c r="D393" s="118" t="s">
        <v>716</v>
      </c>
      <c r="E393" s="735" t="s">
        <v>237</v>
      </c>
      <c r="F393" s="118" t="s">
        <v>264</v>
      </c>
      <c r="G393" s="118" t="s">
        <v>25</v>
      </c>
      <c r="H393" s="815">
        <v>46009</v>
      </c>
      <c r="I393" s="816"/>
      <c r="J393" s="735" t="s">
        <v>27</v>
      </c>
      <c r="K393" s="735" t="s">
        <v>720</v>
      </c>
      <c r="L393" s="815">
        <v>46003</v>
      </c>
      <c r="M393" s="815">
        <v>46031</v>
      </c>
      <c r="N393" s="735" t="s">
        <v>29</v>
      </c>
      <c r="O393" s="204">
        <f ca="1">IF(ISBLANK(L393), "", IF(ISNUMBER(M393), NETWORKDAYS(L393, M393, Holidays!$D$4:$D$19), NETWORKDAYS(L393, TODAY(), Holidays!$D$4:$D$19)))</f>
        <v>17</v>
      </c>
      <c r="P393" s="763">
        <f ca="1">IF(ISBLANK(H393), "", IF(ISNUMBER(M393), NETWORKDAYS(H393, M393, Holidays!$D$4:$D$19), NETWORKDAYS(H393, TODAY(), Holidays!$D$4:$D$19)))</f>
        <v>14</v>
      </c>
      <c r="Q393" s="817" t="s">
        <v>26</v>
      </c>
      <c r="R393" s="818"/>
      <c r="S393" s="735"/>
      <c r="T393" s="735"/>
      <c r="U393" s="735"/>
      <c r="V393" s="819"/>
      <c r="W393" s="819"/>
      <c r="X393" s="118"/>
    </row>
    <row r="394" spans="2:24" ht="28.9">
      <c r="B394" s="702" t="s">
        <v>714</v>
      </c>
      <c r="C394" s="703" t="s">
        <v>715</v>
      </c>
      <c r="D394" s="118" t="s">
        <v>716</v>
      </c>
      <c r="E394" s="735" t="s">
        <v>237</v>
      </c>
      <c r="F394" s="118" t="s">
        <v>264</v>
      </c>
      <c r="G394" s="118" t="s">
        <v>25</v>
      </c>
      <c r="H394" s="815">
        <v>46009</v>
      </c>
      <c r="I394" s="816"/>
      <c r="J394" s="735" t="s">
        <v>27</v>
      </c>
      <c r="K394" s="735" t="s">
        <v>721</v>
      </c>
      <c r="L394" s="815">
        <v>46003</v>
      </c>
      <c r="M394" s="815">
        <v>46021</v>
      </c>
      <c r="N394" s="735" t="s">
        <v>29</v>
      </c>
      <c r="O394" s="204">
        <f ca="1">IF(ISBLANK(L394), "", IF(ISNUMBER(M394), NETWORKDAYS(L394, M394, Holidays!$D$4:$D$19), NETWORKDAYS(L394, TODAY(), Holidays!$D$4:$D$19)))</f>
        <v>10</v>
      </c>
      <c r="P394" s="763">
        <f ca="1">IF(ISBLANK(H394), "", IF(ISNUMBER(M394), NETWORKDAYS(H394, M394, Holidays!$D$4:$D$19), NETWORKDAYS(H394, TODAY(), Holidays!$D$4:$D$19)))</f>
        <v>7</v>
      </c>
      <c r="Q394" s="817" t="s">
        <v>26</v>
      </c>
      <c r="R394" s="818"/>
      <c r="S394" s="735"/>
      <c r="T394" s="735"/>
      <c r="U394" s="735"/>
      <c r="V394" s="819"/>
      <c r="W394" s="819"/>
      <c r="X394" s="118"/>
    </row>
    <row r="395" spans="2:24" ht="28.9">
      <c r="B395" s="702" t="s">
        <v>722</v>
      </c>
      <c r="C395" s="703" t="s">
        <v>723</v>
      </c>
      <c r="D395" s="118" t="s">
        <v>716</v>
      </c>
      <c r="E395" s="735" t="s">
        <v>237</v>
      </c>
      <c r="F395" s="118" t="s">
        <v>264</v>
      </c>
      <c r="G395" s="118" t="s">
        <v>25</v>
      </c>
      <c r="H395" s="815">
        <v>46010</v>
      </c>
      <c r="I395" s="816"/>
      <c r="J395" s="735" t="s">
        <v>27</v>
      </c>
      <c r="K395" s="735" t="s">
        <v>724</v>
      </c>
      <c r="L395" s="815">
        <v>46007</v>
      </c>
      <c r="M395" s="815">
        <v>46025</v>
      </c>
      <c r="N395" s="735" t="s">
        <v>29</v>
      </c>
      <c r="O395" s="204">
        <f ca="1">IF(ISBLANK(L395), "", IF(ISNUMBER(M395), NETWORKDAYS(L395, M395, Holidays!$D$4:$D$19), NETWORKDAYS(L395, TODAY(), Holidays!$D$4:$D$19)))</f>
        <v>11</v>
      </c>
      <c r="P395" s="763">
        <f ca="1">IF(ISBLANK(H395), "", IF(ISNUMBER(M395), NETWORKDAYS(H395, M395, Holidays!$D$4:$D$19), NETWORKDAYS(H395, TODAY(), Holidays!$D$4:$D$19)))</f>
        <v>8</v>
      </c>
      <c r="Q395" s="817" t="s">
        <v>26</v>
      </c>
      <c r="R395" s="818"/>
      <c r="S395" s="735"/>
      <c r="T395" s="735"/>
      <c r="U395" s="735"/>
      <c r="V395" s="819"/>
      <c r="W395" s="819"/>
      <c r="X395" s="118"/>
    </row>
    <row r="396" spans="2:24" ht="28.9">
      <c r="B396" s="702" t="s">
        <v>725</v>
      </c>
      <c r="C396" s="703" t="s">
        <v>715</v>
      </c>
      <c r="D396" s="118" t="s">
        <v>716</v>
      </c>
      <c r="E396" s="735" t="s">
        <v>237</v>
      </c>
      <c r="F396" s="118" t="s">
        <v>264</v>
      </c>
      <c r="G396" s="118" t="s">
        <v>25</v>
      </c>
      <c r="H396" s="815">
        <v>46011</v>
      </c>
      <c r="I396" s="816"/>
      <c r="J396" s="735" t="s">
        <v>27</v>
      </c>
      <c r="K396" s="735" t="s">
        <v>726</v>
      </c>
      <c r="L396" s="815">
        <v>46007</v>
      </c>
      <c r="M396" s="815">
        <v>46032</v>
      </c>
      <c r="N396" s="735" t="s">
        <v>29</v>
      </c>
      <c r="O396" s="204">
        <f ca="1">IF(ISBLANK(L396), "", IF(ISNUMBER(M396), NETWORKDAYS(L396, M396, Holidays!$D$4:$D$19), NETWORKDAYS(L396, TODAY(), Holidays!$D$4:$D$19)))</f>
        <v>16</v>
      </c>
      <c r="P396" s="763">
        <f ca="1">IF(ISBLANK(H396), "", IF(ISNUMBER(M396), NETWORKDAYS(H396, M396, Holidays!$D$4:$D$19), NETWORKDAYS(H396, TODAY(), Holidays!$D$4:$D$19)))</f>
        <v>12</v>
      </c>
      <c r="Q396" s="817" t="s">
        <v>26</v>
      </c>
      <c r="R396" s="818"/>
      <c r="S396" s="735"/>
      <c r="T396" s="735"/>
      <c r="U396" s="735"/>
      <c r="V396" s="819"/>
      <c r="W396" s="819"/>
      <c r="X396" s="118"/>
    </row>
    <row r="397" spans="2:24" ht="28.9">
      <c r="B397" s="702" t="s">
        <v>725</v>
      </c>
      <c r="C397" s="703" t="s">
        <v>715</v>
      </c>
      <c r="D397" s="118" t="s">
        <v>716</v>
      </c>
      <c r="E397" s="735" t="s">
        <v>237</v>
      </c>
      <c r="F397" s="118" t="s">
        <v>264</v>
      </c>
      <c r="G397" s="118" t="s">
        <v>25</v>
      </c>
      <c r="H397" s="815">
        <v>46011</v>
      </c>
      <c r="I397" s="816"/>
      <c r="J397" s="735" t="s">
        <v>40</v>
      </c>
      <c r="K397" s="735" t="s">
        <v>727</v>
      </c>
      <c r="L397" s="815">
        <v>46020</v>
      </c>
      <c r="M397" s="815">
        <v>46034</v>
      </c>
      <c r="N397" s="735" t="s">
        <v>29</v>
      </c>
      <c r="O397" s="204">
        <f ca="1">IF(ISBLANK(L397), "", IF(ISNUMBER(M397), NETWORKDAYS(L397, M397, Holidays!$D$4:$D$19), NETWORKDAYS(L397, TODAY(), Holidays!$D$4:$D$19)))</f>
        <v>10</v>
      </c>
      <c r="P397" s="763">
        <f ca="1">IF(ISBLANK(H397), "", IF(ISNUMBER(M397), NETWORKDAYS(H397, M397, Holidays!$D$4:$D$19), NETWORKDAYS(H397, TODAY(), Holidays!$D$4:$D$19)))</f>
        <v>13</v>
      </c>
      <c r="Q397" s="817" t="s">
        <v>26</v>
      </c>
      <c r="R397" s="818"/>
      <c r="S397" s="735"/>
      <c r="T397" s="735"/>
      <c r="U397" s="735"/>
      <c r="V397" s="819"/>
      <c r="W397" s="819"/>
      <c r="X397" s="118"/>
    </row>
    <row r="398" spans="2:24" ht="28.9">
      <c r="B398" s="702" t="s">
        <v>725</v>
      </c>
      <c r="C398" s="703" t="s">
        <v>715</v>
      </c>
      <c r="D398" s="118" t="s">
        <v>716</v>
      </c>
      <c r="E398" s="735" t="s">
        <v>237</v>
      </c>
      <c r="F398" s="118" t="s">
        <v>264</v>
      </c>
      <c r="G398" s="118" t="s">
        <v>25</v>
      </c>
      <c r="H398" s="815">
        <v>46011</v>
      </c>
      <c r="I398" s="816"/>
      <c r="J398" s="735" t="s">
        <v>40</v>
      </c>
      <c r="K398" s="735" t="s">
        <v>728</v>
      </c>
      <c r="L398" s="815">
        <v>46020</v>
      </c>
      <c r="M398" s="815">
        <v>46030</v>
      </c>
      <c r="N398" s="735" t="s">
        <v>29</v>
      </c>
      <c r="O398" s="204">
        <f ca="1">IF(ISBLANK(L398), "", IF(ISNUMBER(M398), NETWORKDAYS(L398, M398, Holidays!$D$4:$D$19), NETWORKDAYS(L398, TODAY(), Holidays!$D$4:$D$19)))</f>
        <v>8</v>
      </c>
      <c r="P398" s="763">
        <f ca="1">IF(ISBLANK(H398), "", IF(ISNUMBER(M398), NETWORKDAYS(H398, M398, Holidays!$D$4:$D$19), NETWORKDAYS(H398, TODAY(), Holidays!$D$4:$D$19)))</f>
        <v>11</v>
      </c>
      <c r="Q398" s="817" t="s">
        <v>26</v>
      </c>
      <c r="R398" s="818"/>
      <c r="S398" s="735"/>
      <c r="T398" s="735"/>
      <c r="U398" s="735"/>
      <c r="V398" s="819"/>
      <c r="W398" s="819"/>
      <c r="X398" s="118"/>
    </row>
    <row r="399" spans="2:24" ht="28.9">
      <c r="B399" s="748" t="s">
        <v>714</v>
      </c>
      <c r="C399" s="772" t="s">
        <v>715</v>
      </c>
      <c r="D399" s="127" t="s">
        <v>716</v>
      </c>
      <c r="E399" s="820" t="s">
        <v>237</v>
      </c>
      <c r="F399" s="127" t="s">
        <v>264</v>
      </c>
      <c r="G399" s="127" t="s">
        <v>25</v>
      </c>
      <c r="H399" s="821">
        <v>46009</v>
      </c>
      <c r="I399" s="822"/>
      <c r="J399" s="820" t="s">
        <v>27</v>
      </c>
      <c r="K399" s="820" t="s">
        <v>729</v>
      </c>
      <c r="L399" s="821">
        <v>46006</v>
      </c>
      <c r="M399" s="821">
        <v>46020</v>
      </c>
      <c r="N399" s="820" t="s">
        <v>29</v>
      </c>
      <c r="O399" s="362">
        <f ca="1">IF(ISBLANK(L399), "", IF(ISNUMBER(M399), NETWORKDAYS(L399, M399, Holidays!$D$4:$D$19), NETWORKDAYS(L399, TODAY(), Holidays!$D$4:$D$19)))</f>
        <v>9</v>
      </c>
      <c r="P399" s="776">
        <f ca="1">IF(ISBLANK(H399), "", IF(ISNUMBER(M399), NETWORKDAYS(H399, M399, Holidays!$D$4:$D$19), NETWORKDAYS(H399, TODAY(), Holidays!$D$4:$D$19)))</f>
        <v>6</v>
      </c>
      <c r="Q399" s="168" t="s">
        <v>26</v>
      </c>
      <c r="R399" s="818"/>
      <c r="S399" s="735"/>
      <c r="T399" s="735"/>
      <c r="U399" s="735"/>
      <c r="V399" s="819"/>
      <c r="W399" s="819"/>
      <c r="X399" s="118"/>
    </row>
    <row r="400" spans="2:24" ht="15" customHeight="1">
      <c r="B400" s="406" t="s">
        <v>730</v>
      </c>
      <c r="C400" s="257" t="s">
        <v>135</v>
      </c>
      <c r="D400" s="188" t="s">
        <v>731</v>
      </c>
      <c r="E400" s="690" t="s">
        <v>252</v>
      </c>
      <c r="F400" s="188" t="s">
        <v>732</v>
      </c>
      <c r="G400" s="188" t="s">
        <v>25</v>
      </c>
      <c r="H400" s="315"/>
      <c r="I400" s="316"/>
      <c r="J400" s="690" t="s">
        <v>40</v>
      </c>
      <c r="K400" s="690" t="s">
        <v>733</v>
      </c>
      <c r="L400" s="315">
        <v>46007</v>
      </c>
      <c r="M400" s="315">
        <v>46035</v>
      </c>
      <c r="N400" s="690" t="s">
        <v>29</v>
      </c>
      <c r="O400" s="179">
        <f ca="1">IF(ISBLANK(L400), "", IF(ISNUMBER(M400), NETWORKDAYS(L400, M400, Holidays!$D$4:$D$19), NETWORKDAYS(L400, TODAY(), Holidays!$D$4:$D$19)))</f>
        <v>18</v>
      </c>
      <c r="P400" s="188" t="str">
        <f ca="1">IF(ISBLANK(H400), "", IF(ISNUMBER(M400), NETWORKDAYS(H400, M400, Holidays!$D$4:$D$19), NETWORKDAYS(H400, TODAY(), Holidays!$D$4:$D$19)))</f>
        <v/>
      </c>
      <c r="Q400" s="692" t="s">
        <v>26</v>
      </c>
      <c r="R400" s="818"/>
      <c r="S400" s="735"/>
      <c r="T400" s="735"/>
      <c r="U400" s="735"/>
      <c r="V400" s="819"/>
      <c r="W400" s="819"/>
      <c r="X400" s="118"/>
    </row>
    <row r="401" spans="2:24" ht="28.9">
      <c r="B401" s="406" t="s">
        <v>734</v>
      </c>
      <c r="C401" s="257" t="s">
        <v>135</v>
      </c>
      <c r="D401" s="188" t="s">
        <v>735</v>
      </c>
      <c r="E401" s="690" t="s">
        <v>259</v>
      </c>
      <c r="F401" s="188" t="s">
        <v>238</v>
      </c>
      <c r="G401" s="188" t="s">
        <v>25</v>
      </c>
      <c r="H401" s="315">
        <v>46031</v>
      </c>
      <c r="I401" s="316"/>
      <c r="J401" s="690" t="s">
        <v>27</v>
      </c>
      <c r="K401" s="690" t="s">
        <v>736</v>
      </c>
      <c r="L401" s="315">
        <v>46010</v>
      </c>
      <c r="M401" s="315">
        <v>46027</v>
      </c>
      <c r="N401" s="690" t="s">
        <v>29</v>
      </c>
      <c r="O401" s="179">
        <f ca="1">IF(ISBLANK(L401), "", IF(ISNUMBER(M401), NETWORKDAYS(L401, M401, Holidays!$D$4:$D$19), NETWORKDAYS(L401, TODAY(), Holidays!$D$4:$D$19)))</f>
        <v>9</v>
      </c>
      <c r="P401" s="188">
        <f ca="1">IF(ISBLANK(H401), "", IF(ISNUMBER(M401), NETWORKDAYS(H401, M401, Holidays!$D$4:$D$19), NETWORKDAYS(H401, TODAY(), Holidays!$D$4:$D$19)))</f>
        <v>-5</v>
      </c>
      <c r="Q401" s="692" t="s">
        <v>26</v>
      </c>
      <c r="R401" s="818"/>
      <c r="S401" s="735"/>
      <c r="T401" s="735"/>
      <c r="U401" s="735"/>
      <c r="V401" s="819"/>
      <c r="W401" s="819"/>
      <c r="X401" s="118"/>
    </row>
    <row r="402" spans="2:24" ht="15" customHeight="1">
      <c r="B402" s="694" t="s">
        <v>737</v>
      </c>
      <c r="C402" s="695" t="s">
        <v>738</v>
      </c>
      <c r="D402" s="125" t="s">
        <v>739</v>
      </c>
      <c r="E402" s="431" t="s">
        <v>36</v>
      </c>
      <c r="F402" s="125" t="s">
        <v>216</v>
      </c>
      <c r="G402" s="125" t="s">
        <v>25</v>
      </c>
      <c r="H402" s="823">
        <v>46020</v>
      </c>
      <c r="I402" s="824"/>
      <c r="J402" s="829" t="s">
        <v>27</v>
      </c>
      <c r="K402" s="858" t="s">
        <v>740</v>
      </c>
      <c r="L402" s="830">
        <v>46008</v>
      </c>
      <c r="M402" s="823">
        <v>46014</v>
      </c>
      <c r="N402" s="431" t="s">
        <v>29</v>
      </c>
      <c r="O402" s="433">
        <f ca="1">IF(ISBLANK(L402), "", IF(ISNUMBER(M402), NETWORKDAYS(L402, M402, Holidays!$D$4:$D$19), NETWORKDAYS(L402, TODAY(), Holidays!$D$4:$D$19)))</f>
        <v>5</v>
      </c>
      <c r="P402" s="264">
        <f ca="1">IF(ISBLANK(H402), "", IF(ISNUMBER(M402), NETWORKDAYS(H402, M402, Holidays!$D$4:$D$19), NETWORKDAYS(H402, TODAY(), Holidays!$D$4:$D$19)))</f>
        <v>-3</v>
      </c>
      <c r="Q402" s="825" t="s">
        <v>26</v>
      </c>
      <c r="R402" s="818"/>
      <c r="S402" s="735"/>
      <c r="T402" s="735"/>
      <c r="U402" s="735"/>
      <c r="V402" s="819"/>
      <c r="W402" s="819"/>
      <c r="X402" s="118"/>
    </row>
    <row r="403" spans="2:24" ht="15" customHeight="1">
      <c r="B403" s="748" t="s">
        <v>737</v>
      </c>
      <c r="C403" s="772" t="s">
        <v>738</v>
      </c>
      <c r="D403" s="127" t="s">
        <v>739</v>
      </c>
      <c r="E403" s="820" t="s">
        <v>36</v>
      </c>
      <c r="F403" s="127" t="s">
        <v>216</v>
      </c>
      <c r="G403" s="127" t="s">
        <v>25</v>
      </c>
      <c r="H403" s="821">
        <v>46020</v>
      </c>
      <c r="I403" s="822"/>
      <c r="J403" s="922" t="s">
        <v>27</v>
      </c>
      <c r="K403" s="889" t="s">
        <v>741</v>
      </c>
      <c r="L403" s="923">
        <v>46008</v>
      </c>
      <c r="M403" s="821">
        <v>46014</v>
      </c>
      <c r="N403" s="820" t="s">
        <v>29</v>
      </c>
      <c r="O403" s="362">
        <f ca="1">IF(ISBLANK(L403), "", IF(ISNUMBER(M403), NETWORKDAYS(L403, M403, Holidays!$D$4:$D$19), NETWORKDAYS(L403, TODAY(), Holidays!$D$4:$D$19)))</f>
        <v>5</v>
      </c>
      <c r="P403" s="776">
        <f ca="1">IF(ISBLANK(H403), "", IF(ISNUMBER(M403), NETWORKDAYS(H403, M403, Holidays!$D$4:$D$19), NETWORKDAYS(H403, TODAY(), Holidays!$D$4:$D$19)))</f>
        <v>-3</v>
      </c>
      <c r="Q403" s="168" t="s">
        <v>26</v>
      </c>
      <c r="R403" s="818"/>
      <c r="S403" s="735"/>
      <c r="T403" s="735"/>
      <c r="U403" s="735"/>
      <c r="V403" s="819"/>
      <c r="W403" s="819"/>
      <c r="X403" s="118"/>
    </row>
    <row r="404" spans="2:24" ht="28.9">
      <c r="B404" s="694" t="s">
        <v>742</v>
      </c>
      <c r="C404" s="695" t="s">
        <v>743</v>
      </c>
      <c r="D404" s="125" t="s">
        <v>744</v>
      </c>
      <c r="E404" s="431" t="s">
        <v>104</v>
      </c>
      <c r="F404" s="125" t="s">
        <v>37</v>
      </c>
      <c r="G404" s="125" t="s">
        <v>745</v>
      </c>
      <c r="H404" s="823">
        <v>46020</v>
      </c>
      <c r="I404" s="824"/>
      <c r="J404" s="829" t="s">
        <v>27</v>
      </c>
      <c r="K404" s="858" t="s">
        <v>746</v>
      </c>
      <c r="L404" s="830">
        <v>46002</v>
      </c>
      <c r="M404" s="823">
        <v>46014</v>
      </c>
      <c r="N404" s="431" t="s">
        <v>29</v>
      </c>
      <c r="O404" s="433">
        <f ca="1">IF(ISBLANK(L404), "", IF(ISNUMBER(M404), NETWORKDAYS(L404, M404, Holidays!$D$4:$D$19), NETWORKDAYS(L404, TODAY(), Holidays!$D$4:$D$19)))</f>
        <v>8</v>
      </c>
      <c r="P404" s="264">
        <f ca="1">IF(ISBLANK(H404), "", IF(ISNUMBER(M404), NETWORKDAYS(H404, M404, Holidays!$D$4:$D$19), NETWORKDAYS(H404, TODAY(), Holidays!$D$4:$D$19)))</f>
        <v>-3</v>
      </c>
      <c r="Q404" s="825" t="s">
        <v>26</v>
      </c>
      <c r="R404" s="818"/>
      <c r="S404" s="735"/>
      <c r="T404" s="735"/>
      <c r="U404" s="735"/>
      <c r="V404" s="819"/>
      <c r="W404" s="819"/>
      <c r="X404" s="118"/>
    </row>
    <row r="405" spans="2:24" ht="28.9">
      <c r="B405" s="702" t="s">
        <v>742</v>
      </c>
      <c r="C405" s="703" t="s">
        <v>743</v>
      </c>
      <c r="D405" s="118" t="s">
        <v>744</v>
      </c>
      <c r="E405" s="735" t="s">
        <v>104</v>
      </c>
      <c r="F405" s="118" t="s">
        <v>37</v>
      </c>
      <c r="G405" s="118" t="s">
        <v>745</v>
      </c>
      <c r="H405" s="815">
        <v>46020</v>
      </c>
      <c r="I405" s="816"/>
      <c r="J405" s="832" t="s">
        <v>27</v>
      </c>
      <c r="K405" s="855" t="s">
        <v>747</v>
      </c>
      <c r="L405" s="833">
        <v>46006</v>
      </c>
      <c r="M405" s="815">
        <v>46014</v>
      </c>
      <c r="N405" s="735" t="s">
        <v>29</v>
      </c>
      <c r="O405" s="204">
        <f ca="1">IF(ISBLANK(L405), "", IF(ISNUMBER(M405), NETWORKDAYS(L405, M405, Holidays!$D$4:$D$19), NETWORKDAYS(L405, TODAY(), Holidays!$D$4:$D$19)))</f>
        <v>7</v>
      </c>
      <c r="P405" s="763">
        <f ca="1">IF(ISBLANK(H405), "", IF(ISNUMBER(M405), NETWORKDAYS(H405, M405, Holidays!$D$4:$D$19), NETWORKDAYS(H405, TODAY(), Holidays!$D$4:$D$19)))</f>
        <v>-3</v>
      </c>
      <c r="Q405" s="817" t="s">
        <v>26</v>
      </c>
      <c r="R405" s="818"/>
      <c r="S405" s="735"/>
      <c r="T405" s="735"/>
      <c r="U405" s="735"/>
      <c r="V405" s="819"/>
      <c r="W405" s="819"/>
      <c r="X405" s="118"/>
    </row>
    <row r="406" spans="2:24" ht="28.9">
      <c r="B406" s="748" t="s">
        <v>742</v>
      </c>
      <c r="C406" s="772" t="s">
        <v>743</v>
      </c>
      <c r="D406" s="127" t="s">
        <v>744</v>
      </c>
      <c r="E406" s="820" t="s">
        <v>104</v>
      </c>
      <c r="F406" s="127" t="s">
        <v>37</v>
      </c>
      <c r="G406" s="127" t="s">
        <v>745</v>
      </c>
      <c r="H406" s="821">
        <v>46020</v>
      </c>
      <c r="I406" s="822"/>
      <c r="J406" s="922" t="s">
        <v>27</v>
      </c>
      <c r="K406" s="889" t="s">
        <v>748</v>
      </c>
      <c r="L406" s="923">
        <v>46003</v>
      </c>
      <c r="M406" s="821">
        <v>46014</v>
      </c>
      <c r="N406" s="820" t="s">
        <v>29</v>
      </c>
      <c r="O406" s="362">
        <f ca="1">IF(ISBLANK(L406), "", IF(ISNUMBER(M406), NETWORKDAYS(L406, M406, Holidays!$D$4:$D$19), NETWORKDAYS(L406, TODAY(), Holidays!$D$4:$D$19)))</f>
        <v>7</v>
      </c>
      <c r="P406" s="776">
        <f ca="1">IF(ISBLANK(H406), "", IF(ISNUMBER(M406), NETWORKDAYS(H406, M406, Holidays!$D$4:$D$19), NETWORKDAYS(H406, TODAY(), Holidays!$D$4:$D$19)))</f>
        <v>-3</v>
      </c>
      <c r="Q406" s="168" t="s">
        <v>26</v>
      </c>
      <c r="R406" s="818"/>
      <c r="S406" s="735"/>
      <c r="T406" s="735"/>
      <c r="U406" s="735"/>
      <c r="V406" s="819"/>
      <c r="W406" s="819"/>
      <c r="X406" s="118"/>
    </row>
    <row r="407" spans="2:24" ht="15" customHeight="1">
      <c r="B407" s="694" t="s">
        <v>737</v>
      </c>
      <c r="C407" s="695" t="s">
        <v>749</v>
      </c>
      <c r="D407" s="125" t="s">
        <v>739</v>
      </c>
      <c r="E407" s="431" t="s">
        <v>36</v>
      </c>
      <c r="F407" s="125" t="s">
        <v>111</v>
      </c>
      <c r="G407" s="125" t="s">
        <v>25</v>
      </c>
      <c r="H407" s="823">
        <v>46020</v>
      </c>
      <c r="I407" s="824"/>
      <c r="J407" s="829" t="s">
        <v>27</v>
      </c>
      <c r="K407" s="858" t="s">
        <v>750</v>
      </c>
      <c r="L407" s="830">
        <v>46014</v>
      </c>
      <c r="M407" s="823">
        <v>46035</v>
      </c>
      <c r="N407" s="431" t="s">
        <v>29</v>
      </c>
      <c r="O407" s="433">
        <f ca="1">IF(ISBLANK(L407), "", IF(ISNUMBER(M407), NETWORKDAYS(L407, M407, Holidays!$D$4:$D$19), NETWORKDAYS(L407, TODAY(), Holidays!$D$4:$D$19)))</f>
        <v>13</v>
      </c>
      <c r="P407" s="264">
        <f ca="1">IF(ISBLANK(H407), "", IF(ISNUMBER(M407), NETWORKDAYS(H407, M407, Holidays!$D$4:$D$19), NETWORKDAYS(H407, TODAY(), Holidays!$D$4:$D$19)))</f>
        <v>11</v>
      </c>
      <c r="Q407" s="825" t="s">
        <v>26</v>
      </c>
      <c r="R407" s="818"/>
      <c r="S407" s="735"/>
      <c r="T407" s="735"/>
      <c r="U407" s="735"/>
      <c r="V407" s="819"/>
      <c r="W407" s="819"/>
      <c r="X407" s="118"/>
    </row>
    <row r="408" spans="2:24" ht="15" customHeight="1">
      <c r="B408" s="748" t="s">
        <v>737</v>
      </c>
      <c r="C408" s="772" t="s">
        <v>749</v>
      </c>
      <c r="D408" s="127" t="s">
        <v>739</v>
      </c>
      <c r="E408" s="820" t="s">
        <v>36</v>
      </c>
      <c r="F408" s="127" t="s">
        <v>111</v>
      </c>
      <c r="G408" s="127" t="s">
        <v>25</v>
      </c>
      <c r="H408" s="821">
        <v>46020</v>
      </c>
      <c r="I408" s="822"/>
      <c r="J408" s="922" t="s">
        <v>27</v>
      </c>
      <c r="K408" s="889" t="s">
        <v>751</v>
      </c>
      <c r="L408" s="923">
        <v>46014</v>
      </c>
      <c r="M408" s="821">
        <v>46021</v>
      </c>
      <c r="N408" s="820" t="s">
        <v>29</v>
      </c>
      <c r="O408" s="362">
        <f ca="1">IF(ISBLANK(L408), "", IF(ISNUMBER(M408), NETWORKDAYS(L408, M408, Holidays!$D$4:$D$19), NETWORKDAYS(L408, TODAY(), Holidays!$D$4:$D$19)))</f>
        <v>4</v>
      </c>
      <c r="P408" s="776">
        <f ca="1">IF(ISBLANK(H408), "", IF(ISNUMBER(M408), NETWORKDAYS(H408, M408, Holidays!$D$4:$D$19), NETWORKDAYS(H408, TODAY(), Holidays!$D$4:$D$19)))</f>
        <v>2</v>
      </c>
      <c r="Q408" s="168" t="s">
        <v>26</v>
      </c>
      <c r="R408" s="818"/>
      <c r="S408" s="735"/>
      <c r="T408" s="735"/>
      <c r="U408" s="735"/>
      <c r="V408" s="819"/>
      <c r="W408" s="819"/>
      <c r="X408" s="118"/>
    </row>
    <row r="409" spans="2:24" ht="15" customHeight="1">
      <c r="B409" s="406" t="s">
        <v>737</v>
      </c>
      <c r="C409" s="257" t="s">
        <v>752</v>
      </c>
      <c r="D409" s="188" t="s">
        <v>739</v>
      </c>
      <c r="E409" s="690" t="s">
        <v>36</v>
      </c>
      <c r="F409" s="939" t="s">
        <v>81</v>
      </c>
      <c r="G409" s="188" t="s">
        <v>25</v>
      </c>
      <c r="H409" s="315">
        <v>45982</v>
      </c>
      <c r="I409" s="316"/>
      <c r="J409" s="690" t="s">
        <v>27</v>
      </c>
      <c r="K409" s="690" t="s">
        <v>753</v>
      </c>
      <c r="L409" s="315">
        <v>46014</v>
      </c>
      <c r="M409" s="315">
        <v>46032</v>
      </c>
      <c r="N409" s="690" t="s">
        <v>29</v>
      </c>
      <c r="O409" s="179">
        <f ca="1">IF(ISBLANK(L409), "", IF(ISNUMBER(M409), NETWORKDAYS(L409, M409, Holidays!$D$4:$D$19), NETWORKDAYS(L409, TODAY(), Holidays!$D$4:$D$19)))</f>
        <v>11</v>
      </c>
      <c r="P409" s="188">
        <f ca="1">IF(ISBLANK(H409), "", IF(ISNUMBER(M409), NETWORKDAYS(H409, M409, Holidays!$D$4:$D$19), NETWORKDAYS(H409, TODAY(), Holidays!$D$4:$D$19)))</f>
        <v>32</v>
      </c>
      <c r="Q409" s="692" t="s">
        <v>26</v>
      </c>
      <c r="R409" s="818"/>
      <c r="S409" s="735"/>
      <c r="T409" s="735"/>
      <c r="U409" s="735"/>
      <c r="V409" s="819"/>
      <c r="W409" s="819"/>
      <c r="X409" s="118"/>
    </row>
    <row r="410" spans="2:24" ht="28.9">
      <c r="B410" s="694" t="s">
        <v>754</v>
      </c>
      <c r="C410" s="931" t="s">
        <v>755</v>
      </c>
      <c r="D410" s="125" t="s">
        <v>756</v>
      </c>
      <c r="E410" s="431" t="s">
        <v>295</v>
      </c>
      <c r="F410" s="286" t="s">
        <v>757</v>
      </c>
      <c r="G410" s="125" t="s">
        <v>25</v>
      </c>
      <c r="H410" s="823">
        <v>46044</v>
      </c>
      <c r="I410" s="824"/>
      <c r="J410" s="431" t="s">
        <v>27</v>
      </c>
      <c r="K410" s="431" t="s">
        <v>758</v>
      </c>
      <c r="L410" s="823">
        <v>46020</v>
      </c>
      <c r="M410" s="823">
        <v>46031</v>
      </c>
      <c r="N410" s="431" t="s">
        <v>29</v>
      </c>
      <c r="O410" s="433">
        <f ca="1">IF(ISBLANK(L410), "", IF(ISNUMBER(M410), NETWORKDAYS(L410, M410, Holidays!$D$4:$D$19), NETWORKDAYS(L410, TODAY(), Holidays!$D$4:$D$19)))</f>
        <v>9</v>
      </c>
      <c r="P410" s="264">
        <f ca="1">IF(ISBLANK(H410), "", IF(ISNUMBER(M410), NETWORKDAYS(H410, M410, Holidays!$D$4:$D$19), NETWORKDAYS(H410, TODAY(), Holidays!$D$4:$D$19)))</f>
        <v>-10</v>
      </c>
      <c r="Q410" s="825" t="s">
        <v>26</v>
      </c>
      <c r="R410" s="818"/>
      <c r="S410" s="735"/>
      <c r="T410" s="735"/>
      <c r="U410" s="735"/>
      <c r="V410" s="819"/>
      <c r="W410" s="819"/>
      <c r="X410" s="118"/>
    </row>
    <row r="411" spans="2:24" ht="28.9">
      <c r="B411" s="702" t="s">
        <v>754</v>
      </c>
      <c r="C411" s="791" t="s">
        <v>755</v>
      </c>
      <c r="D411" s="118" t="s">
        <v>756</v>
      </c>
      <c r="E411" s="735" t="s">
        <v>295</v>
      </c>
      <c r="F411" s="118" t="s">
        <v>757</v>
      </c>
      <c r="G411" s="118" t="s">
        <v>25</v>
      </c>
      <c r="H411" s="815">
        <v>46044</v>
      </c>
      <c r="I411" s="816"/>
      <c r="J411" s="735" t="s">
        <v>27</v>
      </c>
      <c r="K411" s="735" t="s">
        <v>759</v>
      </c>
      <c r="L411" s="815">
        <v>46017</v>
      </c>
      <c r="M411" s="815">
        <v>46030</v>
      </c>
      <c r="N411" s="735" t="s">
        <v>29</v>
      </c>
      <c r="O411" s="204">
        <f ca="1">IF(ISBLANK(L411), "", IF(ISNUMBER(M411), NETWORKDAYS(L411, M411, Holidays!$D$4:$D$19), NETWORKDAYS(L411, TODAY(), Holidays!$D$4:$D$19)))</f>
        <v>9</v>
      </c>
      <c r="P411" s="763">
        <f ca="1">IF(ISBLANK(H411), "", IF(ISNUMBER(M411), NETWORKDAYS(H411, M411, Holidays!$D$4:$D$19), NETWORKDAYS(H411, TODAY(), Holidays!$D$4:$D$19)))</f>
        <v>-11</v>
      </c>
      <c r="Q411" s="817" t="s">
        <v>26</v>
      </c>
      <c r="R411" s="818"/>
      <c r="S411" s="735"/>
      <c r="T411" s="735"/>
      <c r="U411" s="735"/>
      <c r="V411" s="819"/>
      <c r="W411" s="819"/>
      <c r="X411" s="118"/>
    </row>
    <row r="412" spans="2:24" ht="28.9">
      <c r="B412" s="702" t="s">
        <v>754</v>
      </c>
      <c r="C412" s="791" t="s">
        <v>760</v>
      </c>
      <c r="D412" s="118" t="s">
        <v>756</v>
      </c>
      <c r="E412" s="735" t="s">
        <v>295</v>
      </c>
      <c r="F412" s="118" t="s">
        <v>241</v>
      </c>
      <c r="G412" s="118" t="s">
        <v>25</v>
      </c>
      <c r="H412" s="815">
        <v>46044</v>
      </c>
      <c r="I412" s="816"/>
      <c r="J412" s="735" t="s">
        <v>40</v>
      </c>
      <c r="K412" s="735" t="s">
        <v>761</v>
      </c>
      <c r="L412" s="815">
        <v>46017</v>
      </c>
      <c r="M412" s="815">
        <v>46036</v>
      </c>
      <c r="N412" s="735" t="s">
        <v>29</v>
      </c>
      <c r="O412" s="204">
        <f ca="1">IF(ISBLANK(L412), "", IF(ISNUMBER(M412), NETWORKDAYS(L412, M412, Holidays!$D$4:$D$19), NETWORKDAYS(L412, TODAY(), Holidays!$D$4:$D$19)))</f>
        <v>13</v>
      </c>
      <c r="P412" s="763">
        <f ca="1">IF(ISBLANK(H412), "", IF(ISNUMBER(M412), NETWORKDAYS(H412, M412, Holidays!$D$4:$D$19), NETWORKDAYS(H412, TODAY(), Holidays!$D$4:$D$19)))</f>
        <v>-7</v>
      </c>
      <c r="Q412" s="817" t="s">
        <v>26</v>
      </c>
      <c r="R412" s="818"/>
      <c r="S412" s="735"/>
      <c r="T412" s="735"/>
      <c r="U412" s="735"/>
      <c r="V412" s="819"/>
      <c r="W412" s="819"/>
      <c r="X412" s="118"/>
    </row>
    <row r="413" spans="2:24" ht="28.9">
      <c r="B413" s="702" t="s">
        <v>754</v>
      </c>
      <c r="C413" s="791" t="s">
        <v>760</v>
      </c>
      <c r="D413" s="118" t="s">
        <v>756</v>
      </c>
      <c r="E413" s="735" t="s">
        <v>295</v>
      </c>
      <c r="F413" s="118" t="s">
        <v>241</v>
      </c>
      <c r="G413" s="118" t="s">
        <v>25</v>
      </c>
      <c r="H413" s="815">
        <v>46044</v>
      </c>
      <c r="I413" s="816"/>
      <c r="J413" s="735" t="s">
        <v>27</v>
      </c>
      <c r="K413" s="735" t="s">
        <v>762</v>
      </c>
      <c r="L413" s="815">
        <v>46017</v>
      </c>
      <c r="M413" s="815">
        <v>46032</v>
      </c>
      <c r="N413" s="735" t="s">
        <v>29</v>
      </c>
      <c r="O413" s="204">
        <f ca="1">IF(ISBLANK(L413), "", IF(ISNUMBER(M413), NETWORKDAYS(L413, M413, Holidays!$D$4:$D$19), NETWORKDAYS(L413, TODAY(), Holidays!$D$4:$D$19)))</f>
        <v>10</v>
      </c>
      <c r="P413" s="763">
        <f ca="1">IF(ISBLANK(H413), "", IF(ISNUMBER(M413), NETWORKDAYS(H413, M413, Holidays!$D$4:$D$19), NETWORKDAYS(H413, TODAY(), Holidays!$D$4:$D$19)))</f>
        <v>-9</v>
      </c>
      <c r="Q413" s="817" t="s">
        <v>26</v>
      </c>
      <c r="R413" s="818"/>
      <c r="S413" s="735"/>
      <c r="T413" s="735"/>
      <c r="U413" s="735"/>
      <c r="V413" s="819"/>
      <c r="W413" s="819"/>
      <c r="X413" s="118"/>
    </row>
    <row r="414" spans="2:24" ht="28.9">
      <c r="B414" s="702" t="s">
        <v>754</v>
      </c>
      <c r="C414" s="791" t="s">
        <v>755</v>
      </c>
      <c r="D414" s="118" t="s">
        <v>756</v>
      </c>
      <c r="E414" s="735" t="s">
        <v>295</v>
      </c>
      <c r="F414" s="118" t="s">
        <v>757</v>
      </c>
      <c r="G414" s="118" t="s">
        <v>25</v>
      </c>
      <c r="H414" s="815">
        <v>46044</v>
      </c>
      <c r="I414" s="816"/>
      <c r="J414" s="735" t="s">
        <v>27</v>
      </c>
      <c r="K414" s="735" t="s">
        <v>763</v>
      </c>
      <c r="L414" s="815">
        <v>46020</v>
      </c>
      <c r="M414" s="815">
        <v>46035</v>
      </c>
      <c r="N414" s="735" t="s">
        <v>29</v>
      </c>
      <c r="O414" s="204">
        <f ca="1">IF(ISBLANK(L414), "", IF(ISNUMBER(M414), NETWORKDAYS(L414, M414, Holidays!$D$4:$D$19), NETWORKDAYS(L414, TODAY(), Holidays!$D$4:$D$19)))</f>
        <v>11</v>
      </c>
      <c r="P414" s="763">
        <f ca="1">IF(ISBLANK(H414), "", IF(ISNUMBER(M414), NETWORKDAYS(H414, M414, Holidays!$D$4:$D$19), NETWORKDAYS(H414, TODAY(), Holidays!$D$4:$D$19)))</f>
        <v>-8</v>
      </c>
      <c r="Q414" s="817" t="s">
        <v>26</v>
      </c>
      <c r="R414" s="818"/>
      <c r="S414" s="735"/>
      <c r="T414" s="735"/>
      <c r="U414" s="735"/>
      <c r="V414" s="819"/>
      <c r="W414" s="819"/>
      <c r="X414" s="118"/>
    </row>
    <row r="415" spans="2:24" ht="28.9">
      <c r="B415" s="702" t="s">
        <v>754</v>
      </c>
      <c r="C415" s="791" t="s">
        <v>755</v>
      </c>
      <c r="D415" s="118" t="s">
        <v>756</v>
      </c>
      <c r="E415" s="735" t="s">
        <v>295</v>
      </c>
      <c r="F415" s="118" t="s">
        <v>757</v>
      </c>
      <c r="G415" s="118" t="s">
        <v>25</v>
      </c>
      <c r="H415" s="815">
        <v>46044</v>
      </c>
      <c r="I415" s="816"/>
      <c r="J415" s="735" t="s">
        <v>27</v>
      </c>
      <c r="K415" s="735" t="s">
        <v>764</v>
      </c>
      <c r="L415" s="815">
        <v>46017</v>
      </c>
      <c r="M415" s="815">
        <v>46037</v>
      </c>
      <c r="N415" s="735" t="s">
        <v>29</v>
      </c>
      <c r="O415" s="204">
        <f ca="1">IF(ISBLANK(L415), "", IF(ISNUMBER(M415), NETWORKDAYS(L415, M415, Holidays!$D$4:$D$19), NETWORKDAYS(L415, TODAY(), Holidays!$D$4:$D$19)))</f>
        <v>14</v>
      </c>
      <c r="P415" s="763">
        <f ca="1">IF(ISBLANK(H415), "", IF(ISNUMBER(M415), NETWORKDAYS(H415, M415, Holidays!$D$4:$D$19), NETWORKDAYS(H415, TODAY(), Holidays!$D$4:$D$19)))</f>
        <v>-6</v>
      </c>
      <c r="Q415" s="817" t="s">
        <v>26</v>
      </c>
      <c r="R415" s="818"/>
      <c r="S415" s="735"/>
      <c r="T415" s="735"/>
      <c r="U415" s="735"/>
      <c r="V415" s="819"/>
      <c r="W415" s="819"/>
      <c r="X415" s="118"/>
    </row>
    <row r="416" spans="2:24" ht="28.9">
      <c r="B416" s="702" t="s">
        <v>754</v>
      </c>
      <c r="C416" s="791" t="s">
        <v>765</v>
      </c>
      <c r="D416" s="118" t="s">
        <v>756</v>
      </c>
      <c r="E416" s="735" t="s">
        <v>295</v>
      </c>
      <c r="F416" s="118" t="s">
        <v>264</v>
      </c>
      <c r="G416" s="118" t="s">
        <v>25</v>
      </c>
      <c r="H416" s="815">
        <v>46044</v>
      </c>
      <c r="I416" s="816"/>
      <c r="J416" s="735" t="s">
        <v>27</v>
      </c>
      <c r="K416" s="735" t="s">
        <v>766</v>
      </c>
      <c r="L416" s="815">
        <v>46037</v>
      </c>
      <c r="M416" s="815">
        <v>46043</v>
      </c>
      <c r="N416" s="735" t="s">
        <v>29</v>
      </c>
      <c r="O416" s="204">
        <f ca="1">IF(ISBLANK(L416), "", IF(ISNUMBER(M416), NETWORKDAYS(L416, M416, Holidays!$D$4:$D$19), NETWORKDAYS(L416, TODAY(), Holidays!$D$4:$D$19)))</f>
        <v>5</v>
      </c>
      <c r="P416" s="763">
        <f ca="1">IF(ISBLANK(H416), "", IF(ISNUMBER(M416), NETWORKDAYS(H416, M416, Holidays!$D$4:$D$19), NETWORKDAYS(H416, TODAY(), Holidays!$D$4:$D$19)))</f>
        <v>-2</v>
      </c>
      <c r="Q416" s="817" t="s">
        <v>26</v>
      </c>
      <c r="R416" s="818"/>
      <c r="S416" s="735"/>
      <c r="T416" s="735"/>
      <c r="U416" s="735"/>
      <c r="V416" s="819"/>
      <c r="W416" s="819"/>
      <c r="X416" s="118"/>
    </row>
    <row r="417" spans="2:24" ht="28.9">
      <c r="B417" s="702" t="s">
        <v>754</v>
      </c>
      <c r="C417" s="791" t="s">
        <v>765</v>
      </c>
      <c r="D417" s="118" t="s">
        <v>756</v>
      </c>
      <c r="E417" s="735" t="s">
        <v>295</v>
      </c>
      <c r="F417" s="118" t="s">
        <v>264</v>
      </c>
      <c r="G417" s="118" t="s">
        <v>25</v>
      </c>
      <c r="H417" s="815">
        <v>46044</v>
      </c>
      <c r="I417" s="816"/>
      <c r="J417" s="735" t="s">
        <v>27</v>
      </c>
      <c r="K417" s="735" t="s">
        <v>767</v>
      </c>
      <c r="L417" s="815">
        <v>46037</v>
      </c>
      <c r="M417" s="815">
        <v>46044</v>
      </c>
      <c r="N417" s="735" t="s">
        <v>29</v>
      </c>
      <c r="O417" s="204">
        <f ca="1">IF(ISBLANK(L417), "", IF(ISNUMBER(M417), NETWORKDAYS(L417, M417, Holidays!$D$4:$D$19), NETWORKDAYS(L417, TODAY(), Holidays!$D$4:$D$19)))</f>
        <v>6</v>
      </c>
      <c r="P417" s="763">
        <f ca="1">IF(ISBLANK(H417), "", IF(ISNUMBER(M417), NETWORKDAYS(H417, M417, Holidays!$D$4:$D$19), NETWORKDAYS(H417, TODAY(), Holidays!$D$4:$D$19)))</f>
        <v>1</v>
      </c>
      <c r="Q417" s="817" t="s">
        <v>26</v>
      </c>
      <c r="R417" s="818"/>
      <c r="S417" s="735"/>
      <c r="T417" s="735"/>
      <c r="U417" s="735"/>
      <c r="V417" s="819"/>
      <c r="W417" s="819"/>
      <c r="X417" s="118"/>
    </row>
    <row r="418" spans="2:24" ht="28.9">
      <c r="B418" s="748" t="s">
        <v>754</v>
      </c>
      <c r="C418" s="792" t="s">
        <v>755</v>
      </c>
      <c r="D418" s="127" t="s">
        <v>756</v>
      </c>
      <c r="E418" s="820" t="s">
        <v>295</v>
      </c>
      <c r="F418" s="127" t="s">
        <v>757</v>
      </c>
      <c r="G418" s="127" t="s">
        <v>25</v>
      </c>
      <c r="H418" s="821">
        <v>46044</v>
      </c>
      <c r="I418" s="822"/>
      <c r="J418" s="820" t="s">
        <v>40</v>
      </c>
      <c r="K418" s="820" t="s">
        <v>768</v>
      </c>
      <c r="L418" s="821">
        <v>46017</v>
      </c>
      <c r="M418" s="821">
        <v>46036</v>
      </c>
      <c r="N418" s="820" t="s">
        <v>29</v>
      </c>
      <c r="O418" s="362">
        <f ca="1">IF(ISBLANK(L418), "", IF(ISNUMBER(M418), NETWORKDAYS(L418, M418, Holidays!$D$4:$D$19), NETWORKDAYS(L418, TODAY(), Holidays!$D$4:$D$19)))</f>
        <v>13</v>
      </c>
      <c r="P418" s="776">
        <f ca="1">IF(ISBLANK(H418), "", IF(ISNUMBER(M418), NETWORKDAYS(H418, M418, Holidays!$D$4:$D$19), NETWORKDAYS(H418, TODAY(), Holidays!$D$4:$D$19)))</f>
        <v>-7</v>
      </c>
      <c r="Q418" s="168" t="s">
        <v>26</v>
      </c>
      <c r="R418" s="818"/>
      <c r="S418" s="735"/>
      <c r="T418" s="735"/>
      <c r="U418" s="735"/>
      <c r="V418" s="819"/>
      <c r="W418" s="819"/>
      <c r="X418" s="118"/>
    </row>
    <row r="419" spans="2:24" ht="28.9">
      <c r="B419" s="694" t="s">
        <v>769</v>
      </c>
      <c r="C419" s="695" t="s">
        <v>135</v>
      </c>
      <c r="D419" s="125" t="s">
        <v>770</v>
      </c>
      <c r="E419" s="431" t="s">
        <v>104</v>
      </c>
      <c r="F419" s="125" t="s">
        <v>216</v>
      </c>
      <c r="G419" s="125" t="s">
        <v>25</v>
      </c>
      <c r="H419" s="823">
        <v>46045</v>
      </c>
      <c r="I419" s="824"/>
      <c r="J419" s="431" t="s">
        <v>27</v>
      </c>
      <c r="K419" s="431" t="s">
        <v>771</v>
      </c>
      <c r="L419" s="823">
        <v>46014</v>
      </c>
      <c r="M419" s="823">
        <v>46032</v>
      </c>
      <c r="N419" s="431" t="s">
        <v>29</v>
      </c>
      <c r="O419" s="433">
        <f ca="1">IF(ISBLANK(L419), "", IF(ISNUMBER(M419), NETWORKDAYS(L419, M419, Holidays!$D$4:$D$19), NETWORKDAYS(L419, TODAY(), Holidays!$D$4:$D$19)))</f>
        <v>11</v>
      </c>
      <c r="P419" s="264">
        <f ca="1">IF(ISBLANK(H419), "", IF(ISNUMBER(M419), NETWORKDAYS(H419, M419, Holidays!$D$4:$D$19), NETWORKDAYS(H419, TODAY(), Holidays!$D$4:$D$19)))</f>
        <v>-10</v>
      </c>
      <c r="Q419" s="825" t="s">
        <v>26</v>
      </c>
      <c r="R419" s="818"/>
      <c r="S419" s="735"/>
      <c r="T419" s="735"/>
      <c r="U419" s="735"/>
      <c r="V419" s="819"/>
      <c r="W419" s="819"/>
      <c r="X419" s="118"/>
    </row>
    <row r="420" spans="2:24" ht="28.9">
      <c r="B420" s="709" t="s">
        <v>769</v>
      </c>
      <c r="C420" s="710" t="s">
        <v>135</v>
      </c>
      <c r="D420" s="419" t="s">
        <v>770</v>
      </c>
      <c r="E420" s="835" t="s">
        <v>104</v>
      </c>
      <c r="F420" s="419" t="s">
        <v>216</v>
      </c>
      <c r="G420" s="419" t="s">
        <v>25</v>
      </c>
      <c r="H420" s="836">
        <v>46045</v>
      </c>
      <c r="I420" s="837"/>
      <c r="J420" s="835" t="s">
        <v>27</v>
      </c>
      <c r="K420" s="835" t="s">
        <v>772</v>
      </c>
      <c r="L420" s="836">
        <v>46029</v>
      </c>
      <c r="M420" s="836">
        <v>46035</v>
      </c>
      <c r="N420" s="835" t="s">
        <v>29</v>
      </c>
      <c r="O420" s="342">
        <f ca="1">IF(ISBLANK(L420), "", IF(ISNUMBER(M420), NETWORKDAYS(L420, M420, Holidays!$D$4:$D$19), NETWORKDAYS(L420, TODAY(), Holidays!$D$4:$D$19)))</f>
        <v>5</v>
      </c>
      <c r="P420" s="766">
        <f ca="1">IF(ISBLANK(H420), "", IF(ISNUMBER(M420), NETWORKDAYS(H420, M420, Holidays!$D$4:$D$19), NETWORKDAYS(H420, TODAY(), Holidays!$D$4:$D$19)))</f>
        <v>-9</v>
      </c>
      <c r="Q420" s="840" t="s">
        <v>26</v>
      </c>
      <c r="R420" s="818"/>
      <c r="S420" s="735"/>
      <c r="T420" s="735"/>
      <c r="U420" s="735"/>
      <c r="V420" s="819"/>
      <c r="W420" s="819"/>
      <c r="X420" s="118"/>
    </row>
    <row r="421" spans="2:24" ht="28.9">
      <c r="B421" s="674" t="s">
        <v>773</v>
      </c>
      <c r="C421" s="674" t="s">
        <v>774</v>
      </c>
      <c r="D421" s="157" t="s">
        <v>775</v>
      </c>
      <c r="E421" s="675" t="s">
        <v>252</v>
      </c>
      <c r="F421" s="157" t="s">
        <v>24</v>
      </c>
      <c r="G421" s="157"/>
      <c r="H421" s="676">
        <v>46048</v>
      </c>
      <c r="I421" s="677"/>
      <c r="J421" s="675" t="s">
        <v>27</v>
      </c>
      <c r="K421" s="675" t="s">
        <v>776</v>
      </c>
      <c r="L421" s="676">
        <v>46035</v>
      </c>
      <c r="M421" s="676">
        <v>46051</v>
      </c>
      <c r="N421" s="675" t="s">
        <v>29</v>
      </c>
      <c r="O421" s="157">
        <f ca="1">IF(ISBLANK(L421), "", IF(ISNUMBER(M421), NETWORKDAYS(L421, M421, Holidays!$D$4:$D$19), NETWORKDAYS(L421, TODAY(), Holidays!$D$4:$D$19)))</f>
        <v>13</v>
      </c>
      <c r="P421" s="157">
        <f ca="1">IF(ISBLANK(H421), "", IF(ISNUMBER(M421), NETWORKDAYS(H421, M421, Holidays!$D$4:$D$19), NETWORKDAYS(H421, TODAY(), Holidays!$D$4:$D$19)))</f>
        <v>4</v>
      </c>
      <c r="Q421" s="157" t="s">
        <v>26</v>
      </c>
      <c r="R421" s="818"/>
      <c r="S421" s="735"/>
      <c r="T421" s="735"/>
      <c r="U421" s="735"/>
      <c r="V421" s="819"/>
      <c r="W421" s="819"/>
      <c r="X421" s="118"/>
    </row>
    <row r="422" spans="2:24" ht="28.9">
      <c r="B422" s="147" t="s">
        <v>773</v>
      </c>
      <c r="C422" s="148" t="s">
        <v>774</v>
      </c>
      <c r="D422" s="149" t="s">
        <v>775</v>
      </c>
      <c r="E422" s="826" t="s">
        <v>252</v>
      </c>
      <c r="F422" s="149" t="s">
        <v>24</v>
      </c>
      <c r="G422" s="149"/>
      <c r="H422" s="327">
        <v>46048</v>
      </c>
      <c r="I422" s="827"/>
      <c r="J422" s="826" t="s">
        <v>40</v>
      </c>
      <c r="K422" s="826" t="s">
        <v>777</v>
      </c>
      <c r="L422" s="327">
        <v>46035</v>
      </c>
      <c r="M422" s="327">
        <v>46049</v>
      </c>
      <c r="N422" s="826" t="s">
        <v>29</v>
      </c>
      <c r="O422" s="194">
        <f ca="1">IF(ISBLANK(L422), "", IF(ISNUMBER(M422), NETWORKDAYS(L422, M422, Holidays!$D$4:$D$19), NETWORKDAYS(L422, TODAY(), Holidays!$D$4:$D$19)))</f>
        <v>11</v>
      </c>
      <c r="P422" s="149">
        <f ca="1">IF(ISBLANK(H422), "", IF(ISNUMBER(M422), NETWORKDAYS(H422, M422, Holidays!$D$4:$D$19), NETWORKDAYS(H422, TODAY(), Holidays!$D$4:$D$19)))</f>
        <v>2</v>
      </c>
      <c r="Q422" s="159" t="s">
        <v>26</v>
      </c>
      <c r="R422" s="818"/>
      <c r="S422" s="735"/>
      <c r="T422" s="735"/>
      <c r="U422" s="735"/>
      <c r="V422" s="819"/>
      <c r="W422" s="819"/>
      <c r="X422" s="118"/>
    </row>
    <row r="423" spans="2:24" ht="28.9">
      <c r="B423" s="694" t="s">
        <v>778</v>
      </c>
      <c r="C423" s="695" t="s">
        <v>352</v>
      </c>
      <c r="D423" s="125" t="s">
        <v>779</v>
      </c>
      <c r="E423" s="431" t="s">
        <v>237</v>
      </c>
      <c r="F423" s="125" t="s">
        <v>241</v>
      </c>
      <c r="G423" s="125"/>
      <c r="H423" s="823">
        <v>46045</v>
      </c>
      <c r="I423" s="824"/>
      <c r="J423" s="431" t="s">
        <v>27</v>
      </c>
      <c r="K423" s="431" t="s">
        <v>780</v>
      </c>
      <c r="L423" s="823">
        <v>46035</v>
      </c>
      <c r="M423" s="823">
        <v>46051</v>
      </c>
      <c r="N423" s="431" t="s">
        <v>29</v>
      </c>
      <c r="O423" s="433">
        <f ca="1">IF(ISBLANK(L423), "", IF(ISNUMBER(M423), NETWORKDAYS(L423, M423, Holidays!$D$4:$D$19), NETWORKDAYS(L423, TODAY(), Holidays!$D$4:$D$19)))</f>
        <v>13</v>
      </c>
      <c r="P423" s="264">
        <f ca="1">IF(ISBLANK(H423), "", IF(ISNUMBER(M423), NETWORKDAYS(H423, M423, Holidays!$D$4:$D$19), NETWORKDAYS(H423, TODAY(), Holidays!$D$4:$D$19)))</f>
        <v>5</v>
      </c>
      <c r="Q423" s="825" t="s">
        <v>26</v>
      </c>
      <c r="R423" s="818"/>
      <c r="S423" s="735"/>
      <c r="T423" s="735"/>
      <c r="U423" s="735"/>
      <c r="V423" s="819"/>
      <c r="W423" s="819"/>
      <c r="X423" s="118"/>
    </row>
    <row r="424" spans="2:24" ht="28.9">
      <c r="B424" s="748" t="s">
        <v>778</v>
      </c>
      <c r="C424" s="772" t="s">
        <v>352</v>
      </c>
      <c r="D424" s="127" t="s">
        <v>779</v>
      </c>
      <c r="E424" s="820" t="s">
        <v>237</v>
      </c>
      <c r="F424" s="127" t="s">
        <v>241</v>
      </c>
      <c r="G424" s="127"/>
      <c r="H424" s="821">
        <v>46045</v>
      </c>
      <c r="I424" s="822"/>
      <c r="J424" s="820" t="s">
        <v>40</v>
      </c>
      <c r="K424" s="820" t="s">
        <v>781</v>
      </c>
      <c r="L424" s="821">
        <v>46035</v>
      </c>
      <c r="M424" s="821">
        <v>46049</v>
      </c>
      <c r="N424" s="820" t="s">
        <v>29</v>
      </c>
      <c r="O424" s="362">
        <f ca="1">IF(ISBLANK(L424), "", IF(ISNUMBER(M424), NETWORKDAYS(L424, M424, Holidays!$D$4:$D$19), NETWORKDAYS(L424, TODAY(), Holidays!$D$4:$D$19)))</f>
        <v>11</v>
      </c>
      <c r="P424" s="776">
        <f ca="1">IF(ISBLANK(H424), "", IF(ISNUMBER(M424), NETWORKDAYS(H424, M424, Holidays!$D$4:$D$19), NETWORKDAYS(H424, TODAY(), Holidays!$D$4:$D$19)))</f>
        <v>3</v>
      </c>
      <c r="Q424" s="168" t="s">
        <v>26</v>
      </c>
      <c r="R424" s="818"/>
      <c r="S424" s="735"/>
      <c r="T424" s="735"/>
      <c r="U424" s="735"/>
      <c r="V424" s="819"/>
      <c r="W424" s="819"/>
      <c r="X424" s="118"/>
    </row>
    <row r="425" spans="2:24" ht="28.9">
      <c r="B425" s="694" t="s">
        <v>782</v>
      </c>
      <c r="C425" s="695" t="s">
        <v>783</v>
      </c>
      <c r="D425" s="125" t="s">
        <v>784</v>
      </c>
      <c r="E425" s="431" t="s">
        <v>113</v>
      </c>
      <c r="F425" s="125" t="s">
        <v>429</v>
      </c>
      <c r="G425" s="125"/>
      <c r="H425" s="823">
        <v>46059</v>
      </c>
      <c r="I425" s="824"/>
      <c r="J425" s="431" t="s">
        <v>27</v>
      </c>
      <c r="K425" s="431" t="s">
        <v>785</v>
      </c>
      <c r="L425" s="823">
        <v>46041</v>
      </c>
      <c r="M425" s="823">
        <v>46059</v>
      </c>
      <c r="N425" s="431" t="s">
        <v>29</v>
      </c>
      <c r="O425" s="433">
        <f ca="1">IF(ISBLANK(L425), "", IF(ISNUMBER(M425), NETWORKDAYS(L425, M425, Holidays!$D$4:$D$19), NETWORKDAYS(L425, TODAY(), Holidays!$D$4:$D$19)))</f>
        <v>15</v>
      </c>
      <c r="P425" s="264">
        <f ca="1">IF(ISBLANK(H425), "", IF(ISNUMBER(M425), NETWORKDAYS(H425, M425, Holidays!$D$4:$D$19), NETWORKDAYS(H425, TODAY(), Holidays!$D$4:$D$19)))</f>
        <v>1</v>
      </c>
      <c r="Q425" s="825" t="s">
        <v>26</v>
      </c>
      <c r="R425" s="818"/>
      <c r="S425" s="735"/>
      <c r="T425" s="735"/>
      <c r="U425" s="735"/>
      <c r="V425" s="819"/>
      <c r="W425" s="819"/>
      <c r="X425" s="118"/>
    </row>
    <row r="426" spans="2:24" ht="28.9">
      <c r="B426" s="702" t="s">
        <v>782</v>
      </c>
      <c r="C426" s="703" t="s">
        <v>783</v>
      </c>
      <c r="D426" s="286" t="s">
        <v>784</v>
      </c>
      <c r="E426" s="735" t="s">
        <v>113</v>
      </c>
      <c r="F426" s="118" t="s">
        <v>429</v>
      </c>
      <c r="G426" s="118"/>
      <c r="H426" s="815">
        <v>46059</v>
      </c>
      <c r="I426" s="816"/>
      <c r="J426" s="735" t="s">
        <v>40</v>
      </c>
      <c r="K426" s="735" t="s">
        <v>786</v>
      </c>
      <c r="L426" s="815">
        <v>46041</v>
      </c>
      <c r="M426" s="815">
        <v>46041</v>
      </c>
      <c r="N426" s="735" t="s">
        <v>46</v>
      </c>
      <c r="O426" s="204">
        <f ca="1">IF(ISBLANK(L426), "", IF(ISNUMBER(M426), NETWORKDAYS(L426, M426, Holidays!$D$4:$D$19), NETWORKDAYS(L426, TODAY(), Holidays!$D$4:$D$19)))</f>
        <v>1</v>
      </c>
      <c r="P426" s="763">
        <f ca="1">IF(ISBLANK(H426), "", IF(ISNUMBER(M426), NETWORKDAYS(H426, M426, Holidays!$D$4:$D$19), NETWORKDAYS(H426, TODAY(), Holidays!$D$4:$D$19)))</f>
        <v>-15</v>
      </c>
      <c r="Q426" s="817"/>
      <c r="R426" s="818"/>
      <c r="S426" s="735"/>
      <c r="T426" s="735"/>
      <c r="U426" s="735"/>
      <c r="V426" s="819"/>
      <c r="W426" s="819"/>
      <c r="X426" s="118"/>
    </row>
    <row r="427" spans="2:24" ht="28.9">
      <c r="B427" s="702" t="s">
        <v>782</v>
      </c>
      <c r="C427" s="703" t="s">
        <v>783</v>
      </c>
      <c r="D427" s="286" t="s">
        <v>784</v>
      </c>
      <c r="E427" s="735" t="s">
        <v>113</v>
      </c>
      <c r="F427" s="118" t="s">
        <v>429</v>
      </c>
      <c r="G427" s="118"/>
      <c r="H427" s="815">
        <v>46059</v>
      </c>
      <c r="I427" s="816"/>
      <c r="J427" s="735" t="s">
        <v>40</v>
      </c>
      <c r="K427" s="735" t="s">
        <v>787</v>
      </c>
      <c r="L427" s="815">
        <v>46041</v>
      </c>
      <c r="M427" s="815">
        <v>46058</v>
      </c>
      <c r="N427" s="735" t="s">
        <v>29</v>
      </c>
      <c r="O427" s="204">
        <f ca="1">IF(ISBLANK(L427), "", IF(ISNUMBER(M427), NETWORKDAYS(L427, M427, Holidays!$D$4:$D$19), NETWORKDAYS(L427, TODAY(), Holidays!$D$4:$D$19)))</f>
        <v>14</v>
      </c>
      <c r="P427" s="763">
        <f ca="1">IF(ISBLANK(H427), "", IF(ISNUMBER(M427), NETWORKDAYS(H427, M427, Holidays!$D$4:$D$19), NETWORKDAYS(H427, TODAY(), Holidays!$D$4:$D$19)))</f>
        <v>-2</v>
      </c>
      <c r="Q427" s="817" t="s">
        <v>26</v>
      </c>
      <c r="R427" s="818"/>
      <c r="S427" s="735"/>
      <c r="T427" s="735"/>
      <c r="U427" s="735"/>
      <c r="V427" s="819"/>
      <c r="W427" s="819"/>
      <c r="X427" s="118"/>
    </row>
    <row r="428" spans="2:24" ht="28.9">
      <c r="B428" s="748" t="s">
        <v>782</v>
      </c>
      <c r="C428" s="772" t="s">
        <v>783</v>
      </c>
      <c r="D428" s="149" t="s">
        <v>784</v>
      </c>
      <c r="E428" s="820" t="s">
        <v>113</v>
      </c>
      <c r="F428" s="127" t="s">
        <v>429</v>
      </c>
      <c r="G428" s="127"/>
      <c r="H428" s="821">
        <v>46059</v>
      </c>
      <c r="I428" s="822"/>
      <c r="J428" s="820" t="s">
        <v>40</v>
      </c>
      <c r="K428" s="820" t="s">
        <v>788</v>
      </c>
      <c r="L428" s="821">
        <v>46043</v>
      </c>
      <c r="M428" s="821">
        <v>46063</v>
      </c>
      <c r="N428" s="820" t="s">
        <v>29</v>
      </c>
      <c r="O428" s="362">
        <f ca="1">IF(ISBLANK(L428), "", IF(ISNUMBER(M428), NETWORKDAYS(L428, M428, Holidays!$D$4:$D$19), NETWORKDAYS(L428, TODAY(), Holidays!$D$4:$D$19)))</f>
        <v>15</v>
      </c>
      <c r="P428" s="776">
        <f ca="1">IF(ISBLANK(H428), "", IF(ISNUMBER(M428), NETWORKDAYS(H428, M428, Holidays!$D$4:$D$19), NETWORKDAYS(H428, TODAY(), Holidays!$D$4:$D$19)))</f>
        <v>3</v>
      </c>
      <c r="Q428" s="168" t="s">
        <v>26</v>
      </c>
      <c r="R428" s="818"/>
      <c r="S428" s="735"/>
      <c r="T428" s="735"/>
      <c r="U428" s="735"/>
      <c r="V428" s="819"/>
      <c r="W428" s="819"/>
      <c r="X428" s="118"/>
    </row>
    <row r="429" spans="2:24" ht="28.9">
      <c r="B429" s="406" t="s">
        <v>714</v>
      </c>
      <c r="C429" s="257" t="s">
        <v>789</v>
      </c>
      <c r="D429" s="188" t="s">
        <v>716</v>
      </c>
      <c r="E429" s="690" t="s">
        <v>237</v>
      </c>
      <c r="F429" s="188" t="s">
        <v>260</v>
      </c>
      <c r="G429" s="188"/>
      <c r="H429" s="315">
        <v>46048</v>
      </c>
      <c r="I429" s="316"/>
      <c r="J429" s="690" t="s">
        <v>27</v>
      </c>
      <c r="K429" s="690" t="s">
        <v>790</v>
      </c>
      <c r="L429" s="315">
        <v>46042</v>
      </c>
      <c r="M429" s="315">
        <v>46050</v>
      </c>
      <c r="N429" s="690" t="s">
        <v>29</v>
      </c>
      <c r="O429" s="179">
        <f ca="1">IF(ISBLANK(L429), "", IF(ISNUMBER(M429), NETWORKDAYS(L429, M429, Holidays!$D$4:$D$19), NETWORKDAYS(L429, TODAY(), Holidays!$D$4:$D$19)))</f>
        <v>7</v>
      </c>
      <c r="P429" s="188">
        <f ca="1">IF(ISBLANK(H429), "", IF(ISNUMBER(M429), NETWORKDAYS(H429, M429, Holidays!$D$4:$D$19), NETWORKDAYS(H429, TODAY(), Holidays!$D$4:$D$19)))</f>
        <v>3</v>
      </c>
      <c r="Q429" s="692" t="s">
        <v>26</v>
      </c>
      <c r="R429" s="818"/>
      <c r="S429" s="735"/>
      <c r="T429" s="735"/>
      <c r="U429" s="735"/>
      <c r="V429" s="819"/>
      <c r="W429" s="819"/>
      <c r="X429" s="118"/>
    </row>
    <row r="430" spans="2:24" ht="15" customHeight="1">
      <c r="B430" s="694" t="s">
        <v>791</v>
      </c>
      <c r="C430" s="695" t="s">
        <v>135</v>
      </c>
      <c r="D430" s="125" t="s">
        <v>792</v>
      </c>
      <c r="E430" s="431" t="s">
        <v>110</v>
      </c>
      <c r="F430" s="125" t="s">
        <v>81</v>
      </c>
      <c r="G430" s="125"/>
      <c r="H430" s="823">
        <v>46045</v>
      </c>
      <c r="I430" s="824"/>
      <c r="J430" s="431" t="s">
        <v>27</v>
      </c>
      <c r="K430" s="431" t="s">
        <v>793</v>
      </c>
      <c r="L430" s="823">
        <v>46036</v>
      </c>
      <c r="M430" s="823">
        <v>46045</v>
      </c>
      <c r="N430" s="431" t="s">
        <v>29</v>
      </c>
      <c r="O430" s="433">
        <f ca="1">IF(ISBLANK(L430), "", IF(ISNUMBER(M430), NETWORKDAYS(L430, M430, Holidays!$D$4:$D$19), NETWORKDAYS(L430, TODAY(), Holidays!$D$4:$D$19)))</f>
        <v>8</v>
      </c>
      <c r="P430" s="264">
        <f ca="1">IF(ISBLANK(H430), "", IF(ISNUMBER(M430), NETWORKDAYS(H430, M430, Holidays!$D$4:$D$19), NETWORKDAYS(H430, TODAY(), Holidays!$D$4:$D$19)))</f>
        <v>1</v>
      </c>
      <c r="Q430" s="825" t="s">
        <v>26</v>
      </c>
      <c r="R430" s="818"/>
      <c r="S430" s="735"/>
      <c r="T430" s="735"/>
      <c r="U430" s="735"/>
      <c r="V430" s="819"/>
      <c r="W430" s="819"/>
      <c r="X430" s="118"/>
    </row>
    <row r="431" spans="2:24" ht="15" customHeight="1">
      <c r="B431" s="702" t="s">
        <v>791</v>
      </c>
      <c r="C431" s="703" t="s">
        <v>135</v>
      </c>
      <c r="D431" s="118" t="s">
        <v>792</v>
      </c>
      <c r="E431" s="735" t="s">
        <v>110</v>
      </c>
      <c r="F431" s="118" t="s">
        <v>81</v>
      </c>
      <c r="G431" s="118"/>
      <c r="H431" s="815">
        <v>46045</v>
      </c>
      <c r="I431" s="816"/>
      <c r="J431" s="735" t="s">
        <v>27</v>
      </c>
      <c r="K431" s="735" t="s">
        <v>794</v>
      </c>
      <c r="L431" s="815">
        <v>46036</v>
      </c>
      <c r="M431" s="815">
        <v>46044</v>
      </c>
      <c r="N431" s="735" t="s">
        <v>29</v>
      </c>
      <c r="O431" s="204">
        <f ca="1">IF(ISBLANK(L431), "", IF(ISNUMBER(M431), NETWORKDAYS(L431, M431, Holidays!$D$4:$D$19), NETWORKDAYS(L431, TODAY(), Holidays!$D$4:$D$19)))</f>
        <v>7</v>
      </c>
      <c r="P431" s="763">
        <f ca="1">IF(ISBLANK(H431), "", IF(ISNUMBER(M431), NETWORKDAYS(H431, M431, Holidays!$D$4:$D$19), NETWORKDAYS(H431, TODAY(), Holidays!$D$4:$D$19)))</f>
        <v>-2</v>
      </c>
      <c r="Q431" s="817" t="s">
        <v>26</v>
      </c>
      <c r="R431" s="818"/>
      <c r="S431" s="735"/>
      <c r="T431" s="735"/>
      <c r="U431" s="735"/>
      <c r="V431" s="819"/>
      <c r="W431" s="819"/>
      <c r="X431" s="118"/>
    </row>
    <row r="432" spans="2:24" ht="15" customHeight="1">
      <c r="B432" s="702" t="s">
        <v>791</v>
      </c>
      <c r="C432" s="703" t="s">
        <v>135</v>
      </c>
      <c r="D432" s="118" t="s">
        <v>792</v>
      </c>
      <c r="E432" s="735" t="s">
        <v>110</v>
      </c>
      <c r="F432" s="118" t="s">
        <v>81</v>
      </c>
      <c r="G432" s="118"/>
      <c r="H432" s="815">
        <v>46045</v>
      </c>
      <c r="I432" s="816"/>
      <c r="J432" s="735" t="s">
        <v>27</v>
      </c>
      <c r="K432" s="735" t="s">
        <v>795</v>
      </c>
      <c r="L432" s="815">
        <v>46036</v>
      </c>
      <c r="M432" s="815">
        <v>46044</v>
      </c>
      <c r="N432" s="735" t="s">
        <v>29</v>
      </c>
      <c r="O432" s="204">
        <f ca="1">IF(ISBLANK(L432), "", IF(ISNUMBER(M432), NETWORKDAYS(L432, M432, Holidays!$D$4:$D$19), NETWORKDAYS(L432, TODAY(), Holidays!$D$4:$D$19)))</f>
        <v>7</v>
      </c>
      <c r="P432" s="763">
        <f ca="1">IF(ISBLANK(H432), "", IF(ISNUMBER(M432), NETWORKDAYS(H432, M432, Holidays!$D$4:$D$19), NETWORKDAYS(H432, TODAY(), Holidays!$D$4:$D$19)))</f>
        <v>-2</v>
      </c>
      <c r="Q432" s="817" t="s">
        <v>26</v>
      </c>
      <c r="R432" s="818"/>
      <c r="S432" s="735"/>
      <c r="T432" s="735"/>
      <c r="U432" s="735"/>
      <c r="V432" s="819"/>
      <c r="W432" s="819"/>
      <c r="X432" s="118"/>
    </row>
    <row r="433" spans="2:24" ht="15" customHeight="1">
      <c r="B433" s="702" t="s">
        <v>791</v>
      </c>
      <c r="C433" s="703" t="s">
        <v>135</v>
      </c>
      <c r="D433" s="118" t="s">
        <v>792</v>
      </c>
      <c r="E433" s="735" t="s">
        <v>110</v>
      </c>
      <c r="F433" s="118" t="s">
        <v>81</v>
      </c>
      <c r="G433" s="118"/>
      <c r="H433" s="815">
        <v>46045</v>
      </c>
      <c r="I433" s="816"/>
      <c r="J433" s="735" t="s">
        <v>40</v>
      </c>
      <c r="K433" s="735" t="s">
        <v>796</v>
      </c>
      <c r="L433" s="815">
        <v>46036</v>
      </c>
      <c r="M433" s="815">
        <v>46050</v>
      </c>
      <c r="N433" s="735" t="s">
        <v>29</v>
      </c>
      <c r="O433" s="204">
        <f ca="1">IF(ISBLANK(L433), "", IF(ISNUMBER(M433), NETWORKDAYS(L433, M433, Holidays!$D$4:$D$19), NETWORKDAYS(L433, TODAY(), Holidays!$D$4:$D$19)))</f>
        <v>11</v>
      </c>
      <c r="P433" s="763">
        <f ca="1">IF(ISBLANK(H433), "", IF(ISNUMBER(M433), NETWORKDAYS(H433, M433, Holidays!$D$4:$D$19), NETWORKDAYS(H433, TODAY(), Holidays!$D$4:$D$19)))</f>
        <v>4</v>
      </c>
      <c r="Q433" s="817" t="s">
        <v>26</v>
      </c>
      <c r="R433" s="818"/>
      <c r="S433" s="735"/>
      <c r="T433" s="735"/>
      <c r="U433" s="735"/>
      <c r="V433" s="819"/>
      <c r="W433" s="819"/>
      <c r="X433" s="118"/>
    </row>
    <row r="434" spans="2:24" ht="15" customHeight="1">
      <c r="B434" s="748" t="s">
        <v>791</v>
      </c>
      <c r="C434" s="772" t="s">
        <v>135</v>
      </c>
      <c r="D434" s="127" t="s">
        <v>792</v>
      </c>
      <c r="E434" s="820" t="s">
        <v>110</v>
      </c>
      <c r="F434" s="127" t="s">
        <v>81</v>
      </c>
      <c r="G434" s="127"/>
      <c r="H434" s="821">
        <v>46045</v>
      </c>
      <c r="I434" s="822"/>
      <c r="J434" s="820" t="s">
        <v>40</v>
      </c>
      <c r="K434" s="820" t="s">
        <v>797</v>
      </c>
      <c r="L434" s="821">
        <v>46036</v>
      </c>
      <c r="M434" s="821">
        <v>46049</v>
      </c>
      <c r="N434" s="820" t="s">
        <v>29</v>
      </c>
      <c r="O434" s="362">
        <f ca="1">IF(ISBLANK(L434), "", IF(ISNUMBER(M434), NETWORKDAYS(L434, M434, Holidays!$D$4:$D$19), NETWORKDAYS(L434, TODAY(), Holidays!$D$4:$D$19)))</f>
        <v>10</v>
      </c>
      <c r="P434" s="776">
        <f ca="1">IF(ISBLANK(H434), "", IF(ISNUMBER(M434), NETWORKDAYS(H434, M434, Holidays!$D$4:$D$19), NETWORKDAYS(H434, TODAY(), Holidays!$D$4:$D$19)))</f>
        <v>3</v>
      </c>
      <c r="Q434" s="168" t="s">
        <v>26</v>
      </c>
      <c r="R434" s="818"/>
      <c r="S434" s="735"/>
      <c r="T434" s="735"/>
      <c r="U434" s="735"/>
      <c r="V434" s="819"/>
      <c r="W434" s="819"/>
      <c r="X434" s="118"/>
    </row>
    <row r="435" spans="2:24" ht="28.9">
      <c r="B435" s="760" t="s">
        <v>798</v>
      </c>
      <c r="C435" s="931" t="s">
        <v>192</v>
      </c>
      <c r="D435" s="264" t="s">
        <v>799</v>
      </c>
      <c r="E435" s="984" t="s">
        <v>113</v>
      </c>
      <c r="F435" s="264" t="s">
        <v>37</v>
      </c>
      <c r="G435" s="264"/>
      <c r="H435" s="985">
        <v>46052</v>
      </c>
      <c r="I435" s="986"/>
      <c r="J435" s="984" t="s">
        <v>27</v>
      </c>
      <c r="K435" s="984" t="s">
        <v>800</v>
      </c>
      <c r="L435" s="985">
        <v>46038</v>
      </c>
      <c r="M435" s="985">
        <v>46050</v>
      </c>
      <c r="N435" s="984" t="s">
        <v>29</v>
      </c>
      <c r="O435" s="179">
        <f ca="1">IF(ISBLANK(L435), "", IF(ISNUMBER(M435), NETWORKDAYS(L435, M435, Holidays!$D$4:$D$19), NETWORKDAYS(L435, TODAY(), Holidays!$D$4:$D$19)))</f>
        <v>9</v>
      </c>
      <c r="P435" s="188">
        <f ca="1">IF(ISBLANK(H435), "", IF(ISNUMBER(M435), NETWORKDAYS(H435, M435, Holidays!$D$4:$D$19), NETWORKDAYS(H435, TODAY(), Holidays!$D$4:$D$19)))</f>
        <v>-3</v>
      </c>
      <c r="Q435" s="987" t="s">
        <v>26</v>
      </c>
      <c r="R435" s="818"/>
      <c r="S435" s="735"/>
      <c r="T435" s="735"/>
      <c r="U435" s="735"/>
      <c r="V435" s="819"/>
      <c r="W435" s="819"/>
      <c r="X435" s="118"/>
    </row>
    <row r="436" spans="2:24" ht="28.9">
      <c r="B436" s="751" t="s">
        <v>798</v>
      </c>
      <c r="C436" s="778" t="s">
        <v>192</v>
      </c>
      <c r="D436" s="286" t="s">
        <v>799</v>
      </c>
      <c r="E436" s="843" t="s">
        <v>113</v>
      </c>
      <c r="F436" s="286" t="s">
        <v>37</v>
      </c>
      <c r="G436" s="286"/>
      <c r="H436" s="842">
        <v>46052</v>
      </c>
      <c r="I436" s="841"/>
      <c r="J436" s="843" t="s">
        <v>27</v>
      </c>
      <c r="K436" s="826" t="s">
        <v>801</v>
      </c>
      <c r="L436" s="327">
        <v>46044</v>
      </c>
      <c r="M436" s="327">
        <v>46050</v>
      </c>
      <c r="N436" s="826" t="s">
        <v>29</v>
      </c>
      <c r="O436" s="204">
        <f ca="1">IF(ISBLANK(L436), "", IF(ISNUMBER(M436), NETWORKDAYS(L436, M436, Holidays!$D$4:$D$19), NETWORKDAYS(L436, TODAY(), Holidays!$D$4:$D$19)))</f>
        <v>5</v>
      </c>
      <c r="P436" s="763">
        <f ca="1">IF(ISBLANK(H436), "", IF(ISNUMBER(M436), NETWORKDAYS(H436, M436, Holidays!$D$4:$D$19), NETWORKDAYS(H436, TODAY(), Holidays!$D$4:$D$19)))</f>
        <v>-3</v>
      </c>
      <c r="Q436" s="159" t="s">
        <v>26</v>
      </c>
      <c r="R436" s="818"/>
      <c r="S436" s="735"/>
      <c r="T436" s="735"/>
      <c r="U436" s="735"/>
      <c r="V436" s="819"/>
      <c r="W436" s="819"/>
      <c r="X436" s="118"/>
    </row>
    <row r="437" spans="2:24" ht="28.9">
      <c r="B437" s="147" t="s">
        <v>798</v>
      </c>
      <c r="C437" s="148" t="s">
        <v>192</v>
      </c>
      <c r="D437" s="149" t="s">
        <v>799</v>
      </c>
      <c r="E437" s="826" t="s">
        <v>113</v>
      </c>
      <c r="F437" s="149" t="s">
        <v>37</v>
      </c>
      <c r="G437" s="127"/>
      <c r="H437" s="821">
        <v>46052</v>
      </c>
      <c r="I437" s="822"/>
      <c r="J437" s="820" t="s">
        <v>27</v>
      </c>
      <c r="K437" s="820" t="s">
        <v>802</v>
      </c>
      <c r="L437" s="821">
        <v>46038</v>
      </c>
      <c r="M437" s="821">
        <v>46048</v>
      </c>
      <c r="N437" s="820" t="s">
        <v>29</v>
      </c>
      <c r="O437" s="362">
        <f ca="1">IF(ISBLANK(L437), "", IF(ISNUMBER(M437), NETWORKDAYS(L437, M437, Holidays!$D$4:$D$19), NETWORKDAYS(L437, TODAY(), Holidays!$D$4:$D$19)))</f>
        <v>7</v>
      </c>
      <c r="P437" s="776">
        <f ca="1">IF(ISBLANK(H437), "", IF(ISNUMBER(M437), NETWORKDAYS(H437, M437, Holidays!$D$4:$D$19), NETWORKDAYS(H437, TODAY(), Holidays!$D$4:$D$19)))</f>
        <v>-5</v>
      </c>
      <c r="Q437" s="168" t="s">
        <v>26</v>
      </c>
      <c r="R437" s="818"/>
      <c r="S437" s="735"/>
      <c r="T437" s="735"/>
      <c r="U437" s="735"/>
      <c r="V437" s="819"/>
      <c r="W437" s="819"/>
      <c r="X437" s="118"/>
    </row>
    <row r="438" spans="2:24" ht="28.9">
      <c r="B438" s="694" t="s">
        <v>803</v>
      </c>
      <c r="C438" s="695" t="s">
        <v>804</v>
      </c>
      <c r="D438" s="125" t="s">
        <v>805</v>
      </c>
      <c r="E438" s="431" t="s">
        <v>806</v>
      </c>
      <c r="F438" s="125" t="s">
        <v>807</v>
      </c>
      <c r="G438" s="125"/>
      <c r="H438" s="823">
        <v>46062</v>
      </c>
      <c r="I438" s="824"/>
      <c r="J438" s="431" t="s">
        <v>40</v>
      </c>
      <c r="K438" s="431" t="s">
        <v>808</v>
      </c>
      <c r="L438" s="823">
        <v>46042</v>
      </c>
      <c r="M438" s="823">
        <v>46049</v>
      </c>
      <c r="N438" s="431" t="s">
        <v>29</v>
      </c>
      <c r="O438" s="433">
        <f ca="1">IF(ISBLANK(L438), "", IF(ISNUMBER(M438), NETWORKDAYS(L438, M438, Holidays!$D$4:$D$19), NETWORKDAYS(L438, TODAY(), Holidays!$D$4:$D$19)))</f>
        <v>6</v>
      </c>
      <c r="P438" s="264">
        <f ca="1">IF(ISBLANK(H438), "", IF(ISNUMBER(M438), NETWORKDAYS(H438, M438, Holidays!$D$4:$D$19), NETWORKDAYS(H438, TODAY(), Holidays!$D$4:$D$19)))</f>
        <v>-10</v>
      </c>
      <c r="Q438" s="825" t="s">
        <v>26</v>
      </c>
      <c r="R438" s="818"/>
      <c r="S438" s="735"/>
      <c r="T438" s="735"/>
      <c r="U438" s="735"/>
      <c r="V438" s="819"/>
      <c r="W438" s="819"/>
      <c r="X438" s="118"/>
    </row>
    <row r="439" spans="2:24" ht="28.9">
      <c r="B439" s="748" t="s">
        <v>803</v>
      </c>
      <c r="C439" s="772" t="s">
        <v>135</v>
      </c>
      <c r="D439" s="127" t="s">
        <v>805</v>
      </c>
      <c r="E439" s="820" t="s">
        <v>806</v>
      </c>
      <c r="F439" s="127" t="s">
        <v>264</v>
      </c>
      <c r="G439" s="127"/>
      <c r="H439" s="821">
        <v>46069</v>
      </c>
      <c r="I439" s="822"/>
      <c r="J439" s="820" t="s">
        <v>27</v>
      </c>
      <c r="K439" s="820" t="s">
        <v>809</v>
      </c>
      <c r="L439" s="821">
        <v>46041</v>
      </c>
      <c r="M439" s="821">
        <v>46048</v>
      </c>
      <c r="N439" s="820" t="s">
        <v>29</v>
      </c>
      <c r="O439" s="362">
        <f ca="1">IF(ISBLANK(L439), "", IF(ISNUMBER(M439), NETWORKDAYS(L439, M439, Holidays!$D$4:$D$19), NETWORKDAYS(L439, TODAY(), Holidays!$D$4:$D$19)))</f>
        <v>6</v>
      </c>
      <c r="P439" s="776">
        <f ca="1">IF(ISBLANK(H439), "", IF(ISNUMBER(M439), NETWORKDAYS(H439, M439, Holidays!$D$4:$D$19), NETWORKDAYS(H439, TODAY(), Holidays!$D$4:$D$19)))</f>
        <v>-16</v>
      </c>
      <c r="Q439" s="168" t="s">
        <v>26</v>
      </c>
      <c r="R439" s="818"/>
      <c r="S439" s="735"/>
      <c r="T439" s="735"/>
      <c r="U439" s="735"/>
      <c r="V439" s="819"/>
      <c r="W439" s="819"/>
      <c r="X439" s="118"/>
    </row>
    <row r="440" spans="2:24" ht="29.45" thickBot="1">
      <c r="B440" s="406" t="s">
        <v>810</v>
      </c>
      <c r="C440" s="257" t="s">
        <v>135</v>
      </c>
      <c r="D440" s="188" t="s">
        <v>811</v>
      </c>
      <c r="E440" s="690" t="s">
        <v>812</v>
      </c>
      <c r="F440" s="188" t="s">
        <v>732</v>
      </c>
      <c r="G440" s="188"/>
      <c r="H440" s="315">
        <v>46059</v>
      </c>
      <c r="I440" s="316"/>
      <c r="J440" s="690" t="s">
        <v>27</v>
      </c>
      <c r="K440" s="690" t="s">
        <v>813</v>
      </c>
      <c r="L440" s="315">
        <v>46043</v>
      </c>
      <c r="M440" s="315">
        <v>46051</v>
      </c>
      <c r="N440" s="690" t="s">
        <v>814</v>
      </c>
      <c r="O440" s="179">
        <f ca="1">IF(ISBLANK(L440), "", IF(ISNUMBER(M440), NETWORKDAYS(L440, M440, Holidays!$D$4:$D$19), NETWORKDAYS(L440, TODAY(), Holidays!$D$4:$D$19)))</f>
        <v>7</v>
      </c>
      <c r="P440" s="188">
        <f ca="1">IF(ISBLANK(H440), "", IF(ISNUMBER(M440), NETWORKDAYS(H440, M440, Holidays!$D$4:$D$19), NETWORKDAYS(H440, TODAY(), Holidays!$D$4:$D$19)))</f>
        <v>-7</v>
      </c>
      <c r="Q440" s="692" t="s">
        <v>26</v>
      </c>
      <c r="R440" s="818"/>
      <c r="S440" s="735"/>
      <c r="T440" s="735"/>
      <c r="U440" s="735"/>
      <c r="V440" s="819"/>
      <c r="W440" s="819"/>
      <c r="X440" s="118"/>
    </row>
    <row r="441" spans="2:24" ht="29.45" thickBot="1">
      <c r="B441" s="406" t="s">
        <v>667</v>
      </c>
      <c r="C441" s="257" t="s">
        <v>385</v>
      </c>
      <c r="D441" s="759" t="s">
        <v>668</v>
      </c>
      <c r="E441" s="690" t="s">
        <v>259</v>
      </c>
      <c r="F441" s="188" t="s">
        <v>216</v>
      </c>
      <c r="G441" s="188" t="s">
        <v>25</v>
      </c>
      <c r="H441" s="315">
        <v>46001</v>
      </c>
      <c r="I441" s="316"/>
      <c r="J441" s="690" t="s">
        <v>27</v>
      </c>
      <c r="K441" s="690" t="s">
        <v>815</v>
      </c>
      <c r="L441" s="315">
        <v>46049</v>
      </c>
      <c r="M441" s="315">
        <v>46058</v>
      </c>
      <c r="N441" s="690" t="s">
        <v>29</v>
      </c>
      <c r="O441" s="179">
        <f ca="1">IF(ISBLANK(L441), "", IF(ISNUMBER(M441), NETWORKDAYS(L441, M441, Holidays!$D$4:$D$19), NETWORKDAYS(L441, TODAY(), Holidays!$D$4:$D$19)))</f>
        <v>8</v>
      </c>
      <c r="P441" s="188">
        <f ca="1">IF(ISBLANK(H441), "", IF(ISNUMBER(M441), NETWORKDAYS(H441, M441, Holidays!$D$4:$D$19), NETWORKDAYS(H441, TODAY(), Holidays!$D$4:$D$19)))</f>
        <v>38</v>
      </c>
      <c r="Q441" s="692" t="s">
        <v>26</v>
      </c>
      <c r="R441" s="818"/>
      <c r="S441" s="735"/>
      <c r="T441" s="735"/>
      <c r="U441" s="735"/>
      <c r="V441" s="819"/>
      <c r="W441" s="819"/>
      <c r="X441" s="118"/>
    </row>
    <row r="442" spans="2:24" ht="15" customHeight="1">
      <c r="B442" s="1003" t="s">
        <v>706</v>
      </c>
      <c r="C442" s="1004" t="s">
        <v>816</v>
      </c>
      <c r="D442" s="1005" t="s">
        <v>708</v>
      </c>
      <c r="E442" s="1006" t="s">
        <v>709</v>
      </c>
      <c r="F442" s="1005" t="s">
        <v>81</v>
      </c>
      <c r="G442" s="1005"/>
      <c r="H442" s="1007">
        <v>46032</v>
      </c>
      <c r="I442" s="1008"/>
      <c r="J442" s="1006" t="s">
        <v>40</v>
      </c>
      <c r="K442" s="1006" t="s">
        <v>817</v>
      </c>
      <c r="L442" s="1007">
        <v>46050</v>
      </c>
      <c r="M442" s="1007">
        <v>46063</v>
      </c>
      <c r="N442" s="1006" t="s">
        <v>29</v>
      </c>
      <c r="O442" s="1009">
        <f ca="1">IF(ISBLANK(L442), "", IF(ISNUMBER(M442), NETWORKDAYS(L442, M442, Holidays!$D$4:$D$19), NETWORKDAYS(L442, TODAY(), Holidays!$D$4:$D$19)))</f>
        <v>10</v>
      </c>
      <c r="P442" s="1010">
        <f ca="1">IF(ISBLANK(H442), "", IF(ISNUMBER(M442), NETWORKDAYS(H442, M442, Holidays!$D$4:$D$19), NETWORKDAYS(H442, TODAY(), Holidays!$D$4:$D$19)))</f>
        <v>22</v>
      </c>
      <c r="Q442" s="1011" t="s">
        <v>26</v>
      </c>
      <c r="R442" s="818"/>
      <c r="S442" s="735"/>
      <c r="T442" s="735"/>
      <c r="U442" s="735"/>
      <c r="V442" s="819"/>
      <c r="W442" s="819"/>
      <c r="X442" s="118"/>
    </row>
    <row r="443" spans="2:24" ht="15" customHeight="1">
      <c r="B443" s="1020" t="s">
        <v>706</v>
      </c>
      <c r="C443" s="772" t="s">
        <v>816</v>
      </c>
      <c r="D443" s="127" t="s">
        <v>708</v>
      </c>
      <c r="E443" s="820" t="s">
        <v>709</v>
      </c>
      <c r="F443" s="127" t="s">
        <v>81</v>
      </c>
      <c r="G443" s="127"/>
      <c r="H443" s="821">
        <v>46032</v>
      </c>
      <c r="I443" s="822"/>
      <c r="J443" s="820" t="s">
        <v>27</v>
      </c>
      <c r="K443" s="820" t="s">
        <v>818</v>
      </c>
      <c r="L443" s="821">
        <v>46050</v>
      </c>
      <c r="M443" s="821">
        <v>46057</v>
      </c>
      <c r="N443" s="820" t="s">
        <v>29</v>
      </c>
      <c r="O443" s="362">
        <f ca="1">IF(ISBLANK(L443), "", IF(ISNUMBER(M443), NETWORKDAYS(L443, M443, Holidays!$D$4:$D$19), NETWORKDAYS(L443, TODAY(), Holidays!$D$4:$D$19)))</f>
        <v>6</v>
      </c>
      <c r="P443" s="776">
        <f ca="1">IF(ISBLANK(H443), "", IF(ISNUMBER(M443), NETWORKDAYS(H443, M443, Holidays!$D$4:$D$19), NETWORKDAYS(H443, TODAY(), Holidays!$D$4:$D$19)))</f>
        <v>18</v>
      </c>
      <c r="Q443" s="1021" t="s">
        <v>26</v>
      </c>
      <c r="R443" s="818"/>
      <c r="S443" s="735"/>
      <c r="T443" s="735"/>
      <c r="U443" s="735"/>
      <c r="V443" s="819"/>
      <c r="W443" s="819"/>
      <c r="X443" s="118"/>
    </row>
    <row r="444" spans="2:24" ht="15" customHeight="1">
      <c r="B444" s="1038" t="s">
        <v>819</v>
      </c>
      <c r="C444" s="313" t="s">
        <v>135</v>
      </c>
      <c r="D444" s="809" t="s">
        <v>820</v>
      </c>
      <c r="E444" s="1039" t="s">
        <v>305</v>
      </c>
      <c r="F444" s="809" t="s">
        <v>429</v>
      </c>
      <c r="G444" s="809"/>
      <c r="H444" s="1040">
        <v>46125</v>
      </c>
      <c r="I444" s="1041"/>
      <c r="J444" s="1039" t="s">
        <v>27</v>
      </c>
      <c r="K444" s="1039" t="s">
        <v>821</v>
      </c>
      <c r="L444" s="1040">
        <v>46051</v>
      </c>
      <c r="M444" s="1040">
        <v>46063</v>
      </c>
      <c r="N444" s="1039" t="s">
        <v>29</v>
      </c>
      <c r="O444" s="650">
        <f ca="1">IF(ISBLANK(L444), "", IF(ISNUMBER(M444), NETWORKDAYS(L444, M444, Holidays!$D$4:$D$19), NETWORKDAYS(L444, TODAY(), Holidays!$D$4:$D$19)))</f>
        <v>9</v>
      </c>
      <c r="P444" s="809">
        <f ca="1">IF(ISBLANK(H444), "", IF(ISNUMBER(M444), NETWORKDAYS(H444, M444, Holidays!$D$4:$D$19), NETWORKDAYS(H444, TODAY(), Holidays!$D$4:$D$19)))</f>
        <v>-45</v>
      </c>
      <c r="Q444" s="1042" t="s">
        <v>26</v>
      </c>
      <c r="R444" s="818"/>
      <c r="S444" s="735"/>
      <c r="T444" s="735"/>
      <c r="U444" s="735"/>
      <c r="V444" s="819"/>
      <c r="W444" s="819"/>
      <c r="X444" s="118"/>
    </row>
    <row r="445" spans="2:24" ht="15" customHeight="1">
      <c r="B445" s="1022" t="s">
        <v>822</v>
      </c>
      <c r="C445" s="778" t="s">
        <v>448</v>
      </c>
      <c r="D445" s="286" t="s">
        <v>823</v>
      </c>
      <c r="E445" s="843" t="s">
        <v>80</v>
      </c>
      <c r="F445" s="286" t="s">
        <v>24</v>
      </c>
      <c r="G445" s="286"/>
      <c r="H445" s="842">
        <v>46052</v>
      </c>
      <c r="I445" s="841"/>
      <c r="J445" s="843" t="s">
        <v>40</v>
      </c>
      <c r="K445" s="843" t="s">
        <v>824</v>
      </c>
      <c r="L445" s="842">
        <v>46056</v>
      </c>
      <c r="M445" s="842">
        <v>46070</v>
      </c>
      <c r="N445" s="843" t="s">
        <v>29</v>
      </c>
      <c r="O445" s="157">
        <f ca="1">IF(ISBLANK(L445), "", IF(ISNUMBER(M445), NETWORKDAYS(L445, M445, Holidays!$D$4:$D$19), NETWORKDAYS(L445, TODAY(), Holidays!$D$4:$D$19)))</f>
        <v>11</v>
      </c>
      <c r="P445" s="726">
        <f ca="1">IF(ISBLANK(H445), "", IF(ISNUMBER(M445), NETWORKDAYS(H445, M445, Holidays!$D$4:$D$19), NETWORKDAYS(H445, TODAY(), Holidays!$D$4:$D$19)))</f>
        <v>13</v>
      </c>
      <c r="Q445" s="1023" t="s">
        <v>26</v>
      </c>
      <c r="R445" s="818"/>
      <c r="S445" s="735"/>
      <c r="T445" s="735"/>
      <c r="U445" s="735"/>
      <c r="V445" s="819"/>
      <c r="W445" s="819"/>
      <c r="X445" s="118"/>
    </row>
    <row r="446" spans="2:24" ht="15" customHeight="1">
      <c r="B446" s="1020" t="s">
        <v>822</v>
      </c>
      <c r="C446" s="772" t="s">
        <v>448</v>
      </c>
      <c r="D446" s="127" t="s">
        <v>823</v>
      </c>
      <c r="E446" s="820" t="s">
        <v>80</v>
      </c>
      <c r="F446" s="127" t="s">
        <v>24</v>
      </c>
      <c r="G446" s="127"/>
      <c r="H446" s="1019">
        <v>46052</v>
      </c>
      <c r="I446" s="822"/>
      <c r="J446" s="820" t="s">
        <v>27</v>
      </c>
      <c r="K446" s="820" t="s">
        <v>825</v>
      </c>
      <c r="L446" s="821">
        <v>46056</v>
      </c>
      <c r="M446" s="821">
        <v>46066</v>
      </c>
      <c r="N446" s="820" t="s">
        <v>29</v>
      </c>
      <c r="O446" s="362">
        <f ca="1">IF(ISBLANK(L446), "", IF(ISNUMBER(M446), NETWORKDAYS(L446, M446, Holidays!$D$4:$D$19), NETWORKDAYS(L446, TODAY(), Holidays!$D$4:$D$19)))</f>
        <v>9</v>
      </c>
      <c r="P446" s="776">
        <f ca="1">IF(ISBLANK(H446), "", IF(ISNUMBER(M446), NETWORKDAYS(H446, M446, Holidays!$D$4:$D$19), NETWORKDAYS(H446, TODAY(), Holidays!$D$4:$D$19)))</f>
        <v>11</v>
      </c>
      <c r="Q446" s="1021" t="s">
        <v>26</v>
      </c>
      <c r="R446" s="818"/>
      <c r="S446" s="735"/>
      <c r="T446" s="735"/>
      <c r="U446" s="735"/>
      <c r="V446" s="819"/>
      <c r="W446" s="819"/>
      <c r="X446" s="118"/>
    </row>
    <row r="447" spans="2:24" ht="15" customHeight="1" thickBot="1">
      <c r="B447" s="1024" t="s">
        <v>826</v>
      </c>
      <c r="C447" s="1025" t="s">
        <v>827</v>
      </c>
      <c r="D447" s="1026" t="s">
        <v>828</v>
      </c>
      <c r="E447" s="1027" t="s">
        <v>259</v>
      </c>
      <c r="F447" s="1026" t="s">
        <v>241</v>
      </c>
      <c r="G447" s="1028"/>
      <c r="H447" s="1029">
        <v>46080</v>
      </c>
      <c r="I447" s="1030"/>
      <c r="J447" s="1027" t="s">
        <v>27</v>
      </c>
      <c r="K447" s="1027" t="s">
        <v>829</v>
      </c>
      <c r="L447" s="1029">
        <v>46058</v>
      </c>
      <c r="M447" s="1029">
        <v>46071</v>
      </c>
      <c r="N447" s="1027" t="s">
        <v>29</v>
      </c>
      <c r="O447" s="1031">
        <f ca="1">IF(ISBLANK(L447), "", IF(ISNUMBER(M447), NETWORKDAYS(L447, M447, Holidays!$D$4:$D$19), NETWORKDAYS(L447, TODAY(), Holidays!$D$4:$D$19)))</f>
        <v>10</v>
      </c>
      <c r="P447" s="1026">
        <f ca="1">IF(ISBLANK(H447), "", IF(ISNUMBER(M447), NETWORKDAYS(H447, M447, Holidays!$D$4:$D$19), NETWORKDAYS(H447, TODAY(), Holidays!$D$4:$D$19)))</f>
        <v>-8</v>
      </c>
      <c r="Q447" s="1032" t="s">
        <v>26</v>
      </c>
      <c r="R447" s="818"/>
      <c r="S447" s="735"/>
      <c r="T447" s="735"/>
      <c r="U447" s="735"/>
      <c r="V447" s="819"/>
      <c r="W447" s="819"/>
      <c r="X447" s="118"/>
    </row>
    <row r="448" spans="2:24" ht="15" customHeight="1">
      <c r="B448" s="1022" t="s">
        <v>830</v>
      </c>
      <c r="C448" s="778" t="s">
        <v>135</v>
      </c>
      <c r="D448" s="286" t="s">
        <v>831</v>
      </c>
      <c r="E448" s="843" t="s">
        <v>305</v>
      </c>
      <c r="F448" s="286" t="s">
        <v>260</v>
      </c>
      <c r="G448" s="286"/>
      <c r="H448" s="842">
        <v>46080</v>
      </c>
      <c r="I448" s="841"/>
      <c r="J448" s="843" t="s">
        <v>27</v>
      </c>
      <c r="K448" s="843" t="s">
        <v>832</v>
      </c>
      <c r="L448" s="842">
        <v>46058</v>
      </c>
      <c r="M448" s="842">
        <v>46065</v>
      </c>
      <c r="N448" s="843" t="s">
        <v>29</v>
      </c>
      <c r="O448" s="157">
        <f ca="1">IF(ISBLANK(L448), "", IF(ISNUMBER(M448), NETWORKDAYS(L448, M448, Holidays!$D$4:$D$19), NETWORKDAYS(L448, TODAY(), Holidays!$D$4:$D$19)))</f>
        <v>6</v>
      </c>
      <c r="P448" s="726">
        <f ca="1">IF(ISBLANK(H448), "", IF(ISNUMBER(M448), NETWORKDAYS(H448, M448, Holidays!$D$4:$D$19), NETWORKDAYS(H448, TODAY(), Holidays!$D$4:$D$19)))</f>
        <v>-12</v>
      </c>
      <c r="Q448" s="1023" t="s">
        <v>26</v>
      </c>
      <c r="R448" s="818"/>
      <c r="S448" s="735"/>
      <c r="T448" s="735"/>
      <c r="U448" s="735"/>
      <c r="V448" s="819"/>
      <c r="W448" s="819"/>
      <c r="X448" s="118"/>
    </row>
    <row r="449" spans="2:24" ht="15" customHeight="1" thickBot="1">
      <c r="B449" s="1012" t="s">
        <v>830</v>
      </c>
      <c r="C449" s="1013" t="s">
        <v>135</v>
      </c>
      <c r="D449" s="300" t="s">
        <v>831</v>
      </c>
      <c r="E449" s="1014" t="s">
        <v>305</v>
      </c>
      <c r="F449" s="300" t="s">
        <v>260</v>
      </c>
      <c r="G449" s="300"/>
      <c r="H449" s="1015">
        <v>46080</v>
      </c>
      <c r="I449" s="1016"/>
      <c r="J449" s="1014" t="s">
        <v>27</v>
      </c>
      <c r="K449" s="1014" t="s">
        <v>833</v>
      </c>
      <c r="L449" s="1015">
        <v>46058</v>
      </c>
      <c r="M449" s="1015">
        <v>46066</v>
      </c>
      <c r="N449" s="1014" t="s">
        <v>29</v>
      </c>
      <c r="O449" s="472">
        <f ca="1">IF(ISBLANK(L449), "", IF(ISNUMBER(M449), NETWORKDAYS(L449, M449, Holidays!$D$4:$D$19), NETWORKDAYS(L449, TODAY(), Holidays!$D$4:$D$19)))</f>
        <v>7</v>
      </c>
      <c r="P449" s="1017">
        <f ca="1">IF(ISBLANK(H449), "", IF(ISNUMBER(M449), NETWORKDAYS(H449, M449, Holidays!$D$4:$D$19), NETWORKDAYS(H449, TODAY(), Holidays!$D$4:$D$19)))</f>
        <v>-11</v>
      </c>
      <c r="Q449" s="1018" t="s">
        <v>26</v>
      </c>
      <c r="R449" s="818"/>
      <c r="S449" s="735"/>
      <c r="T449" s="735"/>
      <c r="U449" s="735"/>
      <c r="V449" s="819"/>
      <c r="W449" s="819"/>
      <c r="X449" s="118"/>
    </row>
    <row r="450" spans="2:24" ht="15" customHeight="1">
      <c r="B450" s="1003" t="s">
        <v>826</v>
      </c>
      <c r="C450" s="1004" t="s">
        <v>834</v>
      </c>
      <c r="D450" s="1005" t="s">
        <v>828</v>
      </c>
      <c r="E450" s="1006" t="s">
        <v>259</v>
      </c>
      <c r="F450" s="1005" t="s">
        <v>264</v>
      </c>
      <c r="G450" s="1005"/>
      <c r="H450" s="1007">
        <v>46080</v>
      </c>
      <c r="I450" s="1008"/>
      <c r="J450" s="1006" t="s">
        <v>40</v>
      </c>
      <c r="K450" s="1006" t="s">
        <v>835</v>
      </c>
      <c r="L450" s="1007">
        <v>46060</v>
      </c>
      <c r="M450" s="1007">
        <v>46073</v>
      </c>
      <c r="N450" s="1006" t="s">
        <v>29</v>
      </c>
      <c r="O450" s="1009">
        <f ca="1">IF(ISBLANK(L450), "", IF(ISNUMBER(M450), NETWORKDAYS(L450, M450, Holidays!$D$4:$D$19), NETWORKDAYS(L450, TODAY(), Holidays!$D$4:$D$19)))</f>
        <v>10</v>
      </c>
      <c r="P450" s="1010">
        <f ca="1">IF(ISBLANK(H450), "", IF(ISNUMBER(M450), NETWORKDAYS(H450, M450, Holidays!$D$4:$D$19), NETWORKDAYS(H450, TODAY(), Holidays!$D$4:$D$19)))</f>
        <v>-6</v>
      </c>
      <c r="Q450" s="1011" t="s">
        <v>26</v>
      </c>
      <c r="R450" s="818"/>
      <c r="S450" s="735"/>
      <c r="T450" s="735"/>
      <c r="U450" s="735"/>
      <c r="V450" s="819"/>
      <c r="W450" s="819"/>
      <c r="X450" s="118"/>
    </row>
    <row r="451" spans="2:24" ht="15" customHeight="1">
      <c r="B451" s="1022" t="s">
        <v>826</v>
      </c>
      <c r="C451" s="778" t="s">
        <v>834</v>
      </c>
      <c r="D451" s="286" t="s">
        <v>828</v>
      </c>
      <c r="E451" s="843" t="s">
        <v>259</v>
      </c>
      <c r="F451" s="286" t="s">
        <v>264</v>
      </c>
      <c r="G451" s="286"/>
      <c r="H451" s="842">
        <v>46080</v>
      </c>
      <c r="I451" s="816"/>
      <c r="J451" s="735" t="s">
        <v>27</v>
      </c>
      <c r="K451" s="735" t="s">
        <v>836</v>
      </c>
      <c r="L451" s="815">
        <v>46060</v>
      </c>
      <c r="M451" s="815">
        <v>46070</v>
      </c>
      <c r="N451" s="735" t="s">
        <v>29</v>
      </c>
      <c r="O451" s="204">
        <f ca="1">IF(ISBLANK(L451), "", IF(ISNUMBER(M451), NETWORKDAYS(L451, M451, Holidays!$D$4:$D$19), NETWORKDAYS(L451, TODAY(), Holidays!$D$4:$D$19)))</f>
        <v>7</v>
      </c>
      <c r="P451" s="763">
        <f ca="1">IF(ISBLANK(H451), "", IF(ISNUMBER(M451), NETWORKDAYS(H451, M451, Holidays!$D$4:$D$19), NETWORKDAYS(H451, TODAY(), Holidays!$D$4:$D$19)))</f>
        <v>-9</v>
      </c>
      <c r="Q451" s="1034" t="s">
        <v>26</v>
      </c>
      <c r="R451" s="818"/>
      <c r="S451" s="735"/>
      <c r="T451" s="735"/>
      <c r="U451" s="735"/>
      <c r="V451" s="819"/>
      <c r="W451" s="819"/>
      <c r="X451" s="118"/>
    </row>
    <row r="452" spans="2:24" ht="15" customHeight="1" thickBot="1">
      <c r="B452" s="1035" t="s">
        <v>826</v>
      </c>
      <c r="C452" s="1033" t="s">
        <v>834</v>
      </c>
      <c r="D452" s="171" t="s">
        <v>828</v>
      </c>
      <c r="E452" s="1036" t="s">
        <v>259</v>
      </c>
      <c r="F452" s="171" t="s">
        <v>264</v>
      </c>
      <c r="G452" s="171"/>
      <c r="H452" s="1037">
        <v>46080</v>
      </c>
      <c r="I452" s="1016"/>
      <c r="J452" s="1014" t="s">
        <v>27</v>
      </c>
      <c r="K452" s="1014" t="s">
        <v>829</v>
      </c>
      <c r="L452" s="1015">
        <v>46058</v>
      </c>
      <c r="M452" s="1015">
        <v>46071</v>
      </c>
      <c r="N452" s="1014" t="s">
        <v>29</v>
      </c>
      <c r="O452" s="472">
        <f ca="1">IF(ISBLANK(L452), "", IF(ISNUMBER(M452), NETWORKDAYS(L452, M452, Holidays!$D$4:$D$19), NETWORKDAYS(L452, TODAY(), Holidays!$D$4:$D$19)))</f>
        <v>10</v>
      </c>
      <c r="P452" s="1017">
        <f ca="1">IF(ISBLANK(H452), "", IF(ISNUMBER(M452), NETWORKDAYS(H452, M452, Holidays!$D$4:$D$19), NETWORKDAYS(H452, TODAY(), Holidays!$D$4:$D$19)))</f>
        <v>-8</v>
      </c>
      <c r="Q452" s="1018" t="s">
        <v>26</v>
      </c>
      <c r="R452" s="818"/>
      <c r="S452" s="735"/>
      <c r="T452" s="735"/>
      <c r="U452" s="735"/>
      <c r="V452" s="819"/>
      <c r="W452" s="819"/>
      <c r="X452" s="118"/>
    </row>
    <row r="453" spans="2:24" ht="29.45" thickBot="1">
      <c r="B453" s="778" t="s">
        <v>837</v>
      </c>
      <c r="C453" s="778" t="s">
        <v>135</v>
      </c>
      <c r="D453" s="286" t="s">
        <v>838</v>
      </c>
      <c r="E453" s="843" t="s">
        <v>676</v>
      </c>
      <c r="F453" s="286" t="s">
        <v>216</v>
      </c>
      <c r="G453" s="286"/>
      <c r="H453" s="842">
        <v>46071</v>
      </c>
      <c r="I453" s="841"/>
      <c r="J453" s="843" t="s">
        <v>27</v>
      </c>
      <c r="K453" s="843" t="s">
        <v>839</v>
      </c>
      <c r="L453" s="842">
        <v>46060</v>
      </c>
      <c r="M453" s="842">
        <v>46071</v>
      </c>
      <c r="N453" s="843" t="s">
        <v>29</v>
      </c>
      <c r="O453" s="157">
        <f ca="1">IF(ISBLANK(L453), "", IF(ISNUMBER(M453), NETWORKDAYS(L453, M453, Holidays!$D$4:$D$19), NETWORKDAYS(L453, TODAY(), Holidays!$D$4:$D$19)))</f>
        <v>8</v>
      </c>
      <c r="P453" s="726">
        <f ca="1">IF(ISBLANK(H453), "", IF(ISNUMBER(M453), NETWORKDAYS(H453, M453, Holidays!$D$4:$D$19), NETWORKDAYS(H453, TODAY(), Holidays!$D$4:$D$19)))</f>
        <v>1</v>
      </c>
      <c r="Q453" s="286" t="s">
        <v>26</v>
      </c>
      <c r="R453" s="818"/>
      <c r="S453" s="735"/>
      <c r="T453" s="735"/>
      <c r="U453" s="735"/>
      <c r="V453" s="819"/>
      <c r="W453" s="819"/>
      <c r="X453" s="118"/>
    </row>
    <row r="454" spans="2:24" ht="28.9">
      <c r="B454" s="694" t="s">
        <v>782</v>
      </c>
      <c r="C454" s="695" t="s">
        <v>783</v>
      </c>
      <c r="D454" s="125" t="s">
        <v>784</v>
      </c>
      <c r="E454" s="431" t="s">
        <v>113</v>
      </c>
      <c r="F454" s="125" t="s">
        <v>429</v>
      </c>
      <c r="G454" s="125"/>
      <c r="H454" s="823">
        <v>46059</v>
      </c>
      <c r="I454" s="824"/>
      <c r="J454" s="431" t="s">
        <v>27</v>
      </c>
      <c r="K454" s="735" t="s">
        <v>840</v>
      </c>
      <c r="L454" s="815">
        <v>46062</v>
      </c>
      <c r="M454" s="815">
        <v>46069</v>
      </c>
      <c r="N454" s="735" t="s">
        <v>29</v>
      </c>
      <c r="O454" s="204">
        <f ca="1">IF(ISBLANK(L454), "", IF(ISNUMBER(M454), NETWORKDAYS(L454, M454, Holidays!$D$4:$D$19), NETWORKDAYS(L454, TODAY(), Holidays!$D$4:$D$19)))</f>
        <v>6</v>
      </c>
      <c r="P454" s="763">
        <f ca="1">IF(ISBLANK(H454), "", IF(ISNUMBER(M454), NETWORKDAYS(H454, M454, Holidays!$D$4:$D$19), NETWORKDAYS(H454, TODAY(), Holidays!$D$4:$D$19)))</f>
        <v>7</v>
      </c>
      <c r="Q454" s="118" t="s">
        <v>26</v>
      </c>
      <c r="R454" s="818"/>
      <c r="S454" s="735"/>
      <c r="T454" s="735"/>
      <c r="U454" s="735"/>
      <c r="V454" s="819"/>
      <c r="W454" s="819"/>
      <c r="X454" s="118"/>
    </row>
    <row r="455" spans="2:24" ht="15" customHeight="1" thickBot="1">
      <c r="B455" s="772" t="s">
        <v>826</v>
      </c>
      <c r="C455" s="772" t="s">
        <v>841</v>
      </c>
      <c r="D455" s="127" t="s">
        <v>828</v>
      </c>
      <c r="E455" s="820" t="s">
        <v>237</v>
      </c>
      <c r="F455" s="127" t="s">
        <v>37</v>
      </c>
      <c r="G455" s="127"/>
      <c r="H455" s="821">
        <v>46080</v>
      </c>
      <c r="I455" s="822"/>
      <c r="J455" s="820" t="s">
        <v>27</v>
      </c>
      <c r="K455" s="820" t="s">
        <v>842</v>
      </c>
      <c r="L455" s="821">
        <v>46062</v>
      </c>
      <c r="M455" s="821">
        <v>46069</v>
      </c>
      <c r="N455" s="820" t="s">
        <v>29</v>
      </c>
      <c r="O455" s="362">
        <f ca="1">IF(ISBLANK(L455), "", IF(ISNUMBER(M455), NETWORKDAYS(L455, M455, Holidays!$D$4:$D$19), NETWORKDAYS(L455, TODAY(), Holidays!$D$4:$D$19)))</f>
        <v>6</v>
      </c>
      <c r="P455" s="776">
        <f ca="1">IF(ISBLANK(H455), "", IF(ISNUMBER(M455), NETWORKDAYS(H455, M455, Holidays!$D$4:$D$19), NETWORKDAYS(H455, TODAY(), Holidays!$D$4:$D$19)))</f>
        <v>-10</v>
      </c>
      <c r="Q455" s="127" t="s">
        <v>26</v>
      </c>
      <c r="R455" s="818"/>
      <c r="S455" s="735"/>
      <c r="T455" s="735"/>
      <c r="U455" s="735"/>
      <c r="V455" s="819"/>
      <c r="W455" s="819"/>
      <c r="X455" s="118"/>
    </row>
    <row r="456" spans="2:24" ht="15" customHeight="1">
      <c r="B456" s="1003" t="s">
        <v>843</v>
      </c>
      <c r="C456" s="1004" t="s">
        <v>844</v>
      </c>
      <c r="D456" s="1005" t="s">
        <v>845</v>
      </c>
      <c r="E456" s="1006" t="s">
        <v>846</v>
      </c>
      <c r="F456" s="1005" t="s">
        <v>24</v>
      </c>
      <c r="G456" s="1005"/>
      <c r="H456" s="1007">
        <v>46076</v>
      </c>
      <c r="I456" s="1008"/>
      <c r="J456" s="1006" t="s">
        <v>27</v>
      </c>
      <c r="K456" s="1006" t="s">
        <v>847</v>
      </c>
      <c r="L456" s="1007">
        <v>46062</v>
      </c>
      <c r="M456" s="1007">
        <v>46069</v>
      </c>
      <c r="N456" s="1006" t="s">
        <v>29</v>
      </c>
      <c r="O456" s="1009">
        <f ca="1">IF(ISBLANK(L456), "", IF(ISNUMBER(M456), NETWORKDAYS(L456, M456, Holidays!$D$4:$D$19), NETWORKDAYS(L456, TODAY(), Holidays!$D$4:$D$19)))</f>
        <v>6</v>
      </c>
      <c r="P456" s="1010">
        <f ca="1">IF(ISBLANK(H456), "", IF(ISNUMBER(M456), NETWORKDAYS(H456, M456, Holidays!$D$4:$D$19), NETWORKDAYS(H456, TODAY(), Holidays!$D$4:$D$19)))</f>
        <v>-6</v>
      </c>
      <c r="Q456" s="1011" t="s">
        <v>26</v>
      </c>
      <c r="R456" s="818"/>
      <c r="S456" s="735"/>
      <c r="T456" s="735"/>
      <c r="U456" s="735"/>
      <c r="V456" s="819"/>
      <c r="W456" s="819"/>
      <c r="X456" s="118"/>
    </row>
    <row r="457" spans="2:24" ht="15" customHeight="1" thickBot="1">
      <c r="B457" s="1012" t="s">
        <v>843</v>
      </c>
      <c r="C457" s="1013" t="s">
        <v>844</v>
      </c>
      <c r="D457" s="300" t="s">
        <v>845</v>
      </c>
      <c r="E457" s="1014" t="s">
        <v>846</v>
      </c>
      <c r="F457" s="300" t="s">
        <v>24</v>
      </c>
      <c r="G457" s="300"/>
      <c r="H457" s="1015">
        <v>46076</v>
      </c>
      <c r="I457" s="1016"/>
      <c r="J457" s="1014" t="s">
        <v>40</v>
      </c>
      <c r="K457" s="1014" t="s">
        <v>848</v>
      </c>
      <c r="L457" s="1015">
        <v>46063</v>
      </c>
      <c r="M457" s="1015">
        <v>46078</v>
      </c>
      <c r="N457" s="1014" t="s">
        <v>814</v>
      </c>
      <c r="O457" s="472">
        <f ca="1">IF(ISBLANK(L457), "", IF(ISNUMBER(M457), NETWORKDAYS(L457, M457, Holidays!$D$4:$D$19), NETWORKDAYS(L457, TODAY(), Holidays!$D$4:$D$19)))</f>
        <v>12</v>
      </c>
      <c r="P457" s="1017">
        <f ca="1">IF(ISBLANK(H457), "", IF(ISNUMBER(M457), NETWORKDAYS(H457, M457, Holidays!$D$4:$D$19), NETWORKDAYS(H457, TODAY(), Holidays!$D$4:$D$19)))</f>
        <v>3</v>
      </c>
      <c r="Q457" s="1018" t="s">
        <v>26</v>
      </c>
      <c r="R457" s="818"/>
      <c r="S457" s="735"/>
      <c r="T457" s="735"/>
      <c r="U457" s="735"/>
      <c r="V457" s="819"/>
      <c r="W457" s="819"/>
      <c r="X457" s="118"/>
    </row>
    <row r="458" spans="2:24" ht="15" customHeight="1" thickBot="1">
      <c r="B458" s="148" t="s">
        <v>843</v>
      </c>
      <c r="C458" s="148" t="s">
        <v>849</v>
      </c>
      <c r="D458" s="149" t="s">
        <v>845</v>
      </c>
      <c r="E458" s="826" t="s">
        <v>846</v>
      </c>
      <c r="F458" s="149" t="s">
        <v>264</v>
      </c>
      <c r="G458" s="149"/>
      <c r="H458" s="327">
        <v>46076</v>
      </c>
      <c r="I458" s="827"/>
      <c r="J458" s="826" t="s">
        <v>27</v>
      </c>
      <c r="K458" s="826" t="s">
        <v>850</v>
      </c>
      <c r="L458" s="327">
        <v>46062</v>
      </c>
      <c r="M458" s="1045">
        <v>46071</v>
      </c>
      <c r="N458" s="152" t="s">
        <v>29</v>
      </c>
      <c r="O458" s="194">
        <f ca="1">IF(ISBLANK(L458), "", IF(ISNUMBER(M458), NETWORKDAYS(L458, M458, Holidays!$D$4:$D$19), NETWORKDAYS(L458, TODAY(), Holidays!$D$4:$D$19)))</f>
        <v>8</v>
      </c>
      <c r="P458" s="149">
        <f ca="1">IF(ISBLANK(H458), "", IF(ISNUMBER(M458), NETWORKDAYS(H458, M458, Holidays!$D$4:$D$19), NETWORKDAYS(H458, TODAY(), Holidays!$D$4:$D$19)))</f>
        <v>-4</v>
      </c>
      <c r="Q458" s="149" t="s">
        <v>26</v>
      </c>
      <c r="R458" s="818"/>
      <c r="S458" s="735"/>
      <c r="T458" s="735"/>
      <c r="U458" s="735"/>
      <c r="V458" s="819"/>
      <c r="W458" s="819"/>
      <c r="X458" s="118"/>
    </row>
    <row r="459" spans="2:24" ht="15" customHeight="1">
      <c r="B459" s="1003" t="s">
        <v>826</v>
      </c>
      <c r="C459" s="1004" t="s">
        <v>851</v>
      </c>
      <c r="D459" s="1005" t="s">
        <v>828</v>
      </c>
      <c r="E459" s="1006" t="s">
        <v>237</v>
      </c>
      <c r="F459" s="1005" t="s">
        <v>593</v>
      </c>
      <c r="G459" s="1005"/>
      <c r="H459" s="1007">
        <v>46080</v>
      </c>
      <c r="I459" s="1008"/>
      <c r="J459" s="1006" t="s">
        <v>40</v>
      </c>
      <c r="K459" s="1006" t="s">
        <v>852</v>
      </c>
      <c r="L459" s="1007">
        <v>46064</v>
      </c>
      <c r="M459" s="1046">
        <v>46077</v>
      </c>
      <c r="N459" s="1047" t="s">
        <v>29</v>
      </c>
      <c r="O459" s="1009">
        <f ca="1">IF(ISBLANK(L459), "", IF(ISNUMBER(M459), NETWORKDAYS(L459, M459, Holidays!$D$4:$D$19), NETWORKDAYS(L459, TODAY(), Holidays!$D$4:$D$19)))</f>
        <v>10</v>
      </c>
      <c r="P459" s="1010">
        <f ca="1">IF(ISBLANK(H459), "", IF(ISNUMBER(M459), NETWORKDAYS(H459, M459, Holidays!$D$4:$D$19), NETWORKDAYS(H459, TODAY(), Holidays!$D$4:$D$19)))</f>
        <v>-4</v>
      </c>
      <c r="Q459" s="1011" t="s">
        <v>56</v>
      </c>
      <c r="R459" s="818"/>
      <c r="S459" s="735"/>
      <c r="T459" s="735"/>
      <c r="U459" s="735"/>
      <c r="V459" s="819"/>
      <c r="W459" s="819"/>
      <c r="X459" s="118"/>
    </row>
    <row r="460" spans="2:24" ht="15" customHeight="1">
      <c r="B460" s="1048" t="s">
        <v>826</v>
      </c>
      <c r="C460" s="703" t="s">
        <v>851</v>
      </c>
      <c r="D460" s="118" t="s">
        <v>828</v>
      </c>
      <c r="E460" s="735" t="s">
        <v>237</v>
      </c>
      <c r="F460" s="118" t="s">
        <v>593</v>
      </c>
      <c r="G460" s="118"/>
      <c r="H460" s="815">
        <v>46080</v>
      </c>
      <c r="I460" s="816"/>
      <c r="J460" s="735" t="s">
        <v>27</v>
      </c>
      <c r="K460" s="735" t="s">
        <v>853</v>
      </c>
      <c r="L460" s="815">
        <v>46064</v>
      </c>
      <c r="M460" s="844">
        <v>46078</v>
      </c>
      <c r="N460" s="396" t="s">
        <v>29</v>
      </c>
      <c r="O460" s="204">
        <f ca="1">IF(ISBLANK(L460), "", IF(ISNUMBER(M460), NETWORKDAYS(L460, M460, Holidays!$D$4:$D$19), NETWORKDAYS(L460, TODAY(), Holidays!$D$4:$D$19)))</f>
        <v>11</v>
      </c>
      <c r="P460" s="763">
        <f ca="1">IF(ISBLANK(H460), "", IF(ISNUMBER(M460), NETWORKDAYS(H460, M460, Holidays!$D$4:$D$19), NETWORKDAYS(H460, TODAY(), Holidays!$D$4:$D$19)))</f>
        <v>-3</v>
      </c>
      <c r="Q460" s="1034" t="s">
        <v>56</v>
      </c>
      <c r="R460" s="818"/>
      <c r="S460" s="735"/>
      <c r="T460" s="735"/>
      <c r="U460" s="735"/>
      <c r="V460" s="819"/>
      <c r="W460" s="819"/>
      <c r="X460" s="118"/>
    </row>
    <row r="461" spans="2:24" ht="15" customHeight="1">
      <c r="B461" s="1048" t="s">
        <v>826</v>
      </c>
      <c r="C461" s="703" t="s">
        <v>851</v>
      </c>
      <c r="D461" s="118" t="s">
        <v>828</v>
      </c>
      <c r="E461" s="735" t="s">
        <v>237</v>
      </c>
      <c r="F461" s="118" t="s">
        <v>593</v>
      </c>
      <c r="G461" s="118"/>
      <c r="H461" s="815">
        <v>46080</v>
      </c>
      <c r="I461" s="816"/>
      <c r="J461" s="735" t="s">
        <v>27</v>
      </c>
      <c r="K461" s="735" t="s">
        <v>854</v>
      </c>
      <c r="L461" s="815">
        <v>46064</v>
      </c>
      <c r="M461" s="844">
        <v>46071</v>
      </c>
      <c r="N461" s="396" t="s">
        <v>29</v>
      </c>
      <c r="O461" s="204">
        <f ca="1">IF(ISBLANK(L461), "", IF(ISNUMBER(M461), NETWORKDAYS(L461, M461, Holidays!$D$4:$D$19), NETWORKDAYS(L461, TODAY(), Holidays!$D$4:$D$19)))</f>
        <v>6</v>
      </c>
      <c r="P461" s="763">
        <f ca="1">IF(ISBLANK(H461), "", IF(ISNUMBER(M461), NETWORKDAYS(H461, M461, Holidays!$D$4:$D$19), NETWORKDAYS(H461, TODAY(), Holidays!$D$4:$D$19)))</f>
        <v>-8</v>
      </c>
      <c r="Q461" s="1034" t="s">
        <v>56</v>
      </c>
      <c r="R461" s="818"/>
      <c r="S461" s="735"/>
      <c r="T461" s="735"/>
      <c r="U461" s="735"/>
      <c r="V461" s="819"/>
      <c r="W461" s="819"/>
      <c r="X461" s="118"/>
    </row>
    <row r="462" spans="2:24" ht="15" customHeight="1" thickBot="1">
      <c r="B462" s="1012" t="s">
        <v>826</v>
      </c>
      <c r="C462" s="1013" t="s">
        <v>851</v>
      </c>
      <c r="D462" s="300" t="s">
        <v>828</v>
      </c>
      <c r="E462" s="1014" t="s">
        <v>237</v>
      </c>
      <c r="F462" s="300" t="s">
        <v>593</v>
      </c>
      <c r="G462" s="300"/>
      <c r="H462" s="1015">
        <v>46080</v>
      </c>
      <c r="I462" s="1016"/>
      <c r="J462" s="1014" t="s">
        <v>27</v>
      </c>
      <c r="K462" s="1014" t="s">
        <v>855</v>
      </c>
      <c r="L462" s="1015">
        <v>46064</v>
      </c>
      <c r="M462" s="1049">
        <v>46073</v>
      </c>
      <c r="N462" s="1050" t="s">
        <v>29</v>
      </c>
      <c r="O462" s="472">
        <f ca="1">IF(ISBLANK(L462), "", IF(ISNUMBER(M462), NETWORKDAYS(L462, M462, Holidays!$D$4:$D$19), NETWORKDAYS(L462, TODAY(), Holidays!$D$4:$D$19)))</f>
        <v>8</v>
      </c>
      <c r="P462" s="1017">
        <f ca="1">IF(ISBLANK(H462), "", IF(ISNUMBER(M462), NETWORKDAYS(H462, M462, Holidays!$D$4:$D$19), NETWORKDAYS(H462, TODAY(), Holidays!$D$4:$D$19)))</f>
        <v>-6</v>
      </c>
      <c r="Q462" s="1018" t="s">
        <v>56</v>
      </c>
      <c r="R462" s="818"/>
      <c r="S462" s="735"/>
      <c r="T462" s="735"/>
      <c r="U462" s="735"/>
      <c r="V462" s="819"/>
      <c r="W462" s="819"/>
      <c r="X462" s="118"/>
    </row>
    <row r="463" spans="2:24" ht="15" customHeight="1">
      <c r="B463" s="778" t="s">
        <v>856</v>
      </c>
      <c r="C463" s="778" t="s">
        <v>165</v>
      </c>
      <c r="D463" s="286" t="s">
        <v>857</v>
      </c>
      <c r="E463" s="843" t="s">
        <v>252</v>
      </c>
      <c r="F463" s="286" t="s">
        <v>216</v>
      </c>
      <c r="G463" s="286"/>
      <c r="H463" s="842">
        <v>46080</v>
      </c>
      <c r="I463" s="841"/>
      <c r="J463" s="843" t="s">
        <v>27</v>
      </c>
      <c r="K463" s="843" t="s">
        <v>858</v>
      </c>
      <c r="L463" s="842">
        <v>46064</v>
      </c>
      <c r="M463" s="1044">
        <v>46071</v>
      </c>
      <c r="N463" s="199" t="s">
        <v>29</v>
      </c>
      <c r="O463" s="157">
        <f ca="1">IF(ISBLANK(L463), "", IF(ISNUMBER(M463), NETWORKDAYS(L463, M463, Holidays!$D$4:$D$19), NETWORKDAYS(L463, TODAY(), Holidays!$D$4:$D$19)))</f>
        <v>6</v>
      </c>
      <c r="P463" s="726">
        <f ca="1">IF(ISBLANK(H463), "", IF(ISNUMBER(M463), NETWORKDAYS(H463, M463, Holidays!$D$4:$D$19), NETWORKDAYS(H463, TODAY(), Holidays!$D$4:$D$19)))</f>
        <v>-8</v>
      </c>
      <c r="Q463" s="286" t="s">
        <v>26</v>
      </c>
      <c r="R463" s="818"/>
      <c r="S463" s="735"/>
      <c r="T463" s="735"/>
      <c r="U463" s="735"/>
      <c r="V463" s="819"/>
      <c r="W463" s="819"/>
      <c r="X463" s="118"/>
    </row>
    <row r="464" spans="2:24" ht="15" customHeight="1">
      <c r="B464" s="703" t="s">
        <v>843</v>
      </c>
      <c r="C464" s="703" t="s">
        <v>859</v>
      </c>
      <c r="D464" s="118" t="s">
        <v>845</v>
      </c>
      <c r="E464" s="735" t="s">
        <v>846</v>
      </c>
      <c r="F464" s="118" t="s">
        <v>264</v>
      </c>
      <c r="G464" s="118"/>
      <c r="H464" s="815">
        <v>46076</v>
      </c>
      <c r="I464" s="816"/>
      <c r="J464" s="735" t="s">
        <v>27</v>
      </c>
      <c r="K464" s="735" t="s">
        <v>860</v>
      </c>
      <c r="L464" s="815">
        <v>46069</v>
      </c>
      <c r="M464" s="844">
        <v>46073</v>
      </c>
      <c r="N464" s="396" t="s">
        <v>29</v>
      </c>
      <c r="O464" s="204">
        <f ca="1">IF(ISBLANK(L464), "", IF(ISNUMBER(M464), NETWORKDAYS(L464, M464, Holidays!$D$4:$D$19), NETWORKDAYS(L464, TODAY(), Holidays!$D$4:$D$19)))</f>
        <v>5</v>
      </c>
      <c r="P464" s="763">
        <f ca="1">IF(ISBLANK(H464), "", IF(ISNUMBER(M464), NETWORKDAYS(H464, M464, Holidays!$D$4:$D$19), NETWORKDAYS(H464, TODAY(), Holidays!$D$4:$D$19)))</f>
        <v>-2</v>
      </c>
      <c r="Q464" s="118" t="s">
        <v>26</v>
      </c>
      <c r="R464" s="818"/>
      <c r="S464" s="735"/>
      <c r="T464" s="735"/>
      <c r="U464" s="735"/>
      <c r="V464" s="819"/>
      <c r="W464" s="819"/>
      <c r="X464" s="118"/>
    </row>
    <row r="465" spans="2:24" ht="15" customHeight="1">
      <c r="B465" s="703" t="s">
        <v>843</v>
      </c>
      <c r="C465" s="703" t="s">
        <v>859</v>
      </c>
      <c r="D465" s="118" t="s">
        <v>845</v>
      </c>
      <c r="E465" s="735" t="s">
        <v>846</v>
      </c>
      <c r="F465" s="118" t="s">
        <v>264</v>
      </c>
      <c r="G465" s="118"/>
      <c r="H465" s="815">
        <v>46076</v>
      </c>
      <c r="I465" s="816"/>
      <c r="J465" s="735" t="s">
        <v>40</v>
      </c>
      <c r="K465" s="735" t="s">
        <v>861</v>
      </c>
      <c r="L465" s="815">
        <v>46069</v>
      </c>
      <c r="M465" s="844">
        <v>46079</v>
      </c>
      <c r="N465" s="396" t="s">
        <v>29</v>
      </c>
      <c r="O465" s="204">
        <f ca="1">IF(ISBLANK(L465), "", IF(ISNUMBER(M465), NETWORKDAYS(L465, M465, Holidays!$D$4:$D$19), NETWORKDAYS(L465, TODAY(), Holidays!$D$4:$D$19)))</f>
        <v>9</v>
      </c>
      <c r="P465" s="763">
        <f ca="1">IF(ISBLANK(H465), "", IF(ISNUMBER(M465), NETWORKDAYS(H465, M465, Holidays!$D$4:$D$19), NETWORKDAYS(H465, TODAY(), Holidays!$D$4:$D$19)))</f>
        <v>4</v>
      </c>
      <c r="Q465" s="118" t="s">
        <v>26</v>
      </c>
      <c r="R465" s="818"/>
      <c r="S465" s="735"/>
      <c r="T465" s="735"/>
      <c r="U465" s="735"/>
      <c r="V465" s="819"/>
      <c r="W465" s="819"/>
      <c r="X465" s="118"/>
    </row>
    <row r="466" spans="2:24" ht="15" customHeight="1">
      <c r="B466" s="703" t="s">
        <v>862</v>
      </c>
      <c r="C466" s="703" t="s">
        <v>863</v>
      </c>
      <c r="D466" s="118" t="s">
        <v>864</v>
      </c>
      <c r="E466" s="735" t="s">
        <v>709</v>
      </c>
      <c r="F466" s="118" t="s">
        <v>732</v>
      </c>
      <c r="G466" s="118"/>
      <c r="H466" s="815">
        <v>46080</v>
      </c>
      <c r="I466" s="816"/>
      <c r="J466" s="735" t="s">
        <v>27</v>
      </c>
      <c r="K466" s="735" t="s">
        <v>865</v>
      </c>
      <c r="L466" s="815">
        <v>46071</v>
      </c>
      <c r="M466" s="844">
        <v>46079</v>
      </c>
      <c r="N466" s="396" t="s">
        <v>29</v>
      </c>
      <c r="O466" s="204">
        <f ca="1">IF(ISBLANK(L466), "", IF(ISNUMBER(M466), NETWORKDAYS(L466, M466, Holidays!$D$4:$D$19), NETWORKDAYS(L466, TODAY(), Holidays!$D$4:$D$19)))</f>
        <v>7</v>
      </c>
      <c r="P466" s="763">
        <f ca="1">IF(ISBLANK(H466), "", IF(ISNUMBER(M466), NETWORKDAYS(H466, M466, Holidays!$D$4:$D$19), NETWORKDAYS(H466, TODAY(), Holidays!$D$4:$D$19)))</f>
        <v>-2</v>
      </c>
      <c r="Q466" s="118" t="s">
        <v>26</v>
      </c>
      <c r="R466" s="818"/>
      <c r="S466" s="735"/>
      <c r="T466" s="735"/>
      <c r="U466" s="735"/>
      <c r="V466" s="819"/>
      <c r="W466" s="819"/>
      <c r="X466" s="118"/>
    </row>
    <row r="467" spans="2:24" ht="15" customHeight="1" thickBot="1">
      <c r="B467" s="772" t="s">
        <v>866</v>
      </c>
      <c r="C467" s="772" t="s">
        <v>867</v>
      </c>
      <c r="D467" s="127" t="s">
        <v>868</v>
      </c>
      <c r="E467" s="820" t="s">
        <v>104</v>
      </c>
      <c r="F467" s="127" t="s">
        <v>241</v>
      </c>
      <c r="G467" s="127"/>
      <c r="H467" s="821">
        <v>46085</v>
      </c>
      <c r="I467" s="822"/>
      <c r="J467" s="820" t="s">
        <v>27</v>
      </c>
      <c r="K467" s="820" t="s">
        <v>869</v>
      </c>
      <c r="L467" s="821">
        <v>46072</v>
      </c>
      <c r="M467" s="1052">
        <v>46080</v>
      </c>
      <c r="N467" s="163" t="s">
        <v>29</v>
      </c>
      <c r="O467" s="362">
        <f ca="1">IF(ISBLANK(L467), "", IF(ISNUMBER(M467), NETWORKDAYS(L467, M467, Holidays!$D$4:$D$19), NETWORKDAYS(L467, TODAY(), Holidays!$D$4:$D$19)))</f>
        <v>7</v>
      </c>
      <c r="P467" s="776">
        <f ca="1">IF(ISBLANK(H467), "", IF(ISNUMBER(M467), NETWORKDAYS(H467, M467, Holidays!$D$4:$D$19), NETWORKDAYS(H467, TODAY(), Holidays!$D$4:$D$19)))</f>
        <v>-4</v>
      </c>
      <c r="Q467" s="127" t="s">
        <v>56</v>
      </c>
      <c r="R467" s="818"/>
      <c r="S467" s="735"/>
      <c r="T467" s="735"/>
      <c r="U467" s="735"/>
      <c r="V467" s="819"/>
      <c r="W467" s="819"/>
      <c r="X467" s="118"/>
    </row>
    <row r="468" spans="2:24" ht="15" customHeight="1">
      <c r="B468" s="1003" t="s">
        <v>843</v>
      </c>
      <c r="C468" s="1004" t="s">
        <v>870</v>
      </c>
      <c r="D468" s="1005" t="s">
        <v>845</v>
      </c>
      <c r="E468" s="1006" t="s">
        <v>846</v>
      </c>
      <c r="F468" s="1005" t="s">
        <v>24</v>
      </c>
      <c r="G468" s="1005"/>
      <c r="H468" s="1007">
        <v>46076</v>
      </c>
      <c r="I468" s="1008"/>
      <c r="J468" s="1006" t="s">
        <v>27</v>
      </c>
      <c r="K468" s="1006" t="s">
        <v>871</v>
      </c>
      <c r="L468" s="1007">
        <v>46071</v>
      </c>
      <c r="M468" s="1046">
        <v>46079</v>
      </c>
      <c r="N468" s="1047" t="s">
        <v>29</v>
      </c>
      <c r="O468" s="1009">
        <f ca="1">IF(ISBLANK(L468), "", IF(ISNUMBER(M468), NETWORKDAYS(L468, M468, Holidays!$D$4:$D$19), NETWORKDAYS(L468, TODAY(), Holidays!$D$4:$D$19)))</f>
        <v>7</v>
      </c>
      <c r="P468" s="1010">
        <f ca="1">IF(ISBLANK(H468), "", IF(ISNUMBER(M468), NETWORKDAYS(H468, M468, Holidays!$D$4:$D$19), NETWORKDAYS(H468, TODAY(), Holidays!$D$4:$D$19)))</f>
        <v>4</v>
      </c>
      <c r="Q468" s="1011" t="s">
        <v>26</v>
      </c>
      <c r="R468" s="818"/>
      <c r="S468" s="735"/>
      <c r="T468" s="735"/>
      <c r="U468" s="735"/>
      <c r="V468" s="819"/>
      <c r="W468" s="819"/>
      <c r="X468" s="118"/>
    </row>
    <row r="469" spans="2:24" ht="15" customHeight="1">
      <c r="B469" s="1048" t="s">
        <v>843</v>
      </c>
      <c r="C469" s="703" t="s">
        <v>870</v>
      </c>
      <c r="D469" s="118" t="s">
        <v>845</v>
      </c>
      <c r="E469" s="735" t="s">
        <v>846</v>
      </c>
      <c r="F469" s="118" t="s">
        <v>24</v>
      </c>
      <c r="G469" s="118"/>
      <c r="H469" s="815">
        <v>46076</v>
      </c>
      <c r="I469" s="816"/>
      <c r="J469" s="735" t="s">
        <v>27</v>
      </c>
      <c r="K469" s="735" t="s">
        <v>872</v>
      </c>
      <c r="L469" s="815">
        <v>46071</v>
      </c>
      <c r="M469" s="844">
        <v>46079</v>
      </c>
      <c r="N469" s="396" t="s">
        <v>29</v>
      </c>
      <c r="O469" s="204">
        <f ca="1">IF(ISBLANK(L469), "", IF(ISNUMBER(M469), NETWORKDAYS(L469, M469, Holidays!$D$4:$D$19), NETWORKDAYS(L469, TODAY(), Holidays!$D$4:$D$19)))</f>
        <v>7</v>
      </c>
      <c r="P469" s="763">
        <f ca="1">IF(ISBLANK(H469), "", IF(ISNUMBER(M469), NETWORKDAYS(H469, M469, Holidays!$D$4:$D$19), NETWORKDAYS(H469, TODAY(), Holidays!$D$4:$D$19)))</f>
        <v>4</v>
      </c>
      <c r="Q469" s="1034" t="s">
        <v>26</v>
      </c>
      <c r="R469" s="818"/>
      <c r="S469" s="735"/>
      <c r="T469" s="735"/>
      <c r="U469" s="735"/>
      <c r="V469" s="819"/>
      <c r="W469" s="819"/>
      <c r="X469" s="118"/>
    </row>
    <row r="470" spans="2:24" ht="15" customHeight="1" thickBot="1">
      <c r="B470" s="1012" t="s">
        <v>843</v>
      </c>
      <c r="C470" s="1013" t="s">
        <v>870</v>
      </c>
      <c r="D470" s="300" t="s">
        <v>845</v>
      </c>
      <c r="E470" s="1014" t="s">
        <v>846</v>
      </c>
      <c r="F470" s="300" t="s">
        <v>24</v>
      </c>
      <c r="G470" s="300"/>
      <c r="H470" s="1015">
        <v>46076</v>
      </c>
      <c r="I470" s="1016"/>
      <c r="J470" s="1014" t="s">
        <v>27</v>
      </c>
      <c r="K470" s="1014" t="s">
        <v>873</v>
      </c>
      <c r="L470" s="1015">
        <v>46071</v>
      </c>
      <c r="M470" s="1049">
        <v>46079</v>
      </c>
      <c r="N470" s="1050" t="s">
        <v>29</v>
      </c>
      <c r="O470" s="472">
        <f ca="1">IF(ISBLANK(L470), "", IF(ISNUMBER(M470), NETWORKDAYS(L470, M470, Holidays!$D$4:$D$19), NETWORKDAYS(L470, TODAY(), Holidays!$D$4:$D$19)))</f>
        <v>7</v>
      </c>
      <c r="P470" s="1017">
        <f ca="1">IF(ISBLANK(H470), "", IF(ISNUMBER(M470), NETWORKDAYS(H470, M470, Holidays!$D$4:$D$19), NETWORKDAYS(H470, TODAY(), Holidays!$D$4:$D$19)))</f>
        <v>4</v>
      </c>
      <c r="Q470" s="1018" t="s">
        <v>26</v>
      </c>
      <c r="R470" s="818"/>
      <c r="S470" s="735"/>
      <c r="T470" s="735"/>
      <c r="U470" s="735"/>
      <c r="V470" s="819"/>
      <c r="W470" s="819"/>
      <c r="X470" s="118"/>
    </row>
    <row r="471" spans="2:24" ht="15" customHeight="1">
      <c r="B471" s="1003" t="s">
        <v>866</v>
      </c>
      <c r="C471" s="1004" t="s">
        <v>874</v>
      </c>
      <c r="D471" s="1005" t="s">
        <v>868</v>
      </c>
      <c r="E471" s="1006" t="s">
        <v>104</v>
      </c>
      <c r="F471" s="1005" t="s">
        <v>37</v>
      </c>
      <c r="G471" s="1005"/>
      <c r="H471" s="1007">
        <v>46091</v>
      </c>
      <c r="I471" s="1008"/>
      <c r="J471" s="1006" t="s">
        <v>27</v>
      </c>
      <c r="K471" s="1006" t="s">
        <v>875</v>
      </c>
      <c r="L471" s="1007">
        <v>46073</v>
      </c>
      <c r="M471" s="1046">
        <v>46084</v>
      </c>
      <c r="N471" s="1047" t="s">
        <v>29</v>
      </c>
      <c r="O471" s="1009">
        <f ca="1">IF(ISBLANK(L471), "", IF(ISNUMBER(M471), NETWORKDAYS(L471, M471, Holidays!$D$4:$D$19), NETWORKDAYS(L471, TODAY(), Holidays!$D$4:$D$19)))</f>
        <v>8</v>
      </c>
      <c r="P471" s="1010">
        <f ca="1">IF(ISBLANK(H471), "", IF(ISNUMBER(M471), NETWORKDAYS(H471, M471, Holidays!$D$4:$D$19), NETWORKDAYS(H471, TODAY(), Holidays!$D$4:$D$19)))</f>
        <v>-6</v>
      </c>
      <c r="Q471" s="1011" t="s">
        <v>56</v>
      </c>
      <c r="R471" s="818"/>
      <c r="S471" s="735"/>
      <c r="T471" s="735"/>
      <c r="U471" s="735"/>
      <c r="V471" s="819"/>
      <c r="W471" s="819"/>
      <c r="X471" s="118"/>
    </row>
    <row r="472" spans="2:24" ht="15" customHeight="1">
      <c r="B472" s="1048" t="s">
        <v>866</v>
      </c>
      <c r="C472" s="703" t="s">
        <v>874</v>
      </c>
      <c r="D472" s="118" t="s">
        <v>868</v>
      </c>
      <c r="E472" s="735" t="s">
        <v>104</v>
      </c>
      <c r="F472" s="118" t="s">
        <v>37</v>
      </c>
      <c r="G472" s="118"/>
      <c r="H472" s="815">
        <v>46091</v>
      </c>
      <c r="I472" s="816"/>
      <c r="J472" s="735" t="s">
        <v>27</v>
      </c>
      <c r="K472" s="735" t="s">
        <v>876</v>
      </c>
      <c r="L472" s="815">
        <v>46073</v>
      </c>
      <c r="M472" s="844">
        <v>46093</v>
      </c>
      <c r="N472" s="396" t="s">
        <v>29</v>
      </c>
      <c r="O472" s="204">
        <f ca="1">IF(ISBLANK(L472), "", IF(ISNUMBER(M472), NETWORKDAYS(L472, M472, Holidays!$D$4:$D$19), NETWORKDAYS(L472, TODAY(), Holidays!$D$4:$D$19)))</f>
        <v>15</v>
      </c>
      <c r="P472" s="763">
        <f ca="1">IF(ISBLANK(H472), "", IF(ISNUMBER(M472), NETWORKDAYS(H472, M472, Holidays!$D$4:$D$19), NETWORKDAYS(H472, TODAY(), Holidays!$D$4:$D$19)))</f>
        <v>3</v>
      </c>
      <c r="Q472" s="1034" t="s">
        <v>56</v>
      </c>
      <c r="R472" s="818"/>
      <c r="S472" s="735"/>
      <c r="T472" s="735"/>
      <c r="U472" s="735"/>
      <c r="V472" s="819"/>
      <c r="W472" s="819"/>
      <c r="X472" s="118"/>
    </row>
    <row r="473" spans="2:24" ht="15" customHeight="1">
      <c r="B473" s="1048" t="s">
        <v>866</v>
      </c>
      <c r="C473" s="703" t="s">
        <v>874</v>
      </c>
      <c r="D473" s="118" t="s">
        <v>868</v>
      </c>
      <c r="E473" s="735" t="s">
        <v>104</v>
      </c>
      <c r="F473" s="118" t="s">
        <v>37</v>
      </c>
      <c r="G473" s="118"/>
      <c r="H473" s="815">
        <v>46091</v>
      </c>
      <c r="I473" s="816"/>
      <c r="J473" s="735" t="s">
        <v>40</v>
      </c>
      <c r="K473" s="735" t="s">
        <v>877</v>
      </c>
      <c r="L473" s="815">
        <v>46073</v>
      </c>
      <c r="M473" s="844">
        <v>46083</v>
      </c>
      <c r="N473" s="396" t="s">
        <v>29</v>
      </c>
      <c r="O473" s="204">
        <f ca="1">IF(ISBLANK(L473), "", IF(ISNUMBER(M473), NETWORKDAYS(L473, M473, Holidays!$D$4:$D$19), NETWORKDAYS(L473, TODAY(), Holidays!$D$4:$D$19)))</f>
        <v>7</v>
      </c>
      <c r="P473" s="763">
        <f ca="1">IF(ISBLANK(H473), "", IF(ISNUMBER(M473), NETWORKDAYS(H473, M473, Holidays!$D$4:$D$19), NETWORKDAYS(H473, TODAY(), Holidays!$D$4:$D$19)))</f>
        <v>-7</v>
      </c>
      <c r="Q473" s="1034" t="s">
        <v>56</v>
      </c>
      <c r="R473" s="818"/>
      <c r="S473" s="735"/>
      <c r="T473" s="735"/>
      <c r="U473" s="735"/>
      <c r="V473" s="819"/>
      <c r="W473" s="819"/>
      <c r="X473" s="118"/>
    </row>
    <row r="474" spans="2:24" ht="15" customHeight="1">
      <c r="B474" s="1048" t="s">
        <v>866</v>
      </c>
      <c r="C474" s="703" t="s">
        <v>874</v>
      </c>
      <c r="D474" s="118" t="s">
        <v>868</v>
      </c>
      <c r="E474" s="735" t="s">
        <v>104</v>
      </c>
      <c r="F474" s="118" t="s">
        <v>37</v>
      </c>
      <c r="G474" s="118"/>
      <c r="H474" s="815">
        <v>46091</v>
      </c>
      <c r="I474" s="816"/>
      <c r="J474" s="735" t="s">
        <v>27</v>
      </c>
      <c r="K474" s="735" t="s">
        <v>878</v>
      </c>
      <c r="L474" s="815">
        <v>46073</v>
      </c>
      <c r="M474" s="844">
        <v>46085</v>
      </c>
      <c r="N474" s="396" t="s">
        <v>29</v>
      </c>
      <c r="O474" s="204">
        <f ca="1">IF(ISBLANK(L474), "", IF(ISNUMBER(M474), NETWORKDAYS(L474, M474, Holidays!$D$4:$D$19), NETWORKDAYS(L474, TODAY(), Holidays!$D$4:$D$19)))</f>
        <v>9</v>
      </c>
      <c r="P474" s="763">
        <f ca="1">IF(ISBLANK(H474), "", IF(ISNUMBER(M474), NETWORKDAYS(H474, M474, Holidays!$D$4:$D$19), NETWORKDAYS(H474, TODAY(), Holidays!$D$4:$D$19)))</f>
        <v>-5</v>
      </c>
      <c r="Q474" s="1034" t="s">
        <v>56</v>
      </c>
      <c r="R474" s="818"/>
      <c r="S474" s="735"/>
      <c r="T474" s="735"/>
      <c r="U474" s="735"/>
      <c r="V474" s="819"/>
      <c r="W474" s="819"/>
      <c r="X474" s="118"/>
    </row>
    <row r="475" spans="2:24" ht="15" customHeight="1" thickBot="1">
      <c r="B475" s="1012" t="s">
        <v>866</v>
      </c>
      <c r="C475" s="1013" t="s">
        <v>874</v>
      </c>
      <c r="D475" s="300" t="s">
        <v>868</v>
      </c>
      <c r="E475" s="1014" t="s">
        <v>104</v>
      </c>
      <c r="F475" s="300" t="s">
        <v>37</v>
      </c>
      <c r="G475" s="300"/>
      <c r="H475" s="1015">
        <v>46091</v>
      </c>
      <c r="I475" s="1016"/>
      <c r="J475" s="1014" t="s">
        <v>27</v>
      </c>
      <c r="K475" s="1014" t="s">
        <v>879</v>
      </c>
      <c r="L475" s="1015">
        <v>46073</v>
      </c>
      <c r="M475" s="1049">
        <v>46056</v>
      </c>
      <c r="N475" s="1050" t="s">
        <v>29</v>
      </c>
      <c r="O475" s="472">
        <f ca="1">IF(ISBLANK(L475), "", IF(ISNUMBER(M475), NETWORKDAYS(L475, M475, Holidays!$D$4:$D$19), NETWORKDAYS(L475, TODAY(), Holidays!$D$4:$D$19)))</f>
        <v>-14</v>
      </c>
      <c r="P475" s="1017">
        <f ca="1">IF(ISBLANK(H475), "", IF(ISNUMBER(M475), NETWORKDAYS(H475, M475, Holidays!$D$4:$D$19), NETWORKDAYS(H475, TODAY(), Holidays!$D$4:$D$19)))</f>
        <v>-26</v>
      </c>
      <c r="Q475" s="1018" t="s">
        <v>56</v>
      </c>
      <c r="R475" s="818"/>
      <c r="S475" s="735"/>
      <c r="T475" s="735"/>
      <c r="U475" s="735"/>
      <c r="V475" s="819"/>
      <c r="W475" s="819"/>
      <c r="X475" s="118"/>
    </row>
    <row r="476" spans="2:24" ht="15" customHeight="1">
      <c r="B476" s="778" t="s">
        <v>866</v>
      </c>
      <c r="C476" s="778" t="s">
        <v>880</v>
      </c>
      <c r="D476" s="286" t="s">
        <v>868</v>
      </c>
      <c r="E476" s="843" t="s">
        <v>104</v>
      </c>
      <c r="F476" s="286" t="s">
        <v>241</v>
      </c>
      <c r="G476" s="286"/>
      <c r="H476" s="842">
        <v>46097</v>
      </c>
      <c r="I476" s="841"/>
      <c r="J476" s="843" t="s">
        <v>27</v>
      </c>
      <c r="K476" s="843" t="s">
        <v>881</v>
      </c>
      <c r="L476" s="842">
        <v>46076</v>
      </c>
      <c r="M476" s="1044">
        <v>46090</v>
      </c>
      <c r="N476" s="199" t="s">
        <v>29</v>
      </c>
      <c r="O476" s="157">
        <f ca="1">IF(ISBLANK(L476), "", IF(ISNUMBER(M476), NETWORKDAYS(L476, M476, Holidays!$D$4:$D$19), NETWORKDAYS(L476, TODAY(), Holidays!$D$4:$D$19)))</f>
        <v>11</v>
      </c>
      <c r="P476" s="726">
        <f ca="1">IF(ISBLANK(H476), "", IF(ISNUMBER(M476), NETWORKDAYS(H476, M476, Holidays!$D$4:$D$19), NETWORKDAYS(H476, TODAY(), Holidays!$D$4:$D$19)))</f>
        <v>-6</v>
      </c>
      <c r="Q476" s="286" t="s">
        <v>56</v>
      </c>
      <c r="R476" s="818"/>
      <c r="S476" s="735"/>
      <c r="T476" s="735"/>
      <c r="U476" s="735"/>
      <c r="V476" s="819"/>
      <c r="W476" s="819"/>
      <c r="X476" s="118"/>
    </row>
    <row r="477" spans="2:24" ht="15" customHeight="1">
      <c r="B477" s="703" t="s">
        <v>826</v>
      </c>
      <c r="C477" s="703" t="s">
        <v>882</v>
      </c>
      <c r="D477" s="118" t="s">
        <v>828</v>
      </c>
      <c r="E477" s="735" t="s">
        <v>237</v>
      </c>
      <c r="F477" s="118" t="s">
        <v>593</v>
      </c>
      <c r="G477" s="118"/>
      <c r="H477" s="815">
        <v>46087</v>
      </c>
      <c r="I477" s="816"/>
      <c r="J477" s="735" t="s">
        <v>27</v>
      </c>
      <c r="K477" s="735" t="s">
        <v>883</v>
      </c>
      <c r="L477" s="815">
        <v>46078</v>
      </c>
      <c r="M477" s="844"/>
      <c r="O477" s="204">
        <f ca="1">IF(ISBLANK(L477), "", IF(ISNUMBER(M477), NETWORKDAYS(L477, M477, Holidays!$D$4:$D$19), NETWORKDAYS(L477, TODAY(), Holidays!$D$4:$D$19)))</f>
        <v>17</v>
      </c>
      <c r="P477" s="763">
        <f ca="1">IF(ISBLANK(H477), "", IF(ISNUMBER(M477), NETWORKDAYS(H477, M477, Holidays!$D$4:$D$19), NETWORKDAYS(H477, TODAY(), Holidays!$D$4:$D$19)))</f>
        <v>10</v>
      </c>
      <c r="Q477" s="118"/>
      <c r="R477" s="818"/>
      <c r="S477" s="735"/>
      <c r="T477" s="735"/>
      <c r="U477" s="735"/>
      <c r="V477" s="819"/>
      <c r="W477" s="819"/>
      <c r="X477" s="118"/>
    </row>
    <row r="478" spans="2:24" ht="15" customHeight="1" thickBot="1">
      <c r="B478" s="772" t="s">
        <v>884</v>
      </c>
      <c r="C478" s="772" t="s">
        <v>135</v>
      </c>
      <c r="D478" s="127" t="s">
        <v>885</v>
      </c>
      <c r="E478" s="820" t="s">
        <v>80</v>
      </c>
      <c r="F478" s="127" t="s">
        <v>429</v>
      </c>
      <c r="G478" s="127"/>
      <c r="H478" s="821">
        <v>46098</v>
      </c>
      <c r="I478" s="822"/>
      <c r="J478" s="820" t="s">
        <v>27</v>
      </c>
      <c r="K478" s="820" t="s">
        <v>886</v>
      </c>
      <c r="L478" s="821">
        <v>46079</v>
      </c>
      <c r="M478" s="1052">
        <v>46092</v>
      </c>
      <c r="N478" s="163" t="s">
        <v>29</v>
      </c>
      <c r="O478" s="362">
        <f ca="1">IF(ISBLANK(L478), "", IF(ISNUMBER(M478), NETWORKDAYS(L478, M478, Holidays!$D$4:$D$19), NETWORKDAYS(L478, TODAY(), Holidays!$D$4:$D$19)))</f>
        <v>10</v>
      </c>
      <c r="P478" s="776">
        <f ca="1">IF(ISBLANK(H478), "", IF(ISNUMBER(M478), NETWORKDAYS(H478, M478, Holidays!$D$4:$D$19), NETWORKDAYS(H478, TODAY(), Holidays!$D$4:$D$19)))</f>
        <v>-5</v>
      </c>
      <c r="Q478" s="127" t="s">
        <v>56</v>
      </c>
      <c r="R478" s="818"/>
      <c r="S478" s="735"/>
      <c r="T478" s="735"/>
      <c r="U478" s="735"/>
      <c r="V478" s="819"/>
      <c r="W478" s="819"/>
      <c r="X478" s="118"/>
    </row>
    <row r="479" spans="2:24" ht="15" customHeight="1">
      <c r="B479" s="1003" t="s">
        <v>887</v>
      </c>
      <c r="C479" s="1004" t="s">
        <v>135</v>
      </c>
      <c r="D479" s="1005" t="s">
        <v>888</v>
      </c>
      <c r="E479" s="1006" t="s">
        <v>80</v>
      </c>
      <c r="F479" s="1005" t="s">
        <v>889</v>
      </c>
      <c r="G479" s="1005"/>
      <c r="H479" s="1007">
        <v>46087</v>
      </c>
      <c r="I479" s="1008"/>
      <c r="J479" s="1006" t="s">
        <v>27</v>
      </c>
      <c r="K479" s="1006" t="s">
        <v>890</v>
      </c>
      <c r="L479" s="1007">
        <v>46072</v>
      </c>
      <c r="M479" s="1046">
        <v>46084</v>
      </c>
      <c r="N479" s="1047" t="s">
        <v>29</v>
      </c>
      <c r="O479" s="1009">
        <f ca="1">IF(ISBLANK(L479), "", IF(ISNUMBER(M479), NETWORKDAYS(L479, M479, Holidays!$D$4:$D$19), NETWORKDAYS(L479, TODAY(), Holidays!$D$4:$D$19)))</f>
        <v>9</v>
      </c>
      <c r="P479" s="1010">
        <f ca="1">IF(ISBLANK(H479), "", IF(ISNUMBER(M479), NETWORKDAYS(H479, M479, Holidays!$D$4:$D$19), NETWORKDAYS(H479, TODAY(), Holidays!$D$4:$D$19)))</f>
        <v>-4</v>
      </c>
      <c r="Q479" s="1011" t="s">
        <v>56</v>
      </c>
      <c r="R479" s="818"/>
      <c r="S479" s="735"/>
      <c r="T479" s="735"/>
      <c r="U479" s="735"/>
      <c r="V479" s="819"/>
      <c r="W479" s="819"/>
      <c r="X479" s="118"/>
    </row>
    <row r="480" spans="2:24" ht="15" customHeight="1">
      <c r="B480" s="1048" t="s">
        <v>887</v>
      </c>
      <c r="C480" s="703" t="s">
        <v>135</v>
      </c>
      <c r="D480" s="118" t="s">
        <v>888</v>
      </c>
      <c r="E480" s="735" t="s">
        <v>80</v>
      </c>
      <c r="F480" s="118" t="s">
        <v>889</v>
      </c>
      <c r="G480" s="118"/>
      <c r="H480" s="815">
        <v>46087</v>
      </c>
      <c r="I480" s="816"/>
      <c r="J480" s="735" t="s">
        <v>27</v>
      </c>
      <c r="K480" s="735" t="s">
        <v>891</v>
      </c>
      <c r="L480" s="815">
        <v>46073</v>
      </c>
      <c r="M480" s="844">
        <v>46091</v>
      </c>
      <c r="N480" s="396" t="s">
        <v>29</v>
      </c>
      <c r="O480" s="204">
        <f ca="1">IF(ISBLANK(L480), "", IF(ISNUMBER(M480), NETWORKDAYS(L480, M480, Holidays!$D$4:$D$19), NETWORKDAYS(L480, TODAY(), Holidays!$D$4:$D$19)))</f>
        <v>13</v>
      </c>
      <c r="P480" s="763">
        <f ca="1">IF(ISBLANK(H480), "", IF(ISNUMBER(M480), NETWORKDAYS(H480, M480, Holidays!$D$4:$D$19), NETWORKDAYS(H480, TODAY(), Holidays!$D$4:$D$19)))</f>
        <v>3</v>
      </c>
      <c r="Q480" s="1034" t="s">
        <v>56</v>
      </c>
      <c r="R480" s="818"/>
      <c r="S480" s="735"/>
      <c r="T480" s="735"/>
      <c r="U480" s="735"/>
      <c r="V480" s="819"/>
      <c r="W480" s="819"/>
      <c r="X480" s="118"/>
    </row>
    <row r="481" spans="2:24" ht="15" customHeight="1">
      <c r="B481" s="1048" t="s">
        <v>887</v>
      </c>
      <c r="C481" s="703" t="s">
        <v>135</v>
      </c>
      <c r="D481" s="118" t="s">
        <v>888</v>
      </c>
      <c r="E481" s="735" t="s">
        <v>80</v>
      </c>
      <c r="F481" s="118" t="s">
        <v>889</v>
      </c>
      <c r="G481" s="118"/>
      <c r="H481" s="815">
        <v>46087</v>
      </c>
      <c r="I481" s="816"/>
      <c r="J481" s="735" t="s">
        <v>27</v>
      </c>
      <c r="K481" s="735" t="s">
        <v>892</v>
      </c>
      <c r="L481" s="815">
        <v>46073</v>
      </c>
      <c r="M481" s="844">
        <v>46087</v>
      </c>
      <c r="N481" s="396" t="s">
        <v>29</v>
      </c>
      <c r="O481" s="204">
        <f ca="1">IF(ISBLANK(L481), "", IF(ISNUMBER(M481), NETWORKDAYS(L481, M481, Holidays!$D$4:$D$19), NETWORKDAYS(L481, TODAY(), Holidays!$D$4:$D$19)))</f>
        <v>11</v>
      </c>
      <c r="P481" s="763">
        <f ca="1">IF(ISBLANK(H481), "", IF(ISNUMBER(M481), NETWORKDAYS(H481, M481, Holidays!$D$4:$D$19), NETWORKDAYS(H481, TODAY(), Holidays!$D$4:$D$19)))</f>
        <v>1</v>
      </c>
      <c r="Q481" s="1034" t="s">
        <v>56</v>
      </c>
      <c r="R481" s="818"/>
      <c r="S481" s="735"/>
      <c r="T481" s="735"/>
      <c r="U481" s="735"/>
      <c r="V481" s="819"/>
      <c r="W481" s="819"/>
      <c r="X481" s="118"/>
    </row>
    <row r="482" spans="2:24" ht="15" customHeight="1">
      <c r="B482" s="1048" t="s">
        <v>887</v>
      </c>
      <c r="C482" s="703" t="s">
        <v>135</v>
      </c>
      <c r="D482" s="118" t="s">
        <v>888</v>
      </c>
      <c r="E482" s="735" t="s">
        <v>80</v>
      </c>
      <c r="F482" s="118" t="s">
        <v>889</v>
      </c>
      <c r="G482" s="118"/>
      <c r="H482" s="815">
        <v>46087</v>
      </c>
      <c r="I482" s="816"/>
      <c r="J482" s="735" t="s">
        <v>27</v>
      </c>
      <c r="K482" s="735" t="s">
        <v>893</v>
      </c>
      <c r="L482" s="815">
        <v>46073</v>
      </c>
      <c r="M482" s="844"/>
      <c r="O482" s="204">
        <f ca="1">IF(ISBLANK(L482), "", IF(ISNUMBER(M482), NETWORKDAYS(L482, M482, Holidays!$D$4:$D$19), NETWORKDAYS(L482, TODAY(), Holidays!$D$4:$D$19)))</f>
        <v>20</v>
      </c>
      <c r="P482" s="763">
        <f ca="1">IF(ISBLANK(H482), "", IF(ISNUMBER(M482), NETWORKDAYS(H482, M482, Holidays!$D$4:$D$19), NETWORKDAYS(H482, TODAY(), Holidays!$D$4:$D$19)))</f>
        <v>10</v>
      </c>
      <c r="Q482" s="1034"/>
      <c r="R482" s="818"/>
      <c r="S482" s="735"/>
      <c r="T482" s="735"/>
      <c r="U482" s="735"/>
      <c r="V482" s="819"/>
      <c r="W482" s="819"/>
      <c r="X482" s="118"/>
    </row>
    <row r="483" spans="2:24" ht="15" customHeight="1">
      <c r="B483" s="1048" t="s">
        <v>887</v>
      </c>
      <c r="C483" s="703" t="s">
        <v>135</v>
      </c>
      <c r="D483" s="118" t="s">
        <v>888</v>
      </c>
      <c r="E483" s="735" t="s">
        <v>80</v>
      </c>
      <c r="F483" s="118" t="s">
        <v>889</v>
      </c>
      <c r="G483" s="118"/>
      <c r="H483" s="815">
        <v>46087</v>
      </c>
      <c r="I483" s="816"/>
      <c r="J483" s="735" t="s">
        <v>40</v>
      </c>
      <c r="K483" s="735" t="s">
        <v>894</v>
      </c>
      <c r="L483" s="815">
        <v>46073</v>
      </c>
      <c r="M483" s="844">
        <v>46086</v>
      </c>
      <c r="N483" s="396" t="s">
        <v>29</v>
      </c>
      <c r="O483" s="204">
        <f ca="1">IF(ISBLANK(L483), "", IF(ISNUMBER(M483), NETWORKDAYS(L483, M483, Holidays!$D$4:$D$19), NETWORKDAYS(L483, TODAY(), Holidays!$D$4:$D$19)))</f>
        <v>10</v>
      </c>
      <c r="P483" s="763">
        <f ca="1">IF(ISBLANK(H483), "", IF(ISNUMBER(M483), NETWORKDAYS(H483, M483, Holidays!$D$4:$D$19), NETWORKDAYS(H483, TODAY(), Holidays!$D$4:$D$19)))</f>
        <v>-2</v>
      </c>
      <c r="Q483" s="1034" t="s">
        <v>56</v>
      </c>
      <c r="R483" s="818"/>
      <c r="S483" s="735"/>
      <c r="T483" s="735"/>
      <c r="U483" s="735"/>
      <c r="V483" s="819"/>
      <c r="W483" s="819"/>
      <c r="X483" s="118"/>
    </row>
    <row r="484" spans="2:24" ht="15" customHeight="1">
      <c r="B484" s="1048" t="s">
        <v>887</v>
      </c>
      <c r="C484" s="703" t="s">
        <v>135</v>
      </c>
      <c r="D484" s="118" t="s">
        <v>888</v>
      </c>
      <c r="E484" s="735" t="s">
        <v>80</v>
      </c>
      <c r="F484" s="118" t="s">
        <v>889</v>
      </c>
      <c r="G484" s="118"/>
      <c r="H484" s="815">
        <v>46087</v>
      </c>
      <c r="I484" s="816"/>
      <c r="J484" s="735" t="s">
        <v>40</v>
      </c>
      <c r="K484" s="735" t="s">
        <v>895</v>
      </c>
      <c r="L484" s="815">
        <v>46073</v>
      </c>
      <c r="M484" s="844">
        <v>46088</v>
      </c>
      <c r="N484" s="396" t="s">
        <v>29</v>
      </c>
      <c r="O484" s="204">
        <f ca="1">IF(ISBLANK(L484), "", IF(ISNUMBER(M484), NETWORKDAYS(L484, M484, Holidays!$D$4:$D$19), NETWORKDAYS(L484, TODAY(), Holidays!$D$4:$D$19)))</f>
        <v>11</v>
      </c>
      <c r="P484" s="763">
        <f ca="1">IF(ISBLANK(H484), "", IF(ISNUMBER(M484), NETWORKDAYS(H484, M484, Holidays!$D$4:$D$19), NETWORKDAYS(H484, TODAY(), Holidays!$D$4:$D$19)))</f>
        <v>1</v>
      </c>
      <c r="Q484" s="1034" t="s">
        <v>56</v>
      </c>
      <c r="R484" s="818"/>
      <c r="S484" s="735"/>
      <c r="T484" s="735"/>
      <c r="U484" s="735"/>
      <c r="V484" s="819"/>
      <c r="W484" s="819"/>
      <c r="X484" s="118"/>
    </row>
    <row r="485" spans="2:24" ht="15" customHeight="1">
      <c r="B485" s="1048" t="s">
        <v>887</v>
      </c>
      <c r="C485" s="703" t="s">
        <v>135</v>
      </c>
      <c r="D485" s="118" t="s">
        <v>888</v>
      </c>
      <c r="E485" s="735" t="s">
        <v>80</v>
      </c>
      <c r="F485" s="118" t="s">
        <v>889</v>
      </c>
      <c r="G485" s="118"/>
      <c r="H485" s="815">
        <v>46087</v>
      </c>
      <c r="I485" s="816"/>
      <c r="J485" s="735" t="s">
        <v>27</v>
      </c>
      <c r="K485" s="735" t="s">
        <v>896</v>
      </c>
      <c r="L485" s="815">
        <v>46076</v>
      </c>
      <c r="M485" s="844"/>
      <c r="O485" s="204">
        <f ca="1">IF(ISBLANK(L485), "", IF(ISNUMBER(M485), NETWORKDAYS(L485, M485, Holidays!$D$4:$D$19), NETWORKDAYS(L485, TODAY(), Holidays!$D$4:$D$19)))</f>
        <v>19</v>
      </c>
      <c r="P485" s="763">
        <f ca="1">IF(ISBLANK(H485), "", IF(ISNUMBER(M485), NETWORKDAYS(H485, M485, Holidays!$D$4:$D$19), NETWORKDAYS(H485, TODAY(), Holidays!$D$4:$D$19)))</f>
        <v>10</v>
      </c>
      <c r="Q485" s="1034"/>
      <c r="R485" s="818"/>
      <c r="S485" s="735"/>
      <c r="T485" s="735"/>
      <c r="U485" s="735"/>
      <c r="V485" s="819"/>
      <c r="W485" s="819"/>
      <c r="X485" s="118"/>
    </row>
    <row r="486" spans="2:24" ht="15" customHeight="1">
      <c r="B486" s="1048" t="s">
        <v>887</v>
      </c>
      <c r="C486" s="703" t="s">
        <v>135</v>
      </c>
      <c r="D486" s="118" t="s">
        <v>888</v>
      </c>
      <c r="E486" s="735" t="s">
        <v>80</v>
      </c>
      <c r="F486" s="118" t="s">
        <v>889</v>
      </c>
      <c r="G486" s="118"/>
      <c r="H486" s="815">
        <v>46087</v>
      </c>
      <c r="I486" s="816"/>
      <c r="J486" s="735" t="s">
        <v>27</v>
      </c>
      <c r="K486" s="735" t="s">
        <v>897</v>
      </c>
      <c r="L486" s="815">
        <v>46076</v>
      </c>
      <c r="M486" s="844">
        <v>46090</v>
      </c>
      <c r="N486" s="396" t="s">
        <v>29</v>
      </c>
      <c r="O486" s="204">
        <f ca="1">IF(ISBLANK(L486), "", IF(ISNUMBER(M486), NETWORKDAYS(L486, M486, Holidays!$D$4:$D$19), NETWORKDAYS(L486, TODAY(), Holidays!$D$4:$D$19)))</f>
        <v>11</v>
      </c>
      <c r="P486" s="763">
        <f ca="1">IF(ISBLANK(H486), "", IF(ISNUMBER(M486), NETWORKDAYS(H486, M486, Holidays!$D$4:$D$19), NETWORKDAYS(H486, TODAY(), Holidays!$D$4:$D$19)))</f>
        <v>2</v>
      </c>
      <c r="Q486" s="1034" t="s">
        <v>56</v>
      </c>
      <c r="R486" s="818"/>
      <c r="S486" s="735"/>
      <c r="T486" s="735"/>
      <c r="U486" s="735"/>
      <c r="V486" s="819"/>
      <c r="W486" s="819"/>
      <c r="X486" s="118"/>
    </row>
    <row r="487" spans="2:24" ht="15" customHeight="1">
      <c r="B487" s="1048" t="s">
        <v>887</v>
      </c>
      <c r="C487" s="703" t="s">
        <v>135</v>
      </c>
      <c r="D487" s="118" t="s">
        <v>888</v>
      </c>
      <c r="E487" s="735" t="s">
        <v>80</v>
      </c>
      <c r="F487" s="118" t="s">
        <v>889</v>
      </c>
      <c r="G487" s="118"/>
      <c r="H487" s="815">
        <v>46087</v>
      </c>
      <c r="I487" s="816"/>
      <c r="J487" s="735" t="s">
        <v>27</v>
      </c>
      <c r="K487" s="735" t="s">
        <v>898</v>
      </c>
      <c r="L487" s="815">
        <v>46076</v>
      </c>
      <c r="M487" s="844">
        <v>46084</v>
      </c>
      <c r="N487" s="396" t="s">
        <v>29</v>
      </c>
      <c r="O487" s="204">
        <f ca="1">IF(ISBLANK(L487), "", IF(ISNUMBER(M487), NETWORKDAYS(L487, M487, Holidays!$D$4:$D$19), NETWORKDAYS(L487, TODAY(), Holidays!$D$4:$D$19)))</f>
        <v>7</v>
      </c>
      <c r="P487" s="763">
        <f ca="1">IF(ISBLANK(H487), "", IF(ISNUMBER(M487), NETWORKDAYS(H487, M487, Holidays!$D$4:$D$19), NETWORKDAYS(H487, TODAY(), Holidays!$D$4:$D$19)))</f>
        <v>-4</v>
      </c>
      <c r="Q487" s="1034" t="s">
        <v>56</v>
      </c>
      <c r="R487" s="818"/>
      <c r="S487" s="735"/>
      <c r="T487" s="735"/>
      <c r="U487" s="735"/>
      <c r="V487" s="819"/>
      <c r="W487" s="819"/>
      <c r="X487" s="118"/>
    </row>
    <row r="488" spans="2:24" ht="15" customHeight="1">
      <c r="B488" s="1048" t="s">
        <v>887</v>
      </c>
      <c r="C488" s="703" t="s">
        <v>135</v>
      </c>
      <c r="D488" s="118" t="s">
        <v>888</v>
      </c>
      <c r="E488" s="735" t="s">
        <v>80</v>
      </c>
      <c r="F488" s="118" t="s">
        <v>889</v>
      </c>
      <c r="G488" s="118"/>
      <c r="H488" s="815">
        <v>46087</v>
      </c>
      <c r="I488" s="816"/>
      <c r="J488" s="735" t="s">
        <v>27</v>
      </c>
      <c r="K488" s="735" t="s">
        <v>899</v>
      </c>
      <c r="L488" s="815">
        <v>46078</v>
      </c>
      <c r="M488" s="844"/>
      <c r="O488" s="204">
        <f ca="1">IF(ISBLANK(L488), "", IF(ISNUMBER(M488), NETWORKDAYS(L488, M488, Holidays!$D$4:$D$19), NETWORKDAYS(L488, TODAY(), Holidays!$D$4:$D$19)))</f>
        <v>17</v>
      </c>
      <c r="P488" s="763">
        <f ca="1">IF(ISBLANK(H488), "", IF(ISNUMBER(M488), NETWORKDAYS(H488, M488, Holidays!$D$4:$D$19), NETWORKDAYS(H488, TODAY(), Holidays!$D$4:$D$19)))</f>
        <v>10</v>
      </c>
      <c r="Q488" s="1034"/>
      <c r="R488" s="818"/>
      <c r="S488" s="735"/>
      <c r="T488" s="735"/>
      <c r="U488" s="735"/>
      <c r="V488" s="819"/>
      <c r="W488" s="819"/>
      <c r="X488" s="118"/>
    </row>
    <row r="489" spans="2:24" ht="15" customHeight="1">
      <c r="B489" s="1012" t="s">
        <v>887</v>
      </c>
      <c r="C489" s="1013" t="s">
        <v>135</v>
      </c>
      <c r="D489" s="300" t="s">
        <v>888</v>
      </c>
      <c r="E489" s="1014" t="s">
        <v>80</v>
      </c>
      <c r="F489" s="300" t="s">
        <v>889</v>
      </c>
      <c r="G489" s="300"/>
      <c r="H489" s="1015">
        <v>46087</v>
      </c>
      <c r="I489" s="1016"/>
      <c r="J489" s="1014" t="s">
        <v>27</v>
      </c>
      <c r="K489" s="1014" t="s">
        <v>900</v>
      </c>
      <c r="L489" s="1015">
        <v>46079</v>
      </c>
      <c r="M489" s="1049">
        <v>46084</v>
      </c>
      <c r="N489" s="1050" t="s">
        <v>29</v>
      </c>
      <c r="O489" s="472">
        <f ca="1">IF(ISBLANK(L489), "", IF(ISNUMBER(M489), NETWORKDAYS(L489, M489, Holidays!$D$4:$D$19), NETWORKDAYS(L489, TODAY(), Holidays!$D$4:$D$19)))</f>
        <v>4</v>
      </c>
      <c r="P489" s="1017">
        <f ca="1">IF(ISBLANK(H489), "", IF(ISNUMBER(M489), NETWORKDAYS(H489, M489, Holidays!$D$4:$D$19), NETWORKDAYS(H489, TODAY(), Holidays!$D$4:$D$19)))</f>
        <v>-4</v>
      </c>
      <c r="Q489" s="1018" t="s">
        <v>56</v>
      </c>
      <c r="R489" s="818"/>
      <c r="S489" s="735"/>
      <c r="T489" s="735"/>
      <c r="U489" s="735"/>
      <c r="V489" s="819"/>
      <c r="W489" s="819"/>
      <c r="X489" s="118"/>
    </row>
    <row r="490" spans="2:24" ht="15" customHeight="1">
      <c r="B490" s="778" t="s">
        <v>866</v>
      </c>
      <c r="C490" s="778" t="s">
        <v>127</v>
      </c>
      <c r="D490" s="286" t="s">
        <v>868</v>
      </c>
      <c r="E490" s="843" t="s">
        <v>104</v>
      </c>
      <c r="F490" s="286" t="s">
        <v>37</v>
      </c>
      <c r="G490" s="286"/>
      <c r="H490" s="842">
        <v>46097</v>
      </c>
      <c r="I490" s="841"/>
      <c r="J490" s="843" t="s">
        <v>27</v>
      </c>
      <c r="K490" s="843" t="s">
        <v>901</v>
      </c>
      <c r="L490" s="842">
        <v>46080</v>
      </c>
      <c r="M490" s="1044">
        <v>46086</v>
      </c>
      <c r="N490" s="199" t="s">
        <v>29</v>
      </c>
      <c r="O490" s="157">
        <f ca="1">IF(ISBLANK(L490), "", IF(ISNUMBER(M490), NETWORKDAYS(L490, M490, Holidays!$D$4:$D$19), NETWORKDAYS(L490, TODAY(), Holidays!$D$4:$D$19)))</f>
        <v>5</v>
      </c>
      <c r="P490" s="726">
        <f ca="1">IF(ISBLANK(H490), "", IF(ISNUMBER(M490), NETWORKDAYS(H490, M490, Holidays!$D$4:$D$19), NETWORKDAYS(H490, TODAY(), Holidays!$D$4:$D$19)))</f>
        <v>-8</v>
      </c>
      <c r="Q490" s="286" t="s">
        <v>56</v>
      </c>
      <c r="R490" s="818"/>
      <c r="S490" s="735"/>
      <c r="T490" s="735"/>
      <c r="U490" s="735"/>
      <c r="V490" s="819"/>
      <c r="W490" s="819"/>
      <c r="X490" s="118"/>
    </row>
    <row r="491" spans="2:24" ht="15" customHeight="1">
      <c r="B491" s="703" t="s">
        <v>902</v>
      </c>
      <c r="C491" s="703" t="s">
        <v>135</v>
      </c>
      <c r="D491" s="118" t="s">
        <v>903</v>
      </c>
      <c r="E491" s="735" t="s">
        <v>259</v>
      </c>
      <c r="F491" s="118" t="s">
        <v>216</v>
      </c>
      <c r="G491" s="118"/>
      <c r="H491" s="815">
        <v>46094</v>
      </c>
      <c r="I491" s="816"/>
      <c r="J491" s="735" t="s">
        <v>27</v>
      </c>
      <c r="K491" s="735" t="s">
        <v>904</v>
      </c>
      <c r="L491" s="815">
        <v>46079</v>
      </c>
      <c r="M491" s="844"/>
      <c r="N491" s="396" t="s">
        <v>46</v>
      </c>
      <c r="O491" s="204">
        <f ca="1">IF(ISBLANK(L491), "", IF(ISNUMBER(M491), NETWORKDAYS(L491, M491, Holidays!$D$4:$D$19), NETWORKDAYS(L491, TODAY(), Holidays!$D$4:$D$19)))</f>
        <v>16</v>
      </c>
      <c r="P491" s="763">
        <f ca="1">IF(ISBLANK(H491), "", IF(ISNUMBER(M491), NETWORKDAYS(H491, M491, Holidays!$D$4:$D$19), NETWORKDAYS(H491, TODAY(), Holidays!$D$4:$D$19)))</f>
        <v>5</v>
      </c>
      <c r="Q491" s="118"/>
      <c r="R491" s="818"/>
      <c r="S491" s="735"/>
      <c r="T491" s="735"/>
      <c r="U491" s="735"/>
      <c r="V491" s="819"/>
      <c r="W491" s="819"/>
      <c r="X491" s="118"/>
    </row>
    <row r="492" spans="2:24" ht="15" customHeight="1">
      <c r="B492" s="772" t="s">
        <v>905</v>
      </c>
      <c r="C492" s="772" t="s">
        <v>214</v>
      </c>
      <c r="D492" s="127" t="s">
        <v>906</v>
      </c>
      <c r="E492" s="820" t="s">
        <v>113</v>
      </c>
      <c r="F492" s="127" t="s">
        <v>732</v>
      </c>
      <c r="G492" s="127"/>
      <c r="H492" s="821">
        <v>46090</v>
      </c>
      <c r="I492" s="822"/>
      <c r="J492" s="820" t="s">
        <v>27</v>
      </c>
      <c r="K492" s="1064" t="s">
        <v>907</v>
      </c>
      <c r="L492" s="821">
        <v>46083</v>
      </c>
      <c r="M492" s="1052">
        <v>46090</v>
      </c>
      <c r="N492" s="163" t="s">
        <v>29</v>
      </c>
      <c r="O492" s="362">
        <f ca="1">IF(ISBLANK(L492), "", IF(ISNUMBER(M492), NETWORKDAYS(L492, M492, Holidays!$D$4:$D$19), NETWORKDAYS(L492, TODAY(), Holidays!$D$4:$D$19)))</f>
        <v>6</v>
      </c>
      <c r="P492" s="776">
        <f ca="1">IF(ISBLANK(H492), "", IF(ISNUMBER(M492), NETWORKDAYS(H492, M492, Holidays!$D$4:$D$19), NETWORKDAYS(H492, TODAY(), Holidays!$D$4:$D$19)))</f>
        <v>1</v>
      </c>
      <c r="Q492" s="127" t="s">
        <v>56</v>
      </c>
      <c r="R492" s="818"/>
      <c r="S492" s="735"/>
      <c r="T492" s="735"/>
      <c r="U492" s="735"/>
      <c r="V492" s="819"/>
      <c r="W492" s="819"/>
      <c r="X492" s="118"/>
    </row>
    <row r="493" spans="2:24" ht="15" customHeight="1">
      <c r="B493" s="1003" t="s">
        <v>447</v>
      </c>
      <c r="C493" s="1004" t="s">
        <v>219</v>
      </c>
      <c r="D493" s="1005" t="s">
        <v>908</v>
      </c>
      <c r="E493" s="1006" t="s">
        <v>36</v>
      </c>
      <c r="F493" s="1005" t="s">
        <v>264</v>
      </c>
      <c r="G493" s="1005"/>
      <c r="H493" s="1007">
        <v>46094</v>
      </c>
      <c r="I493" s="1008"/>
      <c r="J493" s="1006" t="s">
        <v>27</v>
      </c>
      <c r="K493" s="1065" t="s">
        <v>909</v>
      </c>
      <c r="L493" s="1007">
        <v>46079</v>
      </c>
      <c r="M493" s="1046">
        <v>46085</v>
      </c>
      <c r="N493" s="1047" t="s">
        <v>29</v>
      </c>
      <c r="O493" s="1009">
        <f ca="1">IF(ISBLANK(L493), "", IF(ISNUMBER(M493), NETWORKDAYS(L493, M493, Holidays!$D$4:$D$19), NETWORKDAYS(L493, TODAY(), Holidays!$D$4:$D$19)))</f>
        <v>5</v>
      </c>
      <c r="P493" s="1010">
        <f ca="1">IF(ISBLANK(H493), "", IF(ISNUMBER(M493), NETWORKDAYS(H493, M493, Holidays!$D$4:$D$19), NETWORKDAYS(H493, TODAY(), Holidays!$D$4:$D$19)))</f>
        <v>-8</v>
      </c>
      <c r="Q493" s="1011" t="s">
        <v>56</v>
      </c>
      <c r="R493" s="818"/>
      <c r="S493" s="735"/>
      <c r="T493" s="735"/>
      <c r="U493" s="735"/>
      <c r="V493" s="819"/>
      <c r="W493" s="819"/>
      <c r="X493" s="118"/>
    </row>
    <row r="494" spans="2:24" ht="15" customHeight="1">
      <c r="B494" s="1048" t="s">
        <v>447</v>
      </c>
      <c r="C494" s="703" t="s">
        <v>219</v>
      </c>
      <c r="D494" s="118" t="s">
        <v>908</v>
      </c>
      <c r="E494" s="735" t="s">
        <v>36</v>
      </c>
      <c r="F494" s="118" t="s">
        <v>264</v>
      </c>
      <c r="G494" s="118"/>
      <c r="H494" s="815">
        <v>46094</v>
      </c>
      <c r="I494" s="816"/>
      <c r="J494" s="735" t="s">
        <v>27</v>
      </c>
      <c r="K494" s="1059" t="s">
        <v>910</v>
      </c>
      <c r="L494" s="815">
        <v>46080</v>
      </c>
      <c r="M494" s="844">
        <v>46092</v>
      </c>
      <c r="N494" s="396" t="s">
        <v>29</v>
      </c>
      <c r="O494" s="204">
        <f ca="1">IF(ISBLANK(L494), "", IF(ISNUMBER(M494), NETWORKDAYS(L494, M494, Holidays!$D$4:$D$19), NETWORKDAYS(L494, TODAY(), Holidays!$D$4:$D$19)))</f>
        <v>9</v>
      </c>
      <c r="P494" s="763">
        <f ca="1">IF(ISBLANK(H494), "", IF(ISNUMBER(M494), NETWORKDAYS(H494, M494, Holidays!$D$4:$D$19), NETWORKDAYS(H494, TODAY(), Holidays!$D$4:$D$19)))</f>
        <v>-3</v>
      </c>
      <c r="Q494" s="1034" t="s">
        <v>56</v>
      </c>
      <c r="R494" s="818"/>
      <c r="S494" s="735"/>
      <c r="T494" s="735"/>
      <c r="U494" s="735"/>
      <c r="V494" s="819"/>
      <c r="W494" s="819"/>
      <c r="X494" s="118"/>
    </row>
    <row r="495" spans="2:24" ht="15" customHeight="1">
      <c r="B495" s="1020" t="s">
        <v>447</v>
      </c>
      <c r="C495" s="772" t="s">
        <v>219</v>
      </c>
      <c r="D495" s="127" t="s">
        <v>908</v>
      </c>
      <c r="E495" s="820" t="s">
        <v>36</v>
      </c>
      <c r="F495" s="127" t="s">
        <v>264</v>
      </c>
      <c r="G495" s="127"/>
      <c r="H495" s="821">
        <v>46094</v>
      </c>
      <c r="I495" s="822"/>
      <c r="J495" s="820" t="s">
        <v>27</v>
      </c>
      <c r="K495" s="1064" t="s">
        <v>911</v>
      </c>
      <c r="L495" s="821">
        <v>46083</v>
      </c>
      <c r="M495" s="1052">
        <v>46086</v>
      </c>
      <c r="N495" s="163" t="s">
        <v>29</v>
      </c>
      <c r="O495" s="362">
        <f ca="1">IF(ISBLANK(L495), "", IF(ISNUMBER(M495), NETWORKDAYS(L495, M495, Holidays!$D$4:$D$19), NETWORKDAYS(L495, TODAY(), Holidays!$D$4:$D$19)))</f>
        <v>4</v>
      </c>
      <c r="P495" s="776">
        <f ca="1">IF(ISBLANK(H495), "", IF(ISNUMBER(M495), NETWORKDAYS(H495, M495, Holidays!$D$4:$D$19), NETWORKDAYS(H495, TODAY(), Holidays!$D$4:$D$19)))</f>
        <v>-7</v>
      </c>
      <c r="Q495" s="1021" t="s">
        <v>56</v>
      </c>
      <c r="R495" s="818"/>
      <c r="S495" s="735"/>
      <c r="T495" s="735"/>
      <c r="U495" s="735"/>
      <c r="V495" s="819"/>
      <c r="W495" s="819"/>
      <c r="X495" s="118"/>
    </row>
    <row r="496" spans="2:24" ht="15" customHeight="1">
      <c r="B496" s="1003" t="s">
        <v>912</v>
      </c>
      <c r="C496" s="1004" t="s">
        <v>913</v>
      </c>
      <c r="D496" s="1005" t="s">
        <v>914</v>
      </c>
      <c r="E496" s="1006" t="s">
        <v>676</v>
      </c>
      <c r="F496" s="1005" t="s">
        <v>24</v>
      </c>
      <c r="G496" s="1005"/>
      <c r="H496" s="1007">
        <v>46094</v>
      </c>
      <c r="I496" s="1008"/>
      <c r="J496" s="1006" t="s">
        <v>27</v>
      </c>
      <c r="K496" s="1065" t="s">
        <v>915</v>
      </c>
      <c r="L496" s="1007">
        <v>46084</v>
      </c>
      <c r="M496" s="1046"/>
      <c r="N496" s="1047"/>
      <c r="O496" s="1009">
        <f ca="1">IF(ISBLANK(L496), "", IF(ISNUMBER(M496), NETWORKDAYS(L496, M496, Holidays!$D$4:$D$19), NETWORKDAYS(L496, TODAY(), Holidays!$D$4:$D$19)))</f>
        <v>13</v>
      </c>
      <c r="P496" s="1010">
        <f ca="1">IF(ISBLANK(H496), "", IF(ISNUMBER(M496), NETWORKDAYS(H496, M496, Holidays!$D$4:$D$19), NETWORKDAYS(H496, TODAY(), Holidays!$D$4:$D$19)))</f>
        <v>5</v>
      </c>
      <c r="Q496" s="1011"/>
      <c r="R496" s="818"/>
      <c r="S496" s="735"/>
      <c r="T496" s="735"/>
      <c r="U496" s="735"/>
      <c r="V496" s="819"/>
      <c r="W496" s="819"/>
      <c r="X496" s="118"/>
    </row>
    <row r="497" spans="2:24" ht="15" customHeight="1">
      <c r="B497" s="1068" t="s">
        <v>912</v>
      </c>
      <c r="C497" s="1067" t="s">
        <v>913</v>
      </c>
      <c r="D497" s="1066" t="s">
        <v>914</v>
      </c>
      <c r="E497" s="1059" t="s">
        <v>676</v>
      </c>
      <c r="F497" s="1069" t="s">
        <v>24</v>
      </c>
      <c r="G497" s="118"/>
      <c r="H497" s="1070">
        <v>46094</v>
      </c>
      <c r="I497" s="816"/>
      <c r="J497" s="735" t="s">
        <v>27</v>
      </c>
      <c r="K497" s="1059" t="s">
        <v>916</v>
      </c>
      <c r="L497" s="815">
        <v>46084</v>
      </c>
      <c r="M497" s="844"/>
      <c r="O497" s="204">
        <f ca="1">IF(ISBLANK(L497), "", IF(ISNUMBER(M497), NETWORKDAYS(L497, M497, Holidays!$D$4:$D$19), NETWORKDAYS(L497, TODAY(), Holidays!$D$4:$D$19)))</f>
        <v>13</v>
      </c>
      <c r="P497" s="763">
        <f ca="1">IF(ISBLANK(H497), "", IF(ISNUMBER(M497), NETWORKDAYS(H497, M497, Holidays!$D$4:$D$19), NETWORKDAYS(H497, TODAY(), Holidays!$D$4:$D$19)))</f>
        <v>5</v>
      </c>
      <c r="Q497" s="1034"/>
      <c r="R497" s="818"/>
      <c r="S497" s="735"/>
      <c r="T497" s="735"/>
      <c r="U497" s="735"/>
      <c r="V497" s="819"/>
      <c r="W497" s="819"/>
      <c r="X497" s="118"/>
    </row>
    <row r="498" spans="2:24" ht="15" customHeight="1" thickBot="1">
      <c r="B498" s="1072" t="s">
        <v>912</v>
      </c>
      <c r="C498" s="1073" t="s">
        <v>913</v>
      </c>
      <c r="D498" s="1074" t="s">
        <v>914</v>
      </c>
      <c r="E498" s="1064" t="s">
        <v>676</v>
      </c>
      <c r="F498" s="1075" t="s">
        <v>24</v>
      </c>
      <c r="G498" s="127"/>
      <c r="H498" s="1076">
        <v>46094</v>
      </c>
      <c r="I498" s="822"/>
      <c r="J498" s="820" t="s">
        <v>40</v>
      </c>
      <c r="K498" s="1064" t="s">
        <v>917</v>
      </c>
      <c r="L498" s="821">
        <v>46084</v>
      </c>
      <c r="M498" s="1052"/>
      <c r="N498" s="163"/>
      <c r="O498" s="362">
        <f ca="1">IF(ISBLANK(L498), "", IF(ISNUMBER(M498), NETWORKDAYS(L498, M498, Holidays!$D$4:$D$19), NETWORKDAYS(L498, TODAY(), Holidays!$D$4:$D$19)))</f>
        <v>13</v>
      </c>
      <c r="P498" s="776">
        <f ca="1">IF(ISBLANK(H498), "", IF(ISNUMBER(M498), NETWORKDAYS(H498, M498, Holidays!$D$4:$D$19), NETWORKDAYS(H498, TODAY(), Holidays!$D$4:$D$19)))</f>
        <v>5</v>
      </c>
      <c r="Q498" s="1021"/>
      <c r="R498" s="818"/>
      <c r="S498" s="735"/>
      <c r="T498" s="735"/>
      <c r="U498" s="735"/>
      <c r="V498" s="819"/>
      <c r="W498" s="819"/>
      <c r="X498" s="118"/>
    </row>
    <row r="499" spans="2:24" ht="15" customHeight="1">
      <c r="B499" s="1003" t="s">
        <v>918</v>
      </c>
      <c r="C499" s="1004" t="s">
        <v>135</v>
      </c>
      <c r="D499" s="1005" t="s">
        <v>919</v>
      </c>
      <c r="E499" s="1006" t="s">
        <v>113</v>
      </c>
      <c r="F499" s="1005" t="s">
        <v>260</v>
      </c>
      <c r="G499" s="1005"/>
      <c r="H499" s="1007">
        <v>46101</v>
      </c>
      <c r="I499" s="1008"/>
      <c r="J499" s="1006" t="s">
        <v>27</v>
      </c>
      <c r="K499" s="1006" t="s">
        <v>920</v>
      </c>
      <c r="L499" s="1007">
        <v>46084</v>
      </c>
      <c r="M499" s="1046"/>
      <c r="N499" s="1047"/>
      <c r="O499" s="1009">
        <f ca="1">IF(ISBLANK(L499), "", IF(ISNUMBER(M499), NETWORKDAYS(L499, M499, Holidays!$D$4:$D$19), NETWORKDAYS(L499, TODAY(), Holidays!$D$4:$D$19)))</f>
        <v>13</v>
      </c>
      <c r="P499" s="1010">
        <f ca="1">IF(ISBLANK(H499), "", IF(ISNUMBER(M499), NETWORKDAYS(H499, M499, Holidays!$D$4:$D$19), NETWORKDAYS(H499, TODAY(), Holidays!$D$4:$D$19)))</f>
        <v>-2</v>
      </c>
      <c r="Q499" s="1011"/>
      <c r="R499" s="818"/>
      <c r="S499" s="735"/>
      <c r="T499" s="735"/>
      <c r="U499" s="735"/>
      <c r="V499" s="819"/>
      <c r="W499" s="819"/>
      <c r="X499" s="118"/>
    </row>
    <row r="500" spans="2:24" ht="15" customHeight="1">
      <c r="B500" s="1022" t="s">
        <v>918</v>
      </c>
      <c r="C500" s="778" t="s">
        <v>135</v>
      </c>
      <c r="D500" s="286" t="s">
        <v>919</v>
      </c>
      <c r="E500" s="843" t="s">
        <v>113</v>
      </c>
      <c r="F500" s="286" t="s">
        <v>260</v>
      </c>
      <c r="G500" s="286"/>
      <c r="H500" s="842">
        <v>46101</v>
      </c>
      <c r="I500" s="841"/>
      <c r="J500" s="843" t="s">
        <v>27</v>
      </c>
      <c r="K500" s="735" t="s">
        <v>921</v>
      </c>
      <c r="L500" s="815">
        <v>46084</v>
      </c>
      <c r="M500" s="844"/>
      <c r="O500" s="204">
        <f ca="1">IF(ISBLANK(L500), "", IF(ISNUMBER(M500), NETWORKDAYS(L500, M500, Holidays!$D$4:$D$19), NETWORKDAYS(L500, TODAY(), Holidays!$D$4:$D$19)))</f>
        <v>13</v>
      </c>
      <c r="P500" s="763">
        <f ca="1">IF(ISBLANK(H500), "", IF(ISNUMBER(M500), NETWORKDAYS(H500, M500, Holidays!$D$4:$D$19), NETWORKDAYS(H500, TODAY(), Holidays!$D$4:$D$19)))</f>
        <v>-2</v>
      </c>
      <c r="Q500" s="1034"/>
      <c r="R500" s="818"/>
      <c r="S500" s="735"/>
      <c r="T500" s="735"/>
      <c r="U500" s="735"/>
      <c r="V500" s="819"/>
      <c r="W500" s="819"/>
      <c r="X500" s="118"/>
    </row>
    <row r="501" spans="2:24" ht="15" customHeight="1">
      <c r="B501" s="1022" t="s">
        <v>918</v>
      </c>
      <c r="C501" s="778" t="s">
        <v>135</v>
      </c>
      <c r="D501" s="286" t="s">
        <v>919</v>
      </c>
      <c r="E501" s="843" t="s">
        <v>113</v>
      </c>
      <c r="F501" s="286" t="s">
        <v>260</v>
      </c>
      <c r="G501" s="286"/>
      <c r="H501" s="842">
        <v>46101</v>
      </c>
      <c r="I501" s="841"/>
      <c r="J501" s="843" t="s">
        <v>27</v>
      </c>
      <c r="K501" s="735" t="s">
        <v>922</v>
      </c>
      <c r="L501" s="842">
        <v>46084</v>
      </c>
      <c r="M501" s="844"/>
      <c r="O501" s="204">
        <f ca="1">IF(ISBLANK(L501), "", IF(ISNUMBER(M501), NETWORKDAYS(L501, M501, Holidays!$D$4:$D$19), NETWORKDAYS(L501, TODAY(), Holidays!$D$4:$D$19)))</f>
        <v>13</v>
      </c>
      <c r="P501" s="763">
        <f ca="1">IF(ISBLANK(H501), "", IF(ISNUMBER(M501), NETWORKDAYS(H501, M501, Holidays!$D$4:$D$19), NETWORKDAYS(H501, TODAY(), Holidays!$D$4:$D$19)))</f>
        <v>-2</v>
      </c>
      <c r="Q501" s="1034"/>
      <c r="R501" s="818"/>
      <c r="S501" s="735"/>
      <c r="T501" s="735"/>
      <c r="U501" s="735"/>
      <c r="V501" s="819"/>
      <c r="W501" s="819"/>
      <c r="X501" s="118"/>
    </row>
    <row r="502" spans="2:24" ht="15" customHeight="1">
      <c r="B502" s="1035" t="s">
        <v>918</v>
      </c>
      <c r="C502" s="1033" t="s">
        <v>135</v>
      </c>
      <c r="D502" s="171" t="s">
        <v>919</v>
      </c>
      <c r="E502" s="1036" t="s">
        <v>113</v>
      </c>
      <c r="F502" s="171" t="s">
        <v>260</v>
      </c>
      <c r="G502" s="171"/>
      <c r="H502" s="1037">
        <v>46101</v>
      </c>
      <c r="I502" s="1071"/>
      <c r="J502" s="1036" t="s">
        <v>27</v>
      </c>
      <c r="K502" s="1014" t="s">
        <v>923</v>
      </c>
      <c r="L502" s="1015">
        <v>46085</v>
      </c>
      <c r="M502" s="1049">
        <v>46094</v>
      </c>
      <c r="N502" s="1050" t="s">
        <v>29</v>
      </c>
      <c r="O502" s="472">
        <f ca="1">IF(ISBLANK(L502), "", IF(ISNUMBER(M502), NETWORKDAYS(L502, M502, Holidays!$D$4:$D$19), NETWORKDAYS(L502, TODAY(), Holidays!$D$4:$D$19)))</f>
        <v>8</v>
      </c>
      <c r="P502" s="1017">
        <f ca="1">IF(ISBLANK(H502), "", IF(ISNUMBER(M502), NETWORKDAYS(H502, M502, Holidays!$D$4:$D$19), NETWORKDAYS(H502, TODAY(), Holidays!$D$4:$D$19)))</f>
        <v>-6</v>
      </c>
      <c r="Q502" s="1018" t="s">
        <v>56</v>
      </c>
      <c r="R502" s="818"/>
      <c r="S502" s="735"/>
      <c r="T502" s="735"/>
      <c r="U502" s="735"/>
      <c r="V502" s="819"/>
      <c r="W502" s="819"/>
      <c r="X502" s="118"/>
    </row>
    <row r="503" spans="2:24" ht="15" customHeight="1">
      <c r="B503" s="1003" t="s">
        <v>866</v>
      </c>
      <c r="C503" s="1004" t="s">
        <v>924</v>
      </c>
      <c r="D503" s="1005" t="s">
        <v>868</v>
      </c>
      <c r="E503" s="1006" t="s">
        <v>104</v>
      </c>
      <c r="F503" s="1005" t="s">
        <v>241</v>
      </c>
      <c r="G503" s="1005"/>
      <c r="H503" s="1007">
        <v>46105</v>
      </c>
      <c r="I503" s="1008"/>
      <c r="J503" s="1006" t="s">
        <v>40</v>
      </c>
      <c r="K503" s="1006" t="s">
        <v>925</v>
      </c>
      <c r="L503" s="1007">
        <v>46080</v>
      </c>
      <c r="M503" s="1046"/>
      <c r="N503" s="1047"/>
      <c r="O503" s="1009">
        <f ca="1">IF(ISBLANK(L503), "", IF(ISNUMBER(M503), NETWORKDAYS(L503, M503, Holidays!$D$4:$D$19), NETWORKDAYS(L503, TODAY(), Holidays!$D$4:$D$19)))</f>
        <v>15</v>
      </c>
      <c r="P503" s="1010">
        <f ca="1">IF(ISBLANK(H503), "", IF(ISNUMBER(M503), NETWORKDAYS(H503, M503, Holidays!$D$4:$D$19), NETWORKDAYS(H503, TODAY(), Holidays!$D$4:$D$19)))</f>
        <v>-4</v>
      </c>
      <c r="Q503" s="1011"/>
      <c r="R503" s="818"/>
      <c r="S503" s="735"/>
      <c r="T503" s="735"/>
      <c r="U503" s="735"/>
      <c r="V503" s="819"/>
      <c r="W503" s="819"/>
      <c r="X503" s="118"/>
    </row>
    <row r="504" spans="2:24" ht="15" customHeight="1" thickBot="1">
      <c r="B504" s="1012" t="s">
        <v>866</v>
      </c>
      <c r="C504" s="1013" t="s">
        <v>924</v>
      </c>
      <c r="D504" s="300" t="s">
        <v>868</v>
      </c>
      <c r="E504" s="1014" t="s">
        <v>104</v>
      </c>
      <c r="F504" s="300" t="s">
        <v>241</v>
      </c>
      <c r="G504" s="300"/>
      <c r="H504" s="1015">
        <v>46105</v>
      </c>
      <c r="I504" s="1016"/>
      <c r="J504" s="1014" t="s">
        <v>27</v>
      </c>
      <c r="K504" s="1014" t="s">
        <v>926</v>
      </c>
      <c r="L504" s="1015">
        <v>46080</v>
      </c>
      <c r="M504" s="1049"/>
      <c r="N504" s="1050"/>
      <c r="O504" s="472">
        <f ca="1">IF(ISBLANK(L504), "", IF(ISNUMBER(M504), NETWORKDAYS(L504, M504, Holidays!$D$4:$D$19), NETWORKDAYS(L504, TODAY(), Holidays!$D$4:$D$19)))</f>
        <v>15</v>
      </c>
      <c r="P504" s="1017">
        <f ca="1">IF(ISBLANK(H504), "", IF(ISNUMBER(M504), NETWORKDAYS(H504, M504, Holidays!$D$4:$D$19), NETWORKDAYS(H504, TODAY(), Holidays!$D$4:$D$19)))</f>
        <v>-4</v>
      </c>
      <c r="Q504" s="1018"/>
      <c r="R504" s="818"/>
      <c r="S504" s="735"/>
      <c r="T504" s="735"/>
      <c r="U504" s="735"/>
      <c r="V504" s="819"/>
      <c r="W504" s="819"/>
      <c r="X504" s="118"/>
    </row>
    <row r="505" spans="2:24" ht="28.9">
      <c r="B505" s="1024" t="s">
        <v>490</v>
      </c>
      <c r="C505" s="1025" t="s">
        <v>141</v>
      </c>
      <c r="D505" s="1026" t="s">
        <v>491</v>
      </c>
      <c r="E505" s="1027" t="s">
        <v>113</v>
      </c>
      <c r="F505" s="1026" t="s">
        <v>593</v>
      </c>
      <c r="G505" s="1026"/>
      <c r="H505" s="1029">
        <v>46087</v>
      </c>
      <c r="I505" s="1077"/>
      <c r="J505" s="1027" t="s">
        <v>27</v>
      </c>
      <c r="K505" s="1027" t="s">
        <v>927</v>
      </c>
      <c r="L505" s="1029">
        <v>46085</v>
      </c>
      <c r="M505" s="1078">
        <v>46091</v>
      </c>
      <c r="N505" s="1079" t="s">
        <v>29</v>
      </c>
      <c r="O505" s="1031">
        <f ca="1">IF(ISBLANK(L505), "", IF(ISNUMBER(M505), NETWORKDAYS(L505, M505, Holidays!$D$4:$D$19), NETWORKDAYS(L505, TODAY(), Holidays!$D$4:$D$19)))</f>
        <v>5</v>
      </c>
      <c r="P505" s="1026">
        <f ca="1">IF(ISBLANK(H505), "", IF(ISNUMBER(M505), NETWORKDAYS(H505, M505, Holidays!$D$4:$D$19), NETWORKDAYS(H505, TODAY(), Holidays!$D$4:$D$19)))</f>
        <v>3</v>
      </c>
      <c r="Q505" s="1032" t="s">
        <v>56</v>
      </c>
      <c r="R505" s="818"/>
      <c r="S505" s="735"/>
      <c r="T505" s="735"/>
      <c r="U505" s="735"/>
      <c r="V505" s="819"/>
      <c r="W505" s="819"/>
      <c r="X505" s="118"/>
    </row>
    <row r="506" spans="2:24" ht="15" customHeight="1" thickBot="1">
      <c r="B506" s="1012" t="s">
        <v>866</v>
      </c>
      <c r="C506" s="1013" t="s">
        <v>928</v>
      </c>
      <c r="D506" s="300" t="s">
        <v>868</v>
      </c>
      <c r="E506" s="1014" t="s">
        <v>104</v>
      </c>
      <c r="F506" s="300" t="s">
        <v>186</v>
      </c>
      <c r="G506" s="300"/>
      <c r="H506" s="1015">
        <v>46100</v>
      </c>
      <c r="I506" s="1016"/>
      <c r="J506" s="1014" t="s">
        <v>27</v>
      </c>
      <c r="K506" s="1014" t="s">
        <v>929</v>
      </c>
      <c r="L506" s="1015">
        <v>46086</v>
      </c>
      <c r="M506" s="1049"/>
      <c r="N506" s="1050"/>
      <c r="O506" s="472">
        <f ca="1">IF(ISBLANK(L506), "", IF(ISNUMBER(M506), NETWORKDAYS(L506, M506, Holidays!$D$4:$D$19), NETWORKDAYS(L506, TODAY(), Holidays!$D$4:$D$19)))</f>
        <v>11</v>
      </c>
      <c r="P506" s="1017">
        <f ca="1">IF(ISBLANK(H506), "", IF(ISNUMBER(M506), NETWORKDAYS(H506, M506, Holidays!$D$4:$D$19), NETWORKDAYS(H506, TODAY(), Holidays!$D$4:$D$19)))</f>
        <v>1</v>
      </c>
      <c r="Q506" s="1018"/>
      <c r="R506" s="818"/>
      <c r="S506" s="735"/>
      <c r="T506" s="735"/>
      <c r="U506" s="735"/>
      <c r="V506" s="819"/>
      <c r="W506" s="819"/>
      <c r="X506" s="118"/>
    </row>
    <row r="507" spans="2:24" ht="15" customHeight="1">
      <c r="B507" s="1081" t="s">
        <v>866</v>
      </c>
      <c r="C507" s="173" t="s">
        <v>930</v>
      </c>
      <c r="D507" s="1082" t="s">
        <v>868</v>
      </c>
      <c r="E507" s="1083" t="s">
        <v>104</v>
      </c>
      <c r="F507" s="1082" t="s">
        <v>37</v>
      </c>
      <c r="G507" s="1082"/>
      <c r="H507" s="1019">
        <v>46100</v>
      </c>
      <c r="I507" s="1084"/>
      <c r="J507" s="1083" t="s">
        <v>27</v>
      </c>
      <c r="K507" s="1083" t="s">
        <v>931</v>
      </c>
      <c r="L507" s="1019">
        <v>46087</v>
      </c>
      <c r="M507" s="1085"/>
      <c r="N507" s="1086"/>
      <c r="O507" s="1087">
        <f ca="1">IF(ISBLANK(L507), "", IF(ISNUMBER(M507), NETWORKDAYS(L507, M507, Holidays!$D$4:$D$19), NETWORKDAYS(L507, TODAY(), Holidays!$D$4:$D$19)))</f>
        <v>10</v>
      </c>
      <c r="P507" s="1082">
        <f ca="1">IF(ISBLANK(H507), "", IF(ISNUMBER(M507), NETWORKDAYS(H507, M507, Holidays!$D$4:$D$19), NETWORKDAYS(H507, TODAY(), Holidays!$D$4:$D$19)))</f>
        <v>1</v>
      </c>
      <c r="Q507" s="1088"/>
      <c r="R507" s="818"/>
      <c r="S507" s="735"/>
      <c r="T507" s="735"/>
      <c r="U507" s="735"/>
      <c r="V507" s="819"/>
      <c r="W507" s="819"/>
      <c r="X507" s="118"/>
    </row>
    <row r="508" spans="2:24" ht="15" customHeight="1">
      <c r="B508" s="703" t="s">
        <v>932</v>
      </c>
      <c r="C508" s="703" t="s">
        <v>135</v>
      </c>
      <c r="D508" s="118" t="s">
        <v>933</v>
      </c>
      <c r="E508" s="735" t="s">
        <v>156</v>
      </c>
      <c r="F508" s="118" t="s">
        <v>732</v>
      </c>
      <c r="G508" s="118"/>
      <c r="H508" s="815">
        <v>46111</v>
      </c>
      <c r="I508" s="816"/>
      <c r="J508" s="735" t="s">
        <v>27</v>
      </c>
      <c r="K508" s="735" t="s">
        <v>934</v>
      </c>
      <c r="L508" s="815">
        <v>46091</v>
      </c>
      <c r="M508" s="844"/>
      <c r="O508" s="118">
        <f ca="1">IF(ISBLANK(L508), "", IF(ISNUMBER(M508), NETWORKDAYS(L508, M508, Holidays!$D$4:$D$19), NETWORKDAYS(L508, TODAY(), Holidays!$D$4:$D$19)))</f>
        <v>8</v>
      </c>
      <c r="P508" s="118">
        <f ca="1">IF(ISBLANK(H508), "", IF(ISNUMBER(M508), NETWORKDAYS(H508, M508, Holidays!$D$4:$D$19), NETWORKDAYS(H508, TODAY(), Holidays!$D$4:$D$19)))</f>
        <v>-8</v>
      </c>
      <c r="Q508" s="118"/>
      <c r="R508" s="818"/>
      <c r="S508" s="735"/>
      <c r="T508" s="735"/>
      <c r="U508" s="735"/>
      <c r="V508" s="819"/>
      <c r="W508" s="819"/>
      <c r="X508" s="118"/>
    </row>
    <row r="509" spans="2:24" ht="15" customHeight="1">
      <c r="B509" s="703" t="s">
        <v>935</v>
      </c>
      <c r="C509" s="703" t="s">
        <v>135</v>
      </c>
      <c r="D509" s="118" t="s">
        <v>936</v>
      </c>
      <c r="E509" s="735" t="s">
        <v>252</v>
      </c>
      <c r="F509" s="118" t="s">
        <v>264</v>
      </c>
      <c r="G509" s="118"/>
      <c r="H509" s="815">
        <v>46101</v>
      </c>
      <c r="I509" s="816"/>
      <c r="J509" s="735" t="s">
        <v>27</v>
      </c>
      <c r="K509" s="735" t="s">
        <v>937</v>
      </c>
      <c r="L509" s="815">
        <v>46086</v>
      </c>
      <c r="M509" s="844">
        <v>46092</v>
      </c>
      <c r="N509" s="396" t="s">
        <v>29</v>
      </c>
      <c r="O509" s="118">
        <f ca="1">IF(ISBLANK(L509), "", IF(ISNUMBER(M509), NETWORKDAYS(L509, M509, Holidays!$D$4:$D$19), NETWORKDAYS(L509, TODAY(), Holidays!$D$4:$D$19)))</f>
        <v>5</v>
      </c>
      <c r="P509" s="118">
        <f ca="1">IF(ISBLANK(H509), "", IF(ISNUMBER(M509), NETWORKDAYS(H509, M509, Holidays!$D$4:$D$19), NETWORKDAYS(H509, TODAY(), Holidays!$D$4:$D$19)))</f>
        <v>-8</v>
      </c>
      <c r="Q509" s="118" t="s">
        <v>56</v>
      </c>
      <c r="R509" s="818"/>
      <c r="S509" s="735"/>
      <c r="T509" s="735"/>
      <c r="U509" s="735"/>
      <c r="V509" s="819"/>
      <c r="W509" s="819"/>
      <c r="X509" s="118"/>
    </row>
    <row r="510" spans="2:24" ht="15" customHeight="1">
      <c r="B510" s="703" t="s">
        <v>938</v>
      </c>
      <c r="C510" s="703" t="s">
        <v>939</v>
      </c>
      <c r="D510" s="118" t="s">
        <v>940</v>
      </c>
      <c r="E510" s="735" t="s">
        <v>80</v>
      </c>
      <c r="F510" s="118" t="s">
        <v>81</v>
      </c>
      <c r="G510" s="118"/>
      <c r="H510" s="815">
        <v>46107</v>
      </c>
      <c r="I510" s="816"/>
      <c r="J510" s="735" t="s">
        <v>40</v>
      </c>
      <c r="K510" s="735" t="s">
        <v>941</v>
      </c>
      <c r="L510" s="815">
        <v>46091</v>
      </c>
      <c r="M510" s="844"/>
      <c r="O510" s="118">
        <f ca="1">IF(ISBLANK(L510), "", IF(ISNUMBER(M510), NETWORKDAYS(L510, M510, Holidays!$D$4:$D$19), NETWORKDAYS(L510, TODAY(), Holidays!$D$4:$D$19)))</f>
        <v>8</v>
      </c>
      <c r="P510" s="118">
        <f ca="1">IF(ISBLANK(H510), "", IF(ISNUMBER(M510), NETWORKDAYS(H510, M510, Holidays!$D$4:$D$19), NETWORKDAYS(H510, TODAY(), Holidays!$D$4:$D$19)))</f>
        <v>-6</v>
      </c>
      <c r="Q510" s="118"/>
      <c r="R510" s="818"/>
      <c r="S510" s="735"/>
      <c r="T510" s="735"/>
      <c r="U510" s="735"/>
      <c r="V510" s="819"/>
      <c r="W510" s="819"/>
      <c r="X510" s="118"/>
    </row>
    <row r="511" spans="2:24" ht="15" customHeight="1">
      <c r="B511" s="703" t="s">
        <v>938</v>
      </c>
      <c r="C511" s="703" t="s">
        <v>939</v>
      </c>
      <c r="D511" s="118" t="s">
        <v>940</v>
      </c>
      <c r="E511" s="735" t="s">
        <v>80</v>
      </c>
      <c r="F511" s="118" t="s">
        <v>81</v>
      </c>
      <c r="G511" s="118"/>
      <c r="H511" s="815">
        <v>46107</v>
      </c>
      <c r="I511" s="841"/>
      <c r="J511" s="843" t="s">
        <v>27</v>
      </c>
      <c r="K511" s="843" t="s">
        <v>942</v>
      </c>
      <c r="L511" s="842">
        <v>46091</v>
      </c>
      <c r="M511" s="1044"/>
      <c r="N511" s="199"/>
      <c r="O511" s="157">
        <f ca="1">IF(ISBLANK(L511), "", IF(ISNUMBER(M511), NETWORKDAYS(L511, M511, Holidays!$D$4:$D$19), NETWORKDAYS(L511, TODAY(), Holidays!$D$4:$D$19)))</f>
        <v>8</v>
      </c>
      <c r="P511" s="726">
        <f ca="1">IF(ISBLANK(H511), "", IF(ISNUMBER(M511), NETWORKDAYS(H511, M511, Holidays!$D$4:$D$19), NETWORKDAYS(H511, TODAY(), Holidays!$D$4:$D$19)))</f>
        <v>-6</v>
      </c>
      <c r="Q511" s="286"/>
      <c r="R511" s="818"/>
      <c r="S511" s="735"/>
      <c r="T511" s="735"/>
      <c r="U511" s="735"/>
      <c r="V511" s="819"/>
      <c r="W511" s="819"/>
      <c r="X511" s="118"/>
    </row>
    <row r="512" spans="2:24" ht="15" customHeight="1">
      <c r="B512" s="703" t="s">
        <v>938</v>
      </c>
      <c r="C512" s="703" t="s">
        <v>939</v>
      </c>
      <c r="D512" s="118" t="s">
        <v>940</v>
      </c>
      <c r="E512" s="735" t="s">
        <v>80</v>
      </c>
      <c r="F512" s="118" t="s">
        <v>81</v>
      </c>
      <c r="G512" s="118"/>
      <c r="H512" s="815">
        <v>46107</v>
      </c>
      <c r="I512" s="816"/>
      <c r="J512" s="735" t="s">
        <v>27</v>
      </c>
      <c r="K512" s="735" t="s">
        <v>943</v>
      </c>
      <c r="L512" s="815">
        <v>46092</v>
      </c>
      <c r="M512" s="844"/>
      <c r="O512" s="204">
        <f ca="1">IF(ISBLANK(L512), "", IF(ISNUMBER(M512), NETWORKDAYS(L512, M512, Holidays!$D$4:$D$19), NETWORKDAYS(L512, TODAY(), Holidays!$D$4:$D$19)))</f>
        <v>7</v>
      </c>
      <c r="P512" s="763">
        <f ca="1">IF(ISBLANK(H512), "", IF(ISNUMBER(M512), NETWORKDAYS(H512, M512, Holidays!$D$4:$D$19), NETWORKDAYS(H512, TODAY(), Holidays!$D$4:$D$19)))</f>
        <v>-6</v>
      </c>
      <c r="Q512" s="118"/>
      <c r="R512" s="818"/>
      <c r="S512" s="735"/>
      <c r="T512" s="735"/>
      <c r="U512" s="735"/>
      <c r="V512" s="819"/>
      <c r="W512" s="819"/>
      <c r="X512" s="118"/>
    </row>
    <row r="513" spans="2:24" ht="15" customHeight="1">
      <c r="B513" s="703" t="s">
        <v>944</v>
      </c>
      <c r="C513" s="703" t="s">
        <v>945</v>
      </c>
      <c r="D513" s="118" t="s">
        <v>946</v>
      </c>
      <c r="E513" s="735" t="s">
        <v>947</v>
      </c>
      <c r="F513" s="118" t="s">
        <v>593</v>
      </c>
      <c r="G513" s="118"/>
      <c r="H513" s="815">
        <v>46087</v>
      </c>
      <c r="I513" s="816"/>
      <c r="J513" s="735" t="s">
        <v>27</v>
      </c>
      <c r="K513" s="735" t="s">
        <v>948</v>
      </c>
      <c r="L513" s="815">
        <v>46093</v>
      </c>
      <c r="M513" s="844"/>
      <c r="O513" s="204">
        <f ca="1">IF(ISBLANK(L513), "", IF(ISNUMBER(M513), NETWORKDAYS(L513, M513, Holidays!$D$4:$D$19), NETWORKDAYS(L513, TODAY(), Holidays!$D$4:$D$19)))</f>
        <v>6</v>
      </c>
      <c r="P513" s="763">
        <f ca="1">IF(ISBLANK(H513), "", IF(ISNUMBER(M513), NETWORKDAYS(H513, M513, Holidays!$D$4:$D$19), NETWORKDAYS(H513, TODAY(), Holidays!$D$4:$D$19)))</f>
        <v>10</v>
      </c>
      <c r="Q513" s="118"/>
      <c r="R513" s="818"/>
      <c r="S513" s="735"/>
      <c r="T513" s="735"/>
      <c r="U513" s="735"/>
      <c r="V513" s="819"/>
      <c r="W513" s="819"/>
      <c r="X513" s="118"/>
    </row>
    <row r="514" spans="2:24" ht="15" customHeight="1">
      <c r="B514" s="703" t="s">
        <v>949</v>
      </c>
      <c r="C514" s="703" t="s">
        <v>135</v>
      </c>
      <c r="D514" s="118" t="s">
        <v>950</v>
      </c>
      <c r="E514" s="735" t="s">
        <v>947</v>
      </c>
      <c r="F514" s="118" t="s">
        <v>24</v>
      </c>
      <c r="G514" s="118"/>
      <c r="H514" s="815">
        <v>46115</v>
      </c>
      <c r="I514" s="816"/>
      <c r="J514" s="735" t="s">
        <v>27</v>
      </c>
      <c r="K514" s="735" t="s">
        <v>951</v>
      </c>
      <c r="L514" s="815"/>
      <c r="M514" s="844"/>
      <c r="O514" s="204" t="str">
        <f ca="1">IF(ISBLANK(L514), "", IF(ISNUMBER(M514), NETWORKDAYS(L514, M514, Holidays!$D$4:$D$19), NETWORKDAYS(L514, TODAY(), Holidays!$D$4:$D$19)))</f>
        <v/>
      </c>
      <c r="P514" s="763">
        <f ca="1">IF(ISBLANK(H514), "", IF(ISNUMBER(M514), NETWORKDAYS(H514, M514, Holidays!$D$4:$D$19), NETWORKDAYS(H514, TODAY(), Holidays!$D$4:$D$19)))</f>
        <v>-12</v>
      </c>
      <c r="Q514" s="118"/>
      <c r="R514" s="818"/>
      <c r="S514" s="735"/>
      <c r="T514" s="735"/>
      <c r="U514" s="735"/>
      <c r="V514" s="819"/>
      <c r="W514" s="819"/>
      <c r="X514" s="118"/>
    </row>
    <row r="515" spans="2:24" ht="15" customHeight="1">
      <c r="B515" s="703" t="s">
        <v>949</v>
      </c>
      <c r="C515" s="703" t="s">
        <v>135</v>
      </c>
      <c r="D515" s="118" t="s">
        <v>950</v>
      </c>
      <c r="E515" s="735" t="s">
        <v>947</v>
      </c>
      <c r="F515" s="118" t="s">
        <v>24</v>
      </c>
      <c r="G515" s="118"/>
      <c r="H515" s="815">
        <v>46115</v>
      </c>
      <c r="I515" s="816"/>
      <c r="J515" s="735" t="s">
        <v>27</v>
      </c>
      <c r="K515" s="735" t="s">
        <v>952</v>
      </c>
      <c r="L515" s="815"/>
      <c r="M515" s="844"/>
      <c r="O515" s="204" t="str">
        <f ca="1">IF(ISBLANK(L515), "", IF(ISNUMBER(M515), NETWORKDAYS(L515, M515, Holidays!$D$4:$D$19), NETWORKDAYS(L515, TODAY(), Holidays!$D$4:$D$19)))</f>
        <v/>
      </c>
      <c r="P515" s="763">
        <f ca="1">IF(ISBLANK(H515), "", IF(ISNUMBER(M515), NETWORKDAYS(H515, M515, Holidays!$D$4:$D$19), NETWORKDAYS(H515, TODAY(), Holidays!$D$4:$D$19)))</f>
        <v>-12</v>
      </c>
      <c r="Q515" s="118"/>
      <c r="R515" s="818"/>
      <c r="S515" s="735"/>
      <c r="T515" s="735"/>
      <c r="U515" s="735"/>
      <c r="V515" s="819"/>
      <c r="W515" s="819"/>
      <c r="X515" s="118"/>
    </row>
    <row r="516" spans="2:24" ht="15" customHeight="1">
      <c r="B516" s="703"/>
      <c r="C516" s="703"/>
      <c r="D516" s="118"/>
      <c r="E516" s="735"/>
      <c r="F516" s="118"/>
      <c r="G516" s="118"/>
      <c r="H516" s="815"/>
      <c r="I516" s="816"/>
      <c r="J516" s="735"/>
      <c r="K516" s="735"/>
      <c r="L516" s="815"/>
      <c r="M516" s="844"/>
      <c r="O516" s="204" t="str">
        <f ca="1">IF(ISBLANK(L516), "", IF(ISNUMBER(M516), NETWORKDAYS(L516, M516, Holidays!$D$4:$D$19), NETWORKDAYS(L516, TODAY(), Holidays!$D$4:$D$19)))</f>
        <v/>
      </c>
      <c r="P516" s="763" t="str">
        <f ca="1">IF(ISBLANK(H516), "", IF(ISNUMBER(M516), NETWORKDAYS(H516, M516, Holidays!$D$4:$D$19), NETWORKDAYS(H516, TODAY(), Holidays!$D$4:$D$19)))</f>
        <v/>
      </c>
      <c r="Q516" s="118"/>
      <c r="R516" s="818"/>
      <c r="S516" s="735"/>
      <c r="T516" s="735"/>
      <c r="U516" s="735"/>
      <c r="V516" s="819"/>
      <c r="W516" s="819"/>
      <c r="X516" s="118"/>
    </row>
    <row r="517" spans="2:24" ht="15" customHeight="1">
      <c r="B517" s="703"/>
      <c r="C517" s="703"/>
      <c r="D517" s="118"/>
      <c r="E517" s="735"/>
      <c r="F517" s="118"/>
      <c r="G517" s="118"/>
      <c r="H517" s="815"/>
      <c r="I517" s="816"/>
      <c r="J517" s="735"/>
      <c r="K517" s="735"/>
      <c r="L517" s="815"/>
      <c r="M517" s="844"/>
      <c r="O517" s="204" t="str">
        <f ca="1">IF(ISBLANK(L517), "", IF(ISNUMBER(M517), NETWORKDAYS(L517, M517, Holidays!$D$4:$D$19), NETWORKDAYS(L517, TODAY(), Holidays!$D$4:$D$19)))</f>
        <v/>
      </c>
      <c r="P517" s="763" t="str">
        <f ca="1">IF(ISBLANK(H517), "", IF(ISNUMBER(M517), NETWORKDAYS(H517, M517, Holidays!$D$4:$D$19), NETWORKDAYS(H517, TODAY(), Holidays!$D$4:$D$19)))</f>
        <v/>
      </c>
      <c r="Q517" s="118"/>
      <c r="R517" s="818"/>
      <c r="S517" s="735"/>
      <c r="T517" s="735"/>
      <c r="U517" s="735"/>
      <c r="V517" s="819"/>
      <c r="W517" s="819"/>
      <c r="X517" s="118"/>
    </row>
    <row r="518" spans="2:24" ht="15" customHeight="1">
      <c r="B518" s="703"/>
      <c r="C518" s="703"/>
      <c r="D518" s="118"/>
      <c r="E518" s="735"/>
      <c r="F518" s="118"/>
      <c r="G518" s="118"/>
      <c r="H518" s="815"/>
      <c r="I518" s="816"/>
      <c r="J518" s="735"/>
      <c r="K518" s="735"/>
      <c r="L518" s="815"/>
      <c r="M518" s="844"/>
      <c r="O518" s="204" t="str">
        <f ca="1">IF(ISBLANK(L518), "", IF(ISNUMBER(M518), NETWORKDAYS(L518, M518, Holidays!$D$4:$D$19), NETWORKDAYS(L518, TODAY(), Holidays!$D$4:$D$19)))</f>
        <v/>
      </c>
      <c r="P518" s="763" t="str">
        <f ca="1">IF(ISBLANK(H518), "", IF(ISNUMBER(M518), NETWORKDAYS(H518, M518, Holidays!$D$4:$D$19), NETWORKDAYS(H518, TODAY(), Holidays!$D$4:$D$19)))</f>
        <v/>
      </c>
      <c r="Q518" s="118"/>
      <c r="R518" s="818"/>
      <c r="S518" s="735"/>
      <c r="T518" s="735"/>
      <c r="U518" s="735"/>
      <c r="V518" s="819"/>
      <c r="W518" s="819"/>
      <c r="X518" s="118"/>
    </row>
    <row r="519" spans="2:24" ht="15" customHeight="1">
      <c r="B519" s="703"/>
      <c r="C519" s="703"/>
      <c r="D519" s="118"/>
      <c r="E519" s="735"/>
      <c r="F519" s="118"/>
      <c r="G519" s="118"/>
      <c r="H519" s="815"/>
      <c r="I519" s="816"/>
      <c r="J519" s="735"/>
      <c r="K519" s="735"/>
      <c r="L519" s="815"/>
      <c r="M519" s="844"/>
      <c r="O519" s="204" t="str">
        <f ca="1">IF(ISBLANK(L519), "", IF(ISNUMBER(M519), NETWORKDAYS(L519, M519, Holidays!$D$4:$D$19), NETWORKDAYS(L519, TODAY(), Holidays!$D$4:$D$19)))</f>
        <v/>
      </c>
      <c r="P519" s="763" t="str">
        <f ca="1">IF(ISBLANK(H519), "", IF(ISNUMBER(M519), NETWORKDAYS(H519, M519, Holidays!$D$4:$D$19), NETWORKDAYS(H519, TODAY(), Holidays!$D$4:$D$19)))</f>
        <v/>
      </c>
      <c r="Q519" s="118"/>
      <c r="R519" s="818"/>
      <c r="S519" s="735"/>
      <c r="T519" s="735"/>
      <c r="U519" s="735"/>
      <c r="V519" s="819"/>
      <c r="W519" s="819"/>
      <c r="X519" s="118"/>
    </row>
    <row r="520" spans="2:24" ht="15" customHeight="1">
      <c r="B520" s="703"/>
      <c r="C520" s="703"/>
      <c r="D520" s="118"/>
      <c r="E520" s="735"/>
      <c r="F520" s="118"/>
      <c r="G520" s="118"/>
      <c r="H520" s="815"/>
      <c r="I520" s="816"/>
      <c r="J520" s="735"/>
      <c r="K520" s="735"/>
      <c r="L520" s="815"/>
      <c r="M520" s="844"/>
      <c r="O520" s="204" t="str">
        <f ca="1">IF(ISBLANK(L520), "", IF(ISNUMBER(M520), NETWORKDAYS(L520, M520, Holidays!$D$4:$D$19), NETWORKDAYS(L520, TODAY(), Holidays!$D$4:$D$19)))</f>
        <v/>
      </c>
      <c r="P520" s="763" t="str">
        <f ca="1">IF(ISBLANK(H520), "", IF(ISNUMBER(M520), NETWORKDAYS(H520, M520, Holidays!$D$4:$D$19), NETWORKDAYS(H520, TODAY(), Holidays!$D$4:$D$19)))</f>
        <v/>
      </c>
      <c r="Q520" s="118"/>
      <c r="R520" s="818"/>
      <c r="S520" s="735"/>
      <c r="T520" s="735"/>
      <c r="U520" s="735"/>
      <c r="V520" s="819"/>
      <c r="W520" s="819"/>
      <c r="X520" s="118"/>
    </row>
    <row r="521" spans="2:24" ht="15" customHeight="1">
      <c r="B521" s="703"/>
      <c r="C521" s="703"/>
      <c r="D521" s="118"/>
      <c r="E521" s="735"/>
      <c r="F521" s="118"/>
      <c r="G521" s="118"/>
      <c r="H521" s="815"/>
      <c r="I521" s="816"/>
      <c r="J521" s="735"/>
      <c r="K521" s="735"/>
      <c r="L521" s="815"/>
      <c r="M521" s="844"/>
      <c r="O521" s="204" t="str">
        <f ca="1">IF(ISBLANK(L521), "", IF(ISNUMBER(M521), NETWORKDAYS(L521, M521, Holidays!$D$4:$D$19), NETWORKDAYS(L521, TODAY(), Holidays!$D$4:$D$19)))</f>
        <v/>
      </c>
      <c r="P521" s="763" t="str">
        <f ca="1">IF(ISBLANK(H521), "", IF(ISNUMBER(M521), NETWORKDAYS(H521, M521, Holidays!$D$4:$D$19), NETWORKDAYS(H521, TODAY(), Holidays!$D$4:$D$19)))</f>
        <v/>
      </c>
      <c r="Q521" s="118"/>
      <c r="R521" s="818"/>
      <c r="S521" s="735"/>
      <c r="T521" s="735"/>
      <c r="U521" s="735"/>
      <c r="V521" s="819"/>
      <c r="W521" s="819"/>
      <c r="X521" s="118"/>
    </row>
    <row r="522" spans="2:24" ht="15" customHeight="1">
      <c r="B522" s="703"/>
      <c r="C522" s="703"/>
      <c r="D522" s="118"/>
      <c r="E522" s="735"/>
      <c r="F522" s="118"/>
      <c r="G522" s="118"/>
      <c r="H522" s="815"/>
      <c r="I522" s="816"/>
      <c r="J522" s="735"/>
      <c r="K522" s="735"/>
      <c r="L522" s="815"/>
      <c r="M522" s="844"/>
      <c r="O522" s="204" t="str">
        <f ca="1">IF(ISBLANK(L522), "", IF(ISNUMBER(M522), NETWORKDAYS(L522, M522, Holidays!$D$4:$D$19), NETWORKDAYS(L522, TODAY(), Holidays!$D$4:$D$19)))</f>
        <v/>
      </c>
      <c r="P522" s="763" t="str">
        <f ca="1">IF(ISBLANK(H522), "", IF(ISNUMBER(M522), NETWORKDAYS(H522, M522, Holidays!$D$4:$D$19), NETWORKDAYS(H522, TODAY(), Holidays!$D$4:$D$19)))</f>
        <v/>
      </c>
      <c r="Q522" s="118"/>
      <c r="R522" s="818"/>
      <c r="S522" s="735"/>
      <c r="T522" s="735"/>
      <c r="U522" s="735"/>
      <c r="V522" s="819"/>
      <c r="W522" s="819"/>
      <c r="X522" s="118"/>
    </row>
    <row r="523" spans="2:24" ht="15" customHeight="1">
      <c r="B523" s="703"/>
      <c r="C523" s="703"/>
      <c r="D523" s="118"/>
      <c r="E523" s="735"/>
      <c r="F523" s="118"/>
      <c r="G523" s="118"/>
      <c r="H523" s="815"/>
      <c r="I523" s="816"/>
      <c r="J523" s="735"/>
      <c r="K523" s="735"/>
      <c r="L523" s="815"/>
      <c r="M523" s="844"/>
      <c r="O523" s="204" t="str">
        <f ca="1">IF(ISBLANK(L523), "", IF(ISNUMBER(M523), NETWORKDAYS(L523, M523, Holidays!$D$4:$D$19), NETWORKDAYS(L523, TODAY(), Holidays!$D$4:$D$19)))</f>
        <v/>
      </c>
      <c r="P523" s="763" t="str">
        <f ca="1">IF(ISBLANK(H523), "", IF(ISNUMBER(M523), NETWORKDAYS(H523, M523, Holidays!$D$4:$D$19), NETWORKDAYS(H523, TODAY(), Holidays!$D$4:$D$19)))</f>
        <v/>
      </c>
      <c r="Q523" s="118"/>
      <c r="R523" s="818"/>
      <c r="S523" s="735"/>
      <c r="T523" s="735"/>
      <c r="U523" s="735"/>
      <c r="V523" s="819"/>
      <c r="W523" s="819"/>
      <c r="X523" s="118"/>
    </row>
    <row r="524" spans="2:24" ht="15" customHeight="1">
      <c r="B524" s="703"/>
      <c r="C524" s="703"/>
      <c r="D524" s="118"/>
      <c r="E524" s="735"/>
      <c r="F524" s="118"/>
      <c r="G524" s="118"/>
      <c r="H524" s="815"/>
      <c r="I524" s="816"/>
      <c r="J524" s="735"/>
      <c r="K524" s="735"/>
      <c r="L524" s="815"/>
      <c r="M524" s="844"/>
      <c r="O524" s="204" t="str">
        <f ca="1">IF(ISBLANK(L524), "", IF(ISNUMBER(M524), NETWORKDAYS(L524, M524, Holidays!$D$4:$D$19), NETWORKDAYS(L524, TODAY(), Holidays!$D$4:$D$19)))</f>
        <v/>
      </c>
      <c r="P524" s="763" t="str">
        <f ca="1">IF(ISBLANK(H524), "", IF(ISNUMBER(M524), NETWORKDAYS(H524, M524, Holidays!$D$4:$D$19), NETWORKDAYS(H524, TODAY(), Holidays!$D$4:$D$19)))</f>
        <v/>
      </c>
      <c r="Q524" s="118"/>
      <c r="R524" s="818"/>
      <c r="S524" s="735"/>
      <c r="T524" s="735"/>
      <c r="U524" s="735"/>
      <c r="V524" s="819"/>
      <c r="W524" s="819"/>
      <c r="X524" s="118"/>
    </row>
    <row r="525" spans="2:24" ht="15" customHeight="1">
      <c r="B525" s="703"/>
      <c r="C525" s="703"/>
      <c r="D525" s="118"/>
      <c r="E525" s="735"/>
      <c r="F525" s="118"/>
      <c r="G525" s="118"/>
      <c r="H525" s="815"/>
      <c r="I525" s="816"/>
      <c r="J525" s="735"/>
      <c r="K525" s="735"/>
      <c r="L525" s="815"/>
      <c r="M525" s="844"/>
      <c r="O525" s="204" t="str">
        <f ca="1">IF(ISBLANK(L525), "", IF(ISNUMBER(M525), NETWORKDAYS(L525, M525, Holidays!$D$4:$D$19), NETWORKDAYS(L525, TODAY(), Holidays!$D$4:$D$19)))</f>
        <v/>
      </c>
      <c r="P525" s="763" t="str">
        <f ca="1">IF(ISBLANK(H525), "", IF(ISNUMBER(M525), NETWORKDAYS(H525, M525, Holidays!$D$4:$D$19), NETWORKDAYS(H525, TODAY(), Holidays!$D$4:$D$19)))</f>
        <v/>
      </c>
      <c r="Q525" s="118"/>
      <c r="R525" s="818"/>
      <c r="S525" s="735"/>
      <c r="T525" s="735"/>
      <c r="U525" s="735"/>
      <c r="V525" s="819"/>
      <c r="W525" s="819"/>
      <c r="X525" s="118"/>
    </row>
    <row r="526" spans="2:24" ht="15" customHeight="1">
      <c r="B526" s="703"/>
      <c r="C526" s="703"/>
      <c r="D526" s="118"/>
      <c r="E526" s="735"/>
      <c r="F526" s="118"/>
      <c r="G526" s="118"/>
      <c r="H526" s="815"/>
      <c r="I526" s="816"/>
      <c r="J526" s="735"/>
      <c r="K526" s="735"/>
      <c r="L526" s="815"/>
      <c r="M526" s="844"/>
      <c r="O526" s="204" t="str">
        <f ca="1">IF(ISBLANK(L526), "", IF(ISNUMBER(M526), NETWORKDAYS(L526, M526, Holidays!$D$4:$D$19), NETWORKDAYS(L526, TODAY(), Holidays!$D$4:$D$19)))</f>
        <v/>
      </c>
      <c r="P526" s="763" t="str">
        <f ca="1">IF(ISBLANK(H526), "", IF(ISNUMBER(M526), NETWORKDAYS(H526, M526, Holidays!$D$4:$D$19), NETWORKDAYS(H526, TODAY(), Holidays!$D$4:$D$19)))</f>
        <v/>
      </c>
      <c r="Q526" s="118"/>
      <c r="R526" s="818"/>
      <c r="S526" s="735"/>
      <c r="T526" s="735"/>
      <c r="U526" s="735"/>
      <c r="V526" s="819"/>
      <c r="W526" s="819"/>
      <c r="X526" s="118"/>
    </row>
    <row r="527" spans="2:24" ht="15" customHeight="1">
      <c r="B527" s="703"/>
      <c r="C527" s="703"/>
      <c r="D527" s="118"/>
      <c r="E527" s="735"/>
      <c r="F527" s="118"/>
      <c r="G527" s="118"/>
      <c r="H527" s="815"/>
      <c r="I527" s="816"/>
      <c r="J527" s="735"/>
      <c r="K527" s="735"/>
      <c r="L527" s="815"/>
      <c r="M527" s="844"/>
      <c r="O527" s="204" t="str">
        <f ca="1">IF(ISBLANK(L527), "", IF(ISNUMBER(M527), NETWORKDAYS(L527, M527, Holidays!$D$4:$D$19), NETWORKDAYS(L527, TODAY(), Holidays!$D$4:$D$19)))</f>
        <v/>
      </c>
      <c r="P527" s="763" t="str">
        <f ca="1">IF(ISBLANK(H527), "", IF(ISNUMBER(M527), NETWORKDAYS(H527, M527, Holidays!$D$4:$D$19), NETWORKDAYS(H527, TODAY(), Holidays!$D$4:$D$19)))</f>
        <v/>
      </c>
      <c r="Q527" s="118"/>
      <c r="R527" s="818"/>
      <c r="S527" s="735"/>
      <c r="T527" s="735"/>
      <c r="U527" s="735"/>
      <c r="V527" s="819"/>
      <c r="W527" s="819"/>
      <c r="X527" s="118"/>
    </row>
    <row r="528" spans="2:24" ht="15" customHeight="1">
      <c r="B528" s="703"/>
      <c r="C528" s="703"/>
      <c r="D528" s="118"/>
      <c r="E528" s="735"/>
      <c r="F528" s="118"/>
      <c r="G528" s="118"/>
      <c r="H528" s="815"/>
      <c r="I528" s="816"/>
      <c r="J528" s="735"/>
      <c r="K528" s="735"/>
      <c r="L528" s="815"/>
      <c r="M528" s="844"/>
      <c r="O528" s="204" t="str">
        <f ca="1">IF(ISBLANK(L528), "", IF(ISNUMBER(M528), NETWORKDAYS(L528, M528, Holidays!$D$4:$D$19), NETWORKDAYS(L528, TODAY(), Holidays!$D$4:$D$19)))</f>
        <v/>
      </c>
      <c r="P528" s="763" t="str">
        <f ca="1">IF(ISBLANK(H528), "", IF(ISNUMBER(M528), NETWORKDAYS(H528, M528, Holidays!$D$4:$D$19), NETWORKDAYS(H528, TODAY(), Holidays!$D$4:$D$19)))</f>
        <v/>
      </c>
      <c r="Q528" s="118"/>
      <c r="R528" s="818"/>
      <c r="S528" s="735"/>
      <c r="T528" s="735"/>
      <c r="U528" s="735"/>
      <c r="V528" s="819"/>
      <c r="W528" s="819"/>
      <c r="X528" s="118"/>
    </row>
    <row r="529" spans="2:24" ht="15" customHeight="1">
      <c r="B529" s="703"/>
      <c r="C529" s="703"/>
      <c r="D529" s="118"/>
      <c r="E529" s="735"/>
      <c r="F529" s="118"/>
      <c r="G529" s="118"/>
      <c r="H529" s="815"/>
      <c r="I529" s="816"/>
      <c r="J529" s="735"/>
      <c r="K529" s="735"/>
      <c r="L529" s="815"/>
      <c r="M529" s="844"/>
      <c r="O529" s="204" t="str">
        <f ca="1">IF(ISBLANK(L529), "", IF(ISNUMBER(M529), NETWORKDAYS(L529, M529, Holidays!$D$4:$D$19), NETWORKDAYS(L529, TODAY(), Holidays!$D$4:$D$19)))</f>
        <v/>
      </c>
      <c r="P529" s="763" t="str">
        <f ca="1">IF(ISBLANK(H529), "", IF(ISNUMBER(M529), NETWORKDAYS(H529, M529, Holidays!$D$4:$D$19), NETWORKDAYS(H529, TODAY(), Holidays!$D$4:$D$19)))</f>
        <v/>
      </c>
      <c r="Q529" s="118"/>
      <c r="R529" s="818"/>
      <c r="S529" s="735"/>
      <c r="T529" s="735"/>
      <c r="U529" s="735"/>
      <c r="V529" s="819"/>
      <c r="W529" s="819"/>
      <c r="X529" s="118"/>
    </row>
    <row r="530" spans="2:24" ht="15" customHeight="1">
      <c r="B530" s="703"/>
      <c r="C530" s="703"/>
      <c r="D530" s="118"/>
      <c r="E530" s="735"/>
      <c r="F530" s="118"/>
      <c r="G530" s="118"/>
      <c r="H530" s="815"/>
      <c r="I530" s="816"/>
      <c r="J530" s="735"/>
      <c r="K530" s="735"/>
      <c r="L530" s="815"/>
      <c r="M530" s="844"/>
      <c r="O530" s="204" t="str">
        <f ca="1">IF(ISBLANK(L530), "", IF(ISNUMBER(M530), NETWORKDAYS(L530, M530, Holidays!$D$4:$D$19), NETWORKDAYS(L530, TODAY(), Holidays!$D$4:$D$19)))</f>
        <v/>
      </c>
      <c r="P530" s="763" t="str">
        <f ca="1">IF(ISBLANK(H530), "", IF(ISNUMBER(M530), NETWORKDAYS(H530, M530, Holidays!$D$4:$D$19), NETWORKDAYS(H530, TODAY(), Holidays!$D$4:$D$19)))</f>
        <v/>
      </c>
      <c r="Q530" s="118"/>
      <c r="R530" s="818"/>
      <c r="S530" s="735"/>
      <c r="T530" s="735"/>
      <c r="U530" s="735"/>
      <c r="V530" s="819"/>
      <c r="W530" s="819"/>
      <c r="X530" s="118"/>
    </row>
    <row r="531" spans="2:24" ht="15" customHeight="1">
      <c r="B531" s="703"/>
      <c r="C531" s="703"/>
      <c r="D531" s="118"/>
      <c r="E531" s="735"/>
      <c r="F531" s="118"/>
      <c r="G531" s="118"/>
      <c r="H531" s="815"/>
      <c r="I531" s="816"/>
      <c r="J531" s="735"/>
      <c r="K531" s="735"/>
      <c r="L531" s="815"/>
      <c r="M531" s="844"/>
      <c r="O531" s="204" t="str">
        <f ca="1">IF(ISBLANK(L531), "", IF(ISNUMBER(M531), NETWORKDAYS(L531, M531, Holidays!$D$4:$D$19), NETWORKDAYS(L531, TODAY(), Holidays!$D$4:$D$19)))</f>
        <v/>
      </c>
      <c r="P531" s="763" t="str">
        <f ca="1">IF(ISBLANK(H531), "", IF(ISNUMBER(M531), NETWORKDAYS(H531, M531, Holidays!$D$4:$D$19), NETWORKDAYS(H531, TODAY(), Holidays!$D$4:$D$19)))</f>
        <v/>
      </c>
      <c r="Q531" s="118"/>
      <c r="R531" s="818"/>
      <c r="S531" s="735"/>
      <c r="T531" s="735"/>
      <c r="U531" s="735"/>
      <c r="V531" s="819"/>
      <c r="W531" s="819"/>
      <c r="X531" s="118"/>
    </row>
    <row r="532" spans="2:24" ht="15" customHeight="1">
      <c r="B532" s="703"/>
      <c r="C532" s="703"/>
      <c r="D532" s="118"/>
      <c r="E532" s="735"/>
      <c r="F532" s="118"/>
      <c r="G532" s="118"/>
      <c r="H532" s="815"/>
      <c r="I532" s="816"/>
      <c r="J532" s="735"/>
      <c r="K532" s="735"/>
      <c r="L532" s="815"/>
      <c r="M532" s="844"/>
      <c r="O532" s="204" t="str">
        <f ca="1">IF(ISBLANK(L532), "", IF(ISNUMBER(M532), NETWORKDAYS(L532, M532, Holidays!$D$4:$D$19), NETWORKDAYS(L532, TODAY(), Holidays!$D$4:$D$19)))</f>
        <v/>
      </c>
      <c r="P532" s="763" t="str">
        <f ca="1">IF(ISBLANK(H532), "", IF(ISNUMBER(M532), NETWORKDAYS(H532, M532, Holidays!$D$4:$D$19), NETWORKDAYS(H532, TODAY(), Holidays!$D$4:$D$19)))</f>
        <v/>
      </c>
      <c r="Q532" s="118"/>
      <c r="R532" s="818"/>
      <c r="S532" s="735"/>
      <c r="T532" s="735"/>
      <c r="U532" s="735"/>
      <c r="V532" s="819"/>
      <c r="W532" s="819"/>
      <c r="X532" s="118"/>
    </row>
    <row r="533" spans="2:24" ht="15" customHeight="1">
      <c r="B533" s="703"/>
      <c r="C533" s="703"/>
      <c r="D533" s="118"/>
      <c r="E533" s="735"/>
      <c r="F533" s="118"/>
      <c r="G533" s="118"/>
      <c r="H533" s="815"/>
      <c r="I533" s="816"/>
      <c r="J533" s="735"/>
      <c r="K533" s="735"/>
      <c r="L533" s="815"/>
      <c r="M533" s="844"/>
      <c r="O533" s="204" t="str">
        <f ca="1">IF(ISBLANK(L533), "", IF(ISNUMBER(M533), NETWORKDAYS(L533, M533, Holidays!$D$4:$D$19), NETWORKDAYS(L533, TODAY(), Holidays!$D$4:$D$19)))</f>
        <v/>
      </c>
      <c r="P533" s="763" t="str">
        <f ca="1">IF(ISBLANK(H533), "", IF(ISNUMBER(M533), NETWORKDAYS(H533, M533, Holidays!$D$4:$D$19), NETWORKDAYS(H533, TODAY(), Holidays!$D$4:$D$19)))</f>
        <v/>
      </c>
      <c r="Q533" s="118"/>
      <c r="R533" s="818"/>
      <c r="S533" s="735"/>
      <c r="T533" s="735"/>
      <c r="U533" s="735"/>
      <c r="V533" s="819"/>
      <c r="W533" s="819"/>
      <c r="X533" s="118"/>
    </row>
    <row r="534" spans="2:24" ht="15" customHeight="1">
      <c r="B534" s="703"/>
      <c r="C534" s="703"/>
      <c r="D534" s="118"/>
      <c r="E534" s="735"/>
      <c r="F534" s="118"/>
      <c r="G534" s="118"/>
      <c r="H534" s="815"/>
      <c r="I534" s="816"/>
      <c r="J534" s="735"/>
      <c r="K534" s="735"/>
      <c r="L534" s="815"/>
      <c r="M534" s="844"/>
      <c r="O534" s="204" t="str">
        <f ca="1">IF(ISBLANK(L534), "", IF(ISNUMBER(M534), NETWORKDAYS(L534, M534, Holidays!$D$4:$D$19), NETWORKDAYS(L534, TODAY(), Holidays!$D$4:$D$19)))</f>
        <v/>
      </c>
      <c r="P534" s="763" t="str">
        <f ca="1">IF(ISBLANK(H534), "", IF(ISNUMBER(M534), NETWORKDAYS(H534, M534, Holidays!$D$4:$D$19), NETWORKDAYS(H534, TODAY(), Holidays!$D$4:$D$19)))</f>
        <v/>
      </c>
      <c r="Q534" s="118"/>
      <c r="R534" s="818"/>
      <c r="S534" s="735"/>
      <c r="T534" s="735"/>
      <c r="U534" s="735"/>
      <c r="V534" s="819"/>
      <c r="W534" s="819"/>
      <c r="X534" s="118"/>
    </row>
    <row r="535" spans="2:24" ht="15" customHeight="1">
      <c r="B535" s="703"/>
      <c r="C535" s="703"/>
      <c r="D535" s="118"/>
      <c r="E535" s="735"/>
      <c r="F535" s="118"/>
      <c r="G535" s="118"/>
      <c r="H535" s="815"/>
      <c r="I535" s="816"/>
      <c r="J535" s="735"/>
      <c r="K535" s="735"/>
      <c r="L535" s="815"/>
      <c r="M535" s="844"/>
      <c r="O535" s="204" t="str">
        <f ca="1">IF(ISBLANK(L535), "", IF(ISNUMBER(M535), NETWORKDAYS(L535, M535, Holidays!$D$4:$D$19), NETWORKDAYS(L535, TODAY(), Holidays!$D$4:$D$19)))</f>
        <v/>
      </c>
      <c r="P535" s="763" t="str">
        <f ca="1">IF(ISBLANK(H535), "", IF(ISNUMBER(M535), NETWORKDAYS(H535, M535, Holidays!$D$4:$D$19), NETWORKDAYS(H535, TODAY(), Holidays!$D$4:$D$19)))</f>
        <v/>
      </c>
      <c r="Q535" s="118"/>
      <c r="R535" s="818"/>
      <c r="S535" s="735"/>
      <c r="T535" s="735"/>
      <c r="U535" s="735"/>
      <c r="V535" s="819"/>
      <c r="W535" s="819"/>
      <c r="X535" s="118"/>
    </row>
    <row r="536" spans="2:24" ht="15" customHeight="1">
      <c r="B536" s="703"/>
      <c r="C536" s="703"/>
      <c r="D536" s="118"/>
      <c r="E536" s="735"/>
      <c r="F536" s="118"/>
      <c r="G536" s="118"/>
      <c r="H536" s="815"/>
      <c r="I536" s="816"/>
      <c r="J536" s="735"/>
      <c r="K536" s="735"/>
      <c r="L536" s="815"/>
      <c r="M536" s="844"/>
      <c r="O536" s="204" t="str">
        <f ca="1">IF(ISBLANK(L536), "", IF(ISNUMBER(M536), NETWORKDAYS(L536, M536, Holidays!$D$4:$D$19), NETWORKDAYS(L536, TODAY(), Holidays!$D$4:$D$19)))</f>
        <v/>
      </c>
      <c r="P536" s="763" t="str">
        <f ca="1">IF(ISBLANK(H536), "", IF(ISNUMBER(M536), NETWORKDAYS(H536, M536, Holidays!$D$4:$D$19), NETWORKDAYS(H536, TODAY(), Holidays!$D$4:$D$19)))</f>
        <v/>
      </c>
      <c r="Q536" s="118"/>
      <c r="R536" s="818"/>
      <c r="S536" s="735"/>
      <c r="T536" s="735"/>
      <c r="U536" s="735"/>
      <c r="V536" s="819"/>
      <c r="W536" s="819"/>
      <c r="X536" s="118"/>
    </row>
    <row r="537" spans="2:24" ht="15" customHeight="1">
      <c r="B537" s="703"/>
      <c r="C537" s="703"/>
      <c r="D537" s="118"/>
      <c r="E537" s="735"/>
      <c r="F537" s="118"/>
      <c r="G537" s="118"/>
      <c r="H537" s="815"/>
      <c r="I537" s="816"/>
      <c r="J537" s="735"/>
      <c r="K537" s="735"/>
      <c r="L537" s="815"/>
      <c r="M537" s="844"/>
      <c r="O537" s="204" t="str">
        <f ca="1">IF(ISBLANK(L537), "", IF(ISNUMBER(M537), NETWORKDAYS(L537, M537, Holidays!$D$4:$D$19), NETWORKDAYS(L537, TODAY(), Holidays!$D$4:$D$19)))</f>
        <v/>
      </c>
      <c r="P537" s="763" t="str">
        <f ca="1">IF(ISBLANK(H537), "", IF(ISNUMBER(M537), NETWORKDAYS(H537, M537, Holidays!$D$4:$D$19), NETWORKDAYS(H537, TODAY(), Holidays!$D$4:$D$19)))</f>
        <v/>
      </c>
      <c r="Q537" s="118"/>
      <c r="R537" s="818"/>
      <c r="S537" s="735"/>
      <c r="T537" s="735"/>
      <c r="U537" s="735"/>
      <c r="V537" s="819"/>
      <c r="W537" s="819"/>
      <c r="X537" s="118"/>
    </row>
    <row r="538" spans="2:24" ht="15" customHeight="1">
      <c r="B538" s="703"/>
      <c r="C538" s="703"/>
      <c r="D538" s="118"/>
      <c r="E538" s="735"/>
      <c r="F538" s="118"/>
      <c r="G538" s="118"/>
      <c r="H538" s="815"/>
      <c r="I538" s="816"/>
      <c r="J538" s="735"/>
      <c r="K538" s="735"/>
      <c r="L538" s="815"/>
      <c r="M538" s="844"/>
      <c r="O538" s="204" t="str">
        <f ca="1">IF(ISBLANK(L538), "", IF(ISNUMBER(M538), NETWORKDAYS(L538, M538, Holidays!$D$4:$D$19), NETWORKDAYS(L538, TODAY(), Holidays!$D$4:$D$19)))</f>
        <v/>
      </c>
      <c r="P538" s="763" t="str">
        <f ca="1">IF(ISBLANK(H538), "", IF(ISNUMBER(M538), NETWORKDAYS(H538, M538, Holidays!$D$4:$D$19), NETWORKDAYS(H538, TODAY(), Holidays!$D$4:$D$19)))</f>
        <v/>
      </c>
      <c r="Q538" s="118"/>
      <c r="R538" s="818"/>
      <c r="S538" s="735"/>
      <c r="T538" s="735"/>
      <c r="U538" s="735"/>
      <c r="V538" s="819"/>
      <c r="W538" s="819"/>
      <c r="X538" s="118"/>
    </row>
    <row r="539" spans="2:24" ht="15" customHeight="1">
      <c r="B539" s="703"/>
      <c r="C539" s="703"/>
      <c r="D539" s="118"/>
      <c r="E539" s="735"/>
      <c r="F539" s="118"/>
      <c r="G539" s="118"/>
      <c r="H539" s="815"/>
      <c r="I539" s="816"/>
      <c r="J539" s="735"/>
      <c r="K539" s="735"/>
      <c r="L539" s="815"/>
      <c r="M539" s="844"/>
      <c r="O539" s="204" t="str">
        <f t="shared" ref="O539:O558" ca="1" si="20">IF(ISBLANK(L539), "", IF(ISNUMBER(M539), M539-L539, TODAY()-L539))</f>
        <v/>
      </c>
      <c r="P539" s="118" t="str">
        <f t="shared" ref="P539:P578" ca="1" si="21">IF(ISBLANK(H539), "", IF(ISNUMBER(M539), M539-H539, TODAY()-H539))</f>
        <v/>
      </c>
      <c r="Q539" s="118"/>
      <c r="R539" s="818"/>
      <c r="S539" s="735"/>
      <c r="T539" s="735"/>
      <c r="U539" s="735"/>
      <c r="V539" s="819"/>
      <c r="W539" s="819"/>
      <c r="X539" s="118"/>
    </row>
    <row r="540" spans="2:24" ht="15" customHeight="1">
      <c r="B540" s="703"/>
      <c r="C540" s="703"/>
      <c r="D540" s="118"/>
      <c r="E540" s="735"/>
      <c r="F540" s="118"/>
      <c r="G540" s="118"/>
      <c r="H540" s="815"/>
      <c r="I540" s="816"/>
      <c r="J540" s="735"/>
      <c r="K540" s="735"/>
      <c r="L540" s="815"/>
      <c r="M540" s="844"/>
      <c r="O540" s="204" t="str">
        <f t="shared" ca="1" si="20"/>
        <v/>
      </c>
      <c r="P540" s="118" t="str">
        <f t="shared" ca="1" si="21"/>
        <v/>
      </c>
      <c r="Q540" s="118"/>
      <c r="R540" s="818"/>
      <c r="S540" s="735"/>
      <c r="T540" s="735"/>
      <c r="U540" s="735"/>
      <c r="V540" s="819"/>
      <c r="W540" s="819"/>
      <c r="X540" s="118"/>
    </row>
    <row r="541" spans="2:24" ht="15" customHeight="1">
      <c r="B541" s="703"/>
      <c r="C541" s="703"/>
      <c r="D541" s="118"/>
      <c r="E541" s="735"/>
      <c r="F541" s="118"/>
      <c r="G541" s="118"/>
      <c r="H541" s="815"/>
      <c r="I541" s="816"/>
      <c r="J541" s="735"/>
      <c r="K541" s="735"/>
      <c r="L541" s="815"/>
      <c r="M541" s="844"/>
      <c r="O541" s="204" t="str">
        <f t="shared" ca="1" si="20"/>
        <v/>
      </c>
      <c r="P541" s="118" t="str">
        <f t="shared" ca="1" si="21"/>
        <v/>
      </c>
      <c r="Q541" s="118"/>
      <c r="R541" s="818"/>
      <c r="S541" s="735"/>
      <c r="T541" s="735"/>
      <c r="U541" s="735"/>
      <c r="V541" s="819"/>
      <c r="W541" s="819"/>
      <c r="X541" s="118"/>
    </row>
    <row r="542" spans="2:24" ht="15" customHeight="1">
      <c r="B542" s="703"/>
      <c r="C542" s="703"/>
      <c r="D542" s="118"/>
      <c r="E542" s="735"/>
      <c r="F542" s="118"/>
      <c r="G542" s="118"/>
      <c r="H542" s="815"/>
      <c r="I542" s="816"/>
      <c r="J542" s="735"/>
      <c r="K542" s="735"/>
      <c r="L542" s="815"/>
      <c r="M542" s="844"/>
      <c r="O542" s="204" t="str">
        <f t="shared" ca="1" si="20"/>
        <v/>
      </c>
      <c r="P542" s="118" t="str">
        <f t="shared" ca="1" si="21"/>
        <v/>
      </c>
      <c r="Q542" s="118"/>
      <c r="R542" s="818"/>
      <c r="S542" s="735"/>
      <c r="T542" s="735"/>
      <c r="U542" s="735"/>
      <c r="V542" s="819"/>
      <c r="W542" s="819"/>
      <c r="X542" s="118"/>
    </row>
    <row r="543" spans="2:24" ht="15" customHeight="1">
      <c r="B543" s="703"/>
      <c r="C543" s="703"/>
      <c r="D543" s="118"/>
      <c r="E543" s="735"/>
      <c r="F543" s="118"/>
      <c r="G543" s="118"/>
      <c r="H543" s="815"/>
      <c r="I543" s="816"/>
      <c r="J543" s="735"/>
      <c r="K543" s="735"/>
      <c r="L543" s="815"/>
      <c r="M543" s="844"/>
      <c r="O543" s="204" t="str">
        <f t="shared" ca="1" si="20"/>
        <v/>
      </c>
      <c r="P543" s="118" t="str">
        <f t="shared" ca="1" si="21"/>
        <v/>
      </c>
      <c r="Q543" s="118"/>
      <c r="R543" s="818"/>
      <c r="S543" s="735"/>
      <c r="T543" s="735"/>
      <c r="U543" s="735"/>
      <c r="V543" s="819"/>
      <c r="W543" s="819"/>
      <c r="X543" s="118"/>
    </row>
    <row r="544" spans="2:24" ht="15" customHeight="1">
      <c r="B544" s="703"/>
      <c r="C544" s="703"/>
      <c r="D544" s="118"/>
      <c r="E544" s="735"/>
      <c r="F544" s="118"/>
      <c r="G544" s="118"/>
      <c r="H544" s="815"/>
      <c r="I544" s="816"/>
      <c r="J544" s="735"/>
      <c r="K544" s="735"/>
      <c r="L544" s="815"/>
      <c r="M544" s="844"/>
      <c r="O544" s="204" t="str">
        <f t="shared" ca="1" si="20"/>
        <v/>
      </c>
      <c r="P544" s="118" t="str">
        <f t="shared" ca="1" si="21"/>
        <v/>
      </c>
      <c r="Q544" s="118"/>
      <c r="R544" s="818"/>
      <c r="S544" s="735"/>
      <c r="T544" s="735"/>
      <c r="U544" s="735"/>
      <c r="V544" s="819"/>
      <c r="W544" s="819"/>
      <c r="X544" s="118"/>
    </row>
    <row r="545" spans="2:24" ht="15" customHeight="1">
      <c r="B545" s="703"/>
      <c r="C545" s="703"/>
      <c r="D545" s="118"/>
      <c r="E545" s="735"/>
      <c r="F545" s="118"/>
      <c r="G545" s="118"/>
      <c r="H545" s="815"/>
      <c r="I545" s="816"/>
      <c r="J545" s="735"/>
      <c r="K545" s="735"/>
      <c r="L545" s="815"/>
      <c r="M545" s="844"/>
      <c r="O545" s="204" t="str">
        <f t="shared" ca="1" si="20"/>
        <v/>
      </c>
      <c r="P545" s="118" t="str">
        <f t="shared" ca="1" si="21"/>
        <v/>
      </c>
      <c r="Q545" s="118"/>
      <c r="R545" s="818"/>
      <c r="S545" s="735"/>
      <c r="T545" s="735"/>
      <c r="U545" s="735"/>
      <c r="V545" s="819"/>
      <c r="W545" s="819"/>
      <c r="X545" s="118"/>
    </row>
    <row r="546" spans="2:24" ht="15" customHeight="1">
      <c r="B546" s="703"/>
      <c r="C546" s="703"/>
      <c r="D546" s="118"/>
      <c r="E546" s="735"/>
      <c r="F546" s="118"/>
      <c r="G546" s="118"/>
      <c r="H546" s="815"/>
      <c r="I546" s="816"/>
      <c r="J546" s="735"/>
      <c r="K546" s="735"/>
      <c r="L546" s="815"/>
      <c r="M546" s="844"/>
      <c r="O546" s="204" t="str">
        <f t="shared" ca="1" si="20"/>
        <v/>
      </c>
      <c r="P546" s="118" t="str">
        <f t="shared" ca="1" si="21"/>
        <v/>
      </c>
      <c r="Q546" s="118"/>
      <c r="R546" s="818"/>
      <c r="S546" s="735"/>
      <c r="T546" s="735"/>
      <c r="U546" s="735"/>
      <c r="V546" s="819"/>
      <c r="W546" s="819"/>
      <c r="X546" s="118"/>
    </row>
    <row r="547" spans="2:24" ht="15" customHeight="1">
      <c r="B547" s="703"/>
      <c r="C547" s="703"/>
      <c r="D547" s="118"/>
      <c r="E547" s="735"/>
      <c r="F547" s="118"/>
      <c r="G547" s="118"/>
      <c r="H547" s="815"/>
      <c r="I547" s="816"/>
      <c r="J547" s="735"/>
      <c r="K547" s="735"/>
      <c r="L547" s="815"/>
      <c r="M547" s="844"/>
      <c r="O547" s="204" t="str">
        <f t="shared" ca="1" si="20"/>
        <v/>
      </c>
      <c r="P547" s="118" t="str">
        <f t="shared" ca="1" si="21"/>
        <v/>
      </c>
      <c r="Q547" s="118"/>
      <c r="R547" s="818"/>
      <c r="S547" s="735"/>
      <c r="T547" s="735"/>
      <c r="U547" s="735"/>
      <c r="V547" s="819"/>
      <c r="W547" s="819"/>
      <c r="X547" s="118"/>
    </row>
    <row r="548" spans="2:24" ht="15" customHeight="1">
      <c r="B548" s="703"/>
      <c r="C548" s="703"/>
      <c r="D548" s="118"/>
      <c r="E548" s="735"/>
      <c r="F548" s="118"/>
      <c r="G548" s="118"/>
      <c r="H548" s="815"/>
      <c r="I548" s="816"/>
      <c r="J548" s="735"/>
      <c r="K548" s="735"/>
      <c r="L548" s="815"/>
      <c r="M548" s="844"/>
      <c r="O548" s="204" t="str">
        <f t="shared" ca="1" si="20"/>
        <v/>
      </c>
      <c r="P548" s="118" t="str">
        <f t="shared" ca="1" si="21"/>
        <v/>
      </c>
      <c r="Q548" s="118"/>
      <c r="R548" s="818"/>
      <c r="S548" s="735"/>
      <c r="T548" s="735"/>
      <c r="U548" s="735"/>
      <c r="V548" s="819"/>
      <c r="W548" s="819"/>
      <c r="X548" s="118"/>
    </row>
    <row r="549" spans="2:24" ht="15" customHeight="1">
      <c r="B549" s="703"/>
      <c r="C549" s="703"/>
      <c r="D549" s="118"/>
      <c r="E549" s="735"/>
      <c r="F549" s="118"/>
      <c r="G549" s="118"/>
      <c r="H549" s="815"/>
      <c r="I549" s="816"/>
      <c r="J549" s="735"/>
      <c r="K549" s="735"/>
      <c r="L549" s="815"/>
      <c r="M549" s="844"/>
      <c r="O549" s="204" t="str">
        <f t="shared" ca="1" si="20"/>
        <v/>
      </c>
      <c r="P549" s="118" t="str">
        <f t="shared" ca="1" si="21"/>
        <v/>
      </c>
      <c r="Q549" s="118"/>
      <c r="R549" s="818"/>
      <c r="S549" s="735"/>
      <c r="T549" s="735"/>
      <c r="U549" s="735"/>
      <c r="V549" s="819"/>
      <c r="W549" s="819"/>
      <c r="X549" s="118"/>
    </row>
    <row r="550" spans="2:24" ht="15" customHeight="1">
      <c r="B550" s="703"/>
      <c r="C550" s="703"/>
      <c r="D550" s="118"/>
      <c r="E550" s="735"/>
      <c r="F550" s="118"/>
      <c r="G550" s="118"/>
      <c r="H550" s="815"/>
      <c r="I550" s="816"/>
      <c r="J550" s="735"/>
      <c r="K550" s="735"/>
      <c r="L550" s="815"/>
      <c r="M550" s="844"/>
      <c r="O550" s="204" t="str">
        <f t="shared" ca="1" si="20"/>
        <v/>
      </c>
      <c r="P550" s="118" t="str">
        <f t="shared" ca="1" si="21"/>
        <v/>
      </c>
      <c r="Q550" s="118"/>
      <c r="R550" s="818"/>
      <c r="S550" s="735"/>
      <c r="T550" s="735"/>
      <c r="U550" s="735"/>
      <c r="V550" s="819"/>
      <c r="W550" s="819"/>
      <c r="X550" s="118"/>
    </row>
    <row r="551" spans="2:24" ht="15" customHeight="1">
      <c r="B551" s="703"/>
      <c r="C551" s="703"/>
      <c r="D551" s="118"/>
      <c r="E551" s="735"/>
      <c r="F551" s="118"/>
      <c r="G551" s="118"/>
      <c r="H551" s="815"/>
      <c r="I551" s="816"/>
      <c r="J551" s="735"/>
      <c r="K551" s="735"/>
      <c r="L551" s="815"/>
      <c r="M551" s="844"/>
      <c r="O551" s="204" t="str">
        <f t="shared" ca="1" si="20"/>
        <v/>
      </c>
      <c r="P551" s="118" t="str">
        <f t="shared" ca="1" si="21"/>
        <v/>
      </c>
      <c r="Q551" s="118"/>
      <c r="R551" s="818"/>
      <c r="S551" s="735"/>
      <c r="T551" s="735"/>
      <c r="U551" s="735"/>
      <c r="V551" s="819"/>
      <c r="W551" s="819"/>
      <c r="X551" s="118"/>
    </row>
    <row r="552" spans="2:24" ht="15" customHeight="1">
      <c r="B552" s="703"/>
      <c r="C552" s="703"/>
      <c r="D552" s="118"/>
      <c r="E552" s="735"/>
      <c r="F552" s="118"/>
      <c r="G552" s="118"/>
      <c r="H552" s="815"/>
      <c r="I552" s="816"/>
      <c r="J552" s="735"/>
      <c r="K552" s="735"/>
      <c r="L552" s="815"/>
      <c r="M552" s="844"/>
      <c r="O552" s="204" t="str">
        <f t="shared" ca="1" si="20"/>
        <v/>
      </c>
      <c r="P552" s="118" t="str">
        <f t="shared" ca="1" si="21"/>
        <v/>
      </c>
      <c r="Q552" s="118"/>
      <c r="R552" s="818"/>
      <c r="S552" s="735"/>
      <c r="T552" s="735"/>
      <c r="U552" s="735"/>
      <c r="V552" s="819"/>
      <c r="W552" s="819"/>
      <c r="X552" s="118"/>
    </row>
    <row r="553" spans="2:24" ht="15" customHeight="1">
      <c r="B553" s="703"/>
      <c r="C553" s="703"/>
      <c r="D553" s="118"/>
      <c r="E553" s="735"/>
      <c r="F553" s="118"/>
      <c r="G553" s="118"/>
      <c r="H553" s="815"/>
      <c r="I553" s="816"/>
      <c r="J553" s="735"/>
      <c r="K553" s="735"/>
      <c r="L553" s="815"/>
      <c r="M553" s="844"/>
      <c r="O553" s="204" t="str">
        <f t="shared" ca="1" si="20"/>
        <v/>
      </c>
      <c r="P553" s="118" t="str">
        <f t="shared" ca="1" si="21"/>
        <v/>
      </c>
      <c r="Q553" s="118"/>
      <c r="R553" s="818"/>
      <c r="S553" s="735"/>
      <c r="T553" s="735"/>
      <c r="U553" s="735"/>
      <c r="V553" s="819"/>
      <c r="W553" s="819"/>
      <c r="X553" s="118"/>
    </row>
    <row r="554" spans="2:24" ht="15" customHeight="1">
      <c r="B554" s="703"/>
      <c r="C554" s="703"/>
      <c r="D554" s="118"/>
      <c r="E554" s="735"/>
      <c r="F554" s="118"/>
      <c r="G554" s="118"/>
      <c r="H554" s="815"/>
      <c r="I554" s="816"/>
      <c r="J554" s="735"/>
      <c r="K554" s="735"/>
      <c r="L554" s="815"/>
      <c r="M554" s="844"/>
      <c r="O554" s="204" t="str">
        <f t="shared" ca="1" si="20"/>
        <v/>
      </c>
      <c r="P554" s="118" t="str">
        <f t="shared" ca="1" si="21"/>
        <v/>
      </c>
      <c r="Q554" s="118"/>
      <c r="R554" s="818"/>
      <c r="S554" s="735"/>
      <c r="T554" s="735"/>
      <c r="U554" s="735"/>
      <c r="V554" s="819"/>
      <c r="W554" s="819"/>
      <c r="X554" s="118"/>
    </row>
    <row r="555" spans="2:24" ht="15" customHeight="1">
      <c r="B555" s="703"/>
      <c r="C555" s="703"/>
      <c r="D555" s="118"/>
      <c r="E555" s="735"/>
      <c r="F555" s="118"/>
      <c r="G555" s="118"/>
      <c r="H555" s="815"/>
      <c r="I555" s="816"/>
      <c r="J555" s="735"/>
      <c r="K555" s="735"/>
      <c r="L555" s="815"/>
      <c r="M555" s="844"/>
      <c r="O555" s="204" t="str">
        <f t="shared" ca="1" si="20"/>
        <v/>
      </c>
      <c r="P555" s="118" t="str">
        <f t="shared" ca="1" si="21"/>
        <v/>
      </c>
      <c r="Q555" s="118"/>
      <c r="R555" s="818"/>
      <c r="S555" s="735"/>
      <c r="T555" s="735"/>
      <c r="U555" s="735"/>
      <c r="V555" s="819"/>
      <c r="W555" s="819"/>
      <c r="X555" s="118"/>
    </row>
    <row r="556" spans="2:24" ht="15" customHeight="1">
      <c r="B556" s="703"/>
      <c r="C556" s="703"/>
      <c r="D556" s="118"/>
      <c r="E556" s="735"/>
      <c r="F556" s="118"/>
      <c r="G556" s="118"/>
      <c r="H556" s="815"/>
      <c r="I556" s="816"/>
      <c r="J556" s="735"/>
      <c r="K556" s="735"/>
      <c r="L556" s="815"/>
      <c r="M556" s="844"/>
      <c r="O556" s="204" t="str">
        <f t="shared" ca="1" si="20"/>
        <v/>
      </c>
      <c r="P556" s="118" t="str">
        <f t="shared" ca="1" si="21"/>
        <v/>
      </c>
      <c r="Q556" s="118"/>
      <c r="R556" s="818"/>
      <c r="S556" s="735"/>
      <c r="T556" s="735"/>
      <c r="U556" s="735"/>
      <c r="V556" s="819"/>
      <c r="W556" s="819"/>
      <c r="X556" s="118"/>
    </row>
    <row r="557" spans="2:24" ht="15" customHeight="1">
      <c r="B557" s="703"/>
      <c r="C557" s="703"/>
      <c r="D557" s="118"/>
      <c r="E557" s="735"/>
      <c r="F557" s="118"/>
      <c r="G557" s="118"/>
      <c r="H557" s="815"/>
      <c r="I557" s="816"/>
      <c r="J557" s="735"/>
      <c r="K557" s="735"/>
      <c r="L557" s="815"/>
      <c r="M557" s="844"/>
      <c r="O557" s="204" t="str">
        <f t="shared" ca="1" si="20"/>
        <v/>
      </c>
      <c r="P557" s="118" t="str">
        <f t="shared" ca="1" si="21"/>
        <v/>
      </c>
      <c r="Q557" s="118"/>
      <c r="R557" s="818"/>
      <c r="S557" s="735"/>
      <c r="T557" s="735"/>
      <c r="U557" s="735"/>
      <c r="V557" s="819"/>
      <c r="W557" s="819"/>
      <c r="X557" s="118"/>
    </row>
    <row r="558" spans="2:24" ht="15" customHeight="1">
      <c r="B558" s="703"/>
      <c r="C558" s="703"/>
      <c r="D558" s="118"/>
      <c r="E558" s="735"/>
      <c r="F558" s="118"/>
      <c r="G558" s="118"/>
      <c r="H558" s="815"/>
      <c r="I558" s="816"/>
      <c r="J558" s="735"/>
      <c r="K558" s="735"/>
      <c r="L558" s="815"/>
      <c r="M558" s="844"/>
      <c r="O558" s="204" t="str">
        <f t="shared" ca="1" si="20"/>
        <v/>
      </c>
      <c r="P558" s="118" t="str">
        <f t="shared" ca="1" si="21"/>
        <v/>
      </c>
      <c r="Q558" s="118"/>
      <c r="R558" s="818"/>
      <c r="S558" s="735"/>
      <c r="T558" s="735"/>
      <c r="U558" s="735"/>
      <c r="V558" s="819"/>
      <c r="W558" s="819"/>
      <c r="X558" s="118"/>
    </row>
    <row r="559" spans="2:24" ht="15" customHeight="1">
      <c r="B559" s="703"/>
      <c r="C559" s="703"/>
      <c r="D559" s="118"/>
      <c r="E559" s="735"/>
      <c r="F559" s="118"/>
      <c r="G559" s="118"/>
      <c r="H559" s="815"/>
      <c r="I559" s="816"/>
      <c r="J559" s="735"/>
      <c r="K559" s="735"/>
      <c r="L559" s="815"/>
      <c r="M559" s="844"/>
      <c r="O559" s="204" t="str">
        <f t="shared" ref="O559:O622" ca="1" si="22">IF(ISBLANK(L559), "", IF(ISNUMBER(M559), M559-L559, TODAY()-L559))</f>
        <v/>
      </c>
      <c r="P559" s="118" t="str">
        <f t="shared" ca="1" si="21"/>
        <v/>
      </c>
      <c r="Q559" s="118"/>
      <c r="R559" s="818"/>
      <c r="S559" s="735"/>
      <c r="T559" s="735"/>
      <c r="U559" s="735"/>
      <c r="V559" s="819"/>
      <c r="W559" s="819"/>
      <c r="X559" s="118"/>
    </row>
    <row r="560" spans="2:24" ht="15" customHeight="1">
      <c r="B560" s="703"/>
      <c r="C560" s="703"/>
      <c r="D560" s="118"/>
      <c r="E560" s="735"/>
      <c r="F560" s="118"/>
      <c r="G560" s="118"/>
      <c r="H560" s="815"/>
      <c r="I560" s="816"/>
      <c r="J560" s="735"/>
      <c r="K560" s="735"/>
      <c r="L560" s="815"/>
      <c r="M560" s="844"/>
      <c r="O560" s="204" t="str">
        <f t="shared" ca="1" si="22"/>
        <v/>
      </c>
      <c r="P560" s="118" t="str">
        <f t="shared" ca="1" si="21"/>
        <v/>
      </c>
      <c r="Q560" s="118"/>
      <c r="R560" s="818"/>
      <c r="S560" s="735"/>
      <c r="T560" s="735"/>
      <c r="U560" s="735"/>
      <c r="V560" s="819"/>
      <c r="W560" s="819"/>
      <c r="X560" s="118"/>
    </row>
    <row r="561" spans="2:24" ht="15" customHeight="1">
      <c r="B561" s="703"/>
      <c r="C561" s="703"/>
      <c r="D561" s="118"/>
      <c r="E561" s="735"/>
      <c r="F561" s="118"/>
      <c r="G561" s="118"/>
      <c r="H561" s="815"/>
      <c r="I561" s="816"/>
      <c r="J561" s="735"/>
      <c r="K561" s="735"/>
      <c r="L561" s="815"/>
      <c r="M561" s="844"/>
      <c r="O561" s="204" t="str">
        <f t="shared" ca="1" si="22"/>
        <v/>
      </c>
      <c r="P561" s="118" t="str">
        <f t="shared" ca="1" si="21"/>
        <v/>
      </c>
      <c r="Q561" s="118"/>
      <c r="R561" s="818"/>
      <c r="S561" s="735"/>
      <c r="T561" s="735"/>
      <c r="U561" s="735"/>
      <c r="V561" s="819"/>
      <c r="W561" s="819"/>
      <c r="X561" s="118"/>
    </row>
    <row r="562" spans="2:24" ht="15" customHeight="1">
      <c r="B562" s="703"/>
      <c r="C562" s="703"/>
      <c r="D562" s="118"/>
      <c r="E562" s="735"/>
      <c r="F562" s="118"/>
      <c r="G562" s="118"/>
      <c r="H562" s="815"/>
      <c r="I562" s="816"/>
      <c r="J562" s="735"/>
      <c r="K562" s="735"/>
      <c r="L562" s="815"/>
      <c r="M562" s="844"/>
      <c r="O562" s="204" t="str">
        <f t="shared" ca="1" si="22"/>
        <v/>
      </c>
      <c r="P562" s="118" t="str">
        <f t="shared" ca="1" si="21"/>
        <v/>
      </c>
      <c r="Q562" s="118"/>
      <c r="R562" s="818"/>
      <c r="S562" s="735"/>
      <c r="T562" s="735"/>
      <c r="U562" s="735"/>
      <c r="V562" s="819"/>
      <c r="W562" s="819"/>
      <c r="X562" s="118"/>
    </row>
    <row r="563" spans="2:24" ht="15" customHeight="1">
      <c r="B563" s="703"/>
      <c r="C563" s="703"/>
      <c r="D563" s="118"/>
      <c r="E563" s="735"/>
      <c r="F563" s="118"/>
      <c r="G563" s="118"/>
      <c r="H563" s="815"/>
      <c r="I563" s="816"/>
      <c r="J563" s="735"/>
      <c r="K563" s="735"/>
      <c r="L563" s="815"/>
      <c r="M563" s="844"/>
      <c r="O563" s="204" t="str">
        <f t="shared" ca="1" si="22"/>
        <v/>
      </c>
      <c r="P563" s="118" t="str">
        <f t="shared" ca="1" si="21"/>
        <v/>
      </c>
      <c r="Q563" s="118"/>
      <c r="R563" s="818"/>
      <c r="S563" s="735"/>
      <c r="T563" s="735"/>
      <c r="U563" s="735"/>
      <c r="V563" s="819"/>
      <c r="W563" s="819"/>
      <c r="X563" s="118"/>
    </row>
    <row r="564" spans="2:24" ht="15" customHeight="1">
      <c r="B564" s="703"/>
      <c r="C564" s="703"/>
      <c r="D564" s="118"/>
      <c r="E564" s="735"/>
      <c r="F564" s="118"/>
      <c r="G564" s="118"/>
      <c r="H564" s="815"/>
      <c r="I564" s="816"/>
      <c r="J564" s="735"/>
      <c r="K564" s="735"/>
      <c r="L564" s="815"/>
      <c r="M564" s="844"/>
      <c r="O564" s="204" t="str">
        <f t="shared" ca="1" si="22"/>
        <v/>
      </c>
      <c r="P564" s="118" t="str">
        <f t="shared" ca="1" si="21"/>
        <v/>
      </c>
      <c r="Q564" s="118"/>
      <c r="R564" s="818"/>
      <c r="S564" s="735"/>
      <c r="T564" s="735"/>
      <c r="U564" s="735"/>
      <c r="V564" s="819"/>
      <c r="W564" s="819"/>
      <c r="X564" s="118"/>
    </row>
    <row r="565" spans="2:24" ht="15" customHeight="1">
      <c r="B565" s="703"/>
      <c r="C565" s="703"/>
      <c r="D565" s="118"/>
      <c r="E565" s="735"/>
      <c r="F565" s="118"/>
      <c r="G565" s="118"/>
      <c r="H565" s="815"/>
      <c r="I565" s="816"/>
      <c r="J565" s="735"/>
      <c r="K565" s="735"/>
      <c r="L565" s="815"/>
      <c r="M565" s="844"/>
      <c r="O565" s="204" t="str">
        <f t="shared" ca="1" si="22"/>
        <v/>
      </c>
      <c r="P565" s="118" t="str">
        <f t="shared" ca="1" si="21"/>
        <v/>
      </c>
      <c r="Q565" s="118"/>
      <c r="R565" s="818"/>
      <c r="S565" s="735"/>
      <c r="T565" s="735"/>
      <c r="U565" s="735"/>
      <c r="V565" s="819"/>
      <c r="W565" s="819"/>
      <c r="X565" s="118"/>
    </row>
    <row r="566" spans="2:24" ht="15" customHeight="1">
      <c r="B566" s="703"/>
      <c r="C566" s="703"/>
      <c r="D566" s="118"/>
      <c r="E566" s="735"/>
      <c r="F566" s="118"/>
      <c r="G566" s="118"/>
      <c r="H566" s="815"/>
      <c r="I566" s="816"/>
      <c r="J566" s="735"/>
      <c r="K566" s="735"/>
      <c r="L566" s="815"/>
      <c r="M566" s="844"/>
      <c r="O566" s="204" t="str">
        <f t="shared" ca="1" si="22"/>
        <v/>
      </c>
      <c r="P566" s="118" t="str">
        <f t="shared" ca="1" si="21"/>
        <v/>
      </c>
      <c r="Q566" s="118"/>
      <c r="R566" s="818"/>
      <c r="S566" s="735"/>
      <c r="T566" s="735"/>
      <c r="U566" s="735"/>
      <c r="V566" s="819"/>
      <c r="W566" s="819"/>
      <c r="X566" s="118"/>
    </row>
    <row r="567" spans="2:24" ht="15" customHeight="1">
      <c r="B567" s="703"/>
      <c r="C567" s="703"/>
      <c r="D567" s="118"/>
      <c r="E567" s="735"/>
      <c r="F567" s="118"/>
      <c r="G567" s="118"/>
      <c r="H567" s="815"/>
      <c r="I567" s="816"/>
      <c r="J567" s="735"/>
      <c r="K567" s="735"/>
      <c r="L567" s="815"/>
      <c r="M567" s="844"/>
      <c r="O567" s="204" t="str">
        <f t="shared" ca="1" si="22"/>
        <v/>
      </c>
      <c r="P567" s="118" t="str">
        <f t="shared" ca="1" si="21"/>
        <v/>
      </c>
      <c r="Q567" s="118"/>
      <c r="R567" s="818"/>
      <c r="S567" s="735"/>
      <c r="T567" s="735"/>
      <c r="U567" s="735"/>
      <c r="V567" s="819"/>
      <c r="W567" s="819"/>
      <c r="X567" s="118"/>
    </row>
    <row r="568" spans="2:24" ht="15" customHeight="1">
      <c r="B568" s="703"/>
      <c r="C568" s="703"/>
      <c r="D568" s="118"/>
      <c r="E568" s="735"/>
      <c r="F568" s="118"/>
      <c r="G568" s="118"/>
      <c r="H568" s="815"/>
      <c r="I568" s="816"/>
      <c r="J568" s="735"/>
      <c r="K568" s="735"/>
      <c r="L568" s="815"/>
      <c r="M568" s="844"/>
      <c r="O568" s="204" t="str">
        <f t="shared" ca="1" si="22"/>
        <v/>
      </c>
      <c r="P568" s="118" t="str">
        <f t="shared" ca="1" si="21"/>
        <v/>
      </c>
      <c r="Q568" s="118"/>
      <c r="R568" s="818"/>
      <c r="S568" s="735"/>
      <c r="T568" s="735"/>
      <c r="U568" s="735"/>
      <c r="V568" s="819"/>
      <c r="W568" s="819"/>
      <c r="X568" s="118"/>
    </row>
    <row r="569" spans="2:24" ht="15" customHeight="1">
      <c r="B569" s="703"/>
      <c r="C569" s="703"/>
      <c r="D569" s="118"/>
      <c r="E569" s="735"/>
      <c r="F569" s="118"/>
      <c r="G569" s="118"/>
      <c r="H569" s="815"/>
      <c r="I569" s="816"/>
      <c r="J569" s="735"/>
      <c r="K569" s="735"/>
      <c r="L569" s="815"/>
      <c r="M569" s="844"/>
      <c r="O569" s="204" t="str">
        <f t="shared" ca="1" si="22"/>
        <v/>
      </c>
      <c r="P569" s="118" t="str">
        <f t="shared" ca="1" si="21"/>
        <v/>
      </c>
      <c r="Q569" s="118"/>
      <c r="R569" s="818"/>
      <c r="S569" s="735"/>
      <c r="T569" s="735"/>
      <c r="U569" s="735"/>
      <c r="V569" s="819"/>
      <c r="W569" s="819"/>
      <c r="X569" s="118"/>
    </row>
    <row r="570" spans="2:24" ht="15" customHeight="1">
      <c r="B570" s="703"/>
      <c r="C570" s="703"/>
      <c r="D570" s="118"/>
      <c r="E570" s="735"/>
      <c r="F570" s="118"/>
      <c r="G570" s="118"/>
      <c r="H570" s="815"/>
      <c r="I570" s="816"/>
      <c r="J570" s="735"/>
      <c r="K570" s="735"/>
      <c r="L570" s="815"/>
      <c r="M570" s="844"/>
      <c r="O570" s="204" t="str">
        <f t="shared" ca="1" si="22"/>
        <v/>
      </c>
      <c r="P570" s="118" t="str">
        <f t="shared" ca="1" si="21"/>
        <v/>
      </c>
      <c r="Q570" s="118"/>
      <c r="R570" s="818"/>
      <c r="S570" s="735"/>
      <c r="T570" s="735"/>
      <c r="U570" s="735"/>
      <c r="V570" s="819"/>
      <c r="W570" s="819"/>
      <c r="X570" s="118"/>
    </row>
    <row r="571" spans="2:24" ht="15" customHeight="1">
      <c r="B571" s="703"/>
      <c r="C571" s="703"/>
      <c r="D571" s="118"/>
      <c r="E571" s="735"/>
      <c r="F571" s="118"/>
      <c r="G571" s="118"/>
      <c r="H571" s="815"/>
      <c r="I571" s="816"/>
      <c r="J571" s="735"/>
      <c r="K571" s="735"/>
      <c r="L571" s="815"/>
      <c r="M571" s="844"/>
      <c r="O571" s="204" t="str">
        <f t="shared" ca="1" si="22"/>
        <v/>
      </c>
      <c r="P571" s="118" t="str">
        <f t="shared" ca="1" si="21"/>
        <v/>
      </c>
      <c r="Q571" s="118"/>
      <c r="R571" s="818"/>
      <c r="S571" s="735"/>
      <c r="T571" s="735"/>
      <c r="U571" s="735"/>
      <c r="V571" s="819"/>
      <c r="W571" s="819"/>
      <c r="X571" s="118"/>
    </row>
    <row r="572" spans="2:24" ht="15" customHeight="1">
      <c r="B572" s="703"/>
      <c r="C572" s="703"/>
      <c r="D572" s="118"/>
      <c r="E572" s="735"/>
      <c r="F572" s="118"/>
      <c r="G572" s="118"/>
      <c r="H572" s="815"/>
      <c r="I572" s="816"/>
      <c r="J572" s="735"/>
      <c r="K572" s="735"/>
      <c r="L572" s="815"/>
      <c r="M572" s="844"/>
      <c r="O572" s="204" t="str">
        <f t="shared" ca="1" si="22"/>
        <v/>
      </c>
      <c r="P572" s="118" t="str">
        <f t="shared" ca="1" si="21"/>
        <v/>
      </c>
      <c r="Q572" s="118"/>
      <c r="R572" s="818"/>
      <c r="S572" s="735"/>
      <c r="T572" s="735"/>
      <c r="U572" s="735"/>
      <c r="V572" s="819"/>
      <c r="W572" s="819"/>
      <c r="X572" s="118"/>
    </row>
    <row r="573" spans="2:24" ht="15" customHeight="1">
      <c r="B573" s="703"/>
      <c r="C573" s="703"/>
      <c r="D573" s="118"/>
      <c r="E573" s="735"/>
      <c r="F573" s="118"/>
      <c r="G573" s="118"/>
      <c r="H573" s="815"/>
      <c r="I573" s="816"/>
      <c r="J573" s="735"/>
      <c r="K573" s="735"/>
      <c r="L573" s="815"/>
      <c r="M573" s="844"/>
      <c r="O573" s="204" t="str">
        <f t="shared" ca="1" si="22"/>
        <v/>
      </c>
      <c r="P573" s="118" t="str">
        <f t="shared" ca="1" si="21"/>
        <v/>
      </c>
      <c r="Q573" s="118"/>
      <c r="R573" s="818"/>
      <c r="S573" s="735"/>
      <c r="T573" s="735"/>
      <c r="U573" s="735"/>
      <c r="V573" s="819"/>
      <c r="W573" s="819"/>
      <c r="X573" s="118"/>
    </row>
    <row r="574" spans="2:24" ht="15" customHeight="1">
      <c r="B574" s="703"/>
      <c r="C574" s="703"/>
      <c r="D574" s="118"/>
      <c r="E574" s="735"/>
      <c r="F574" s="118"/>
      <c r="G574" s="118"/>
      <c r="H574" s="815"/>
      <c r="I574" s="816"/>
      <c r="J574" s="735"/>
      <c r="K574" s="735"/>
      <c r="L574" s="815"/>
      <c r="M574" s="844"/>
      <c r="O574" s="204" t="str">
        <f t="shared" ca="1" si="22"/>
        <v/>
      </c>
      <c r="P574" s="118" t="str">
        <f t="shared" ca="1" si="21"/>
        <v/>
      </c>
      <c r="Q574" s="118"/>
      <c r="R574" s="818"/>
      <c r="S574" s="735"/>
      <c r="T574" s="735"/>
      <c r="U574" s="735"/>
      <c r="V574" s="819"/>
      <c r="W574" s="819"/>
      <c r="X574" s="118"/>
    </row>
    <row r="575" spans="2:24" ht="15" customHeight="1">
      <c r="B575" s="703"/>
      <c r="C575" s="703"/>
      <c r="D575" s="118"/>
      <c r="E575" s="735"/>
      <c r="F575" s="118"/>
      <c r="G575" s="118"/>
      <c r="H575" s="815"/>
      <c r="I575" s="816"/>
      <c r="J575" s="735"/>
      <c r="K575" s="735"/>
      <c r="L575" s="815"/>
      <c r="M575" s="844"/>
      <c r="O575" s="204" t="str">
        <f t="shared" ca="1" si="22"/>
        <v/>
      </c>
      <c r="P575" s="118" t="str">
        <f t="shared" ca="1" si="21"/>
        <v/>
      </c>
      <c r="Q575" s="118"/>
      <c r="R575" s="818"/>
      <c r="S575" s="735"/>
      <c r="T575" s="735"/>
      <c r="U575" s="735"/>
      <c r="V575" s="819"/>
      <c r="W575" s="819"/>
      <c r="X575" s="118"/>
    </row>
    <row r="576" spans="2:24" ht="15" customHeight="1">
      <c r="B576" s="703"/>
      <c r="C576" s="703"/>
      <c r="D576" s="118"/>
      <c r="E576" s="735"/>
      <c r="F576" s="118"/>
      <c r="G576" s="118"/>
      <c r="H576" s="815"/>
      <c r="I576" s="816"/>
      <c r="J576" s="735"/>
      <c r="K576" s="735"/>
      <c r="L576" s="815"/>
      <c r="M576" s="844"/>
      <c r="O576" s="204" t="str">
        <f t="shared" ca="1" si="22"/>
        <v/>
      </c>
      <c r="P576" s="118" t="str">
        <f t="shared" ca="1" si="21"/>
        <v/>
      </c>
      <c r="Q576" s="118"/>
      <c r="R576" s="818"/>
      <c r="S576" s="735"/>
      <c r="T576" s="735"/>
      <c r="U576" s="735"/>
      <c r="V576" s="819"/>
      <c r="W576" s="819"/>
      <c r="X576" s="118"/>
    </row>
    <row r="577" spans="2:24" ht="15" customHeight="1">
      <c r="B577" s="703"/>
      <c r="C577" s="703"/>
      <c r="D577" s="118"/>
      <c r="E577" s="735"/>
      <c r="F577" s="118"/>
      <c r="G577" s="118"/>
      <c r="H577" s="815"/>
      <c r="I577" s="816"/>
      <c r="J577" s="735"/>
      <c r="K577" s="735"/>
      <c r="L577" s="815"/>
      <c r="M577" s="844"/>
      <c r="O577" s="204" t="str">
        <f t="shared" ca="1" si="22"/>
        <v/>
      </c>
      <c r="P577" s="118" t="str">
        <f t="shared" ca="1" si="21"/>
        <v/>
      </c>
      <c r="Q577" s="118"/>
      <c r="R577" s="818"/>
      <c r="S577" s="735"/>
      <c r="T577" s="735"/>
      <c r="U577" s="735"/>
      <c r="V577" s="819"/>
      <c r="W577" s="819"/>
      <c r="X577" s="118"/>
    </row>
    <row r="578" spans="2:24" ht="15" customHeight="1">
      <c r="B578" s="703"/>
      <c r="C578" s="703"/>
      <c r="D578" s="118"/>
      <c r="E578" s="735"/>
      <c r="F578" s="118"/>
      <c r="G578" s="118"/>
      <c r="H578" s="815"/>
      <c r="I578" s="816"/>
      <c r="J578" s="735"/>
      <c r="K578" s="735"/>
      <c r="L578" s="815"/>
      <c r="M578" s="844"/>
      <c r="O578" s="204" t="str">
        <f t="shared" ca="1" si="22"/>
        <v/>
      </c>
      <c r="P578" s="118" t="str">
        <f t="shared" ca="1" si="21"/>
        <v/>
      </c>
      <c r="Q578" s="118"/>
      <c r="R578" s="818"/>
      <c r="S578" s="735"/>
      <c r="T578" s="735"/>
      <c r="U578" s="735"/>
      <c r="V578" s="819"/>
      <c r="W578" s="819"/>
      <c r="X578" s="118"/>
    </row>
    <row r="579" spans="2:24" ht="15" customHeight="1">
      <c r="B579" s="703"/>
      <c r="C579" s="703"/>
      <c r="D579" s="118"/>
      <c r="E579" s="735"/>
      <c r="F579" s="118"/>
      <c r="G579" s="118"/>
      <c r="H579" s="815"/>
      <c r="I579" s="816"/>
      <c r="J579" s="735"/>
      <c r="K579" s="735"/>
      <c r="L579" s="815"/>
      <c r="M579" s="844"/>
      <c r="O579" s="204" t="str">
        <f t="shared" ca="1" si="22"/>
        <v/>
      </c>
      <c r="P579" s="118" t="str">
        <f t="shared" ref="P579:P642" ca="1" si="23">IF(ISBLANK(H579), "", IF(ISNUMBER(M579), M579-H579, TODAY()-H579))</f>
        <v/>
      </c>
      <c r="Q579" s="118"/>
      <c r="R579" s="818"/>
      <c r="S579" s="735"/>
      <c r="T579" s="735"/>
      <c r="U579" s="735"/>
      <c r="V579" s="819"/>
      <c r="W579" s="819"/>
      <c r="X579" s="118"/>
    </row>
    <row r="580" spans="2:24" ht="15" customHeight="1">
      <c r="B580" s="703"/>
      <c r="C580" s="703"/>
      <c r="D580" s="118"/>
      <c r="E580" s="735"/>
      <c r="F580" s="118"/>
      <c r="G580" s="118"/>
      <c r="H580" s="815"/>
      <c r="I580" s="816"/>
      <c r="J580" s="735"/>
      <c r="K580" s="735"/>
      <c r="L580" s="815"/>
      <c r="M580" s="844"/>
      <c r="O580" s="204" t="str">
        <f t="shared" ca="1" si="22"/>
        <v/>
      </c>
      <c r="P580" s="118" t="str">
        <f t="shared" ca="1" si="23"/>
        <v/>
      </c>
      <c r="Q580" s="118"/>
      <c r="R580" s="818"/>
      <c r="S580" s="735"/>
      <c r="T580" s="735"/>
      <c r="U580" s="735"/>
      <c r="V580" s="819"/>
      <c r="W580" s="819"/>
      <c r="X580" s="118"/>
    </row>
    <row r="581" spans="2:24" ht="15" customHeight="1">
      <c r="B581" s="703"/>
      <c r="C581" s="703"/>
      <c r="D581" s="118"/>
      <c r="E581" s="735"/>
      <c r="F581" s="118"/>
      <c r="G581" s="118"/>
      <c r="H581" s="815"/>
      <c r="I581" s="816"/>
      <c r="J581" s="735"/>
      <c r="K581" s="735"/>
      <c r="L581" s="815"/>
      <c r="M581" s="844"/>
      <c r="O581" s="204" t="str">
        <f t="shared" ca="1" si="22"/>
        <v/>
      </c>
      <c r="P581" s="118" t="str">
        <f t="shared" ca="1" si="23"/>
        <v/>
      </c>
      <c r="Q581" s="118"/>
      <c r="R581" s="818"/>
      <c r="S581" s="735"/>
      <c r="T581" s="735"/>
      <c r="U581" s="735"/>
      <c r="V581" s="819"/>
      <c r="W581" s="819"/>
      <c r="X581" s="118"/>
    </row>
    <row r="582" spans="2:24" ht="15" customHeight="1">
      <c r="B582" s="703"/>
      <c r="C582" s="703"/>
      <c r="D582" s="118"/>
      <c r="E582" s="735"/>
      <c r="F582" s="118"/>
      <c r="G582" s="118"/>
      <c r="H582" s="815"/>
      <c r="I582" s="816"/>
      <c r="J582" s="735"/>
      <c r="K582" s="735"/>
      <c r="L582" s="815"/>
      <c r="M582" s="844"/>
      <c r="O582" s="204" t="str">
        <f t="shared" ca="1" si="22"/>
        <v/>
      </c>
      <c r="P582" s="118" t="str">
        <f t="shared" ca="1" si="23"/>
        <v/>
      </c>
      <c r="Q582" s="118"/>
      <c r="R582" s="818"/>
      <c r="S582" s="735"/>
      <c r="T582" s="735"/>
      <c r="U582" s="735"/>
      <c r="V582" s="819"/>
      <c r="W582" s="819"/>
      <c r="X582" s="118"/>
    </row>
    <row r="583" spans="2:24" ht="15" customHeight="1">
      <c r="B583" s="703"/>
      <c r="C583" s="703"/>
      <c r="D583" s="118"/>
      <c r="E583" s="735"/>
      <c r="F583" s="118"/>
      <c r="G583" s="118"/>
      <c r="H583" s="815"/>
      <c r="I583" s="816"/>
      <c r="J583" s="735"/>
      <c r="K583" s="735"/>
      <c r="L583" s="815"/>
      <c r="M583" s="844"/>
      <c r="O583" s="204" t="str">
        <f t="shared" ca="1" si="22"/>
        <v/>
      </c>
      <c r="P583" s="118" t="str">
        <f t="shared" ca="1" si="23"/>
        <v/>
      </c>
      <c r="Q583" s="118"/>
      <c r="R583" s="818"/>
      <c r="S583" s="735"/>
      <c r="T583" s="735"/>
      <c r="U583" s="735"/>
      <c r="V583" s="819"/>
      <c r="W583" s="819"/>
      <c r="X583" s="118"/>
    </row>
    <row r="584" spans="2:24" ht="15" customHeight="1">
      <c r="B584" s="703"/>
      <c r="C584" s="703"/>
      <c r="D584" s="118"/>
      <c r="E584" s="735"/>
      <c r="F584" s="118"/>
      <c r="G584" s="118"/>
      <c r="H584" s="815"/>
      <c r="I584" s="816"/>
      <c r="J584" s="735"/>
      <c r="K584" s="735"/>
      <c r="L584" s="815"/>
      <c r="M584" s="844"/>
      <c r="O584" s="204" t="str">
        <f t="shared" ca="1" si="22"/>
        <v/>
      </c>
      <c r="P584" s="118" t="str">
        <f t="shared" ca="1" si="23"/>
        <v/>
      </c>
      <c r="Q584" s="118"/>
      <c r="R584" s="818"/>
      <c r="S584" s="735"/>
      <c r="T584" s="735"/>
      <c r="U584" s="735"/>
      <c r="V584" s="819"/>
      <c r="W584" s="819"/>
      <c r="X584" s="118"/>
    </row>
    <row r="585" spans="2:24" ht="15" customHeight="1">
      <c r="B585" s="703"/>
      <c r="C585" s="703"/>
      <c r="D585" s="118"/>
      <c r="E585" s="735"/>
      <c r="F585" s="118"/>
      <c r="G585" s="118"/>
      <c r="H585" s="815"/>
      <c r="I585" s="816"/>
      <c r="J585" s="735"/>
      <c r="K585" s="735"/>
      <c r="L585" s="815"/>
      <c r="M585" s="844"/>
      <c r="O585" s="204" t="str">
        <f t="shared" ca="1" si="22"/>
        <v/>
      </c>
      <c r="P585" s="118" t="str">
        <f t="shared" ca="1" si="23"/>
        <v/>
      </c>
      <c r="Q585" s="118"/>
      <c r="R585" s="818"/>
      <c r="S585" s="735"/>
      <c r="T585" s="735"/>
      <c r="U585" s="735"/>
      <c r="V585" s="819"/>
      <c r="W585" s="819"/>
      <c r="X585" s="118"/>
    </row>
    <row r="586" spans="2:24" ht="15" customHeight="1">
      <c r="B586" s="703"/>
      <c r="C586" s="703"/>
      <c r="D586" s="118"/>
      <c r="E586" s="735"/>
      <c r="F586" s="118"/>
      <c r="G586" s="118"/>
      <c r="H586" s="815"/>
      <c r="I586" s="816"/>
      <c r="J586" s="735"/>
      <c r="K586" s="735"/>
      <c r="L586" s="815"/>
      <c r="M586" s="844"/>
      <c r="O586" s="204" t="str">
        <f t="shared" ca="1" si="22"/>
        <v/>
      </c>
      <c r="P586" s="118" t="str">
        <f t="shared" ca="1" si="23"/>
        <v/>
      </c>
      <c r="Q586" s="118"/>
      <c r="R586" s="818"/>
      <c r="S586" s="735"/>
      <c r="T586" s="735"/>
      <c r="U586" s="735"/>
      <c r="V586" s="819"/>
      <c r="W586" s="819"/>
      <c r="X586" s="118"/>
    </row>
    <row r="587" spans="2:24" ht="15" customHeight="1">
      <c r="B587" s="703"/>
      <c r="C587" s="703"/>
      <c r="D587" s="118"/>
      <c r="E587" s="735"/>
      <c r="F587" s="118"/>
      <c r="G587" s="118"/>
      <c r="H587" s="815"/>
      <c r="I587" s="816"/>
      <c r="J587" s="735"/>
      <c r="K587" s="735"/>
      <c r="L587" s="815"/>
      <c r="M587" s="844"/>
      <c r="O587" s="204" t="str">
        <f t="shared" ca="1" si="22"/>
        <v/>
      </c>
      <c r="P587" s="118" t="str">
        <f t="shared" ca="1" si="23"/>
        <v/>
      </c>
      <c r="Q587" s="118"/>
      <c r="R587" s="818"/>
      <c r="S587" s="735"/>
      <c r="T587" s="735"/>
      <c r="U587" s="735"/>
      <c r="V587" s="819"/>
      <c r="W587" s="819"/>
      <c r="X587" s="118"/>
    </row>
    <row r="588" spans="2:24" ht="15" customHeight="1">
      <c r="B588" s="703"/>
      <c r="C588" s="703"/>
      <c r="D588" s="118"/>
      <c r="E588" s="735"/>
      <c r="F588" s="118"/>
      <c r="G588" s="118"/>
      <c r="H588" s="815"/>
      <c r="I588" s="816"/>
      <c r="J588" s="735"/>
      <c r="K588" s="735"/>
      <c r="L588" s="815"/>
      <c r="M588" s="844"/>
      <c r="O588" s="204" t="str">
        <f t="shared" ca="1" si="22"/>
        <v/>
      </c>
      <c r="P588" s="118" t="str">
        <f t="shared" ca="1" si="23"/>
        <v/>
      </c>
      <c r="Q588" s="118"/>
      <c r="R588" s="818"/>
      <c r="S588" s="735"/>
      <c r="T588" s="735"/>
      <c r="U588" s="735"/>
      <c r="V588" s="819"/>
      <c r="W588" s="819"/>
      <c r="X588" s="118"/>
    </row>
    <row r="589" spans="2:24" ht="15" customHeight="1">
      <c r="B589" s="703"/>
      <c r="C589" s="703"/>
      <c r="D589" s="118"/>
      <c r="E589" s="735"/>
      <c r="F589" s="118"/>
      <c r="G589" s="118"/>
      <c r="H589" s="815"/>
      <c r="I589" s="816"/>
      <c r="J589" s="735"/>
      <c r="K589" s="735"/>
      <c r="L589" s="815"/>
      <c r="M589" s="844"/>
      <c r="O589" s="204" t="str">
        <f t="shared" ca="1" si="22"/>
        <v/>
      </c>
      <c r="P589" s="118" t="str">
        <f t="shared" ca="1" si="23"/>
        <v/>
      </c>
      <c r="Q589" s="118"/>
      <c r="R589" s="818"/>
      <c r="S589" s="735"/>
      <c r="T589" s="735"/>
      <c r="U589" s="735"/>
      <c r="V589" s="819"/>
      <c r="W589" s="819"/>
      <c r="X589" s="118"/>
    </row>
    <row r="590" spans="2:24" ht="15" customHeight="1">
      <c r="B590" s="703"/>
      <c r="C590" s="703"/>
      <c r="D590" s="118"/>
      <c r="E590" s="735"/>
      <c r="F590" s="118"/>
      <c r="G590" s="118"/>
      <c r="H590" s="815"/>
      <c r="I590" s="816"/>
      <c r="J590" s="735"/>
      <c r="K590" s="735"/>
      <c r="L590" s="815"/>
      <c r="M590" s="844"/>
      <c r="O590" s="204" t="str">
        <f t="shared" ca="1" si="22"/>
        <v/>
      </c>
      <c r="P590" s="118" t="str">
        <f t="shared" ca="1" si="23"/>
        <v/>
      </c>
      <c r="Q590" s="118"/>
      <c r="R590" s="818"/>
      <c r="S590" s="735"/>
      <c r="T590" s="735"/>
      <c r="U590" s="735"/>
      <c r="V590" s="819"/>
      <c r="W590" s="819"/>
      <c r="X590" s="118"/>
    </row>
    <row r="591" spans="2:24" ht="15" customHeight="1">
      <c r="B591" s="703"/>
      <c r="C591" s="703"/>
      <c r="D591" s="118"/>
      <c r="E591" s="735"/>
      <c r="F591" s="118"/>
      <c r="G591" s="118"/>
      <c r="H591" s="815"/>
      <c r="I591" s="816"/>
      <c r="J591" s="735"/>
      <c r="K591" s="735"/>
      <c r="L591" s="815"/>
      <c r="M591" s="844"/>
      <c r="O591" s="204" t="str">
        <f t="shared" ca="1" si="22"/>
        <v/>
      </c>
      <c r="P591" s="118" t="str">
        <f t="shared" ca="1" si="23"/>
        <v/>
      </c>
      <c r="Q591" s="118"/>
      <c r="R591" s="818"/>
      <c r="S591" s="735"/>
      <c r="T591" s="735"/>
      <c r="U591" s="735"/>
      <c r="V591" s="819"/>
      <c r="W591" s="819"/>
      <c r="X591" s="118"/>
    </row>
    <row r="592" spans="2:24" ht="15" customHeight="1">
      <c r="B592" s="703"/>
      <c r="C592" s="703"/>
      <c r="D592" s="118"/>
      <c r="E592" s="735"/>
      <c r="F592" s="118"/>
      <c r="G592" s="118"/>
      <c r="H592" s="815"/>
      <c r="I592" s="816"/>
      <c r="J592" s="735"/>
      <c r="K592" s="735"/>
      <c r="L592" s="815"/>
      <c r="M592" s="844"/>
      <c r="O592" s="204" t="str">
        <f t="shared" ca="1" si="22"/>
        <v/>
      </c>
      <c r="P592" s="118" t="str">
        <f t="shared" ca="1" si="23"/>
        <v/>
      </c>
      <c r="Q592" s="118"/>
      <c r="R592" s="818"/>
      <c r="S592" s="735"/>
      <c r="T592" s="735"/>
      <c r="U592" s="735"/>
      <c r="V592" s="819"/>
      <c r="W592" s="819"/>
      <c r="X592" s="118"/>
    </row>
    <row r="593" spans="2:24" ht="15" customHeight="1">
      <c r="B593" s="703"/>
      <c r="C593" s="703"/>
      <c r="D593" s="118"/>
      <c r="E593" s="735"/>
      <c r="F593" s="118"/>
      <c r="G593" s="118"/>
      <c r="H593" s="815"/>
      <c r="I593" s="816"/>
      <c r="J593" s="735"/>
      <c r="K593" s="735"/>
      <c r="L593" s="815"/>
      <c r="M593" s="844"/>
      <c r="O593" s="204" t="str">
        <f t="shared" ca="1" si="22"/>
        <v/>
      </c>
      <c r="P593" s="118" t="str">
        <f t="shared" ca="1" si="23"/>
        <v/>
      </c>
      <c r="Q593" s="118"/>
      <c r="R593" s="818"/>
      <c r="S593" s="735"/>
      <c r="T593" s="735"/>
      <c r="U593" s="735"/>
      <c r="V593" s="819"/>
      <c r="W593" s="819"/>
      <c r="X593" s="118"/>
    </row>
    <row r="594" spans="2:24" ht="15" customHeight="1">
      <c r="B594" s="703"/>
      <c r="C594" s="703"/>
      <c r="D594" s="118"/>
      <c r="E594" s="735"/>
      <c r="F594" s="118"/>
      <c r="G594" s="118"/>
      <c r="H594" s="815"/>
      <c r="I594" s="816"/>
      <c r="J594" s="735"/>
      <c r="K594" s="735"/>
      <c r="L594" s="815"/>
      <c r="M594" s="844"/>
      <c r="O594" s="204" t="str">
        <f t="shared" ca="1" si="22"/>
        <v/>
      </c>
      <c r="P594" s="118" t="str">
        <f t="shared" ca="1" si="23"/>
        <v/>
      </c>
      <c r="Q594" s="118"/>
      <c r="R594" s="818"/>
      <c r="S594" s="735"/>
      <c r="T594" s="735"/>
      <c r="U594" s="735"/>
      <c r="V594" s="819"/>
      <c r="W594" s="819"/>
      <c r="X594" s="118"/>
    </row>
    <row r="595" spans="2:24" ht="15" customHeight="1">
      <c r="B595" s="703"/>
      <c r="C595" s="703"/>
      <c r="D595" s="118"/>
      <c r="E595" s="735"/>
      <c r="F595" s="118"/>
      <c r="G595" s="118"/>
      <c r="H595" s="815"/>
      <c r="I595" s="816"/>
      <c r="J595" s="735"/>
      <c r="K595" s="735"/>
      <c r="L595" s="815"/>
      <c r="M595" s="844"/>
      <c r="O595" s="204" t="str">
        <f t="shared" ca="1" si="22"/>
        <v/>
      </c>
      <c r="P595" s="118" t="str">
        <f t="shared" ca="1" si="23"/>
        <v/>
      </c>
      <c r="Q595" s="118"/>
      <c r="R595" s="818"/>
      <c r="S595" s="735"/>
      <c r="T595" s="735"/>
      <c r="U595" s="735"/>
      <c r="V595" s="819"/>
      <c r="W595" s="819"/>
      <c r="X595" s="118"/>
    </row>
    <row r="596" spans="2:24" ht="15" customHeight="1">
      <c r="B596" s="703"/>
      <c r="C596" s="703"/>
      <c r="D596" s="118"/>
      <c r="E596" s="735"/>
      <c r="F596" s="118"/>
      <c r="G596" s="118"/>
      <c r="H596" s="815"/>
      <c r="I596" s="816"/>
      <c r="J596" s="735"/>
      <c r="K596" s="735"/>
      <c r="L596" s="815"/>
      <c r="M596" s="844"/>
      <c r="O596" s="204" t="str">
        <f t="shared" ca="1" si="22"/>
        <v/>
      </c>
      <c r="P596" s="118" t="str">
        <f t="shared" ca="1" si="23"/>
        <v/>
      </c>
      <c r="Q596" s="118"/>
      <c r="R596" s="818"/>
      <c r="S596" s="735"/>
      <c r="T596" s="735"/>
      <c r="U596" s="735"/>
      <c r="V596" s="819"/>
      <c r="W596" s="819"/>
      <c r="X596" s="118"/>
    </row>
    <row r="597" spans="2:24" ht="15" customHeight="1">
      <c r="B597" s="703"/>
      <c r="C597" s="703"/>
      <c r="D597" s="118"/>
      <c r="E597" s="735"/>
      <c r="F597" s="118"/>
      <c r="G597" s="118"/>
      <c r="H597" s="815"/>
      <c r="I597" s="816"/>
      <c r="J597" s="735"/>
      <c r="K597" s="735"/>
      <c r="L597" s="815"/>
      <c r="M597" s="844"/>
      <c r="O597" s="204" t="str">
        <f t="shared" ca="1" si="22"/>
        <v/>
      </c>
      <c r="P597" s="118" t="str">
        <f t="shared" ca="1" si="23"/>
        <v/>
      </c>
      <c r="Q597" s="118"/>
      <c r="R597" s="818"/>
      <c r="S597" s="735"/>
      <c r="T597" s="735"/>
      <c r="U597" s="735"/>
      <c r="V597" s="819"/>
      <c r="W597" s="819"/>
      <c r="X597" s="118"/>
    </row>
    <row r="598" spans="2:24" ht="15" customHeight="1">
      <c r="B598" s="703"/>
      <c r="C598" s="703"/>
      <c r="D598" s="118"/>
      <c r="E598" s="735"/>
      <c r="F598" s="118"/>
      <c r="G598" s="118"/>
      <c r="H598" s="815"/>
      <c r="I598" s="816"/>
      <c r="J598" s="735"/>
      <c r="K598" s="735"/>
      <c r="L598" s="815"/>
      <c r="M598" s="844"/>
      <c r="O598" s="204" t="str">
        <f t="shared" ca="1" si="22"/>
        <v/>
      </c>
      <c r="P598" s="118" t="str">
        <f t="shared" ca="1" si="23"/>
        <v/>
      </c>
      <c r="Q598" s="118"/>
      <c r="R598" s="818"/>
      <c r="S598" s="735"/>
      <c r="T598" s="735"/>
      <c r="U598" s="735"/>
      <c r="V598" s="819"/>
      <c r="W598" s="819"/>
      <c r="X598" s="118"/>
    </row>
    <row r="599" spans="2:24" ht="15" customHeight="1">
      <c r="B599" s="703"/>
      <c r="C599" s="703"/>
      <c r="D599" s="118"/>
      <c r="E599" s="735"/>
      <c r="F599" s="118"/>
      <c r="G599" s="118"/>
      <c r="H599" s="815"/>
      <c r="I599" s="816"/>
      <c r="J599" s="735"/>
      <c r="K599" s="735"/>
      <c r="L599" s="815"/>
      <c r="M599" s="844"/>
      <c r="O599" s="204" t="str">
        <f t="shared" ca="1" si="22"/>
        <v/>
      </c>
      <c r="P599" s="118" t="str">
        <f t="shared" ca="1" si="23"/>
        <v/>
      </c>
      <c r="Q599" s="118"/>
      <c r="R599" s="818"/>
      <c r="S599" s="735"/>
      <c r="T599" s="735"/>
      <c r="U599" s="735"/>
      <c r="V599" s="819"/>
      <c r="W599" s="819"/>
      <c r="X599" s="118"/>
    </row>
    <row r="600" spans="2:24" ht="15" customHeight="1">
      <c r="B600" s="703"/>
      <c r="C600" s="703"/>
      <c r="D600" s="118"/>
      <c r="E600" s="735"/>
      <c r="F600" s="118"/>
      <c r="G600" s="118"/>
      <c r="H600" s="815"/>
      <c r="I600" s="816"/>
      <c r="J600" s="735"/>
      <c r="K600" s="735"/>
      <c r="L600" s="815"/>
      <c r="M600" s="844"/>
      <c r="O600" s="204" t="str">
        <f t="shared" ca="1" si="22"/>
        <v/>
      </c>
      <c r="P600" s="118" t="str">
        <f t="shared" ca="1" si="23"/>
        <v/>
      </c>
      <c r="Q600" s="118"/>
      <c r="R600" s="818"/>
      <c r="S600" s="735"/>
      <c r="T600" s="735"/>
      <c r="U600" s="735"/>
      <c r="V600" s="819"/>
      <c r="W600" s="819"/>
      <c r="X600" s="118"/>
    </row>
    <row r="601" spans="2:24" ht="15" customHeight="1">
      <c r="B601" s="703"/>
      <c r="C601" s="703"/>
      <c r="D601" s="118"/>
      <c r="E601" s="735"/>
      <c r="F601" s="118"/>
      <c r="G601" s="118"/>
      <c r="H601" s="815"/>
      <c r="I601" s="816"/>
      <c r="J601" s="735"/>
      <c r="K601" s="735"/>
      <c r="L601" s="815"/>
      <c r="M601" s="844"/>
      <c r="O601" s="204" t="str">
        <f t="shared" ca="1" si="22"/>
        <v/>
      </c>
      <c r="P601" s="118" t="str">
        <f t="shared" ca="1" si="23"/>
        <v/>
      </c>
      <c r="Q601" s="118"/>
      <c r="R601" s="818"/>
      <c r="S601" s="735"/>
      <c r="T601" s="735"/>
      <c r="U601" s="735"/>
      <c r="V601" s="819"/>
      <c r="W601" s="819"/>
      <c r="X601" s="118"/>
    </row>
    <row r="602" spans="2:24" ht="15" customHeight="1">
      <c r="B602" s="703"/>
      <c r="C602" s="703"/>
      <c r="D602" s="118"/>
      <c r="E602" s="735"/>
      <c r="F602" s="118"/>
      <c r="G602" s="118"/>
      <c r="H602" s="815"/>
      <c r="I602" s="816"/>
      <c r="J602" s="735"/>
      <c r="K602" s="735"/>
      <c r="L602" s="815"/>
      <c r="M602" s="844"/>
      <c r="O602" s="204" t="str">
        <f t="shared" ca="1" si="22"/>
        <v/>
      </c>
      <c r="P602" s="118" t="str">
        <f t="shared" ca="1" si="23"/>
        <v/>
      </c>
      <c r="Q602" s="118"/>
      <c r="R602" s="818"/>
      <c r="S602" s="735"/>
      <c r="T602" s="735"/>
      <c r="U602" s="735"/>
      <c r="V602" s="819"/>
      <c r="W602" s="819"/>
      <c r="X602" s="118"/>
    </row>
    <row r="603" spans="2:24" ht="15" customHeight="1">
      <c r="B603" s="703"/>
      <c r="C603" s="703"/>
      <c r="D603" s="118"/>
      <c r="E603" s="735"/>
      <c r="F603" s="118"/>
      <c r="G603" s="118"/>
      <c r="H603" s="815"/>
      <c r="I603" s="816"/>
      <c r="J603" s="735"/>
      <c r="K603" s="735"/>
      <c r="L603" s="815"/>
      <c r="M603" s="844"/>
      <c r="O603" s="204" t="str">
        <f t="shared" ca="1" si="22"/>
        <v/>
      </c>
      <c r="P603" s="118" t="str">
        <f t="shared" ca="1" si="23"/>
        <v/>
      </c>
      <c r="Q603" s="118"/>
      <c r="R603" s="818"/>
      <c r="S603" s="735"/>
      <c r="T603" s="735"/>
      <c r="U603" s="735"/>
      <c r="V603" s="819"/>
      <c r="W603" s="819"/>
      <c r="X603" s="118"/>
    </row>
    <row r="604" spans="2:24" ht="15" customHeight="1">
      <c r="B604" s="703"/>
      <c r="C604" s="703"/>
      <c r="D604" s="118"/>
      <c r="E604" s="735"/>
      <c r="F604" s="118"/>
      <c r="G604" s="118"/>
      <c r="H604" s="815"/>
      <c r="I604" s="816"/>
      <c r="J604" s="735"/>
      <c r="K604" s="735"/>
      <c r="L604" s="815"/>
      <c r="M604" s="844"/>
      <c r="O604" s="204" t="str">
        <f t="shared" ca="1" si="22"/>
        <v/>
      </c>
      <c r="P604" s="118" t="str">
        <f t="shared" ca="1" si="23"/>
        <v/>
      </c>
      <c r="Q604" s="118"/>
      <c r="R604" s="818"/>
      <c r="S604" s="735"/>
      <c r="T604" s="735"/>
      <c r="U604" s="735"/>
      <c r="V604" s="819"/>
      <c r="W604" s="819"/>
      <c r="X604" s="118"/>
    </row>
    <row r="605" spans="2:24" ht="15" customHeight="1">
      <c r="B605" s="703"/>
      <c r="C605" s="703"/>
      <c r="D605" s="118"/>
      <c r="E605" s="735"/>
      <c r="F605" s="118"/>
      <c r="G605" s="118"/>
      <c r="H605" s="815"/>
      <c r="I605" s="816"/>
      <c r="J605" s="735"/>
      <c r="K605" s="735"/>
      <c r="L605" s="815"/>
      <c r="M605" s="844"/>
      <c r="O605" s="204" t="str">
        <f t="shared" ca="1" si="22"/>
        <v/>
      </c>
      <c r="P605" s="118" t="str">
        <f t="shared" ca="1" si="23"/>
        <v/>
      </c>
      <c r="Q605" s="118"/>
      <c r="R605" s="818"/>
      <c r="S605" s="735"/>
      <c r="T605" s="735"/>
      <c r="U605" s="735"/>
      <c r="V605" s="819"/>
      <c r="W605" s="819"/>
      <c r="X605" s="118"/>
    </row>
    <row r="606" spans="2:24" ht="15" customHeight="1">
      <c r="B606" s="703"/>
      <c r="C606" s="703"/>
      <c r="D606" s="118"/>
      <c r="E606" s="735"/>
      <c r="F606" s="118"/>
      <c r="G606" s="118"/>
      <c r="H606" s="815"/>
      <c r="I606" s="816"/>
      <c r="J606" s="735"/>
      <c r="K606" s="735"/>
      <c r="L606" s="815"/>
      <c r="M606" s="844"/>
      <c r="O606" s="204" t="str">
        <f t="shared" ca="1" si="22"/>
        <v/>
      </c>
      <c r="P606" s="118" t="str">
        <f t="shared" ca="1" si="23"/>
        <v/>
      </c>
      <c r="Q606" s="118"/>
      <c r="R606" s="818"/>
      <c r="S606" s="735"/>
      <c r="T606" s="735"/>
      <c r="U606" s="735"/>
      <c r="V606" s="819"/>
      <c r="W606" s="819"/>
      <c r="X606" s="118"/>
    </row>
    <row r="607" spans="2:24" ht="15" customHeight="1">
      <c r="B607" s="703"/>
      <c r="C607" s="703"/>
      <c r="D607" s="118"/>
      <c r="E607" s="735"/>
      <c r="F607" s="118"/>
      <c r="G607" s="118"/>
      <c r="H607" s="815"/>
      <c r="I607" s="816"/>
      <c r="J607" s="735"/>
      <c r="K607" s="735"/>
      <c r="L607" s="815"/>
      <c r="M607" s="844"/>
      <c r="O607" s="204" t="str">
        <f t="shared" ca="1" si="22"/>
        <v/>
      </c>
      <c r="P607" s="118" t="str">
        <f t="shared" ca="1" si="23"/>
        <v/>
      </c>
      <c r="Q607" s="118"/>
      <c r="R607" s="818"/>
      <c r="S607" s="735"/>
      <c r="T607" s="735"/>
      <c r="U607" s="735"/>
      <c r="V607" s="819"/>
      <c r="W607" s="819"/>
      <c r="X607" s="118"/>
    </row>
    <row r="608" spans="2:24" ht="15" customHeight="1">
      <c r="B608" s="703"/>
      <c r="C608" s="703"/>
      <c r="D608" s="118"/>
      <c r="E608" s="735"/>
      <c r="F608" s="118"/>
      <c r="G608" s="118"/>
      <c r="H608" s="815"/>
      <c r="I608" s="816"/>
      <c r="J608" s="735"/>
      <c r="K608" s="735"/>
      <c r="L608" s="815"/>
      <c r="M608" s="844"/>
      <c r="O608" s="204" t="str">
        <f t="shared" ca="1" si="22"/>
        <v/>
      </c>
      <c r="P608" s="118" t="str">
        <f t="shared" ca="1" si="23"/>
        <v/>
      </c>
      <c r="Q608" s="118"/>
      <c r="R608" s="818"/>
      <c r="S608" s="735"/>
      <c r="T608" s="735"/>
      <c r="U608" s="735"/>
      <c r="V608" s="819"/>
      <c r="W608" s="819"/>
      <c r="X608" s="118"/>
    </row>
    <row r="609" spans="2:24" ht="15" customHeight="1">
      <c r="B609" s="703"/>
      <c r="C609" s="703"/>
      <c r="D609" s="118"/>
      <c r="E609" s="735"/>
      <c r="F609" s="118"/>
      <c r="G609" s="118"/>
      <c r="H609" s="815"/>
      <c r="I609" s="816"/>
      <c r="J609" s="735"/>
      <c r="K609" s="735"/>
      <c r="L609" s="815"/>
      <c r="M609" s="844"/>
      <c r="O609" s="204" t="str">
        <f t="shared" ca="1" si="22"/>
        <v/>
      </c>
      <c r="P609" s="118" t="str">
        <f t="shared" ca="1" si="23"/>
        <v/>
      </c>
      <c r="Q609" s="118"/>
      <c r="R609" s="818"/>
      <c r="S609" s="735"/>
      <c r="T609" s="735"/>
      <c r="U609" s="735"/>
      <c r="V609" s="819"/>
      <c r="W609" s="819"/>
      <c r="X609" s="118"/>
    </row>
    <row r="610" spans="2:24" ht="15" customHeight="1">
      <c r="B610" s="703"/>
      <c r="C610" s="703"/>
      <c r="D610" s="118"/>
      <c r="E610" s="735"/>
      <c r="F610" s="118"/>
      <c r="G610" s="118"/>
      <c r="H610" s="815"/>
      <c r="I610" s="816"/>
      <c r="J610" s="735"/>
      <c r="K610" s="735"/>
      <c r="L610" s="815"/>
      <c r="M610" s="844"/>
      <c r="O610" s="204" t="str">
        <f t="shared" ca="1" si="22"/>
        <v/>
      </c>
      <c r="P610" s="118" t="str">
        <f t="shared" ca="1" si="23"/>
        <v/>
      </c>
      <c r="Q610" s="118"/>
      <c r="R610" s="818"/>
      <c r="S610" s="735"/>
      <c r="T610" s="735"/>
      <c r="U610" s="735"/>
      <c r="V610" s="819"/>
      <c r="W610" s="819"/>
      <c r="X610" s="118"/>
    </row>
    <row r="611" spans="2:24" ht="15" customHeight="1">
      <c r="B611" s="703"/>
      <c r="C611" s="703"/>
      <c r="D611" s="118"/>
      <c r="E611" s="735"/>
      <c r="F611" s="118"/>
      <c r="G611" s="118"/>
      <c r="H611" s="815"/>
      <c r="I611" s="816"/>
      <c r="J611" s="735"/>
      <c r="K611" s="735"/>
      <c r="L611" s="815"/>
      <c r="M611" s="844"/>
      <c r="O611" s="204" t="str">
        <f t="shared" ca="1" si="22"/>
        <v/>
      </c>
      <c r="P611" s="118" t="str">
        <f t="shared" ca="1" si="23"/>
        <v/>
      </c>
      <c r="Q611" s="118"/>
      <c r="R611" s="818"/>
      <c r="S611" s="735"/>
      <c r="T611" s="735"/>
      <c r="U611" s="735"/>
      <c r="V611" s="819"/>
      <c r="W611" s="819"/>
      <c r="X611" s="118"/>
    </row>
    <row r="612" spans="2:24" ht="15" customHeight="1">
      <c r="B612" s="703"/>
      <c r="C612" s="703"/>
      <c r="D612" s="118"/>
      <c r="E612" s="735"/>
      <c r="F612" s="118"/>
      <c r="G612" s="118"/>
      <c r="H612" s="815"/>
      <c r="I612" s="816"/>
      <c r="J612" s="735"/>
      <c r="K612" s="735"/>
      <c r="L612" s="815"/>
      <c r="M612" s="844"/>
      <c r="O612" s="204" t="str">
        <f t="shared" ca="1" si="22"/>
        <v/>
      </c>
      <c r="P612" s="118" t="str">
        <f t="shared" ca="1" si="23"/>
        <v/>
      </c>
      <c r="Q612" s="118"/>
      <c r="R612" s="818"/>
      <c r="S612" s="735"/>
      <c r="T612" s="735"/>
      <c r="U612" s="735"/>
      <c r="V612" s="819"/>
      <c r="W612" s="819"/>
      <c r="X612" s="118"/>
    </row>
    <row r="613" spans="2:24" ht="15" customHeight="1">
      <c r="B613" s="703"/>
      <c r="C613" s="703"/>
      <c r="D613" s="118"/>
      <c r="E613" s="735"/>
      <c r="F613" s="118"/>
      <c r="G613" s="118"/>
      <c r="H613" s="815"/>
      <c r="I613" s="816"/>
      <c r="J613" s="735"/>
      <c r="K613" s="735"/>
      <c r="L613" s="815"/>
      <c r="M613" s="844"/>
      <c r="O613" s="204" t="str">
        <f t="shared" ca="1" si="22"/>
        <v/>
      </c>
      <c r="P613" s="118" t="str">
        <f t="shared" ca="1" si="23"/>
        <v/>
      </c>
      <c r="Q613" s="118"/>
      <c r="R613" s="818"/>
      <c r="S613" s="735"/>
      <c r="T613" s="735"/>
      <c r="U613" s="735"/>
      <c r="V613" s="819"/>
      <c r="W613" s="819"/>
      <c r="X613" s="118"/>
    </row>
    <row r="614" spans="2:24" ht="15" customHeight="1">
      <c r="B614" s="703"/>
      <c r="C614" s="703"/>
      <c r="D614" s="118"/>
      <c r="E614" s="735"/>
      <c r="F614" s="118"/>
      <c r="G614" s="118"/>
      <c r="H614" s="815"/>
      <c r="I614" s="816"/>
      <c r="J614" s="735"/>
      <c r="K614" s="735"/>
      <c r="L614" s="815"/>
      <c r="M614" s="844"/>
      <c r="O614" s="204" t="str">
        <f t="shared" ca="1" si="22"/>
        <v/>
      </c>
      <c r="P614" s="118" t="str">
        <f t="shared" ca="1" si="23"/>
        <v/>
      </c>
      <c r="Q614" s="118"/>
      <c r="R614" s="818"/>
      <c r="S614" s="735"/>
      <c r="T614" s="735"/>
      <c r="U614" s="735"/>
      <c r="V614" s="819"/>
      <c r="W614" s="819"/>
      <c r="X614" s="118"/>
    </row>
    <row r="615" spans="2:24" ht="15" customHeight="1">
      <c r="B615" s="703"/>
      <c r="C615" s="703"/>
      <c r="D615" s="118"/>
      <c r="E615" s="735"/>
      <c r="F615" s="118"/>
      <c r="G615" s="118"/>
      <c r="H615" s="815"/>
      <c r="I615" s="816"/>
      <c r="J615" s="735"/>
      <c r="K615" s="735"/>
      <c r="L615" s="815"/>
      <c r="M615" s="844"/>
      <c r="O615" s="204" t="str">
        <f t="shared" ca="1" si="22"/>
        <v/>
      </c>
      <c r="P615" s="118" t="str">
        <f t="shared" ca="1" si="23"/>
        <v/>
      </c>
      <c r="Q615" s="118"/>
      <c r="R615" s="818"/>
      <c r="S615" s="735"/>
      <c r="T615" s="735"/>
      <c r="U615" s="735"/>
      <c r="V615" s="819"/>
      <c r="W615" s="819"/>
      <c r="X615" s="118"/>
    </row>
    <row r="616" spans="2:24" ht="15" customHeight="1">
      <c r="B616" s="703"/>
      <c r="C616" s="703"/>
      <c r="D616" s="118"/>
      <c r="E616" s="735"/>
      <c r="F616" s="118"/>
      <c r="G616" s="118"/>
      <c r="H616" s="815"/>
      <c r="I616" s="816"/>
      <c r="J616" s="735"/>
      <c r="K616" s="735"/>
      <c r="L616" s="815"/>
      <c r="M616" s="844"/>
      <c r="O616" s="204" t="str">
        <f t="shared" ca="1" si="22"/>
        <v/>
      </c>
      <c r="P616" s="118" t="str">
        <f t="shared" ca="1" si="23"/>
        <v/>
      </c>
      <c r="Q616" s="118"/>
      <c r="R616" s="818"/>
      <c r="S616" s="735"/>
      <c r="T616" s="735"/>
      <c r="U616" s="735"/>
      <c r="V616" s="819"/>
      <c r="W616" s="819"/>
      <c r="X616" s="118"/>
    </row>
    <row r="617" spans="2:24" ht="15" customHeight="1">
      <c r="B617" s="703"/>
      <c r="C617" s="703"/>
      <c r="D617" s="118"/>
      <c r="E617" s="735"/>
      <c r="F617" s="118"/>
      <c r="G617" s="118"/>
      <c r="H617" s="815"/>
      <c r="I617" s="816"/>
      <c r="J617" s="735"/>
      <c r="K617" s="735"/>
      <c r="L617" s="815"/>
      <c r="M617" s="844"/>
      <c r="O617" s="204" t="str">
        <f t="shared" ca="1" si="22"/>
        <v/>
      </c>
      <c r="P617" s="118" t="str">
        <f t="shared" ca="1" si="23"/>
        <v/>
      </c>
      <c r="Q617" s="118"/>
      <c r="R617" s="818"/>
      <c r="S617" s="735"/>
      <c r="T617" s="735"/>
      <c r="U617" s="735"/>
      <c r="V617" s="819"/>
      <c r="W617" s="819"/>
      <c r="X617" s="118"/>
    </row>
    <row r="618" spans="2:24" ht="15" customHeight="1">
      <c r="B618" s="703"/>
      <c r="C618" s="703"/>
      <c r="D618" s="118"/>
      <c r="E618" s="735"/>
      <c r="F618" s="118"/>
      <c r="G618" s="118"/>
      <c r="H618" s="815"/>
      <c r="I618" s="816"/>
      <c r="J618" s="735"/>
      <c r="K618" s="735"/>
      <c r="L618" s="815"/>
      <c r="M618" s="844"/>
      <c r="O618" s="204" t="str">
        <f t="shared" ca="1" si="22"/>
        <v/>
      </c>
      <c r="P618" s="118" t="str">
        <f t="shared" ca="1" si="23"/>
        <v/>
      </c>
      <c r="Q618" s="118"/>
      <c r="R618" s="818"/>
      <c r="S618" s="735"/>
      <c r="T618" s="735"/>
      <c r="U618" s="735"/>
      <c r="V618" s="819"/>
      <c r="W618" s="819"/>
      <c r="X618" s="118"/>
    </row>
    <row r="619" spans="2:24" ht="15" customHeight="1">
      <c r="B619" s="703"/>
      <c r="C619" s="703"/>
      <c r="D619" s="118"/>
      <c r="E619" s="735"/>
      <c r="F619" s="118"/>
      <c r="G619" s="118"/>
      <c r="H619" s="815"/>
      <c r="I619" s="816"/>
      <c r="J619" s="735"/>
      <c r="K619" s="735"/>
      <c r="L619" s="815"/>
      <c r="M619" s="844"/>
      <c r="O619" s="204" t="str">
        <f t="shared" ca="1" si="22"/>
        <v/>
      </c>
      <c r="P619" s="118" t="str">
        <f t="shared" ca="1" si="23"/>
        <v/>
      </c>
      <c r="Q619" s="118"/>
      <c r="R619" s="818"/>
      <c r="S619" s="735"/>
      <c r="T619" s="735"/>
      <c r="U619" s="735"/>
      <c r="V619" s="819"/>
      <c r="W619" s="819"/>
      <c r="X619" s="118"/>
    </row>
    <row r="620" spans="2:24" ht="15" customHeight="1">
      <c r="B620" s="703"/>
      <c r="C620" s="703"/>
      <c r="D620" s="118"/>
      <c r="E620" s="735"/>
      <c r="F620" s="118"/>
      <c r="G620" s="118"/>
      <c r="H620" s="815"/>
      <c r="I620" s="816"/>
      <c r="J620" s="735"/>
      <c r="K620" s="735"/>
      <c r="L620" s="815"/>
      <c r="M620" s="844"/>
      <c r="O620" s="204" t="str">
        <f t="shared" ca="1" si="22"/>
        <v/>
      </c>
      <c r="P620" s="118" t="str">
        <f t="shared" ca="1" si="23"/>
        <v/>
      </c>
      <c r="Q620" s="118"/>
      <c r="R620" s="818"/>
      <c r="S620" s="735"/>
      <c r="T620" s="735"/>
      <c r="U620" s="735"/>
      <c r="V620" s="819"/>
      <c r="W620" s="819"/>
      <c r="X620" s="118"/>
    </row>
    <row r="621" spans="2:24" ht="15" customHeight="1">
      <c r="B621" s="703"/>
      <c r="C621" s="703"/>
      <c r="D621" s="118"/>
      <c r="E621" s="735"/>
      <c r="F621" s="118"/>
      <c r="G621" s="118"/>
      <c r="H621" s="815"/>
      <c r="I621" s="816"/>
      <c r="J621" s="735"/>
      <c r="K621" s="735"/>
      <c r="L621" s="815"/>
      <c r="M621" s="844"/>
      <c r="O621" s="204" t="str">
        <f t="shared" ca="1" si="22"/>
        <v/>
      </c>
      <c r="P621" s="118" t="str">
        <f t="shared" ca="1" si="23"/>
        <v/>
      </c>
      <c r="Q621" s="118"/>
      <c r="R621" s="818"/>
      <c r="S621" s="735"/>
      <c r="T621" s="735"/>
      <c r="U621" s="735"/>
      <c r="V621" s="819"/>
      <c r="W621" s="819"/>
      <c r="X621" s="118"/>
    </row>
    <row r="622" spans="2:24" ht="15" customHeight="1">
      <c r="B622" s="703"/>
      <c r="C622" s="703"/>
      <c r="D622" s="118"/>
      <c r="E622" s="735"/>
      <c r="F622" s="118"/>
      <c r="G622" s="118"/>
      <c r="H622" s="815"/>
      <c r="I622" s="816"/>
      <c r="J622" s="735"/>
      <c r="K622" s="735"/>
      <c r="L622" s="815"/>
      <c r="M622" s="844"/>
      <c r="O622" s="204" t="str">
        <f t="shared" ca="1" si="22"/>
        <v/>
      </c>
      <c r="P622" s="118" t="str">
        <f t="shared" ca="1" si="23"/>
        <v/>
      </c>
      <c r="Q622" s="118"/>
      <c r="R622" s="818"/>
      <c r="S622" s="735"/>
      <c r="T622" s="735"/>
      <c r="U622" s="735"/>
      <c r="V622" s="819"/>
      <c r="W622" s="819"/>
      <c r="X622" s="118"/>
    </row>
    <row r="623" spans="2:24" ht="15" customHeight="1">
      <c r="B623" s="703"/>
      <c r="C623" s="703"/>
      <c r="D623" s="118"/>
      <c r="E623" s="735"/>
      <c r="F623" s="118"/>
      <c r="G623" s="118"/>
      <c r="H623" s="815"/>
      <c r="I623" s="816"/>
      <c r="J623" s="735"/>
      <c r="K623" s="735"/>
      <c r="L623" s="815"/>
      <c r="M623" s="844"/>
      <c r="O623" s="204" t="str">
        <f t="shared" ref="O623:O686" ca="1" si="24">IF(ISBLANK(L623), "", IF(ISNUMBER(M623), M623-L623, TODAY()-L623))</f>
        <v/>
      </c>
      <c r="P623" s="118" t="str">
        <f t="shared" ca="1" si="23"/>
        <v/>
      </c>
      <c r="Q623" s="118"/>
      <c r="R623" s="818"/>
      <c r="S623" s="735"/>
      <c r="T623" s="735"/>
      <c r="U623" s="735"/>
      <c r="V623" s="819"/>
      <c r="W623" s="819"/>
      <c r="X623" s="118"/>
    </row>
    <row r="624" spans="2:24" ht="15" customHeight="1">
      <c r="B624" s="703"/>
      <c r="C624" s="703"/>
      <c r="D624" s="118"/>
      <c r="E624" s="735"/>
      <c r="F624" s="118"/>
      <c r="G624" s="118"/>
      <c r="H624" s="815"/>
      <c r="I624" s="816"/>
      <c r="J624" s="735"/>
      <c r="K624" s="735"/>
      <c r="L624" s="815"/>
      <c r="M624" s="844"/>
      <c r="O624" s="204" t="str">
        <f t="shared" ca="1" si="24"/>
        <v/>
      </c>
      <c r="P624" s="118" t="str">
        <f t="shared" ca="1" si="23"/>
        <v/>
      </c>
      <c r="Q624" s="118"/>
      <c r="R624" s="818"/>
      <c r="S624" s="735"/>
      <c r="T624" s="735"/>
      <c r="U624" s="735"/>
      <c r="V624" s="819"/>
      <c r="W624" s="819"/>
      <c r="X624" s="118"/>
    </row>
    <row r="625" spans="2:24" ht="15" customHeight="1">
      <c r="B625" s="703"/>
      <c r="C625" s="703"/>
      <c r="D625" s="118"/>
      <c r="E625" s="735"/>
      <c r="F625" s="118"/>
      <c r="G625" s="118"/>
      <c r="H625" s="815"/>
      <c r="I625" s="816"/>
      <c r="J625" s="735"/>
      <c r="K625" s="735"/>
      <c r="L625" s="815"/>
      <c r="M625" s="844"/>
      <c r="O625" s="204" t="str">
        <f t="shared" ca="1" si="24"/>
        <v/>
      </c>
      <c r="P625" s="118" t="str">
        <f t="shared" ca="1" si="23"/>
        <v/>
      </c>
      <c r="Q625" s="118"/>
      <c r="R625" s="818"/>
      <c r="S625" s="735"/>
      <c r="T625" s="735"/>
      <c r="U625" s="735"/>
      <c r="V625" s="819"/>
      <c r="W625" s="819"/>
      <c r="X625" s="118"/>
    </row>
    <row r="626" spans="2:24" ht="15" customHeight="1">
      <c r="B626" s="703"/>
      <c r="C626" s="703"/>
      <c r="D626" s="118"/>
      <c r="E626" s="735"/>
      <c r="F626" s="118"/>
      <c r="G626" s="118"/>
      <c r="H626" s="815"/>
      <c r="I626" s="816"/>
      <c r="J626" s="735"/>
      <c r="K626" s="735"/>
      <c r="L626" s="815"/>
      <c r="M626" s="844"/>
      <c r="O626" s="204" t="str">
        <f t="shared" ca="1" si="24"/>
        <v/>
      </c>
      <c r="P626" s="118" t="str">
        <f t="shared" ca="1" si="23"/>
        <v/>
      </c>
      <c r="Q626" s="118"/>
      <c r="R626" s="818"/>
      <c r="S626" s="735"/>
      <c r="T626" s="735"/>
      <c r="U626" s="735"/>
      <c r="V626" s="819"/>
      <c r="W626" s="819"/>
      <c r="X626" s="118"/>
    </row>
    <row r="627" spans="2:24" ht="15" customHeight="1">
      <c r="B627" s="703"/>
      <c r="C627" s="703"/>
      <c r="D627" s="118"/>
      <c r="E627" s="735"/>
      <c r="F627" s="118"/>
      <c r="G627" s="118"/>
      <c r="H627" s="815"/>
      <c r="I627" s="816"/>
      <c r="J627" s="735"/>
      <c r="K627" s="735"/>
      <c r="L627" s="815"/>
      <c r="M627" s="844"/>
      <c r="O627" s="204" t="str">
        <f t="shared" ca="1" si="24"/>
        <v/>
      </c>
      <c r="P627" s="118" t="str">
        <f t="shared" ca="1" si="23"/>
        <v/>
      </c>
      <c r="Q627" s="118"/>
      <c r="R627" s="818"/>
      <c r="S627" s="735"/>
      <c r="T627" s="735"/>
      <c r="U627" s="735"/>
      <c r="V627" s="819"/>
      <c r="W627" s="819"/>
      <c r="X627" s="118"/>
    </row>
    <row r="628" spans="2:24" ht="15" customHeight="1">
      <c r="B628" s="703"/>
      <c r="C628" s="703"/>
      <c r="D628" s="118"/>
      <c r="E628" s="735"/>
      <c r="F628" s="118"/>
      <c r="G628" s="118"/>
      <c r="H628" s="815"/>
      <c r="I628" s="816"/>
      <c r="J628" s="735"/>
      <c r="K628" s="735"/>
      <c r="L628" s="815"/>
      <c r="M628" s="844"/>
      <c r="O628" s="204" t="str">
        <f t="shared" ca="1" si="24"/>
        <v/>
      </c>
      <c r="P628" s="118" t="str">
        <f t="shared" ca="1" si="23"/>
        <v/>
      </c>
      <c r="Q628" s="118"/>
      <c r="R628" s="818"/>
      <c r="S628" s="735"/>
      <c r="T628" s="735"/>
      <c r="U628" s="735"/>
      <c r="V628" s="819"/>
      <c r="W628" s="819"/>
      <c r="X628" s="118"/>
    </row>
    <row r="629" spans="2:24" ht="15" customHeight="1">
      <c r="B629" s="703"/>
      <c r="C629" s="703"/>
      <c r="D629" s="118"/>
      <c r="E629" s="735"/>
      <c r="F629" s="118"/>
      <c r="G629" s="118"/>
      <c r="H629" s="815"/>
      <c r="I629" s="816"/>
      <c r="J629" s="735"/>
      <c r="K629" s="735"/>
      <c r="L629" s="815"/>
      <c r="M629" s="844"/>
      <c r="O629" s="204" t="str">
        <f t="shared" ca="1" si="24"/>
        <v/>
      </c>
      <c r="P629" s="118" t="str">
        <f t="shared" ca="1" si="23"/>
        <v/>
      </c>
      <c r="Q629" s="118"/>
      <c r="R629" s="818"/>
      <c r="S629" s="735"/>
      <c r="T629" s="735"/>
      <c r="U629" s="735"/>
      <c r="V629" s="819"/>
      <c r="W629" s="819"/>
      <c r="X629" s="118"/>
    </row>
    <row r="630" spans="2:24" ht="15" customHeight="1">
      <c r="B630" s="703"/>
      <c r="C630" s="703"/>
      <c r="D630" s="118"/>
      <c r="E630" s="735"/>
      <c r="F630" s="118"/>
      <c r="G630" s="118"/>
      <c r="H630" s="815"/>
      <c r="I630" s="816"/>
      <c r="J630" s="735"/>
      <c r="K630" s="735"/>
      <c r="L630" s="815"/>
      <c r="M630" s="844"/>
      <c r="O630" s="204" t="str">
        <f t="shared" ca="1" si="24"/>
        <v/>
      </c>
      <c r="P630" s="118" t="str">
        <f t="shared" ca="1" si="23"/>
        <v/>
      </c>
      <c r="Q630" s="118"/>
      <c r="R630" s="818"/>
      <c r="S630" s="735"/>
      <c r="T630" s="735"/>
      <c r="U630" s="735"/>
      <c r="V630" s="819"/>
      <c r="W630" s="819"/>
      <c r="X630" s="118"/>
    </row>
    <row r="631" spans="2:24" ht="15" customHeight="1">
      <c r="B631" s="703"/>
      <c r="C631" s="703"/>
      <c r="D631" s="118"/>
      <c r="E631" s="735"/>
      <c r="F631" s="118"/>
      <c r="G631" s="118"/>
      <c r="H631" s="815"/>
      <c r="I631" s="816"/>
      <c r="J631" s="735"/>
      <c r="K631" s="735"/>
      <c r="L631" s="815"/>
      <c r="M631" s="844"/>
      <c r="O631" s="204" t="str">
        <f t="shared" ca="1" si="24"/>
        <v/>
      </c>
      <c r="P631" s="118" t="str">
        <f t="shared" ca="1" si="23"/>
        <v/>
      </c>
      <c r="Q631" s="118"/>
      <c r="R631" s="818"/>
      <c r="S631" s="735"/>
      <c r="T631" s="735"/>
      <c r="U631" s="735"/>
      <c r="V631" s="819"/>
      <c r="W631" s="819"/>
      <c r="X631" s="118"/>
    </row>
    <row r="632" spans="2:24" ht="15" customHeight="1">
      <c r="B632" s="703"/>
      <c r="C632" s="703"/>
      <c r="D632" s="118"/>
      <c r="E632" s="735"/>
      <c r="F632" s="118"/>
      <c r="G632" s="118"/>
      <c r="H632" s="815"/>
      <c r="I632" s="816"/>
      <c r="J632" s="735"/>
      <c r="K632" s="735"/>
      <c r="L632" s="815"/>
      <c r="M632" s="844"/>
      <c r="O632" s="204" t="str">
        <f t="shared" ca="1" si="24"/>
        <v/>
      </c>
      <c r="P632" s="118" t="str">
        <f t="shared" ca="1" si="23"/>
        <v/>
      </c>
      <c r="Q632" s="118"/>
      <c r="R632" s="818"/>
      <c r="S632" s="735"/>
      <c r="T632" s="735"/>
      <c r="U632" s="735"/>
      <c r="V632" s="819"/>
      <c r="W632" s="819"/>
      <c r="X632" s="118"/>
    </row>
    <row r="633" spans="2:24" ht="15" customHeight="1">
      <c r="B633" s="703"/>
      <c r="C633" s="703"/>
      <c r="D633" s="118"/>
      <c r="E633" s="735"/>
      <c r="F633" s="118"/>
      <c r="G633" s="118"/>
      <c r="H633" s="815"/>
      <c r="I633" s="816"/>
      <c r="J633" s="735"/>
      <c r="K633" s="735"/>
      <c r="L633" s="815"/>
      <c r="M633" s="844"/>
      <c r="O633" s="204" t="str">
        <f t="shared" ca="1" si="24"/>
        <v/>
      </c>
      <c r="P633" s="118" t="str">
        <f t="shared" ca="1" si="23"/>
        <v/>
      </c>
      <c r="Q633" s="118"/>
      <c r="R633" s="818"/>
      <c r="S633" s="735"/>
      <c r="T633" s="735"/>
      <c r="U633" s="735"/>
      <c r="V633" s="819"/>
      <c r="W633" s="819"/>
      <c r="X633" s="118"/>
    </row>
    <row r="634" spans="2:24" ht="15" customHeight="1">
      <c r="B634" s="703"/>
      <c r="C634" s="703"/>
      <c r="D634" s="118"/>
      <c r="E634" s="735"/>
      <c r="F634" s="118"/>
      <c r="G634" s="118"/>
      <c r="H634" s="815"/>
      <c r="I634" s="816"/>
      <c r="J634" s="735"/>
      <c r="K634" s="735"/>
      <c r="L634" s="815"/>
      <c r="M634" s="844"/>
      <c r="O634" s="204" t="str">
        <f t="shared" ca="1" si="24"/>
        <v/>
      </c>
      <c r="P634" s="118" t="str">
        <f t="shared" ca="1" si="23"/>
        <v/>
      </c>
      <c r="Q634" s="118"/>
      <c r="R634" s="818"/>
      <c r="S634" s="735"/>
      <c r="T634" s="735"/>
      <c r="U634" s="735"/>
      <c r="V634" s="819"/>
      <c r="W634" s="819"/>
      <c r="X634" s="118"/>
    </row>
    <row r="635" spans="2:24" ht="15" customHeight="1">
      <c r="B635" s="703"/>
      <c r="C635" s="703"/>
      <c r="D635" s="118"/>
      <c r="E635" s="735"/>
      <c r="F635" s="118"/>
      <c r="G635" s="118"/>
      <c r="H635" s="815"/>
      <c r="I635" s="816"/>
      <c r="J635" s="735"/>
      <c r="K635" s="735"/>
      <c r="L635" s="815"/>
      <c r="M635" s="844"/>
      <c r="O635" s="204" t="str">
        <f t="shared" ca="1" si="24"/>
        <v/>
      </c>
      <c r="P635" s="118" t="str">
        <f t="shared" ca="1" si="23"/>
        <v/>
      </c>
      <c r="Q635" s="118"/>
      <c r="R635" s="818"/>
      <c r="S635" s="735"/>
      <c r="T635" s="735"/>
      <c r="U635" s="735"/>
      <c r="V635" s="819"/>
      <c r="W635" s="819"/>
      <c r="X635" s="118"/>
    </row>
    <row r="636" spans="2:24" ht="15" customHeight="1">
      <c r="B636" s="703"/>
      <c r="C636" s="703"/>
      <c r="D636" s="118"/>
      <c r="E636" s="735"/>
      <c r="F636" s="118"/>
      <c r="G636" s="118"/>
      <c r="H636" s="815"/>
      <c r="I636" s="816"/>
      <c r="J636" s="735"/>
      <c r="K636" s="735"/>
      <c r="L636" s="815"/>
      <c r="M636" s="844"/>
      <c r="O636" s="204" t="str">
        <f t="shared" ca="1" si="24"/>
        <v/>
      </c>
      <c r="P636" s="118" t="str">
        <f t="shared" ca="1" si="23"/>
        <v/>
      </c>
      <c r="Q636" s="118"/>
      <c r="R636" s="818"/>
      <c r="S636" s="735"/>
      <c r="T636" s="735"/>
      <c r="U636" s="735"/>
      <c r="V636" s="819"/>
      <c r="W636" s="819"/>
      <c r="X636" s="118"/>
    </row>
    <row r="637" spans="2:24" ht="15" customHeight="1">
      <c r="B637" s="703"/>
      <c r="C637" s="703"/>
      <c r="D637" s="118"/>
      <c r="E637" s="735"/>
      <c r="F637" s="118"/>
      <c r="G637" s="118"/>
      <c r="H637" s="815"/>
      <c r="I637" s="816"/>
      <c r="J637" s="735"/>
      <c r="K637" s="735"/>
      <c r="L637" s="815"/>
      <c r="M637" s="844"/>
      <c r="O637" s="204" t="str">
        <f t="shared" ca="1" si="24"/>
        <v/>
      </c>
      <c r="P637" s="118" t="str">
        <f t="shared" ca="1" si="23"/>
        <v/>
      </c>
      <c r="Q637" s="118"/>
      <c r="R637" s="818"/>
      <c r="S637" s="735"/>
      <c r="T637" s="735"/>
      <c r="U637" s="735"/>
      <c r="V637" s="819"/>
      <c r="W637" s="819"/>
      <c r="X637" s="118"/>
    </row>
    <row r="638" spans="2:24" ht="15" customHeight="1">
      <c r="B638" s="703"/>
      <c r="C638" s="703"/>
      <c r="D638" s="118"/>
      <c r="E638" s="735"/>
      <c r="F638" s="118"/>
      <c r="G638" s="118"/>
      <c r="H638" s="815"/>
      <c r="I638" s="816"/>
      <c r="J638" s="735"/>
      <c r="K638" s="735"/>
      <c r="L638" s="815"/>
      <c r="M638" s="844"/>
      <c r="O638" s="204" t="str">
        <f t="shared" ca="1" si="24"/>
        <v/>
      </c>
      <c r="P638" s="118" t="str">
        <f t="shared" ca="1" si="23"/>
        <v/>
      </c>
      <c r="Q638" s="118"/>
      <c r="R638" s="818"/>
      <c r="S638" s="735"/>
      <c r="T638" s="735"/>
      <c r="U638" s="735"/>
      <c r="V638" s="819"/>
      <c r="W638" s="819"/>
      <c r="X638" s="118"/>
    </row>
    <row r="639" spans="2:24" ht="15" customHeight="1">
      <c r="B639" s="703"/>
      <c r="C639" s="703"/>
      <c r="D639" s="118"/>
      <c r="E639" s="735"/>
      <c r="F639" s="118"/>
      <c r="G639" s="118"/>
      <c r="H639" s="815"/>
      <c r="I639" s="816"/>
      <c r="J639" s="735"/>
      <c r="K639" s="735"/>
      <c r="L639" s="815"/>
      <c r="M639" s="844"/>
      <c r="O639" s="204" t="str">
        <f t="shared" ca="1" si="24"/>
        <v/>
      </c>
      <c r="P639" s="118" t="str">
        <f t="shared" ca="1" si="23"/>
        <v/>
      </c>
      <c r="Q639" s="118"/>
      <c r="R639" s="818"/>
      <c r="S639" s="735"/>
      <c r="T639" s="735"/>
      <c r="U639" s="735"/>
      <c r="V639" s="819"/>
      <c r="W639" s="819"/>
      <c r="X639" s="118"/>
    </row>
    <row r="640" spans="2:24" ht="15" customHeight="1">
      <c r="B640" s="703"/>
      <c r="C640" s="703"/>
      <c r="D640" s="118"/>
      <c r="E640" s="735"/>
      <c r="F640" s="118"/>
      <c r="G640" s="118"/>
      <c r="H640" s="815"/>
      <c r="I640" s="816"/>
      <c r="J640" s="735"/>
      <c r="K640" s="735"/>
      <c r="L640" s="815"/>
      <c r="M640" s="844"/>
      <c r="O640" s="204" t="str">
        <f t="shared" ca="1" si="24"/>
        <v/>
      </c>
      <c r="P640" s="118" t="str">
        <f t="shared" ca="1" si="23"/>
        <v/>
      </c>
      <c r="Q640" s="118"/>
      <c r="R640" s="818"/>
      <c r="S640" s="735"/>
      <c r="T640" s="735"/>
      <c r="U640" s="735"/>
      <c r="V640" s="819"/>
      <c r="W640" s="819"/>
      <c r="X640" s="118"/>
    </row>
    <row r="641" spans="2:24" ht="15" customHeight="1">
      <c r="B641" s="703"/>
      <c r="C641" s="703"/>
      <c r="D641" s="118"/>
      <c r="E641" s="735"/>
      <c r="F641" s="118"/>
      <c r="G641" s="118"/>
      <c r="H641" s="815"/>
      <c r="I641" s="816"/>
      <c r="J641" s="735"/>
      <c r="K641" s="735"/>
      <c r="L641" s="815"/>
      <c r="M641" s="844"/>
      <c r="O641" s="204" t="str">
        <f t="shared" ca="1" si="24"/>
        <v/>
      </c>
      <c r="P641" s="118" t="str">
        <f t="shared" ca="1" si="23"/>
        <v/>
      </c>
      <c r="Q641" s="118"/>
      <c r="R641" s="818"/>
      <c r="S641" s="735"/>
      <c r="T641" s="735"/>
      <c r="U641" s="735"/>
      <c r="V641" s="819"/>
      <c r="W641" s="819"/>
      <c r="X641" s="118"/>
    </row>
    <row r="642" spans="2:24" ht="15" customHeight="1">
      <c r="B642" s="703"/>
      <c r="C642" s="703"/>
      <c r="D642" s="118"/>
      <c r="E642" s="735"/>
      <c r="F642" s="118"/>
      <c r="G642" s="118"/>
      <c r="H642" s="815"/>
      <c r="I642" s="816"/>
      <c r="J642" s="735"/>
      <c r="K642" s="735"/>
      <c r="L642" s="815"/>
      <c r="M642" s="844"/>
      <c r="O642" s="204" t="str">
        <f t="shared" ca="1" si="24"/>
        <v/>
      </c>
      <c r="P642" s="118" t="str">
        <f t="shared" ca="1" si="23"/>
        <v/>
      </c>
      <c r="Q642" s="118"/>
      <c r="R642" s="818"/>
      <c r="S642" s="735"/>
      <c r="T642" s="735"/>
      <c r="U642" s="735"/>
      <c r="V642" s="819"/>
      <c r="W642" s="819"/>
      <c r="X642" s="118"/>
    </row>
    <row r="643" spans="2:24" ht="15" customHeight="1">
      <c r="B643" s="703"/>
      <c r="C643" s="703"/>
      <c r="D643" s="118"/>
      <c r="E643" s="735"/>
      <c r="F643" s="118"/>
      <c r="G643" s="118"/>
      <c r="H643" s="815"/>
      <c r="I643" s="816"/>
      <c r="J643" s="735"/>
      <c r="K643" s="735"/>
      <c r="L643" s="815"/>
      <c r="M643" s="844"/>
      <c r="O643" s="204" t="str">
        <f t="shared" ca="1" si="24"/>
        <v/>
      </c>
      <c r="P643" s="118" t="str">
        <f t="shared" ref="P643:P706" ca="1" si="25">IF(ISBLANK(H643), "", IF(ISNUMBER(M643), M643-H643, TODAY()-H643))</f>
        <v/>
      </c>
      <c r="Q643" s="118"/>
      <c r="R643" s="818"/>
      <c r="S643" s="735"/>
      <c r="T643" s="735"/>
      <c r="U643" s="735"/>
      <c r="V643" s="819"/>
      <c r="W643" s="819"/>
      <c r="X643" s="118"/>
    </row>
    <row r="644" spans="2:24" ht="15" customHeight="1">
      <c r="B644" s="703"/>
      <c r="C644" s="703"/>
      <c r="D644" s="118"/>
      <c r="E644" s="735"/>
      <c r="F644" s="118"/>
      <c r="G644" s="118"/>
      <c r="H644" s="815"/>
      <c r="I644" s="816"/>
      <c r="J644" s="735"/>
      <c r="K644" s="735"/>
      <c r="L644" s="815"/>
      <c r="M644" s="844"/>
      <c r="O644" s="204" t="str">
        <f t="shared" ca="1" si="24"/>
        <v/>
      </c>
      <c r="P644" s="118" t="str">
        <f t="shared" ca="1" si="25"/>
        <v/>
      </c>
      <c r="Q644" s="118"/>
      <c r="R644" s="818"/>
      <c r="S644" s="735"/>
      <c r="T644" s="735"/>
      <c r="U644" s="735"/>
      <c r="V644" s="819"/>
      <c r="W644" s="819"/>
      <c r="X644" s="118"/>
    </row>
    <row r="645" spans="2:24" ht="15" customHeight="1">
      <c r="B645" s="703"/>
      <c r="C645" s="703"/>
      <c r="D645" s="118"/>
      <c r="E645" s="735"/>
      <c r="F645" s="118"/>
      <c r="G645" s="118"/>
      <c r="H645" s="815"/>
      <c r="I645" s="816"/>
      <c r="J645" s="735"/>
      <c r="K645" s="735"/>
      <c r="L645" s="815"/>
      <c r="M645" s="844"/>
      <c r="O645" s="204" t="str">
        <f t="shared" ca="1" si="24"/>
        <v/>
      </c>
      <c r="P645" s="118" t="str">
        <f t="shared" ca="1" si="25"/>
        <v/>
      </c>
      <c r="Q645" s="118"/>
      <c r="R645" s="818"/>
      <c r="S645" s="735"/>
      <c r="T645" s="735"/>
      <c r="U645" s="735"/>
      <c r="V645" s="819"/>
      <c r="W645" s="819"/>
      <c r="X645" s="118"/>
    </row>
    <row r="646" spans="2:24" ht="15" customHeight="1">
      <c r="B646" s="703"/>
      <c r="C646" s="703"/>
      <c r="D646" s="118"/>
      <c r="E646" s="735"/>
      <c r="F646" s="118"/>
      <c r="G646" s="118"/>
      <c r="H646" s="815"/>
      <c r="I646" s="816"/>
      <c r="J646" s="735"/>
      <c r="K646" s="735"/>
      <c r="L646" s="815"/>
      <c r="M646" s="844"/>
      <c r="O646" s="204" t="str">
        <f t="shared" ca="1" si="24"/>
        <v/>
      </c>
      <c r="P646" s="118" t="str">
        <f t="shared" ca="1" si="25"/>
        <v/>
      </c>
      <c r="Q646" s="118"/>
      <c r="R646" s="818"/>
      <c r="S646" s="735"/>
      <c r="T646" s="735"/>
      <c r="U646" s="735"/>
      <c r="V646" s="819"/>
      <c r="W646" s="819"/>
      <c r="X646" s="118"/>
    </row>
    <row r="647" spans="2:24" ht="15" customHeight="1">
      <c r="B647" s="703"/>
      <c r="C647" s="703"/>
      <c r="D647" s="118"/>
      <c r="E647" s="735"/>
      <c r="F647" s="118"/>
      <c r="G647" s="118"/>
      <c r="H647" s="815"/>
      <c r="I647" s="816"/>
      <c r="J647" s="735"/>
      <c r="K647" s="735"/>
      <c r="L647" s="815"/>
      <c r="M647" s="844"/>
      <c r="O647" s="204" t="str">
        <f t="shared" ca="1" si="24"/>
        <v/>
      </c>
      <c r="P647" s="118" t="str">
        <f t="shared" ca="1" si="25"/>
        <v/>
      </c>
      <c r="Q647" s="118"/>
      <c r="R647" s="818"/>
      <c r="S647" s="735"/>
      <c r="T647" s="735"/>
      <c r="U647" s="735"/>
      <c r="V647" s="819"/>
      <c r="W647" s="819"/>
      <c r="X647" s="118"/>
    </row>
    <row r="648" spans="2:24" ht="15" customHeight="1">
      <c r="B648" s="703"/>
      <c r="C648" s="703"/>
      <c r="D648" s="118"/>
      <c r="E648" s="735"/>
      <c r="F648" s="118"/>
      <c r="G648" s="118"/>
      <c r="H648" s="815"/>
      <c r="I648" s="816"/>
      <c r="J648" s="735"/>
      <c r="K648" s="735"/>
      <c r="L648" s="815"/>
      <c r="M648" s="844"/>
      <c r="O648" s="204" t="str">
        <f t="shared" ca="1" si="24"/>
        <v/>
      </c>
      <c r="P648" s="118" t="str">
        <f t="shared" ca="1" si="25"/>
        <v/>
      </c>
      <c r="Q648" s="118"/>
      <c r="R648" s="818"/>
      <c r="S648" s="735"/>
      <c r="T648" s="735"/>
      <c r="U648" s="735"/>
      <c r="V648" s="819"/>
      <c r="W648" s="819"/>
      <c r="X648" s="118"/>
    </row>
    <row r="649" spans="2:24" ht="15" customHeight="1">
      <c r="B649" s="703"/>
      <c r="C649" s="703"/>
      <c r="D649" s="118"/>
      <c r="E649" s="735"/>
      <c r="F649" s="118"/>
      <c r="G649" s="118"/>
      <c r="H649" s="815"/>
      <c r="I649" s="816"/>
      <c r="J649" s="735"/>
      <c r="K649" s="735"/>
      <c r="L649" s="815"/>
      <c r="M649" s="844"/>
      <c r="O649" s="204" t="str">
        <f t="shared" ca="1" si="24"/>
        <v/>
      </c>
      <c r="P649" s="118" t="str">
        <f t="shared" ca="1" si="25"/>
        <v/>
      </c>
      <c r="Q649" s="118"/>
      <c r="R649" s="818"/>
      <c r="S649" s="735"/>
      <c r="T649" s="735"/>
      <c r="U649" s="735"/>
      <c r="V649" s="819"/>
      <c r="W649" s="819"/>
      <c r="X649" s="118"/>
    </row>
    <row r="650" spans="2:24" ht="15" customHeight="1">
      <c r="B650" s="703"/>
      <c r="C650" s="703"/>
      <c r="D650" s="118"/>
      <c r="E650" s="735"/>
      <c r="F650" s="118"/>
      <c r="G650" s="118"/>
      <c r="H650" s="815"/>
      <c r="I650" s="816"/>
      <c r="J650" s="735"/>
      <c r="K650" s="735"/>
      <c r="L650" s="815"/>
      <c r="M650" s="844"/>
      <c r="O650" s="204" t="str">
        <f t="shared" ca="1" si="24"/>
        <v/>
      </c>
      <c r="P650" s="118" t="str">
        <f t="shared" ca="1" si="25"/>
        <v/>
      </c>
      <c r="Q650" s="118"/>
      <c r="R650" s="818"/>
      <c r="S650" s="735"/>
      <c r="T650" s="735"/>
      <c r="U650" s="735"/>
      <c r="V650" s="819"/>
      <c r="W650" s="819"/>
      <c r="X650" s="118"/>
    </row>
    <row r="651" spans="2:24" ht="15" customHeight="1">
      <c r="B651" s="703"/>
      <c r="C651" s="703"/>
      <c r="D651" s="118"/>
      <c r="E651" s="735"/>
      <c r="F651" s="118"/>
      <c r="G651" s="118"/>
      <c r="H651" s="815"/>
      <c r="I651" s="816"/>
      <c r="J651" s="735"/>
      <c r="K651" s="735"/>
      <c r="L651" s="815"/>
      <c r="M651" s="844"/>
      <c r="O651" s="204" t="str">
        <f t="shared" ca="1" si="24"/>
        <v/>
      </c>
      <c r="P651" s="118" t="str">
        <f t="shared" ca="1" si="25"/>
        <v/>
      </c>
      <c r="Q651" s="118"/>
      <c r="R651" s="818"/>
      <c r="S651" s="735"/>
      <c r="T651" s="735"/>
      <c r="U651" s="735"/>
      <c r="V651" s="819"/>
      <c r="W651" s="819"/>
      <c r="X651" s="118"/>
    </row>
    <row r="652" spans="2:24" ht="15" customHeight="1">
      <c r="B652" s="703"/>
      <c r="C652" s="703"/>
      <c r="D652" s="118"/>
      <c r="E652" s="735"/>
      <c r="F652" s="118"/>
      <c r="G652" s="118"/>
      <c r="H652" s="815"/>
      <c r="I652" s="816"/>
      <c r="J652" s="735"/>
      <c r="K652" s="735"/>
      <c r="L652" s="815"/>
      <c r="M652" s="844"/>
      <c r="O652" s="204" t="str">
        <f t="shared" ca="1" si="24"/>
        <v/>
      </c>
      <c r="P652" s="118" t="str">
        <f t="shared" ca="1" si="25"/>
        <v/>
      </c>
      <c r="Q652" s="118"/>
      <c r="R652" s="818"/>
      <c r="S652" s="735"/>
      <c r="T652" s="735"/>
      <c r="U652" s="735"/>
      <c r="V652" s="819"/>
      <c r="W652" s="819"/>
      <c r="X652" s="118"/>
    </row>
    <row r="653" spans="2:24" ht="15" customHeight="1">
      <c r="B653" s="703"/>
      <c r="C653" s="703"/>
      <c r="D653" s="118"/>
      <c r="E653" s="735"/>
      <c r="F653" s="118"/>
      <c r="G653" s="118"/>
      <c r="H653" s="815"/>
      <c r="I653" s="816"/>
      <c r="J653" s="735"/>
      <c r="K653" s="735"/>
      <c r="L653" s="815"/>
      <c r="M653" s="844"/>
      <c r="O653" s="204" t="str">
        <f t="shared" ca="1" si="24"/>
        <v/>
      </c>
      <c r="P653" s="118" t="str">
        <f t="shared" ca="1" si="25"/>
        <v/>
      </c>
      <c r="Q653" s="118"/>
      <c r="R653" s="818"/>
      <c r="S653" s="735"/>
      <c r="T653" s="735"/>
      <c r="U653" s="735"/>
      <c r="V653" s="819"/>
      <c r="W653" s="819"/>
      <c r="X653" s="118"/>
    </row>
    <row r="654" spans="2:24" ht="15" customHeight="1">
      <c r="B654" s="703"/>
      <c r="C654" s="703"/>
      <c r="D654" s="118"/>
      <c r="E654" s="735"/>
      <c r="F654" s="118"/>
      <c r="G654" s="118"/>
      <c r="H654" s="815"/>
      <c r="I654" s="816"/>
      <c r="J654" s="735"/>
      <c r="K654" s="735"/>
      <c r="L654" s="815"/>
      <c r="M654" s="844"/>
      <c r="O654" s="204" t="str">
        <f t="shared" ca="1" si="24"/>
        <v/>
      </c>
      <c r="P654" s="118" t="str">
        <f t="shared" ca="1" si="25"/>
        <v/>
      </c>
      <c r="Q654" s="118"/>
      <c r="R654" s="818"/>
      <c r="S654" s="735"/>
      <c r="T654" s="735"/>
      <c r="U654" s="735"/>
      <c r="V654" s="819"/>
      <c r="W654" s="819"/>
      <c r="X654" s="118"/>
    </row>
    <row r="655" spans="2:24" ht="15" customHeight="1">
      <c r="B655" s="703"/>
      <c r="C655" s="703"/>
      <c r="D655" s="118"/>
      <c r="E655" s="735"/>
      <c r="F655" s="118"/>
      <c r="G655" s="118"/>
      <c r="H655" s="815"/>
      <c r="I655" s="816"/>
      <c r="J655" s="735"/>
      <c r="K655" s="735"/>
      <c r="L655" s="815"/>
      <c r="M655" s="844"/>
      <c r="O655" s="204" t="str">
        <f t="shared" ca="1" si="24"/>
        <v/>
      </c>
      <c r="P655" s="118" t="str">
        <f t="shared" ca="1" si="25"/>
        <v/>
      </c>
      <c r="Q655" s="118"/>
      <c r="R655" s="818"/>
      <c r="S655" s="735"/>
      <c r="T655" s="735"/>
      <c r="U655" s="735"/>
      <c r="V655" s="819"/>
      <c r="W655" s="819"/>
      <c r="X655" s="118"/>
    </row>
    <row r="656" spans="2:24" ht="15" customHeight="1">
      <c r="B656" s="703"/>
      <c r="C656" s="703"/>
      <c r="D656" s="118"/>
      <c r="E656" s="735"/>
      <c r="F656" s="118"/>
      <c r="G656" s="118"/>
      <c r="H656" s="815"/>
      <c r="I656" s="816"/>
      <c r="J656" s="735"/>
      <c r="K656" s="735"/>
      <c r="L656" s="815"/>
      <c r="M656" s="844"/>
      <c r="O656" s="204" t="str">
        <f t="shared" ca="1" si="24"/>
        <v/>
      </c>
      <c r="P656" s="118" t="str">
        <f t="shared" ca="1" si="25"/>
        <v/>
      </c>
      <c r="Q656" s="118"/>
      <c r="R656" s="818"/>
      <c r="S656" s="735"/>
      <c r="T656" s="735"/>
      <c r="U656" s="735"/>
      <c r="V656" s="819"/>
      <c r="W656" s="819"/>
      <c r="X656" s="118"/>
    </row>
    <row r="657" spans="2:24" ht="15" customHeight="1">
      <c r="B657" s="703"/>
      <c r="C657" s="703"/>
      <c r="D657" s="118"/>
      <c r="E657" s="735"/>
      <c r="F657" s="118"/>
      <c r="G657" s="118"/>
      <c r="H657" s="815"/>
      <c r="I657" s="816"/>
      <c r="J657" s="735"/>
      <c r="K657" s="735"/>
      <c r="L657" s="815"/>
      <c r="M657" s="844"/>
      <c r="O657" s="204" t="str">
        <f t="shared" ca="1" si="24"/>
        <v/>
      </c>
      <c r="P657" s="118" t="str">
        <f t="shared" ca="1" si="25"/>
        <v/>
      </c>
      <c r="Q657" s="118"/>
      <c r="R657" s="818"/>
      <c r="S657" s="735"/>
      <c r="T657" s="735"/>
      <c r="U657" s="735"/>
      <c r="V657" s="819"/>
      <c r="W657" s="819"/>
      <c r="X657" s="118"/>
    </row>
    <row r="658" spans="2:24" ht="15" customHeight="1">
      <c r="B658" s="703"/>
      <c r="C658" s="703"/>
      <c r="D658" s="118"/>
      <c r="E658" s="735"/>
      <c r="F658" s="118"/>
      <c r="G658" s="118"/>
      <c r="H658" s="815"/>
      <c r="I658" s="816"/>
      <c r="J658" s="735"/>
      <c r="K658" s="735"/>
      <c r="L658" s="815"/>
      <c r="M658" s="844"/>
      <c r="O658" s="204" t="str">
        <f t="shared" ca="1" si="24"/>
        <v/>
      </c>
      <c r="P658" s="118" t="str">
        <f t="shared" ca="1" si="25"/>
        <v/>
      </c>
      <c r="Q658" s="118"/>
      <c r="R658" s="818"/>
      <c r="S658" s="735"/>
      <c r="T658" s="735"/>
      <c r="U658" s="735"/>
      <c r="V658" s="819"/>
      <c r="W658" s="819"/>
      <c r="X658" s="118"/>
    </row>
    <row r="659" spans="2:24" ht="15" customHeight="1">
      <c r="B659" s="703"/>
      <c r="C659" s="703"/>
      <c r="D659" s="118"/>
      <c r="E659" s="735"/>
      <c r="F659" s="118"/>
      <c r="G659" s="118"/>
      <c r="H659" s="815"/>
      <c r="I659" s="816"/>
      <c r="J659" s="735"/>
      <c r="K659" s="735"/>
      <c r="L659" s="815"/>
      <c r="M659" s="844"/>
      <c r="O659" s="204" t="str">
        <f t="shared" ca="1" si="24"/>
        <v/>
      </c>
      <c r="P659" s="118" t="str">
        <f t="shared" ca="1" si="25"/>
        <v/>
      </c>
      <c r="Q659" s="118"/>
      <c r="R659" s="818"/>
      <c r="S659" s="735"/>
      <c r="T659" s="735"/>
      <c r="U659" s="735"/>
      <c r="V659" s="819"/>
      <c r="W659" s="819"/>
      <c r="X659" s="118"/>
    </row>
    <row r="660" spans="2:24" ht="15" customHeight="1">
      <c r="B660" s="703"/>
      <c r="C660" s="703"/>
      <c r="D660" s="118"/>
      <c r="E660" s="735"/>
      <c r="F660" s="118"/>
      <c r="G660" s="118"/>
      <c r="H660" s="815"/>
      <c r="I660" s="816"/>
      <c r="J660" s="735"/>
      <c r="K660" s="735"/>
      <c r="L660" s="815"/>
      <c r="M660" s="844"/>
      <c r="O660" s="204" t="str">
        <f t="shared" ca="1" si="24"/>
        <v/>
      </c>
      <c r="P660" s="118" t="str">
        <f t="shared" ca="1" si="25"/>
        <v/>
      </c>
      <c r="Q660" s="118"/>
      <c r="R660" s="818"/>
      <c r="S660" s="735"/>
      <c r="T660" s="735"/>
      <c r="U660" s="735"/>
      <c r="V660" s="819"/>
      <c r="W660" s="819"/>
      <c r="X660" s="118"/>
    </row>
    <row r="661" spans="2:24" ht="15" customHeight="1">
      <c r="B661" s="703"/>
      <c r="C661" s="703"/>
      <c r="D661" s="118"/>
      <c r="E661" s="735"/>
      <c r="F661" s="118"/>
      <c r="G661" s="118"/>
      <c r="H661" s="815"/>
      <c r="I661" s="816"/>
      <c r="J661" s="735"/>
      <c r="K661" s="735"/>
      <c r="L661" s="815"/>
      <c r="M661" s="844"/>
      <c r="O661" s="204" t="str">
        <f t="shared" ca="1" si="24"/>
        <v/>
      </c>
      <c r="P661" s="118" t="str">
        <f t="shared" ca="1" si="25"/>
        <v/>
      </c>
      <c r="Q661" s="118"/>
      <c r="R661" s="818"/>
      <c r="S661" s="735"/>
      <c r="T661" s="735"/>
      <c r="U661" s="735"/>
      <c r="V661" s="819"/>
      <c r="W661" s="819"/>
      <c r="X661" s="118"/>
    </row>
    <row r="662" spans="2:24" ht="15" customHeight="1">
      <c r="B662" s="703"/>
      <c r="C662" s="703"/>
      <c r="D662" s="118"/>
      <c r="E662" s="735"/>
      <c r="F662" s="118"/>
      <c r="G662" s="118"/>
      <c r="H662" s="815"/>
      <c r="I662" s="816"/>
      <c r="J662" s="735"/>
      <c r="K662" s="735"/>
      <c r="L662" s="815"/>
      <c r="M662" s="844"/>
      <c r="O662" s="204" t="str">
        <f t="shared" ca="1" si="24"/>
        <v/>
      </c>
      <c r="P662" s="118" t="str">
        <f t="shared" ca="1" si="25"/>
        <v/>
      </c>
      <c r="Q662" s="118"/>
      <c r="R662" s="818"/>
      <c r="S662" s="735"/>
      <c r="T662" s="735"/>
      <c r="U662" s="735"/>
      <c r="V662" s="819"/>
      <c r="W662" s="819"/>
      <c r="X662" s="118"/>
    </row>
    <row r="663" spans="2:24" ht="15" customHeight="1">
      <c r="B663" s="703"/>
      <c r="C663" s="703"/>
      <c r="D663" s="118"/>
      <c r="E663" s="735"/>
      <c r="F663" s="118"/>
      <c r="G663" s="118"/>
      <c r="H663" s="815"/>
      <c r="I663" s="816"/>
      <c r="J663" s="735"/>
      <c r="K663" s="735"/>
      <c r="L663" s="815"/>
      <c r="M663" s="844"/>
      <c r="O663" s="204" t="str">
        <f t="shared" ca="1" si="24"/>
        <v/>
      </c>
      <c r="P663" s="118" t="str">
        <f t="shared" ca="1" si="25"/>
        <v/>
      </c>
      <c r="Q663" s="118"/>
      <c r="R663" s="818"/>
      <c r="S663" s="735"/>
      <c r="T663" s="735"/>
      <c r="U663" s="735"/>
      <c r="V663" s="819"/>
      <c r="W663" s="819"/>
      <c r="X663" s="118"/>
    </row>
    <row r="664" spans="2:24" ht="15" customHeight="1">
      <c r="B664" s="703"/>
      <c r="C664" s="703"/>
      <c r="D664" s="118"/>
      <c r="E664" s="735"/>
      <c r="F664" s="118"/>
      <c r="G664" s="118"/>
      <c r="H664" s="815"/>
      <c r="I664" s="816"/>
      <c r="J664" s="735"/>
      <c r="K664" s="735"/>
      <c r="L664" s="815"/>
      <c r="M664" s="844"/>
      <c r="O664" s="204" t="str">
        <f t="shared" ca="1" si="24"/>
        <v/>
      </c>
      <c r="P664" s="118" t="str">
        <f t="shared" ca="1" si="25"/>
        <v/>
      </c>
      <c r="Q664" s="118"/>
      <c r="R664" s="818"/>
      <c r="S664" s="735"/>
      <c r="T664" s="735"/>
      <c r="U664" s="735"/>
      <c r="V664" s="819"/>
      <c r="W664" s="819"/>
      <c r="X664" s="118"/>
    </row>
    <row r="665" spans="2:24" ht="15" customHeight="1">
      <c r="B665" s="703"/>
      <c r="C665" s="703"/>
      <c r="D665" s="118"/>
      <c r="E665" s="735"/>
      <c r="F665" s="118"/>
      <c r="G665" s="118"/>
      <c r="H665" s="815"/>
      <c r="I665" s="816"/>
      <c r="J665" s="735"/>
      <c r="K665" s="735"/>
      <c r="L665" s="815"/>
      <c r="M665" s="844"/>
      <c r="O665" s="204" t="str">
        <f t="shared" ca="1" si="24"/>
        <v/>
      </c>
      <c r="P665" s="118" t="str">
        <f t="shared" ca="1" si="25"/>
        <v/>
      </c>
      <c r="Q665" s="118"/>
      <c r="R665" s="818"/>
      <c r="S665" s="735"/>
      <c r="T665" s="735"/>
      <c r="U665" s="735"/>
      <c r="V665" s="819"/>
      <c r="W665" s="819"/>
      <c r="X665" s="118"/>
    </row>
    <row r="666" spans="2:24" ht="15" customHeight="1">
      <c r="B666" s="703"/>
      <c r="C666" s="703"/>
      <c r="D666" s="118"/>
      <c r="E666" s="735"/>
      <c r="F666" s="118"/>
      <c r="G666" s="118"/>
      <c r="H666" s="815"/>
      <c r="I666" s="816"/>
      <c r="J666" s="735"/>
      <c r="K666" s="735"/>
      <c r="L666" s="815"/>
      <c r="M666" s="844"/>
      <c r="O666" s="204" t="str">
        <f t="shared" ca="1" si="24"/>
        <v/>
      </c>
      <c r="P666" s="118" t="str">
        <f t="shared" ca="1" si="25"/>
        <v/>
      </c>
      <c r="Q666" s="118"/>
      <c r="R666" s="818"/>
      <c r="S666" s="735"/>
      <c r="T666" s="735"/>
      <c r="U666" s="735"/>
      <c r="V666" s="819"/>
      <c r="W666" s="819"/>
      <c r="X666" s="118"/>
    </row>
    <row r="667" spans="2:24" ht="15" customHeight="1">
      <c r="B667" s="703"/>
      <c r="C667" s="703"/>
      <c r="D667" s="118"/>
      <c r="E667" s="735"/>
      <c r="F667" s="118"/>
      <c r="G667" s="118"/>
      <c r="H667" s="815"/>
      <c r="I667" s="816"/>
      <c r="J667" s="735"/>
      <c r="K667" s="735"/>
      <c r="L667" s="815"/>
      <c r="M667" s="844"/>
      <c r="O667" s="204" t="str">
        <f t="shared" ca="1" si="24"/>
        <v/>
      </c>
      <c r="P667" s="118" t="str">
        <f t="shared" ca="1" si="25"/>
        <v/>
      </c>
      <c r="Q667" s="118"/>
      <c r="R667" s="818"/>
      <c r="S667" s="735"/>
      <c r="T667" s="735"/>
      <c r="U667" s="735"/>
      <c r="V667" s="819"/>
      <c r="W667" s="819"/>
      <c r="X667" s="118"/>
    </row>
    <row r="668" spans="2:24" ht="15" customHeight="1">
      <c r="B668" s="703"/>
      <c r="C668" s="703"/>
      <c r="D668" s="118"/>
      <c r="E668" s="735"/>
      <c r="F668" s="118"/>
      <c r="G668" s="118"/>
      <c r="H668" s="815"/>
      <c r="I668" s="816"/>
      <c r="J668" s="735"/>
      <c r="K668" s="735"/>
      <c r="L668" s="815"/>
      <c r="M668" s="844"/>
      <c r="O668" s="204" t="str">
        <f t="shared" ca="1" si="24"/>
        <v/>
      </c>
      <c r="P668" s="118" t="str">
        <f t="shared" ca="1" si="25"/>
        <v/>
      </c>
      <c r="Q668" s="118"/>
      <c r="R668" s="818"/>
      <c r="S668" s="735"/>
      <c r="T668" s="735"/>
      <c r="U668" s="735"/>
      <c r="V668" s="819"/>
      <c r="W668" s="819"/>
      <c r="X668" s="118"/>
    </row>
    <row r="669" spans="2:24" ht="15" customHeight="1">
      <c r="B669" s="703"/>
      <c r="C669" s="703"/>
      <c r="D669" s="118"/>
      <c r="E669" s="735"/>
      <c r="F669" s="118"/>
      <c r="G669" s="118"/>
      <c r="H669" s="815"/>
      <c r="I669" s="816"/>
      <c r="J669" s="735"/>
      <c r="K669" s="735"/>
      <c r="L669" s="815"/>
      <c r="M669" s="844"/>
      <c r="O669" s="204" t="str">
        <f t="shared" ca="1" si="24"/>
        <v/>
      </c>
      <c r="P669" s="118" t="str">
        <f t="shared" ca="1" si="25"/>
        <v/>
      </c>
      <c r="Q669" s="118"/>
      <c r="R669" s="818"/>
      <c r="S669" s="735"/>
      <c r="T669" s="735"/>
      <c r="U669" s="735"/>
      <c r="V669" s="819"/>
      <c r="W669" s="819"/>
      <c r="X669" s="118"/>
    </row>
    <row r="670" spans="2:24" ht="15" customHeight="1">
      <c r="B670" s="703"/>
      <c r="C670" s="703"/>
      <c r="D670" s="118"/>
      <c r="E670" s="735"/>
      <c r="F670" s="118"/>
      <c r="G670" s="118"/>
      <c r="H670" s="815"/>
      <c r="I670" s="816"/>
      <c r="J670" s="735"/>
      <c r="K670" s="735"/>
      <c r="L670" s="815"/>
      <c r="M670" s="844"/>
      <c r="O670" s="204" t="str">
        <f t="shared" ca="1" si="24"/>
        <v/>
      </c>
      <c r="P670" s="118" t="str">
        <f t="shared" ca="1" si="25"/>
        <v/>
      </c>
      <c r="Q670" s="118"/>
      <c r="R670" s="818"/>
      <c r="S670" s="735"/>
      <c r="T670" s="735"/>
      <c r="U670" s="735"/>
      <c r="V670" s="819"/>
      <c r="W670" s="819"/>
      <c r="X670" s="118"/>
    </row>
    <row r="671" spans="2:24" ht="15" customHeight="1">
      <c r="B671" s="703"/>
      <c r="C671" s="703"/>
      <c r="D671" s="118"/>
      <c r="E671" s="735"/>
      <c r="F671" s="118"/>
      <c r="G671" s="118"/>
      <c r="H671" s="815"/>
      <c r="I671" s="816"/>
      <c r="J671" s="735"/>
      <c r="K671" s="735"/>
      <c r="L671" s="815"/>
      <c r="M671" s="844"/>
      <c r="O671" s="204" t="str">
        <f t="shared" ca="1" si="24"/>
        <v/>
      </c>
      <c r="P671" s="118" t="str">
        <f t="shared" ca="1" si="25"/>
        <v/>
      </c>
      <c r="Q671" s="118"/>
      <c r="R671" s="818"/>
      <c r="S671" s="735"/>
      <c r="T671" s="735"/>
      <c r="U671" s="735"/>
      <c r="V671" s="819"/>
      <c r="W671" s="819"/>
      <c r="X671" s="118"/>
    </row>
    <row r="672" spans="2:24" ht="15" customHeight="1">
      <c r="B672" s="845"/>
      <c r="C672" s="845"/>
      <c r="D672" s="309"/>
      <c r="E672" s="396"/>
      <c r="F672" s="309"/>
      <c r="G672" s="309"/>
      <c r="H672" s="844"/>
      <c r="I672" s="846"/>
      <c r="K672" s="396"/>
      <c r="L672" s="815"/>
      <c r="M672" s="844"/>
      <c r="O672" s="204" t="str">
        <f t="shared" ca="1" si="24"/>
        <v/>
      </c>
      <c r="P672" s="118" t="str">
        <f t="shared" ca="1" si="25"/>
        <v/>
      </c>
      <c r="Q672" s="309"/>
      <c r="X672" s="309"/>
    </row>
    <row r="673" spans="2:24" ht="15" customHeight="1">
      <c r="B673" s="845"/>
      <c r="C673" s="845"/>
      <c r="D673" s="309"/>
      <c r="E673" s="396"/>
      <c r="F673" s="309"/>
      <c r="G673" s="309"/>
      <c r="H673" s="844"/>
      <c r="I673" s="846"/>
      <c r="K673" s="396"/>
      <c r="L673" s="815"/>
      <c r="M673" s="844"/>
      <c r="O673" s="204" t="str">
        <f t="shared" ca="1" si="24"/>
        <v/>
      </c>
      <c r="P673" s="118" t="str">
        <f t="shared" ca="1" si="25"/>
        <v/>
      </c>
      <c r="Q673" s="309"/>
      <c r="X673" s="309"/>
    </row>
    <row r="674" spans="2:24" ht="15" customHeight="1">
      <c r="B674" s="845"/>
      <c r="C674" s="845"/>
      <c r="D674" s="309"/>
      <c r="E674" s="396"/>
      <c r="F674" s="309"/>
      <c r="G674" s="309"/>
      <c r="H674" s="844"/>
      <c r="I674" s="846"/>
      <c r="K674" s="396"/>
      <c r="L674" s="815"/>
      <c r="M674" s="844"/>
      <c r="O674" s="204" t="str">
        <f t="shared" ca="1" si="24"/>
        <v/>
      </c>
      <c r="P674" s="118" t="str">
        <f t="shared" ca="1" si="25"/>
        <v/>
      </c>
      <c r="Q674" s="309"/>
      <c r="X674" s="309"/>
    </row>
    <row r="675" spans="2:24" ht="15" customHeight="1">
      <c r="B675" s="845"/>
      <c r="C675" s="845"/>
      <c r="D675" s="309"/>
      <c r="E675" s="396"/>
      <c r="F675" s="309"/>
      <c r="G675" s="309"/>
      <c r="H675" s="844"/>
      <c r="I675" s="846"/>
      <c r="K675" s="396"/>
      <c r="L675" s="815"/>
      <c r="M675" s="844"/>
      <c r="O675" s="204" t="str">
        <f t="shared" ca="1" si="24"/>
        <v/>
      </c>
      <c r="P675" s="118" t="str">
        <f t="shared" ca="1" si="25"/>
        <v/>
      </c>
      <c r="Q675" s="309"/>
      <c r="X675" s="309"/>
    </row>
    <row r="676" spans="2:24" ht="15" customHeight="1">
      <c r="B676" s="845"/>
      <c r="C676" s="845"/>
      <c r="D676" s="309"/>
      <c r="E676" s="396"/>
      <c r="F676" s="309"/>
      <c r="G676" s="309"/>
      <c r="H676" s="844"/>
      <c r="I676" s="846"/>
      <c r="K676" s="396"/>
      <c r="L676" s="815"/>
      <c r="M676" s="844"/>
      <c r="O676" s="204" t="str">
        <f t="shared" ca="1" si="24"/>
        <v/>
      </c>
      <c r="P676" s="118" t="str">
        <f t="shared" ca="1" si="25"/>
        <v/>
      </c>
      <c r="Q676" s="309"/>
      <c r="X676" s="309"/>
    </row>
    <row r="677" spans="2:24" ht="15" customHeight="1">
      <c r="B677" s="845"/>
      <c r="C677" s="845"/>
      <c r="D677" s="309"/>
      <c r="E677" s="396"/>
      <c r="F677" s="309"/>
      <c r="G677" s="309"/>
      <c r="H677" s="844"/>
      <c r="I677" s="846"/>
      <c r="K677" s="396"/>
      <c r="L677" s="815"/>
      <c r="M677" s="844"/>
      <c r="O677" s="204" t="str">
        <f t="shared" ca="1" si="24"/>
        <v/>
      </c>
      <c r="P677" s="118" t="str">
        <f t="shared" ca="1" si="25"/>
        <v/>
      </c>
      <c r="Q677" s="309"/>
      <c r="X677" s="309"/>
    </row>
    <row r="678" spans="2:24" ht="15" customHeight="1">
      <c r="B678" s="845"/>
      <c r="C678" s="845"/>
      <c r="D678" s="309"/>
      <c r="E678" s="396"/>
      <c r="F678" s="309"/>
      <c r="G678" s="309"/>
      <c r="H678" s="844"/>
      <c r="I678" s="846"/>
      <c r="K678" s="396"/>
      <c r="L678" s="815"/>
      <c r="M678" s="844"/>
      <c r="O678" s="204" t="str">
        <f t="shared" ca="1" si="24"/>
        <v/>
      </c>
      <c r="P678" s="118" t="str">
        <f t="shared" ca="1" si="25"/>
        <v/>
      </c>
      <c r="Q678" s="309"/>
      <c r="X678" s="309"/>
    </row>
    <row r="679" spans="2:24" ht="15" customHeight="1">
      <c r="B679" s="845"/>
      <c r="C679" s="845"/>
      <c r="D679" s="309"/>
      <c r="E679" s="396"/>
      <c r="F679" s="309"/>
      <c r="G679" s="309"/>
      <c r="H679" s="844"/>
      <c r="I679" s="846"/>
      <c r="K679" s="396"/>
      <c r="L679" s="815"/>
      <c r="M679" s="844"/>
      <c r="O679" s="204" t="str">
        <f t="shared" ca="1" si="24"/>
        <v/>
      </c>
      <c r="P679" s="118" t="str">
        <f t="shared" ca="1" si="25"/>
        <v/>
      </c>
      <c r="Q679" s="309"/>
      <c r="X679" s="309"/>
    </row>
    <row r="680" spans="2:24" ht="15" customHeight="1">
      <c r="B680" s="845"/>
      <c r="C680" s="845"/>
      <c r="D680" s="309"/>
      <c r="E680" s="396"/>
      <c r="F680" s="309"/>
      <c r="G680" s="309"/>
      <c r="H680" s="844"/>
      <c r="I680" s="846"/>
      <c r="K680" s="396"/>
      <c r="L680" s="815"/>
      <c r="M680" s="844"/>
      <c r="O680" s="204" t="str">
        <f t="shared" ca="1" si="24"/>
        <v/>
      </c>
      <c r="P680" s="118" t="str">
        <f t="shared" ca="1" si="25"/>
        <v/>
      </c>
      <c r="Q680" s="309"/>
      <c r="X680" s="309"/>
    </row>
    <row r="681" spans="2:24" ht="15" customHeight="1">
      <c r="B681" s="845"/>
      <c r="C681" s="845"/>
      <c r="D681" s="309"/>
      <c r="E681" s="396"/>
      <c r="F681" s="309"/>
      <c r="G681" s="309"/>
      <c r="H681" s="844"/>
      <c r="I681" s="846"/>
      <c r="K681" s="396"/>
      <c r="L681" s="815"/>
      <c r="M681" s="844"/>
      <c r="O681" s="204" t="str">
        <f t="shared" ca="1" si="24"/>
        <v/>
      </c>
      <c r="P681" s="118" t="str">
        <f t="shared" ca="1" si="25"/>
        <v/>
      </c>
      <c r="Q681" s="309"/>
      <c r="X681" s="309"/>
    </row>
    <row r="682" spans="2:24" ht="15" customHeight="1">
      <c r="B682" s="845"/>
      <c r="C682" s="845"/>
      <c r="D682" s="309"/>
      <c r="E682" s="396"/>
      <c r="F682" s="309"/>
      <c r="G682" s="309"/>
      <c r="H682" s="844"/>
      <c r="I682" s="846"/>
      <c r="K682" s="396"/>
      <c r="L682" s="815"/>
      <c r="M682" s="844"/>
      <c r="O682" s="204" t="str">
        <f t="shared" ca="1" si="24"/>
        <v/>
      </c>
      <c r="P682" s="118" t="str">
        <f t="shared" ca="1" si="25"/>
        <v/>
      </c>
      <c r="Q682" s="309"/>
      <c r="X682" s="309"/>
    </row>
    <row r="683" spans="2:24" ht="15" customHeight="1">
      <c r="B683" s="845"/>
      <c r="C683" s="845"/>
      <c r="D683" s="309"/>
      <c r="E683" s="396"/>
      <c r="F683" s="309"/>
      <c r="G683" s="309"/>
      <c r="H683" s="844"/>
      <c r="I683" s="846"/>
      <c r="K683" s="396"/>
      <c r="L683" s="815"/>
      <c r="M683" s="844"/>
      <c r="O683" s="204" t="str">
        <f t="shared" ca="1" si="24"/>
        <v/>
      </c>
      <c r="P683" s="118" t="str">
        <f t="shared" ca="1" si="25"/>
        <v/>
      </c>
      <c r="Q683" s="309"/>
      <c r="X683" s="309"/>
    </row>
    <row r="684" spans="2:24" ht="15" customHeight="1">
      <c r="B684" s="845"/>
      <c r="C684" s="845"/>
      <c r="D684" s="309"/>
      <c r="E684" s="396"/>
      <c r="F684" s="309"/>
      <c r="G684" s="309"/>
      <c r="H684" s="844"/>
      <c r="I684" s="846"/>
      <c r="K684" s="396"/>
      <c r="L684" s="815"/>
      <c r="M684" s="844"/>
      <c r="O684" s="204" t="str">
        <f t="shared" ca="1" si="24"/>
        <v/>
      </c>
      <c r="P684" s="118" t="str">
        <f t="shared" ca="1" si="25"/>
        <v/>
      </c>
      <c r="Q684" s="309"/>
      <c r="X684" s="309"/>
    </row>
    <row r="685" spans="2:24" ht="15" customHeight="1">
      <c r="B685" s="845"/>
      <c r="C685" s="845"/>
      <c r="D685" s="309"/>
      <c r="E685" s="396"/>
      <c r="F685" s="309"/>
      <c r="G685" s="309"/>
      <c r="H685" s="844"/>
      <c r="I685" s="846"/>
      <c r="K685" s="396"/>
      <c r="L685" s="815"/>
      <c r="M685" s="844"/>
      <c r="O685" s="204" t="str">
        <f t="shared" ca="1" si="24"/>
        <v/>
      </c>
      <c r="P685" s="118" t="str">
        <f t="shared" ca="1" si="25"/>
        <v/>
      </c>
      <c r="Q685" s="309"/>
      <c r="X685" s="309"/>
    </row>
    <row r="686" spans="2:24" ht="15" customHeight="1">
      <c r="B686" s="845"/>
      <c r="C686" s="845"/>
      <c r="D686" s="309"/>
      <c r="E686" s="396"/>
      <c r="F686" s="309"/>
      <c r="G686" s="309"/>
      <c r="H686" s="844"/>
      <c r="I686" s="846"/>
      <c r="K686" s="396"/>
      <c r="L686" s="815"/>
      <c r="M686" s="844"/>
      <c r="O686" s="204" t="str">
        <f t="shared" ca="1" si="24"/>
        <v/>
      </c>
      <c r="P686" s="118" t="str">
        <f t="shared" ca="1" si="25"/>
        <v/>
      </c>
      <c r="Q686" s="309"/>
      <c r="X686" s="309"/>
    </row>
    <row r="687" spans="2:24" ht="15" customHeight="1">
      <c r="B687" s="845"/>
      <c r="C687" s="845"/>
      <c r="D687" s="309"/>
      <c r="E687" s="396"/>
      <c r="F687" s="309"/>
      <c r="G687" s="309"/>
      <c r="H687" s="844"/>
      <c r="I687" s="846"/>
      <c r="K687" s="396"/>
      <c r="L687" s="815"/>
      <c r="M687" s="844"/>
      <c r="O687" s="204" t="str">
        <f t="shared" ref="O687:O750" ca="1" si="26">IF(ISBLANK(L687), "", IF(ISNUMBER(M687), M687-L687, TODAY()-L687))</f>
        <v/>
      </c>
      <c r="P687" s="118" t="str">
        <f t="shared" ca="1" si="25"/>
        <v/>
      </c>
      <c r="Q687" s="309"/>
      <c r="X687" s="309"/>
    </row>
    <row r="688" spans="2:24" ht="15" customHeight="1">
      <c r="B688" s="845"/>
      <c r="C688" s="845"/>
      <c r="D688" s="309"/>
      <c r="E688" s="396"/>
      <c r="F688" s="309"/>
      <c r="G688" s="309"/>
      <c r="H688" s="844"/>
      <c r="I688" s="846"/>
      <c r="K688" s="396"/>
      <c r="L688" s="815"/>
      <c r="M688" s="844"/>
      <c r="O688" s="204" t="str">
        <f t="shared" ca="1" si="26"/>
        <v/>
      </c>
      <c r="P688" s="118" t="str">
        <f t="shared" ca="1" si="25"/>
        <v/>
      </c>
      <c r="Q688" s="309"/>
      <c r="X688" s="309"/>
    </row>
    <row r="689" spans="2:24" ht="15" customHeight="1">
      <c r="B689" s="845"/>
      <c r="C689" s="845"/>
      <c r="D689" s="309"/>
      <c r="E689" s="396"/>
      <c r="F689" s="309"/>
      <c r="G689" s="309"/>
      <c r="H689" s="844"/>
      <c r="I689" s="846"/>
      <c r="K689" s="396"/>
      <c r="L689" s="815"/>
      <c r="M689" s="844"/>
      <c r="O689" s="204" t="str">
        <f t="shared" ca="1" si="26"/>
        <v/>
      </c>
      <c r="P689" s="118" t="str">
        <f t="shared" ca="1" si="25"/>
        <v/>
      </c>
      <c r="Q689" s="309"/>
      <c r="X689" s="309"/>
    </row>
    <row r="690" spans="2:24" ht="15" customHeight="1">
      <c r="B690" s="845"/>
      <c r="C690" s="845"/>
      <c r="D690" s="309"/>
      <c r="E690" s="396"/>
      <c r="F690" s="309"/>
      <c r="G690" s="309"/>
      <c r="H690" s="844"/>
      <c r="I690" s="846"/>
      <c r="K690" s="396"/>
      <c r="L690" s="815"/>
      <c r="M690" s="844"/>
      <c r="O690" s="204" t="str">
        <f t="shared" ca="1" si="26"/>
        <v/>
      </c>
      <c r="P690" s="118" t="str">
        <f t="shared" ca="1" si="25"/>
        <v/>
      </c>
      <c r="Q690" s="309"/>
      <c r="X690" s="309"/>
    </row>
    <row r="691" spans="2:24" ht="15" customHeight="1">
      <c r="B691" s="845"/>
      <c r="C691" s="845"/>
      <c r="D691" s="309"/>
      <c r="E691" s="396"/>
      <c r="F691" s="309"/>
      <c r="G691" s="309"/>
      <c r="H691" s="844"/>
      <c r="I691" s="846"/>
      <c r="K691" s="396"/>
      <c r="L691" s="815"/>
      <c r="M691" s="844"/>
      <c r="O691" s="204" t="str">
        <f t="shared" ca="1" si="26"/>
        <v/>
      </c>
      <c r="P691" s="118" t="str">
        <f t="shared" ca="1" si="25"/>
        <v/>
      </c>
      <c r="Q691" s="309"/>
      <c r="X691" s="309"/>
    </row>
    <row r="692" spans="2:24" ht="15" customHeight="1">
      <c r="B692" s="845"/>
      <c r="C692" s="845"/>
      <c r="D692" s="309"/>
      <c r="E692" s="396"/>
      <c r="F692" s="309"/>
      <c r="G692" s="309"/>
      <c r="H692" s="844"/>
      <c r="I692" s="846"/>
      <c r="K692" s="396"/>
      <c r="L692" s="815"/>
      <c r="M692" s="844"/>
      <c r="O692" s="204" t="str">
        <f t="shared" ca="1" si="26"/>
        <v/>
      </c>
      <c r="P692" s="118" t="str">
        <f t="shared" ca="1" si="25"/>
        <v/>
      </c>
      <c r="Q692" s="309"/>
      <c r="X692" s="309"/>
    </row>
    <row r="693" spans="2:24" ht="15" customHeight="1">
      <c r="B693" s="845"/>
      <c r="C693" s="845"/>
      <c r="D693" s="309"/>
      <c r="E693" s="396"/>
      <c r="F693" s="309"/>
      <c r="G693" s="309"/>
      <c r="H693" s="844"/>
      <c r="I693" s="846"/>
      <c r="K693" s="396"/>
      <c r="L693" s="815"/>
      <c r="M693" s="844"/>
      <c r="O693" s="204" t="str">
        <f t="shared" ca="1" si="26"/>
        <v/>
      </c>
      <c r="P693" s="118" t="str">
        <f t="shared" ca="1" si="25"/>
        <v/>
      </c>
      <c r="Q693" s="309"/>
      <c r="X693" s="309"/>
    </row>
    <row r="694" spans="2:24" ht="15" customHeight="1">
      <c r="B694" s="845"/>
      <c r="C694" s="845"/>
      <c r="D694" s="309"/>
      <c r="E694" s="396"/>
      <c r="F694" s="309"/>
      <c r="G694" s="309"/>
      <c r="H694" s="844"/>
      <c r="I694" s="846"/>
      <c r="K694" s="396"/>
      <c r="L694" s="815"/>
      <c r="M694" s="844"/>
      <c r="O694" s="204" t="str">
        <f t="shared" ca="1" si="26"/>
        <v/>
      </c>
      <c r="P694" s="118" t="str">
        <f t="shared" ca="1" si="25"/>
        <v/>
      </c>
      <c r="Q694" s="309"/>
      <c r="X694" s="309"/>
    </row>
    <row r="695" spans="2:24" ht="15" customHeight="1">
      <c r="B695" s="845"/>
      <c r="C695" s="845"/>
      <c r="D695" s="309"/>
      <c r="E695" s="396"/>
      <c r="F695" s="309"/>
      <c r="G695" s="309"/>
      <c r="H695" s="844"/>
      <c r="I695" s="846"/>
      <c r="K695" s="396"/>
      <c r="L695" s="815"/>
      <c r="M695" s="844"/>
      <c r="O695" s="204" t="str">
        <f t="shared" ca="1" si="26"/>
        <v/>
      </c>
      <c r="P695" s="118" t="str">
        <f t="shared" ca="1" si="25"/>
        <v/>
      </c>
      <c r="Q695" s="309"/>
      <c r="X695" s="309"/>
    </row>
    <row r="696" spans="2:24" ht="15" customHeight="1">
      <c r="B696" s="845"/>
      <c r="C696" s="845"/>
      <c r="D696" s="309"/>
      <c r="E696" s="396"/>
      <c r="F696" s="309"/>
      <c r="G696" s="309"/>
      <c r="H696" s="844"/>
      <c r="I696" s="846"/>
      <c r="K696" s="396"/>
      <c r="L696" s="815"/>
      <c r="M696" s="844"/>
      <c r="O696" s="204" t="str">
        <f t="shared" ca="1" si="26"/>
        <v/>
      </c>
      <c r="P696" s="118" t="str">
        <f t="shared" ca="1" si="25"/>
        <v/>
      </c>
      <c r="Q696" s="309"/>
      <c r="X696" s="309"/>
    </row>
    <row r="697" spans="2:24" ht="15" customHeight="1">
      <c r="B697" s="845"/>
      <c r="C697" s="845"/>
      <c r="D697" s="309"/>
      <c r="E697" s="396"/>
      <c r="F697" s="309"/>
      <c r="G697" s="309"/>
      <c r="H697" s="844"/>
      <c r="I697" s="846"/>
      <c r="K697" s="396"/>
      <c r="L697" s="815"/>
      <c r="M697" s="844"/>
      <c r="O697" s="204" t="str">
        <f t="shared" ca="1" si="26"/>
        <v/>
      </c>
      <c r="P697" s="118" t="str">
        <f t="shared" ca="1" si="25"/>
        <v/>
      </c>
      <c r="Q697" s="309"/>
      <c r="X697" s="309"/>
    </row>
    <row r="698" spans="2:24" ht="15" customHeight="1">
      <c r="B698" s="845"/>
      <c r="C698" s="845"/>
      <c r="D698" s="309"/>
      <c r="E698" s="396"/>
      <c r="F698" s="309"/>
      <c r="G698" s="309"/>
      <c r="H698" s="844"/>
      <c r="I698" s="846"/>
      <c r="K698" s="396"/>
      <c r="L698" s="815"/>
      <c r="M698" s="844"/>
      <c r="O698" s="204" t="str">
        <f t="shared" ca="1" si="26"/>
        <v/>
      </c>
      <c r="P698" s="118" t="str">
        <f t="shared" ca="1" si="25"/>
        <v/>
      </c>
      <c r="Q698" s="309"/>
      <c r="X698" s="309"/>
    </row>
    <row r="699" spans="2:24" ht="15" customHeight="1">
      <c r="B699" s="845"/>
      <c r="C699" s="845"/>
      <c r="D699" s="309"/>
      <c r="E699" s="396"/>
      <c r="F699" s="309"/>
      <c r="G699" s="309"/>
      <c r="H699" s="844"/>
      <c r="I699" s="846"/>
      <c r="K699" s="396"/>
      <c r="L699" s="815"/>
      <c r="M699" s="844"/>
      <c r="O699" s="204" t="str">
        <f t="shared" ca="1" si="26"/>
        <v/>
      </c>
      <c r="P699" s="118" t="str">
        <f t="shared" ca="1" si="25"/>
        <v/>
      </c>
      <c r="Q699" s="309"/>
      <c r="X699" s="309"/>
    </row>
    <row r="700" spans="2:24" ht="15" customHeight="1">
      <c r="B700" s="845"/>
      <c r="C700" s="845"/>
      <c r="D700" s="309"/>
      <c r="E700" s="396"/>
      <c r="F700" s="309"/>
      <c r="G700" s="309"/>
      <c r="H700" s="844"/>
      <c r="I700" s="846"/>
      <c r="K700" s="396"/>
      <c r="L700" s="815"/>
      <c r="M700" s="844"/>
      <c r="O700" s="204" t="str">
        <f t="shared" ca="1" si="26"/>
        <v/>
      </c>
      <c r="P700" s="118" t="str">
        <f t="shared" ca="1" si="25"/>
        <v/>
      </c>
      <c r="Q700" s="309"/>
      <c r="X700" s="309"/>
    </row>
    <row r="701" spans="2:24" ht="15" customHeight="1">
      <c r="B701" s="845"/>
      <c r="C701" s="845"/>
      <c r="D701" s="309"/>
      <c r="E701" s="396"/>
      <c r="F701" s="309"/>
      <c r="G701" s="309"/>
      <c r="H701" s="844"/>
      <c r="I701" s="846"/>
      <c r="K701" s="396"/>
      <c r="L701" s="815"/>
      <c r="M701" s="844"/>
      <c r="O701" s="204" t="str">
        <f t="shared" ca="1" si="26"/>
        <v/>
      </c>
      <c r="P701" s="118" t="str">
        <f t="shared" ca="1" si="25"/>
        <v/>
      </c>
      <c r="Q701" s="309"/>
      <c r="X701" s="309"/>
    </row>
    <row r="702" spans="2:24" ht="15" customHeight="1">
      <c r="B702" s="845"/>
      <c r="C702" s="845"/>
      <c r="D702" s="309"/>
      <c r="E702" s="396"/>
      <c r="F702" s="309"/>
      <c r="G702" s="309"/>
      <c r="H702" s="844"/>
      <c r="I702" s="846"/>
      <c r="K702" s="396"/>
      <c r="L702" s="815"/>
      <c r="M702" s="844"/>
      <c r="O702" s="204" t="str">
        <f t="shared" ca="1" si="26"/>
        <v/>
      </c>
      <c r="P702" s="118" t="str">
        <f t="shared" ca="1" si="25"/>
        <v/>
      </c>
      <c r="Q702" s="309"/>
      <c r="X702" s="309"/>
    </row>
    <row r="703" spans="2:24" ht="15" customHeight="1">
      <c r="B703" s="845"/>
      <c r="C703" s="845"/>
      <c r="D703" s="309"/>
      <c r="E703" s="396"/>
      <c r="F703" s="309"/>
      <c r="G703" s="309"/>
      <c r="H703" s="844"/>
      <c r="I703" s="846"/>
      <c r="K703" s="396"/>
      <c r="L703" s="815"/>
      <c r="M703" s="844"/>
      <c r="O703" s="204" t="str">
        <f t="shared" ca="1" si="26"/>
        <v/>
      </c>
      <c r="P703" s="118" t="str">
        <f t="shared" ca="1" si="25"/>
        <v/>
      </c>
      <c r="Q703" s="309"/>
      <c r="X703" s="309"/>
    </row>
    <row r="704" spans="2:24" ht="15" customHeight="1">
      <c r="B704" s="845"/>
      <c r="C704" s="845"/>
      <c r="D704" s="309"/>
      <c r="E704" s="396"/>
      <c r="F704" s="309"/>
      <c r="G704" s="309"/>
      <c r="H704" s="844"/>
      <c r="I704" s="846"/>
      <c r="K704" s="396"/>
      <c r="L704" s="815"/>
      <c r="M704" s="844"/>
      <c r="O704" s="204" t="str">
        <f t="shared" ca="1" si="26"/>
        <v/>
      </c>
      <c r="P704" s="118" t="str">
        <f t="shared" ca="1" si="25"/>
        <v/>
      </c>
      <c r="Q704" s="309"/>
      <c r="X704" s="309"/>
    </row>
    <row r="705" spans="2:24" ht="15" customHeight="1">
      <c r="B705" s="845"/>
      <c r="C705" s="845"/>
      <c r="D705" s="309"/>
      <c r="E705" s="396"/>
      <c r="F705" s="309"/>
      <c r="G705" s="309"/>
      <c r="H705" s="844"/>
      <c r="I705" s="846"/>
      <c r="K705" s="396"/>
      <c r="L705" s="815"/>
      <c r="M705" s="844"/>
      <c r="O705" s="204" t="str">
        <f t="shared" ca="1" si="26"/>
        <v/>
      </c>
      <c r="P705" s="118" t="str">
        <f t="shared" ca="1" si="25"/>
        <v/>
      </c>
      <c r="Q705" s="309"/>
      <c r="X705" s="309"/>
    </row>
    <row r="706" spans="2:24" ht="15" customHeight="1">
      <c r="B706" s="845"/>
      <c r="C706" s="845"/>
      <c r="D706" s="309"/>
      <c r="E706" s="396"/>
      <c r="F706" s="309"/>
      <c r="G706" s="309"/>
      <c r="H706" s="844"/>
      <c r="I706" s="846"/>
      <c r="K706" s="396"/>
      <c r="L706" s="815"/>
      <c r="M706" s="844"/>
      <c r="O706" s="204" t="str">
        <f t="shared" ca="1" si="26"/>
        <v/>
      </c>
      <c r="P706" s="118" t="str">
        <f t="shared" ca="1" si="25"/>
        <v/>
      </c>
      <c r="Q706" s="309"/>
      <c r="X706" s="309"/>
    </row>
    <row r="707" spans="2:24" ht="15" customHeight="1">
      <c r="B707" s="845"/>
      <c r="C707" s="845"/>
      <c r="D707" s="309"/>
      <c r="E707" s="396"/>
      <c r="F707" s="309"/>
      <c r="G707" s="309"/>
      <c r="H707" s="844"/>
      <c r="I707" s="846"/>
      <c r="K707" s="396"/>
      <c r="L707" s="815"/>
      <c r="M707" s="844"/>
      <c r="O707" s="204" t="str">
        <f t="shared" ca="1" si="26"/>
        <v/>
      </c>
      <c r="P707" s="118" t="str">
        <f t="shared" ref="P707:P770" ca="1" si="27">IF(ISBLANK(H707), "", IF(ISNUMBER(M707), M707-H707, TODAY()-H707))</f>
        <v/>
      </c>
      <c r="Q707" s="309"/>
      <c r="X707" s="309"/>
    </row>
    <row r="708" spans="2:24" ht="15" customHeight="1">
      <c r="B708" s="845"/>
      <c r="C708" s="845"/>
      <c r="D708" s="309"/>
      <c r="E708" s="396"/>
      <c r="F708" s="309"/>
      <c r="G708" s="309"/>
      <c r="H708" s="844"/>
      <c r="I708" s="846"/>
      <c r="K708" s="396"/>
      <c r="L708" s="815"/>
      <c r="M708" s="844"/>
      <c r="O708" s="204" t="str">
        <f t="shared" ca="1" si="26"/>
        <v/>
      </c>
      <c r="P708" s="118" t="str">
        <f t="shared" ca="1" si="27"/>
        <v/>
      </c>
      <c r="Q708" s="309"/>
      <c r="X708" s="309"/>
    </row>
    <row r="709" spans="2:24" ht="15" customHeight="1">
      <c r="B709" s="845"/>
      <c r="C709" s="845"/>
      <c r="D709" s="309"/>
      <c r="E709" s="396"/>
      <c r="F709" s="309"/>
      <c r="G709" s="309"/>
      <c r="H709" s="844"/>
      <c r="I709" s="846"/>
      <c r="K709" s="396"/>
      <c r="L709" s="815"/>
      <c r="M709" s="844"/>
      <c r="O709" s="204" t="str">
        <f t="shared" ca="1" si="26"/>
        <v/>
      </c>
      <c r="P709" s="118" t="str">
        <f t="shared" ca="1" si="27"/>
        <v/>
      </c>
      <c r="Q709" s="309"/>
      <c r="X709" s="309"/>
    </row>
    <row r="710" spans="2:24" ht="15" customHeight="1">
      <c r="B710" s="845"/>
      <c r="C710" s="845"/>
      <c r="D710" s="309"/>
      <c r="E710" s="396"/>
      <c r="F710" s="309"/>
      <c r="G710" s="309"/>
      <c r="H710" s="844"/>
      <c r="I710" s="846"/>
      <c r="K710" s="396"/>
      <c r="L710" s="815"/>
      <c r="M710" s="844"/>
      <c r="O710" s="204" t="str">
        <f t="shared" ca="1" si="26"/>
        <v/>
      </c>
      <c r="P710" s="118" t="str">
        <f t="shared" ca="1" si="27"/>
        <v/>
      </c>
      <c r="Q710" s="309"/>
      <c r="X710" s="309"/>
    </row>
    <row r="711" spans="2:24" ht="15" customHeight="1">
      <c r="B711" s="845"/>
      <c r="C711" s="845"/>
      <c r="D711" s="309"/>
      <c r="E711" s="396"/>
      <c r="F711" s="309"/>
      <c r="G711" s="309"/>
      <c r="H711" s="844"/>
      <c r="I711" s="846"/>
      <c r="K711" s="396"/>
      <c r="L711" s="815"/>
      <c r="M711" s="844"/>
      <c r="O711" s="204" t="str">
        <f t="shared" ca="1" si="26"/>
        <v/>
      </c>
      <c r="P711" s="118" t="str">
        <f t="shared" ca="1" si="27"/>
        <v/>
      </c>
      <c r="Q711" s="309"/>
      <c r="X711" s="309"/>
    </row>
    <row r="712" spans="2:24" ht="15" customHeight="1">
      <c r="B712" s="845"/>
      <c r="C712" s="845"/>
      <c r="D712" s="309"/>
      <c r="E712" s="396"/>
      <c r="F712" s="309"/>
      <c r="G712" s="309"/>
      <c r="H712" s="844"/>
      <c r="I712" s="846"/>
      <c r="K712" s="396"/>
      <c r="L712" s="815"/>
      <c r="M712" s="844"/>
      <c r="O712" s="204" t="str">
        <f t="shared" ca="1" si="26"/>
        <v/>
      </c>
      <c r="P712" s="118" t="str">
        <f t="shared" ca="1" si="27"/>
        <v/>
      </c>
      <c r="Q712" s="309"/>
      <c r="X712" s="309"/>
    </row>
    <row r="713" spans="2:24" ht="15" customHeight="1">
      <c r="B713" s="845"/>
      <c r="C713" s="845"/>
      <c r="D713" s="309"/>
      <c r="E713" s="396"/>
      <c r="F713" s="309"/>
      <c r="G713" s="309"/>
      <c r="H713" s="844"/>
      <c r="I713" s="846"/>
      <c r="K713" s="396"/>
      <c r="L713" s="815"/>
      <c r="M713" s="844"/>
      <c r="O713" s="204" t="str">
        <f t="shared" ca="1" si="26"/>
        <v/>
      </c>
      <c r="P713" s="118" t="str">
        <f t="shared" ca="1" si="27"/>
        <v/>
      </c>
      <c r="Q713" s="309"/>
      <c r="X713" s="309"/>
    </row>
    <row r="714" spans="2:24" ht="15" customHeight="1">
      <c r="B714" s="845"/>
      <c r="C714" s="845"/>
      <c r="D714" s="309"/>
      <c r="E714" s="396"/>
      <c r="F714" s="309"/>
      <c r="G714" s="309"/>
      <c r="H714" s="844"/>
      <c r="I714" s="846"/>
      <c r="K714" s="396"/>
      <c r="L714" s="815"/>
      <c r="M714" s="844"/>
      <c r="O714" s="204" t="str">
        <f t="shared" ca="1" si="26"/>
        <v/>
      </c>
      <c r="P714" s="118" t="str">
        <f t="shared" ca="1" si="27"/>
        <v/>
      </c>
      <c r="Q714" s="309"/>
      <c r="X714" s="309"/>
    </row>
    <row r="715" spans="2:24" ht="15" customHeight="1">
      <c r="B715" s="845"/>
      <c r="C715" s="845"/>
      <c r="D715" s="309"/>
      <c r="E715" s="396"/>
      <c r="F715" s="309"/>
      <c r="G715" s="309"/>
      <c r="H715" s="844"/>
      <c r="I715" s="846"/>
      <c r="K715" s="396"/>
      <c r="L715" s="815"/>
      <c r="M715" s="844"/>
      <c r="O715" s="204" t="str">
        <f t="shared" ca="1" si="26"/>
        <v/>
      </c>
      <c r="P715" s="118" t="str">
        <f t="shared" ca="1" si="27"/>
        <v/>
      </c>
      <c r="Q715" s="309"/>
      <c r="X715" s="309"/>
    </row>
    <row r="716" spans="2:24" ht="15" customHeight="1">
      <c r="B716" s="845"/>
      <c r="C716" s="845"/>
      <c r="D716" s="309"/>
      <c r="E716" s="396"/>
      <c r="F716" s="309"/>
      <c r="G716" s="309"/>
      <c r="H716" s="844"/>
      <c r="I716" s="846"/>
      <c r="K716" s="396"/>
      <c r="L716" s="815"/>
      <c r="M716" s="844"/>
      <c r="O716" s="204" t="str">
        <f t="shared" ca="1" si="26"/>
        <v/>
      </c>
      <c r="P716" s="118" t="str">
        <f t="shared" ca="1" si="27"/>
        <v/>
      </c>
      <c r="Q716" s="309"/>
      <c r="X716" s="309"/>
    </row>
    <row r="717" spans="2:24" ht="15" customHeight="1">
      <c r="B717" s="845"/>
      <c r="C717" s="845"/>
      <c r="D717" s="309"/>
      <c r="E717" s="396"/>
      <c r="F717" s="309"/>
      <c r="G717" s="309"/>
      <c r="H717" s="844"/>
      <c r="I717" s="846"/>
      <c r="K717" s="396"/>
      <c r="L717" s="815"/>
      <c r="M717" s="844"/>
      <c r="O717" s="204" t="str">
        <f t="shared" ca="1" si="26"/>
        <v/>
      </c>
      <c r="P717" s="118" t="str">
        <f t="shared" ca="1" si="27"/>
        <v/>
      </c>
      <c r="Q717" s="309"/>
      <c r="X717" s="309"/>
    </row>
    <row r="718" spans="2:24" ht="15" customHeight="1">
      <c r="B718" s="845"/>
      <c r="C718" s="845"/>
      <c r="D718" s="309"/>
      <c r="E718" s="396"/>
      <c r="F718" s="309"/>
      <c r="G718" s="309"/>
      <c r="H718" s="844"/>
      <c r="I718" s="846"/>
      <c r="K718" s="396"/>
      <c r="L718" s="815"/>
      <c r="M718" s="844"/>
      <c r="O718" s="204" t="str">
        <f t="shared" ca="1" si="26"/>
        <v/>
      </c>
      <c r="P718" s="118" t="str">
        <f t="shared" ca="1" si="27"/>
        <v/>
      </c>
      <c r="Q718" s="309"/>
      <c r="X718" s="309"/>
    </row>
    <row r="719" spans="2:24" ht="15" customHeight="1">
      <c r="B719" s="845"/>
      <c r="C719" s="845"/>
      <c r="D719" s="309"/>
      <c r="E719" s="396"/>
      <c r="F719" s="309"/>
      <c r="G719" s="309"/>
      <c r="H719" s="844"/>
      <c r="I719" s="846"/>
      <c r="K719" s="396"/>
      <c r="L719" s="815"/>
      <c r="M719" s="844"/>
      <c r="O719" s="204" t="str">
        <f t="shared" ca="1" si="26"/>
        <v/>
      </c>
      <c r="P719" s="118" t="str">
        <f t="shared" ca="1" si="27"/>
        <v/>
      </c>
      <c r="Q719" s="309"/>
      <c r="X719" s="309"/>
    </row>
    <row r="720" spans="2:24" ht="15" customHeight="1">
      <c r="B720" s="845"/>
      <c r="C720" s="845"/>
      <c r="D720" s="309"/>
      <c r="E720" s="396"/>
      <c r="F720" s="309"/>
      <c r="G720" s="309"/>
      <c r="H720" s="844"/>
      <c r="I720" s="846"/>
      <c r="K720" s="396"/>
      <c r="L720" s="815"/>
      <c r="M720" s="844"/>
      <c r="O720" s="204" t="str">
        <f t="shared" ca="1" si="26"/>
        <v/>
      </c>
      <c r="P720" s="118" t="str">
        <f t="shared" ca="1" si="27"/>
        <v/>
      </c>
      <c r="Q720" s="309"/>
      <c r="X720" s="309"/>
    </row>
    <row r="721" spans="2:24" ht="15" customHeight="1">
      <c r="B721" s="845"/>
      <c r="C721" s="845"/>
      <c r="D721" s="309"/>
      <c r="E721" s="396"/>
      <c r="F721" s="309"/>
      <c r="G721" s="309"/>
      <c r="H721" s="844"/>
      <c r="I721" s="846"/>
      <c r="K721" s="396"/>
      <c r="L721" s="815"/>
      <c r="M721" s="844"/>
      <c r="O721" s="204" t="str">
        <f t="shared" ca="1" si="26"/>
        <v/>
      </c>
      <c r="P721" s="118" t="str">
        <f t="shared" ca="1" si="27"/>
        <v/>
      </c>
      <c r="Q721" s="309"/>
      <c r="X721" s="309"/>
    </row>
    <row r="722" spans="2:24" ht="15" customHeight="1">
      <c r="B722" s="845"/>
      <c r="C722" s="845"/>
      <c r="D722" s="309"/>
      <c r="E722" s="396"/>
      <c r="F722" s="309"/>
      <c r="G722" s="309"/>
      <c r="H722" s="844"/>
      <c r="I722" s="846"/>
      <c r="K722" s="396"/>
      <c r="L722" s="815"/>
      <c r="M722" s="844"/>
      <c r="O722" s="204" t="str">
        <f t="shared" ca="1" si="26"/>
        <v/>
      </c>
      <c r="P722" s="118" t="str">
        <f t="shared" ca="1" si="27"/>
        <v/>
      </c>
      <c r="Q722" s="309"/>
      <c r="X722" s="309"/>
    </row>
    <row r="723" spans="2:24" ht="15" customHeight="1">
      <c r="B723" s="845"/>
      <c r="C723" s="845"/>
      <c r="D723" s="309"/>
      <c r="E723" s="396"/>
      <c r="F723" s="309"/>
      <c r="G723" s="309"/>
      <c r="H723" s="844"/>
      <c r="I723" s="846"/>
      <c r="K723" s="396"/>
      <c r="L723" s="815"/>
      <c r="M723" s="844"/>
      <c r="O723" s="204" t="str">
        <f t="shared" ca="1" si="26"/>
        <v/>
      </c>
      <c r="P723" s="118" t="str">
        <f t="shared" ca="1" si="27"/>
        <v/>
      </c>
      <c r="Q723" s="309"/>
      <c r="X723" s="309"/>
    </row>
    <row r="724" spans="2:24" ht="15" customHeight="1">
      <c r="B724" s="845"/>
      <c r="C724" s="845"/>
      <c r="D724" s="309"/>
      <c r="E724" s="396"/>
      <c r="F724" s="309"/>
      <c r="G724" s="309"/>
      <c r="H724" s="844"/>
      <c r="I724" s="846"/>
      <c r="K724" s="396"/>
      <c r="L724" s="815"/>
      <c r="M724" s="844"/>
      <c r="O724" s="204" t="str">
        <f t="shared" ca="1" si="26"/>
        <v/>
      </c>
      <c r="P724" s="118" t="str">
        <f t="shared" ca="1" si="27"/>
        <v/>
      </c>
      <c r="Q724" s="309"/>
      <c r="X724" s="309"/>
    </row>
    <row r="725" spans="2:24" ht="15" customHeight="1">
      <c r="B725" s="845"/>
      <c r="C725" s="845"/>
      <c r="D725" s="309"/>
      <c r="E725" s="396"/>
      <c r="F725" s="309"/>
      <c r="G725" s="309"/>
      <c r="H725" s="844"/>
      <c r="I725" s="846"/>
      <c r="K725" s="396"/>
      <c r="L725" s="815"/>
      <c r="M725" s="844"/>
      <c r="O725" s="204" t="str">
        <f t="shared" ca="1" si="26"/>
        <v/>
      </c>
      <c r="P725" s="118" t="str">
        <f t="shared" ca="1" si="27"/>
        <v/>
      </c>
      <c r="Q725" s="309"/>
      <c r="X725" s="309"/>
    </row>
    <row r="726" spans="2:24" ht="15" customHeight="1">
      <c r="B726" s="845"/>
      <c r="C726" s="845"/>
      <c r="D726" s="309"/>
      <c r="E726" s="396"/>
      <c r="F726" s="309"/>
      <c r="G726" s="309"/>
      <c r="H726" s="844"/>
      <c r="I726" s="846"/>
      <c r="K726" s="396"/>
      <c r="L726" s="815"/>
      <c r="M726" s="844"/>
      <c r="O726" s="204" t="str">
        <f t="shared" ca="1" si="26"/>
        <v/>
      </c>
      <c r="P726" s="118" t="str">
        <f t="shared" ca="1" si="27"/>
        <v/>
      </c>
      <c r="Q726" s="309"/>
      <c r="X726" s="309"/>
    </row>
    <row r="727" spans="2:24" ht="15" customHeight="1">
      <c r="B727" s="845"/>
      <c r="C727" s="845"/>
      <c r="D727" s="309"/>
      <c r="E727" s="396"/>
      <c r="F727" s="309"/>
      <c r="G727" s="309"/>
      <c r="H727" s="844"/>
      <c r="I727" s="846"/>
      <c r="K727" s="396"/>
      <c r="L727" s="815"/>
      <c r="M727" s="844"/>
      <c r="O727" s="204" t="str">
        <f t="shared" ca="1" si="26"/>
        <v/>
      </c>
      <c r="P727" s="118" t="str">
        <f t="shared" ca="1" si="27"/>
        <v/>
      </c>
      <c r="Q727" s="309"/>
      <c r="X727" s="309"/>
    </row>
    <row r="728" spans="2:24" ht="15" customHeight="1">
      <c r="B728" s="845"/>
      <c r="C728" s="845"/>
      <c r="D728" s="309"/>
      <c r="E728" s="396"/>
      <c r="F728" s="309"/>
      <c r="G728" s="309"/>
      <c r="H728" s="844"/>
      <c r="I728" s="846"/>
      <c r="K728" s="396"/>
      <c r="L728" s="815"/>
      <c r="M728" s="844"/>
      <c r="O728" s="204" t="str">
        <f t="shared" ca="1" si="26"/>
        <v/>
      </c>
      <c r="P728" s="118" t="str">
        <f t="shared" ca="1" si="27"/>
        <v/>
      </c>
      <c r="Q728" s="309"/>
      <c r="X728" s="309"/>
    </row>
    <row r="729" spans="2:24" ht="15" customHeight="1">
      <c r="B729" s="845"/>
      <c r="C729" s="845"/>
      <c r="D729" s="309"/>
      <c r="E729" s="396"/>
      <c r="F729" s="309"/>
      <c r="G729" s="309"/>
      <c r="H729" s="844"/>
      <c r="I729" s="846"/>
      <c r="K729" s="396"/>
      <c r="L729" s="815"/>
      <c r="M729" s="844"/>
      <c r="O729" s="204" t="str">
        <f t="shared" ca="1" si="26"/>
        <v/>
      </c>
      <c r="P729" s="118" t="str">
        <f t="shared" ca="1" si="27"/>
        <v/>
      </c>
      <c r="Q729" s="309"/>
      <c r="X729" s="309"/>
    </row>
    <row r="730" spans="2:24" ht="15" customHeight="1">
      <c r="B730" s="845"/>
      <c r="C730" s="845"/>
      <c r="D730" s="309"/>
      <c r="E730" s="396"/>
      <c r="F730" s="309"/>
      <c r="G730" s="309"/>
      <c r="H730" s="844"/>
      <c r="I730" s="846"/>
      <c r="K730" s="396"/>
      <c r="L730" s="815"/>
      <c r="M730" s="844"/>
      <c r="O730" s="204" t="str">
        <f t="shared" ca="1" si="26"/>
        <v/>
      </c>
      <c r="P730" s="118" t="str">
        <f t="shared" ca="1" si="27"/>
        <v/>
      </c>
      <c r="Q730" s="309"/>
      <c r="X730" s="309"/>
    </row>
    <row r="731" spans="2:24" ht="15" customHeight="1">
      <c r="B731" s="845"/>
      <c r="C731" s="845"/>
      <c r="D731" s="309"/>
      <c r="E731" s="396"/>
      <c r="F731" s="309"/>
      <c r="G731" s="309"/>
      <c r="H731" s="844"/>
      <c r="I731" s="846"/>
      <c r="K731" s="396"/>
      <c r="L731" s="815"/>
      <c r="M731" s="844"/>
      <c r="O731" s="204" t="str">
        <f t="shared" ca="1" si="26"/>
        <v/>
      </c>
      <c r="P731" s="118" t="str">
        <f t="shared" ca="1" si="27"/>
        <v/>
      </c>
      <c r="Q731" s="309"/>
      <c r="X731" s="309"/>
    </row>
    <row r="732" spans="2:24" ht="15" customHeight="1">
      <c r="B732" s="845"/>
      <c r="C732" s="845"/>
      <c r="D732" s="309"/>
      <c r="E732" s="396"/>
      <c r="F732" s="309"/>
      <c r="G732" s="309"/>
      <c r="H732" s="844"/>
      <c r="I732" s="846"/>
      <c r="K732" s="396"/>
      <c r="L732" s="815"/>
      <c r="M732" s="844"/>
      <c r="O732" s="204" t="str">
        <f t="shared" ca="1" si="26"/>
        <v/>
      </c>
      <c r="P732" s="118" t="str">
        <f t="shared" ca="1" si="27"/>
        <v/>
      </c>
      <c r="Q732" s="309"/>
      <c r="X732" s="309"/>
    </row>
    <row r="733" spans="2:24" ht="15" customHeight="1">
      <c r="B733" s="845"/>
      <c r="C733" s="845"/>
      <c r="D733" s="309"/>
      <c r="E733" s="396"/>
      <c r="F733" s="309"/>
      <c r="G733" s="309"/>
      <c r="H733" s="844"/>
      <c r="I733" s="846"/>
      <c r="K733" s="396"/>
      <c r="L733" s="815"/>
      <c r="M733" s="844"/>
      <c r="O733" s="204" t="str">
        <f t="shared" ca="1" si="26"/>
        <v/>
      </c>
      <c r="P733" s="118" t="str">
        <f t="shared" ca="1" si="27"/>
        <v/>
      </c>
      <c r="Q733" s="309"/>
      <c r="X733" s="309"/>
    </row>
    <row r="734" spans="2:24" ht="15" customHeight="1">
      <c r="B734" s="845"/>
      <c r="C734" s="845"/>
      <c r="D734" s="309"/>
      <c r="E734" s="396"/>
      <c r="F734" s="309"/>
      <c r="G734" s="309"/>
      <c r="H734" s="844"/>
      <c r="I734" s="846"/>
      <c r="K734" s="396"/>
      <c r="L734" s="815"/>
      <c r="M734" s="844"/>
      <c r="O734" s="204" t="str">
        <f t="shared" ca="1" si="26"/>
        <v/>
      </c>
      <c r="P734" s="118" t="str">
        <f t="shared" ca="1" si="27"/>
        <v/>
      </c>
      <c r="Q734" s="309"/>
      <c r="X734" s="309"/>
    </row>
    <row r="735" spans="2:24" ht="15" customHeight="1">
      <c r="B735" s="845"/>
      <c r="C735" s="845"/>
      <c r="D735" s="309"/>
      <c r="E735" s="396"/>
      <c r="F735" s="309"/>
      <c r="G735" s="309"/>
      <c r="H735" s="844"/>
      <c r="I735" s="846"/>
      <c r="K735" s="396"/>
      <c r="L735" s="815"/>
      <c r="M735" s="844"/>
      <c r="O735" s="204" t="str">
        <f t="shared" ca="1" si="26"/>
        <v/>
      </c>
      <c r="P735" s="118" t="str">
        <f t="shared" ca="1" si="27"/>
        <v/>
      </c>
      <c r="Q735" s="309"/>
      <c r="X735" s="309"/>
    </row>
    <row r="736" spans="2:24" ht="15" customHeight="1">
      <c r="B736" s="845"/>
      <c r="C736" s="845"/>
      <c r="D736" s="309"/>
      <c r="E736" s="396"/>
      <c r="F736" s="309"/>
      <c r="G736" s="309"/>
      <c r="H736" s="844"/>
      <c r="I736" s="846"/>
      <c r="K736" s="396"/>
      <c r="L736" s="815"/>
      <c r="M736" s="844"/>
      <c r="O736" s="204" t="str">
        <f t="shared" ca="1" si="26"/>
        <v/>
      </c>
      <c r="P736" s="118" t="str">
        <f t="shared" ca="1" si="27"/>
        <v/>
      </c>
      <c r="Q736" s="309"/>
      <c r="X736" s="309"/>
    </row>
    <row r="737" spans="2:24" ht="15" customHeight="1">
      <c r="B737" s="845"/>
      <c r="C737" s="845"/>
      <c r="D737" s="309"/>
      <c r="E737" s="396"/>
      <c r="F737" s="309"/>
      <c r="G737" s="309"/>
      <c r="H737" s="844"/>
      <c r="I737" s="846"/>
      <c r="K737" s="396"/>
      <c r="L737" s="815"/>
      <c r="M737" s="844"/>
      <c r="O737" s="204" t="str">
        <f t="shared" ca="1" si="26"/>
        <v/>
      </c>
      <c r="P737" s="118" t="str">
        <f t="shared" ca="1" si="27"/>
        <v/>
      </c>
      <c r="Q737" s="309"/>
      <c r="X737" s="309"/>
    </row>
    <row r="738" spans="2:24" ht="15" customHeight="1">
      <c r="B738" s="845"/>
      <c r="C738" s="845"/>
      <c r="D738" s="309"/>
      <c r="E738" s="396"/>
      <c r="F738" s="309"/>
      <c r="G738" s="309"/>
      <c r="H738" s="844"/>
      <c r="I738" s="846"/>
      <c r="K738" s="396"/>
      <c r="L738" s="815"/>
      <c r="M738" s="844"/>
      <c r="O738" s="204" t="str">
        <f t="shared" ca="1" si="26"/>
        <v/>
      </c>
      <c r="P738" s="118" t="str">
        <f t="shared" ca="1" si="27"/>
        <v/>
      </c>
      <c r="Q738" s="309"/>
      <c r="X738" s="309"/>
    </row>
    <row r="739" spans="2:24" ht="15" customHeight="1">
      <c r="B739" s="845"/>
      <c r="C739" s="845"/>
      <c r="D739" s="309"/>
      <c r="E739" s="396"/>
      <c r="F739" s="309"/>
      <c r="G739" s="309"/>
      <c r="H739" s="844"/>
      <c r="I739" s="846"/>
      <c r="K739" s="396"/>
      <c r="L739" s="815"/>
      <c r="M739" s="844"/>
      <c r="O739" s="204" t="str">
        <f t="shared" ca="1" si="26"/>
        <v/>
      </c>
      <c r="P739" s="118" t="str">
        <f t="shared" ca="1" si="27"/>
        <v/>
      </c>
      <c r="Q739" s="309"/>
      <c r="X739" s="309"/>
    </row>
    <row r="740" spans="2:24" ht="15" customHeight="1">
      <c r="B740" s="845"/>
      <c r="C740" s="845"/>
      <c r="D740" s="309"/>
      <c r="E740" s="396"/>
      <c r="F740" s="309"/>
      <c r="G740" s="309"/>
      <c r="H740" s="844"/>
      <c r="I740" s="846"/>
      <c r="K740" s="396"/>
      <c r="L740" s="815"/>
      <c r="M740" s="844"/>
      <c r="O740" s="204" t="str">
        <f t="shared" ca="1" si="26"/>
        <v/>
      </c>
      <c r="P740" s="118" t="str">
        <f t="shared" ca="1" si="27"/>
        <v/>
      </c>
      <c r="Q740" s="309"/>
      <c r="X740" s="309"/>
    </row>
    <row r="741" spans="2:24" ht="15" customHeight="1">
      <c r="B741" s="845"/>
      <c r="C741" s="845"/>
      <c r="D741" s="309"/>
      <c r="E741" s="396"/>
      <c r="F741" s="309"/>
      <c r="G741" s="309"/>
      <c r="H741" s="844"/>
      <c r="I741" s="846"/>
      <c r="K741" s="396"/>
      <c r="L741" s="815"/>
      <c r="M741" s="844"/>
      <c r="O741" s="204" t="str">
        <f t="shared" ca="1" si="26"/>
        <v/>
      </c>
      <c r="P741" s="118" t="str">
        <f t="shared" ca="1" si="27"/>
        <v/>
      </c>
      <c r="Q741" s="309"/>
      <c r="X741" s="309"/>
    </row>
    <row r="742" spans="2:24" ht="15" customHeight="1">
      <c r="B742" s="845"/>
      <c r="C742" s="845"/>
      <c r="D742" s="309"/>
      <c r="E742" s="396"/>
      <c r="F742" s="309"/>
      <c r="G742" s="309"/>
      <c r="H742" s="844"/>
      <c r="I742" s="846"/>
      <c r="K742" s="396"/>
      <c r="L742" s="815"/>
      <c r="M742" s="844"/>
      <c r="O742" s="204" t="str">
        <f t="shared" ca="1" si="26"/>
        <v/>
      </c>
      <c r="P742" s="118" t="str">
        <f t="shared" ca="1" si="27"/>
        <v/>
      </c>
      <c r="Q742" s="309"/>
      <c r="X742" s="309"/>
    </row>
    <row r="743" spans="2:24" ht="15" customHeight="1">
      <c r="B743" s="845"/>
      <c r="C743" s="845"/>
      <c r="D743" s="309"/>
      <c r="E743" s="396"/>
      <c r="F743" s="309"/>
      <c r="G743" s="309"/>
      <c r="H743" s="844"/>
      <c r="I743" s="846"/>
      <c r="K743" s="396"/>
      <c r="L743" s="815"/>
      <c r="M743" s="844"/>
      <c r="O743" s="204" t="str">
        <f t="shared" ca="1" si="26"/>
        <v/>
      </c>
      <c r="P743" s="118" t="str">
        <f t="shared" ca="1" si="27"/>
        <v/>
      </c>
      <c r="Q743" s="309"/>
      <c r="X743" s="309"/>
    </row>
    <row r="744" spans="2:24" ht="15" customHeight="1">
      <c r="B744" s="845"/>
      <c r="C744" s="845"/>
      <c r="D744" s="309"/>
      <c r="E744" s="396"/>
      <c r="F744" s="309"/>
      <c r="G744" s="309"/>
      <c r="H744" s="844"/>
      <c r="I744" s="846"/>
      <c r="K744" s="396"/>
      <c r="L744" s="815"/>
      <c r="M744" s="844"/>
      <c r="O744" s="204" t="str">
        <f t="shared" ca="1" si="26"/>
        <v/>
      </c>
      <c r="P744" s="118" t="str">
        <f t="shared" ca="1" si="27"/>
        <v/>
      </c>
      <c r="Q744" s="309"/>
      <c r="X744" s="309"/>
    </row>
    <row r="745" spans="2:24" ht="15" customHeight="1">
      <c r="B745" s="845"/>
      <c r="C745" s="845"/>
      <c r="D745" s="309"/>
      <c r="E745" s="396"/>
      <c r="F745" s="309"/>
      <c r="G745" s="309"/>
      <c r="H745" s="844"/>
      <c r="I745" s="846"/>
      <c r="K745" s="396"/>
      <c r="L745" s="815"/>
      <c r="M745" s="844"/>
      <c r="O745" s="204" t="str">
        <f t="shared" ca="1" si="26"/>
        <v/>
      </c>
      <c r="P745" s="118" t="str">
        <f t="shared" ca="1" si="27"/>
        <v/>
      </c>
      <c r="Q745" s="309"/>
      <c r="X745" s="309"/>
    </row>
    <row r="746" spans="2:24" ht="15" customHeight="1">
      <c r="B746" s="845"/>
      <c r="C746" s="845"/>
      <c r="D746" s="309"/>
      <c r="E746" s="396"/>
      <c r="F746" s="309"/>
      <c r="G746" s="309"/>
      <c r="H746" s="844"/>
      <c r="I746" s="846"/>
      <c r="K746" s="396"/>
      <c r="L746" s="815"/>
      <c r="M746" s="844"/>
      <c r="O746" s="204" t="str">
        <f t="shared" ca="1" si="26"/>
        <v/>
      </c>
      <c r="P746" s="118" t="str">
        <f t="shared" ca="1" si="27"/>
        <v/>
      </c>
      <c r="Q746" s="309"/>
      <c r="X746" s="309"/>
    </row>
    <row r="747" spans="2:24" ht="15" customHeight="1">
      <c r="B747" s="845"/>
      <c r="C747" s="845"/>
      <c r="D747" s="309"/>
      <c r="E747" s="396"/>
      <c r="F747" s="309"/>
      <c r="G747" s="309"/>
      <c r="H747" s="844"/>
      <c r="I747" s="846"/>
      <c r="K747" s="396"/>
      <c r="L747" s="815"/>
      <c r="M747" s="844"/>
      <c r="O747" s="204" t="str">
        <f t="shared" ca="1" si="26"/>
        <v/>
      </c>
      <c r="P747" s="118" t="str">
        <f t="shared" ca="1" si="27"/>
        <v/>
      </c>
      <c r="Q747" s="309"/>
      <c r="X747" s="309"/>
    </row>
    <row r="748" spans="2:24" ht="15" customHeight="1">
      <c r="B748" s="845"/>
      <c r="C748" s="845"/>
      <c r="D748" s="309"/>
      <c r="E748" s="396"/>
      <c r="F748" s="309"/>
      <c r="G748" s="309"/>
      <c r="H748" s="844"/>
      <c r="I748" s="846"/>
      <c r="K748" s="396"/>
      <c r="L748" s="815"/>
      <c r="M748" s="844"/>
      <c r="O748" s="204" t="str">
        <f t="shared" ca="1" si="26"/>
        <v/>
      </c>
      <c r="P748" s="118" t="str">
        <f t="shared" ca="1" si="27"/>
        <v/>
      </c>
      <c r="Q748" s="309"/>
      <c r="X748" s="309"/>
    </row>
    <row r="749" spans="2:24" ht="15" customHeight="1">
      <c r="B749" s="845"/>
      <c r="C749" s="845"/>
      <c r="D749" s="309"/>
      <c r="E749" s="396"/>
      <c r="F749" s="309"/>
      <c r="G749" s="309"/>
      <c r="H749" s="844"/>
      <c r="I749" s="846"/>
      <c r="K749" s="396"/>
      <c r="L749" s="815"/>
      <c r="M749" s="844"/>
      <c r="O749" s="204" t="str">
        <f t="shared" ca="1" si="26"/>
        <v/>
      </c>
      <c r="P749" s="118" t="str">
        <f t="shared" ca="1" si="27"/>
        <v/>
      </c>
      <c r="Q749" s="309"/>
      <c r="X749" s="309"/>
    </row>
    <row r="750" spans="2:24" ht="15" customHeight="1">
      <c r="B750" s="845"/>
      <c r="C750" s="845"/>
      <c r="D750" s="309"/>
      <c r="E750" s="396"/>
      <c r="F750" s="309"/>
      <c r="G750" s="309"/>
      <c r="H750" s="844"/>
      <c r="I750" s="846"/>
      <c r="K750" s="396"/>
      <c r="L750" s="815"/>
      <c r="M750" s="844"/>
      <c r="O750" s="204" t="str">
        <f t="shared" ca="1" si="26"/>
        <v/>
      </c>
      <c r="P750" s="118" t="str">
        <f t="shared" ca="1" si="27"/>
        <v/>
      </c>
      <c r="Q750" s="309"/>
      <c r="X750" s="309"/>
    </row>
    <row r="751" spans="2:24" ht="15" customHeight="1">
      <c r="B751" s="845"/>
      <c r="C751" s="845"/>
      <c r="D751" s="309"/>
      <c r="E751" s="396"/>
      <c r="F751" s="309"/>
      <c r="G751" s="309"/>
      <c r="H751" s="844"/>
      <c r="I751" s="846"/>
      <c r="K751" s="396"/>
      <c r="L751" s="815"/>
      <c r="M751" s="844"/>
      <c r="O751" s="204" t="str">
        <f t="shared" ref="O751:O814" ca="1" si="28">IF(ISBLANK(L751), "", IF(ISNUMBER(M751), M751-L751, TODAY()-L751))</f>
        <v/>
      </c>
      <c r="P751" s="118" t="str">
        <f t="shared" ca="1" si="27"/>
        <v/>
      </c>
      <c r="Q751" s="309"/>
      <c r="X751" s="309"/>
    </row>
    <row r="752" spans="2:24" ht="15" customHeight="1">
      <c r="B752" s="845"/>
      <c r="C752" s="845"/>
      <c r="D752" s="309"/>
      <c r="E752" s="396"/>
      <c r="F752" s="309"/>
      <c r="G752" s="309"/>
      <c r="H752" s="844"/>
      <c r="I752" s="846"/>
      <c r="K752" s="396"/>
      <c r="L752" s="815"/>
      <c r="M752" s="844"/>
      <c r="O752" s="204" t="str">
        <f t="shared" ca="1" si="28"/>
        <v/>
      </c>
      <c r="P752" s="118" t="str">
        <f t="shared" ca="1" si="27"/>
        <v/>
      </c>
      <c r="Q752" s="309"/>
      <c r="X752" s="309"/>
    </row>
    <row r="753" spans="2:24" ht="15" customHeight="1">
      <c r="B753" s="845"/>
      <c r="C753" s="845"/>
      <c r="D753" s="309"/>
      <c r="E753" s="396"/>
      <c r="F753" s="309"/>
      <c r="G753" s="309"/>
      <c r="H753" s="844"/>
      <c r="I753" s="846"/>
      <c r="K753" s="396"/>
      <c r="L753" s="815"/>
      <c r="M753" s="844"/>
      <c r="O753" s="204" t="str">
        <f t="shared" ca="1" si="28"/>
        <v/>
      </c>
      <c r="P753" s="118" t="str">
        <f t="shared" ca="1" si="27"/>
        <v/>
      </c>
      <c r="Q753" s="309"/>
      <c r="X753" s="309"/>
    </row>
    <row r="754" spans="2:24" ht="15" customHeight="1">
      <c r="B754" s="845"/>
      <c r="C754" s="845"/>
      <c r="D754" s="309"/>
      <c r="E754" s="396"/>
      <c r="F754" s="309"/>
      <c r="G754" s="309"/>
      <c r="H754" s="844"/>
      <c r="I754" s="846"/>
      <c r="K754" s="396"/>
      <c r="L754" s="815"/>
      <c r="M754" s="844"/>
      <c r="O754" s="204" t="str">
        <f t="shared" ca="1" si="28"/>
        <v/>
      </c>
      <c r="P754" s="118" t="str">
        <f t="shared" ca="1" si="27"/>
        <v/>
      </c>
      <c r="Q754" s="309"/>
      <c r="X754" s="309"/>
    </row>
    <row r="755" spans="2:24" ht="15" customHeight="1">
      <c r="B755" s="845"/>
      <c r="C755" s="845"/>
      <c r="D755" s="309"/>
      <c r="E755" s="396"/>
      <c r="F755" s="309"/>
      <c r="G755" s="309"/>
      <c r="H755" s="844"/>
      <c r="I755" s="846"/>
      <c r="K755" s="396"/>
      <c r="L755" s="815"/>
      <c r="M755" s="844"/>
      <c r="O755" s="204" t="str">
        <f t="shared" ca="1" si="28"/>
        <v/>
      </c>
      <c r="P755" s="118" t="str">
        <f t="shared" ca="1" si="27"/>
        <v/>
      </c>
      <c r="Q755" s="309"/>
      <c r="X755" s="309"/>
    </row>
    <row r="756" spans="2:24" ht="15" customHeight="1">
      <c r="B756" s="845"/>
      <c r="C756" s="845"/>
      <c r="D756" s="309"/>
      <c r="E756" s="396"/>
      <c r="F756" s="309"/>
      <c r="G756" s="309"/>
      <c r="H756" s="844"/>
      <c r="I756" s="846"/>
      <c r="K756" s="396"/>
      <c r="L756" s="815"/>
      <c r="M756" s="844"/>
      <c r="O756" s="204" t="str">
        <f t="shared" ca="1" si="28"/>
        <v/>
      </c>
      <c r="P756" s="118" t="str">
        <f t="shared" ca="1" si="27"/>
        <v/>
      </c>
      <c r="Q756" s="309"/>
      <c r="X756" s="309"/>
    </row>
    <row r="757" spans="2:24" ht="15" customHeight="1">
      <c r="B757" s="845"/>
      <c r="C757" s="845"/>
      <c r="D757" s="309"/>
      <c r="E757" s="396"/>
      <c r="F757" s="309"/>
      <c r="G757" s="309"/>
      <c r="H757" s="844"/>
      <c r="I757" s="846"/>
      <c r="K757" s="396"/>
      <c r="L757" s="815"/>
      <c r="M757" s="844"/>
      <c r="O757" s="204" t="str">
        <f t="shared" ca="1" si="28"/>
        <v/>
      </c>
      <c r="P757" s="118" t="str">
        <f t="shared" ca="1" si="27"/>
        <v/>
      </c>
      <c r="Q757" s="309"/>
      <c r="X757" s="309"/>
    </row>
    <row r="758" spans="2:24" ht="15" customHeight="1">
      <c r="B758" s="845"/>
      <c r="C758" s="845"/>
      <c r="D758" s="309"/>
      <c r="E758" s="396"/>
      <c r="F758" s="309"/>
      <c r="G758" s="309"/>
      <c r="H758" s="844"/>
      <c r="I758" s="846"/>
      <c r="K758" s="396"/>
      <c r="L758" s="815"/>
      <c r="M758" s="844"/>
      <c r="O758" s="204" t="str">
        <f t="shared" ca="1" si="28"/>
        <v/>
      </c>
      <c r="P758" s="118" t="str">
        <f t="shared" ca="1" si="27"/>
        <v/>
      </c>
      <c r="Q758" s="309"/>
      <c r="X758" s="309"/>
    </row>
    <row r="759" spans="2:24" ht="15" customHeight="1">
      <c r="B759" s="845"/>
      <c r="C759" s="845"/>
      <c r="D759" s="309"/>
      <c r="E759" s="396"/>
      <c r="F759" s="309"/>
      <c r="G759" s="309"/>
      <c r="H759" s="844"/>
      <c r="I759" s="846"/>
      <c r="K759" s="396"/>
      <c r="L759" s="815"/>
      <c r="M759" s="844"/>
      <c r="O759" s="204" t="str">
        <f t="shared" ca="1" si="28"/>
        <v/>
      </c>
      <c r="P759" s="118" t="str">
        <f t="shared" ca="1" si="27"/>
        <v/>
      </c>
      <c r="Q759" s="309"/>
      <c r="X759" s="309"/>
    </row>
    <row r="760" spans="2:24" ht="15" customHeight="1">
      <c r="B760" s="845"/>
      <c r="C760" s="845"/>
      <c r="D760" s="309"/>
      <c r="E760" s="396"/>
      <c r="F760" s="309"/>
      <c r="G760" s="309"/>
      <c r="H760" s="844"/>
      <c r="I760" s="846"/>
      <c r="K760" s="396"/>
      <c r="L760" s="815"/>
      <c r="M760" s="844"/>
      <c r="O760" s="204" t="str">
        <f t="shared" ca="1" si="28"/>
        <v/>
      </c>
      <c r="P760" s="118" t="str">
        <f t="shared" ca="1" si="27"/>
        <v/>
      </c>
      <c r="Q760" s="309"/>
      <c r="X760" s="309"/>
    </row>
    <row r="761" spans="2:24" ht="15" customHeight="1">
      <c r="B761" s="845"/>
      <c r="C761" s="845"/>
      <c r="D761" s="309"/>
      <c r="E761" s="396"/>
      <c r="F761" s="309"/>
      <c r="G761" s="309"/>
      <c r="H761" s="844"/>
      <c r="I761" s="846"/>
      <c r="K761" s="396"/>
      <c r="L761" s="815"/>
      <c r="M761" s="844"/>
      <c r="O761" s="204" t="str">
        <f t="shared" ca="1" si="28"/>
        <v/>
      </c>
      <c r="P761" s="118" t="str">
        <f t="shared" ca="1" si="27"/>
        <v/>
      </c>
      <c r="Q761" s="309"/>
      <c r="X761" s="309"/>
    </row>
    <row r="762" spans="2:24" ht="15" customHeight="1">
      <c r="B762" s="845"/>
      <c r="C762" s="845"/>
      <c r="D762" s="309"/>
      <c r="E762" s="396"/>
      <c r="F762" s="309"/>
      <c r="G762" s="309"/>
      <c r="H762" s="844"/>
      <c r="I762" s="846"/>
      <c r="K762" s="396"/>
      <c r="L762" s="815"/>
      <c r="M762" s="844"/>
      <c r="O762" s="204" t="str">
        <f t="shared" ca="1" si="28"/>
        <v/>
      </c>
      <c r="P762" s="118" t="str">
        <f t="shared" ca="1" si="27"/>
        <v/>
      </c>
      <c r="Q762" s="309"/>
      <c r="X762" s="309"/>
    </row>
    <row r="763" spans="2:24" ht="15" customHeight="1">
      <c r="B763" s="845"/>
      <c r="C763" s="845"/>
      <c r="D763" s="309"/>
      <c r="E763" s="396"/>
      <c r="F763" s="309"/>
      <c r="G763" s="309"/>
      <c r="H763" s="844"/>
      <c r="I763" s="846"/>
      <c r="K763" s="396"/>
      <c r="L763" s="815"/>
      <c r="M763" s="844"/>
      <c r="O763" s="204" t="str">
        <f t="shared" ca="1" si="28"/>
        <v/>
      </c>
      <c r="P763" s="118" t="str">
        <f t="shared" ca="1" si="27"/>
        <v/>
      </c>
      <c r="Q763" s="309"/>
      <c r="X763" s="309"/>
    </row>
    <row r="764" spans="2:24" ht="15" customHeight="1">
      <c r="B764" s="845"/>
      <c r="C764" s="845"/>
      <c r="D764" s="309"/>
      <c r="E764" s="396"/>
      <c r="F764" s="309"/>
      <c r="G764" s="309"/>
      <c r="H764" s="844"/>
      <c r="I764" s="846"/>
      <c r="K764" s="396"/>
      <c r="L764" s="815"/>
      <c r="M764" s="844"/>
      <c r="O764" s="204" t="str">
        <f t="shared" ca="1" si="28"/>
        <v/>
      </c>
      <c r="P764" s="118" t="str">
        <f t="shared" ca="1" si="27"/>
        <v/>
      </c>
      <c r="Q764" s="309"/>
      <c r="X764" s="309"/>
    </row>
    <row r="765" spans="2:24" ht="15" customHeight="1">
      <c r="B765" s="845"/>
      <c r="C765" s="845"/>
      <c r="D765" s="309"/>
      <c r="E765" s="396"/>
      <c r="F765" s="309"/>
      <c r="G765" s="309"/>
      <c r="H765" s="844"/>
      <c r="I765" s="846"/>
      <c r="K765" s="396"/>
      <c r="L765" s="815"/>
      <c r="M765" s="844"/>
      <c r="O765" s="204" t="str">
        <f t="shared" ca="1" si="28"/>
        <v/>
      </c>
      <c r="P765" s="118" t="str">
        <f t="shared" ca="1" si="27"/>
        <v/>
      </c>
      <c r="Q765" s="309"/>
      <c r="X765" s="309"/>
    </row>
    <row r="766" spans="2:24" ht="15" customHeight="1">
      <c r="B766" s="845"/>
      <c r="C766" s="845"/>
      <c r="D766" s="309"/>
      <c r="E766" s="396"/>
      <c r="F766" s="309"/>
      <c r="G766" s="309"/>
      <c r="H766" s="844"/>
      <c r="I766" s="846"/>
      <c r="K766" s="396"/>
      <c r="L766" s="815"/>
      <c r="M766" s="844"/>
      <c r="O766" s="204" t="str">
        <f t="shared" ca="1" si="28"/>
        <v/>
      </c>
      <c r="P766" s="118" t="str">
        <f t="shared" ca="1" si="27"/>
        <v/>
      </c>
      <c r="Q766" s="309"/>
      <c r="X766" s="309"/>
    </row>
    <row r="767" spans="2:24" ht="15" customHeight="1">
      <c r="B767" s="845"/>
      <c r="C767" s="845"/>
      <c r="D767" s="309"/>
      <c r="E767" s="396"/>
      <c r="F767" s="309"/>
      <c r="G767" s="309"/>
      <c r="H767" s="844"/>
      <c r="I767" s="846"/>
      <c r="K767" s="396"/>
      <c r="L767" s="815"/>
      <c r="M767" s="844"/>
      <c r="O767" s="204" t="str">
        <f t="shared" ca="1" si="28"/>
        <v/>
      </c>
      <c r="P767" s="118" t="str">
        <f t="shared" ca="1" si="27"/>
        <v/>
      </c>
      <c r="Q767" s="309"/>
      <c r="X767" s="309"/>
    </row>
    <row r="768" spans="2:24" ht="15" customHeight="1">
      <c r="B768" s="845"/>
      <c r="C768" s="845"/>
      <c r="D768" s="309"/>
      <c r="E768" s="396"/>
      <c r="F768" s="309"/>
      <c r="G768" s="309"/>
      <c r="H768" s="844"/>
      <c r="I768" s="846"/>
      <c r="K768" s="396"/>
      <c r="L768" s="815"/>
      <c r="M768" s="844"/>
      <c r="O768" s="204" t="str">
        <f t="shared" ca="1" si="28"/>
        <v/>
      </c>
      <c r="P768" s="118" t="str">
        <f t="shared" ca="1" si="27"/>
        <v/>
      </c>
      <c r="Q768" s="309"/>
      <c r="X768" s="309"/>
    </row>
    <row r="769" spans="2:24" ht="15" customHeight="1">
      <c r="B769" s="845"/>
      <c r="C769" s="845"/>
      <c r="D769" s="309"/>
      <c r="E769" s="396"/>
      <c r="F769" s="309"/>
      <c r="G769" s="309"/>
      <c r="H769" s="844"/>
      <c r="I769" s="846"/>
      <c r="K769" s="396"/>
      <c r="L769" s="815"/>
      <c r="M769" s="844"/>
      <c r="O769" s="204" t="str">
        <f t="shared" ca="1" si="28"/>
        <v/>
      </c>
      <c r="P769" s="118" t="str">
        <f t="shared" ca="1" si="27"/>
        <v/>
      </c>
      <c r="Q769" s="309"/>
      <c r="X769" s="309"/>
    </row>
    <row r="770" spans="2:24" ht="15" customHeight="1">
      <c r="B770" s="845"/>
      <c r="C770" s="845"/>
      <c r="D770" s="309"/>
      <c r="E770" s="396"/>
      <c r="F770" s="309"/>
      <c r="G770" s="309"/>
      <c r="H770" s="844"/>
      <c r="I770" s="846"/>
      <c r="K770" s="396"/>
      <c r="L770" s="815"/>
      <c r="M770" s="844"/>
      <c r="O770" s="204" t="str">
        <f t="shared" ca="1" si="28"/>
        <v/>
      </c>
      <c r="P770" s="118" t="str">
        <f t="shared" ca="1" si="27"/>
        <v/>
      </c>
      <c r="Q770" s="309"/>
      <c r="X770" s="309"/>
    </row>
    <row r="771" spans="2:24" ht="15" customHeight="1">
      <c r="B771" s="845"/>
      <c r="C771" s="845"/>
      <c r="D771" s="309"/>
      <c r="E771" s="396"/>
      <c r="F771" s="309"/>
      <c r="G771" s="309"/>
      <c r="H771" s="844"/>
      <c r="I771" s="846"/>
      <c r="K771" s="396"/>
      <c r="L771" s="815"/>
      <c r="M771" s="844"/>
      <c r="O771" s="204" t="str">
        <f t="shared" ca="1" si="28"/>
        <v/>
      </c>
      <c r="P771" s="118" t="str">
        <f t="shared" ref="P771:P834" ca="1" si="29">IF(ISBLANK(H771), "", IF(ISNUMBER(M771), M771-H771, TODAY()-H771))</f>
        <v/>
      </c>
      <c r="Q771" s="309"/>
      <c r="X771" s="309"/>
    </row>
    <row r="772" spans="2:24" ht="15" customHeight="1">
      <c r="B772" s="845"/>
      <c r="C772" s="845"/>
      <c r="D772" s="309"/>
      <c r="E772" s="396"/>
      <c r="F772" s="309"/>
      <c r="G772" s="309"/>
      <c r="H772" s="844"/>
      <c r="I772" s="846"/>
      <c r="K772" s="396"/>
      <c r="L772" s="815"/>
      <c r="M772" s="844"/>
      <c r="O772" s="204" t="str">
        <f t="shared" ca="1" si="28"/>
        <v/>
      </c>
      <c r="P772" s="118" t="str">
        <f t="shared" ca="1" si="29"/>
        <v/>
      </c>
      <c r="Q772" s="309"/>
      <c r="X772" s="309"/>
    </row>
    <row r="773" spans="2:24" ht="15" customHeight="1">
      <c r="B773" s="845"/>
      <c r="C773" s="845"/>
      <c r="D773" s="309"/>
      <c r="E773" s="396"/>
      <c r="F773" s="309"/>
      <c r="G773" s="309"/>
      <c r="H773" s="844"/>
      <c r="I773" s="846"/>
      <c r="K773" s="396"/>
      <c r="L773" s="815"/>
      <c r="M773" s="844"/>
      <c r="O773" s="204" t="str">
        <f t="shared" ca="1" si="28"/>
        <v/>
      </c>
      <c r="P773" s="118" t="str">
        <f t="shared" ca="1" si="29"/>
        <v/>
      </c>
      <c r="Q773" s="309"/>
      <c r="X773" s="309"/>
    </row>
    <row r="774" spans="2:24" ht="15" customHeight="1">
      <c r="B774" s="845"/>
      <c r="C774" s="845"/>
      <c r="D774" s="309"/>
      <c r="E774" s="396"/>
      <c r="F774" s="309"/>
      <c r="G774" s="309"/>
      <c r="H774" s="844"/>
      <c r="I774" s="846"/>
      <c r="K774" s="396"/>
      <c r="L774" s="815"/>
      <c r="M774" s="844"/>
      <c r="O774" s="204" t="str">
        <f t="shared" ca="1" si="28"/>
        <v/>
      </c>
      <c r="P774" s="118" t="str">
        <f t="shared" ca="1" si="29"/>
        <v/>
      </c>
      <c r="Q774" s="309"/>
      <c r="X774" s="309"/>
    </row>
    <row r="775" spans="2:24" ht="15" customHeight="1">
      <c r="B775" s="845"/>
      <c r="C775" s="845"/>
      <c r="D775" s="309"/>
      <c r="E775" s="396"/>
      <c r="F775" s="309"/>
      <c r="G775" s="309"/>
      <c r="H775" s="844"/>
      <c r="I775" s="846"/>
      <c r="K775" s="396"/>
      <c r="L775" s="815"/>
      <c r="M775" s="844"/>
      <c r="O775" s="204" t="str">
        <f t="shared" ca="1" si="28"/>
        <v/>
      </c>
      <c r="P775" s="118" t="str">
        <f t="shared" ca="1" si="29"/>
        <v/>
      </c>
      <c r="Q775" s="309"/>
      <c r="X775" s="309"/>
    </row>
    <row r="776" spans="2:24" ht="15" customHeight="1">
      <c r="B776" s="845"/>
      <c r="C776" s="845"/>
      <c r="D776" s="309"/>
      <c r="E776" s="396"/>
      <c r="F776" s="309"/>
      <c r="G776" s="309"/>
      <c r="H776" s="844"/>
      <c r="I776" s="846"/>
      <c r="K776" s="396"/>
      <c r="L776" s="815"/>
      <c r="M776" s="844"/>
      <c r="O776" s="204" t="str">
        <f t="shared" ca="1" si="28"/>
        <v/>
      </c>
      <c r="P776" s="118" t="str">
        <f t="shared" ca="1" si="29"/>
        <v/>
      </c>
      <c r="Q776" s="309"/>
      <c r="X776" s="309"/>
    </row>
    <row r="777" spans="2:24" ht="15" customHeight="1">
      <c r="B777" s="845"/>
      <c r="C777" s="845"/>
      <c r="D777" s="309"/>
      <c r="E777" s="396"/>
      <c r="F777" s="309"/>
      <c r="G777" s="309"/>
      <c r="H777" s="844"/>
      <c r="I777" s="846"/>
      <c r="K777" s="396"/>
      <c r="L777" s="815"/>
      <c r="M777" s="844"/>
      <c r="O777" s="204" t="str">
        <f t="shared" ca="1" si="28"/>
        <v/>
      </c>
      <c r="P777" s="118" t="str">
        <f t="shared" ca="1" si="29"/>
        <v/>
      </c>
      <c r="Q777" s="309"/>
      <c r="X777" s="309"/>
    </row>
    <row r="778" spans="2:24" ht="15" customHeight="1">
      <c r="B778" s="845"/>
      <c r="C778" s="845"/>
      <c r="D778" s="309"/>
      <c r="E778" s="396"/>
      <c r="F778" s="309"/>
      <c r="G778" s="309"/>
      <c r="H778" s="844"/>
      <c r="I778" s="846"/>
      <c r="K778" s="396"/>
      <c r="L778" s="815"/>
      <c r="M778" s="844"/>
      <c r="O778" s="204" t="str">
        <f t="shared" ca="1" si="28"/>
        <v/>
      </c>
      <c r="P778" s="118" t="str">
        <f t="shared" ca="1" si="29"/>
        <v/>
      </c>
      <c r="Q778" s="309"/>
      <c r="X778" s="309"/>
    </row>
    <row r="779" spans="2:24" ht="15" customHeight="1">
      <c r="B779" s="845"/>
      <c r="C779" s="845"/>
      <c r="D779" s="309"/>
      <c r="E779" s="396"/>
      <c r="F779" s="309"/>
      <c r="G779" s="309"/>
      <c r="H779" s="844"/>
      <c r="I779" s="846"/>
      <c r="K779" s="396"/>
      <c r="L779" s="815"/>
      <c r="M779" s="844"/>
      <c r="O779" s="204" t="str">
        <f t="shared" ca="1" si="28"/>
        <v/>
      </c>
      <c r="P779" s="118" t="str">
        <f t="shared" ca="1" si="29"/>
        <v/>
      </c>
      <c r="Q779" s="309"/>
      <c r="X779" s="309"/>
    </row>
    <row r="780" spans="2:24" ht="15" customHeight="1">
      <c r="B780" s="845"/>
      <c r="C780" s="845"/>
      <c r="D780" s="309"/>
      <c r="E780" s="396"/>
      <c r="F780" s="309"/>
      <c r="G780" s="309"/>
      <c r="H780" s="844"/>
      <c r="I780" s="846"/>
      <c r="K780" s="396"/>
      <c r="L780" s="815"/>
      <c r="M780" s="844"/>
      <c r="O780" s="204" t="str">
        <f t="shared" ca="1" si="28"/>
        <v/>
      </c>
      <c r="P780" s="118" t="str">
        <f t="shared" ca="1" si="29"/>
        <v/>
      </c>
      <c r="Q780" s="309"/>
      <c r="X780" s="309"/>
    </row>
    <row r="781" spans="2:24" ht="15" customHeight="1">
      <c r="B781" s="845"/>
      <c r="C781" s="845"/>
      <c r="D781" s="309"/>
      <c r="E781" s="396"/>
      <c r="F781" s="309"/>
      <c r="G781" s="309"/>
      <c r="H781" s="844"/>
      <c r="I781" s="846"/>
      <c r="K781" s="396"/>
      <c r="L781" s="815"/>
      <c r="M781" s="844"/>
      <c r="O781" s="204" t="str">
        <f t="shared" ca="1" si="28"/>
        <v/>
      </c>
      <c r="P781" s="118" t="str">
        <f t="shared" ca="1" si="29"/>
        <v/>
      </c>
      <c r="Q781" s="309"/>
      <c r="X781" s="309"/>
    </row>
    <row r="782" spans="2:24" ht="15" customHeight="1">
      <c r="B782" s="845"/>
      <c r="C782" s="845"/>
      <c r="D782" s="309"/>
      <c r="E782" s="396"/>
      <c r="F782" s="309"/>
      <c r="G782" s="309"/>
      <c r="H782" s="844"/>
      <c r="I782" s="846"/>
      <c r="K782" s="396"/>
      <c r="L782" s="815"/>
      <c r="M782" s="844"/>
      <c r="O782" s="204" t="str">
        <f t="shared" ca="1" si="28"/>
        <v/>
      </c>
      <c r="P782" s="118" t="str">
        <f t="shared" ca="1" si="29"/>
        <v/>
      </c>
      <c r="Q782" s="309"/>
      <c r="X782" s="309"/>
    </row>
    <row r="783" spans="2:24" ht="15" customHeight="1">
      <c r="B783" s="845"/>
      <c r="C783" s="845"/>
      <c r="D783" s="309"/>
      <c r="E783" s="396"/>
      <c r="F783" s="309"/>
      <c r="G783" s="309"/>
      <c r="H783" s="844"/>
      <c r="I783" s="846"/>
      <c r="K783" s="396"/>
      <c r="L783" s="815"/>
      <c r="M783" s="844"/>
      <c r="O783" s="204" t="str">
        <f t="shared" ca="1" si="28"/>
        <v/>
      </c>
      <c r="P783" s="118" t="str">
        <f t="shared" ca="1" si="29"/>
        <v/>
      </c>
      <c r="Q783" s="309"/>
      <c r="X783" s="309"/>
    </row>
    <row r="784" spans="2:24" ht="15" customHeight="1">
      <c r="B784" s="845"/>
      <c r="C784" s="845"/>
      <c r="D784" s="309"/>
      <c r="E784" s="396"/>
      <c r="F784" s="309"/>
      <c r="G784" s="309"/>
      <c r="H784" s="844"/>
      <c r="I784" s="846"/>
      <c r="K784" s="396"/>
      <c r="L784" s="815"/>
      <c r="M784" s="844"/>
      <c r="O784" s="204" t="str">
        <f t="shared" ca="1" si="28"/>
        <v/>
      </c>
      <c r="P784" s="118" t="str">
        <f t="shared" ca="1" si="29"/>
        <v/>
      </c>
      <c r="Q784" s="309"/>
      <c r="X784" s="309"/>
    </row>
    <row r="785" spans="2:24" ht="15" customHeight="1">
      <c r="B785" s="845"/>
      <c r="C785" s="845"/>
      <c r="D785" s="309"/>
      <c r="E785" s="396"/>
      <c r="F785" s="309"/>
      <c r="G785" s="309"/>
      <c r="H785" s="844"/>
      <c r="I785" s="846"/>
      <c r="K785" s="396"/>
      <c r="L785" s="815"/>
      <c r="M785" s="844"/>
      <c r="O785" s="204" t="str">
        <f t="shared" ca="1" si="28"/>
        <v/>
      </c>
      <c r="P785" s="118" t="str">
        <f t="shared" ca="1" si="29"/>
        <v/>
      </c>
      <c r="Q785" s="309"/>
      <c r="X785" s="309"/>
    </row>
    <row r="786" spans="2:24" ht="15" customHeight="1">
      <c r="B786" s="845"/>
      <c r="C786" s="845"/>
      <c r="D786" s="309"/>
      <c r="E786" s="396"/>
      <c r="F786" s="309"/>
      <c r="G786" s="309"/>
      <c r="H786" s="844"/>
      <c r="I786" s="846"/>
      <c r="K786" s="396"/>
      <c r="L786" s="815"/>
      <c r="M786" s="844"/>
      <c r="O786" s="204" t="str">
        <f t="shared" ca="1" si="28"/>
        <v/>
      </c>
      <c r="P786" s="118" t="str">
        <f t="shared" ca="1" si="29"/>
        <v/>
      </c>
      <c r="Q786" s="309"/>
      <c r="X786" s="309"/>
    </row>
    <row r="787" spans="2:24" ht="15" customHeight="1">
      <c r="B787" s="845"/>
      <c r="C787" s="845"/>
      <c r="D787" s="309"/>
      <c r="E787" s="396"/>
      <c r="F787" s="309"/>
      <c r="G787" s="309"/>
      <c r="H787" s="844"/>
      <c r="I787" s="846"/>
      <c r="K787" s="396"/>
      <c r="L787" s="815"/>
      <c r="M787" s="844"/>
      <c r="O787" s="204" t="str">
        <f t="shared" ca="1" si="28"/>
        <v/>
      </c>
      <c r="P787" s="118" t="str">
        <f t="shared" ca="1" si="29"/>
        <v/>
      </c>
      <c r="Q787" s="309"/>
      <c r="X787" s="309"/>
    </row>
    <row r="788" spans="2:24" ht="15" customHeight="1">
      <c r="B788" s="845"/>
      <c r="C788" s="845"/>
      <c r="D788" s="309"/>
      <c r="E788" s="396"/>
      <c r="F788" s="309"/>
      <c r="G788" s="309"/>
      <c r="H788" s="844"/>
      <c r="I788" s="846"/>
      <c r="K788" s="396"/>
      <c r="L788" s="815"/>
      <c r="M788" s="844"/>
      <c r="O788" s="204" t="str">
        <f t="shared" ca="1" si="28"/>
        <v/>
      </c>
      <c r="P788" s="118" t="str">
        <f t="shared" ca="1" si="29"/>
        <v/>
      </c>
      <c r="Q788" s="309"/>
      <c r="X788" s="309"/>
    </row>
    <row r="789" spans="2:24" ht="15" customHeight="1">
      <c r="B789" s="845"/>
      <c r="C789" s="845"/>
      <c r="D789" s="309"/>
      <c r="E789" s="396"/>
      <c r="F789" s="309"/>
      <c r="G789" s="309"/>
      <c r="H789" s="844"/>
      <c r="I789" s="846"/>
      <c r="K789" s="396"/>
      <c r="L789" s="815"/>
      <c r="M789" s="844"/>
      <c r="O789" s="204" t="str">
        <f t="shared" ca="1" si="28"/>
        <v/>
      </c>
      <c r="P789" s="118" t="str">
        <f t="shared" ca="1" si="29"/>
        <v/>
      </c>
      <c r="Q789" s="309"/>
      <c r="X789" s="309"/>
    </row>
    <row r="790" spans="2:24" ht="15" customHeight="1">
      <c r="B790" s="845"/>
      <c r="C790" s="845"/>
      <c r="D790" s="309"/>
      <c r="E790" s="396"/>
      <c r="F790" s="309"/>
      <c r="G790" s="309"/>
      <c r="H790" s="844"/>
      <c r="I790" s="846"/>
      <c r="K790" s="396"/>
      <c r="L790" s="815"/>
      <c r="M790" s="844"/>
      <c r="O790" s="204" t="str">
        <f t="shared" ca="1" si="28"/>
        <v/>
      </c>
      <c r="P790" s="118" t="str">
        <f t="shared" ca="1" si="29"/>
        <v/>
      </c>
      <c r="Q790" s="309"/>
      <c r="X790" s="309"/>
    </row>
    <row r="791" spans="2:24" ht="15" customHeight="1">
      <c r="B791" s="845"/>
      <c r="C791" s="845"/>
      <c r="D791" s="309"/>
      <c r="E791" s="396"/>
      <c r="F791" s="309"/>
      <c r="G791" s="309"/>
      <c r="H791" s="844"/>
      <c r="I791" s="846"/>
      <c r="K791" s="396"/>
      <c r="L791" s="815"/>
      <c r="M791" s="844"/>
      <c r="O791" s="204" t="str">
        <f t="shared" ca="1" si="28"/>
        <v/>
      </c>
      <c r="P791" s="118" t="str">
        <f t="shared" ca="1" si="29"/>
        <v/>
      </c>
      <c r="Q791" s="309"/>
      <c r="X791" s="309"/>
    </row>
    <row r="792" spans="2:24" ht="15" customHeight="1">
      <c r="B792" s="845"/>
      <c r="C792" s="845"/>
      <c r="D792" s="309"/>
      <c r="E792" s="396"/>
      <c r="F792" s="309"/>
      <c r="G792" s="309"/>
      <c r="H792" s="844"/>
      <c r="I792" s="846"/>
      <c r="K792" s="396"/>
      <c r="L792" s="815"/>
      <c r="M792" s="844"/>
      <c r="O792" s="204" t="str">
        <f t="shared" ca="1" si="28"/>
        <v/>
      </c>
      <c r="P792" s="118" t="str">
        <f t="shared" ca="1" si="29"/>
        <v/>
      </c>
      <c r="Q792" s="309"/>
      <c r="X792" s="309"/>
    </row>
    <row r="793" spans="2:24" ht="15" customHeight="1">
      <c r="B793" s="845"/>
      <c r="C793" s="845"/>
      <c r="D793" s="309"/>
      <c r="E793" s="396"/>
      <c r="F793" s="309"/>
      <c r="G793" s="309"/>
      <c r="H793" s="844"/>
      <c r="I793" s="846"/>
      <c r="K793" s="396"/>
      <c r="L793" s="815"/>
      <c r="M793" s="844"/>
      <c r="O793" s="204" t="str">
        <f t="shared" ca="1" si="28"/>
        <v/>
      </c>
      <c r="P793" s="118" t="str">
        <f t="shared" ca="1" si="29"/>
        <v/>
      </c>
      <c r="Q793" s="309"/>
      <c r="X793" s="309"/>
    </row>
    <row r="794" spans="2:24" ht="15" customHeight="1">
      <c r="B794" s="845"/>
      <c r="C794" s="845"/>
      <c r="D794" s="309"/>
      <c r="E794" s="396"/>
      <c r="F794" s="309"/>
      <c r="G794" s="309"/>
      <c r="H794" s="844"/>
      <c r="I794" s="846"/>
      <c r="K794" s="396"/>
      <c r="L794" s="815"/>
      <c r="M794" s="844"/>
      <c r="O794" s="204" t="str">
        <f t="shared" ca="1" si="28"/>
        <v/>
      </c>
      <c r="P794" s="118" t="str">
        <f t="shared" ca="1" si="29"/>
        <v/>
      </c>
      <c r="Q794" s="309"/>
      <c r="X794" s="309"/>
    </row>
    <row r="795" spans="2:24" ht="15" customHeight="1">
      <c r="B795" s="845"/>
      <c r="C795" s="845"/>
      <c r="D795" s="309"/>
      <c r="E795" s="396"/>
      <c r="F795" s="309"/>
      <c r="G795" s="309"/>
      <c r="H795" s="844"/>
      <c r="I795" s="846"/>
      <c r="K795" s="396"/>
      <c r="L795" s="815"/>
      <c r="M795" s="844"/>
      <c r="O795" s="204" t="str">
        <f t="shared" ca="1" si="28"/>
        <v/>
      </c>
      <c r="P795" s="118" t="str">
        <f t="shared" ca="1" si="29"/>
        <v/>
      </c>
      <c r="Q795" s="309"/>
      <c r="X795" s="309"/>
    </row>
    <row r="796" spans="2:24" ht="15" customHeight="1">
      <c r="B796" s="845"/>
      <c r="C796" s="845"/>
      <c r="D796" s="309"/>
      <c r="E796" s="396"/>
      <c r="F796" s="309"/>
      <c r="G796" s="309"/>
      <c r="H796" s="844"/>
      <c r="I796" s="846"/>
      <c r="K796" s="396"/>
      <c r="L796" s="815"/>
      <c r="M796" s="844"/>
      <c r="O796" s="204" t="str">
        <f t="shared" ca="1" si="28"/>
        <v/>
      </c>
      <c r="P796" s="118" t="str">
        <f t="shared" ca="1" si="29"/>
        <v/>
      </c>
      <c r="Q796" s="309"/>
      <c r="X796" s="309"/>
    </row>
    <row r="797" spans="2:24" ht="15" customHeight="1">
      <c r="B797" s="845"/>
      <c r="C797" s="845"/>
      <c r="D797" s="309"/>
      <c r="E797" s="396"/>
      <c r="F797" s="309"/>
      <c r="G797" s="309"/>
      <c r="H797" s="844"/>
      <c r="I797" s="846"/>
      <c r="K797" s="396"/>
      <c r="L797" s="815"/>
      <c r="M797" s="844"/>
      <c r="O797" s="204" t="str">
        <f t="shared" ca="1" si="28"/>
        <v/>
      </c>
      <c r="P797" s="118" t="str">
        <f t="shared" ca="1" si="29"/>
        <v/>
      </c>
      <c r="Q797" s="309"/>
      <c r="X797" s="309"/>
    </row>
    <row r="798" spans="2:24" ht="15" customHeight="1">
      <c r="B798" s="845"/>
      <c r="C798" s="845"/>
      <c r="D798" s="309"/>
      <c r="E798" s="396"/>
      <c r="F798" s="309"/>
      <c r="G798" s="309"/>
      <c r="H798" s="844"/>
      <c r="I798" s="846"/>
      <c r="K798" s="396"/>
      <c r="L798" s="815"/>
      <c r="M798" s="844"/>
      <c r="O798" s="204" t="str">
        <f t="shared" ca="1" si="28"/>
        <v/>
      </c>
      <c r="P798" s="118" t="str">
        <f t="shared" ca="1" si="29"/>
        <v/>
      </c>
      <c r="Q798" s="309"/>
      <c r="X798" s="309"/>
    </row>
    <row r="799" spans="2:24" ht="15" customHeight="1">
      <c r="B799" s="845"/>
      <c r="C799" s="845"/>
      <c r="D799" s="309"/>
      <c r="E799" s="396"/>
      <c r="F799" s="309"/>
      <c r="G799" s="309"/>
      <c r="H799" s="844"/>
      <c r="I799" s="846"/>
      <c r="K799" s="396"/>
      <c r="L799" s="815"/>
      <c r="M799" s="844"/>
      <c r="O799" s="204" t="str">
        <f t="shared" ca="1" si="28"/>
        <v/>
      </c>
      <c r="P799" s="118" t="str">
        <f t="shared" ca="1" si="29"/>
        <v/>
      </c>
      <c r="Q799" s="309"/>
      <c r="X799" s="309"/>
    </row>
    <row r="800" spans="2:24" ht="15" customHeight="1">
      <c r="B800" s="845"/>
      <c r="C800" s="845"/>
      <c r="D800" s="309"/>
      <c r="E800" s="396"/>
      <c r="F800" s="309"/>
      <c r="G800" s="309"/>
      <c r="H800" s="844"/>
      <c r="I800" s="846"/>
      <c r="K800" s="396"/>
      <c r="L800" s="815"/>
      <c r="M800" s="844"/>
      <c r="O800" s="204" t="str">
        <f t="shared" ca="1" si="28"/>
        <v/>
      </c>
      <c r="P800" s="118" t="str">
        <f t="shared" ca="1" si="29"/>
        <v/>
      </c>
      <c r="Q800" s="309"/>
      <c r="X800" s="309"/>
    </row>
    <row r="801" spans="2:24" ht="15" customHeight="1">
      <c r="B801" s="845"/>
      <c r="C801" s="845"/>
      <c r="D801" s="309"/>
      <c r="E801" s="396"/>
      <c r="F801" s="309"/>
      <c r="G801" s="309"/>
      <c r="H801" s="844"/>
      <c r="I801" s="846"/>
      <c r="K801" s="396"/>
      <c r="L801" s="815"/>
      <c r="M801" s="844"/>
      <c r="O801" s="204" t="str">
        <f t="shared" ca="1" si="28"/>
        <v/>
      </c>
      <c r="P801" s="118" t="str">
        <f t="shared" ca="1" si="29"/>
        <v/>
      </c>
      <c r="Q801" s="309"/>
      <c r="X801" s="309"/>
    </row>
    <row r="802" spans="2:24" ht="15" customHeight="1">
      <c r="B802" s="845"/>
      <c r="C802" s="845"/>
      <c r="D802" s="309"/>
      <c r="E802" s="396"/>
      <c r="F802" s="309"/>
      <c r="G802" s="309"/>
      <c r="H802" s="844"/>
      <c r="I802" s="846"/>
      <c r="K802" s="396"/>
      <c r="L802" s="815"/>
      <c r="M802" s="844"/>
      <c r="O802" s="204" t="str">
        <f t="shared" ca="1" si="28"/>
        <v/>
      </c>
      <c r="P802" s="118" t="str">
        <f t="shared" ca="1" si="29"/>
        <v/>
      </c>
      <c r="Q802" s="309"/>
      <c r="X802" s="309"/>
    </row>
    <row r="803" spans="2:24" ht="15" customHeight="1">
      <c r="B803" s="845"/>
      <c r="C803" s="845"/>
      <c r="D803" s="309"/>
      <c r="E803" s="396"/>
      <c r="F803" s="309"/>
      <c r="G803" s="309"/>
      <c r="H803" s="844"/>
      <c r="I803" s="846"/>
      <c r="K803" s="396"/>
      <c r="L803" s="815"/>
      <c r="M803" s="844"/>
      <c r="O803" s="204" t="str">
        <f t="shared" ca="1" si="28"/>
        <v/>
      </c>
      <c r="P803" s="118" t="str">
        <f t="shared" ca="1" si="29"/>
        <v/>
      </c>
      <c r="Q803" s="309"/>
      <c r="X803" s="309"/>
    </row>
    <row r="804" spans="2:24" ht="15" customHeight="1">
      <c r="B804" s="845"/>
      <c r="C804" s="845"/>
      <c r="D804" s="309"/>
      <c r="E804" s="396"/>
      <c r="F804" s="309"/>
      <c r="G804" s="309"/>
      <c r="H804" s="844"/>
      <c r="I804" s="846"/>
      <c r="K804" s="396"/>
      <c r="L804" s="815"/>
      <c r="M804" s="844"/>
      <c r="O804" s="204" t="str">
        <f t="shared" ca="1" si="28"/>
        <v/>
      </c>
      <c r="P804" s="118" t="str">
        <f t="shared" ca="1" si="29"/>
        <v/>
      </c>
      <c r="Q804" s="309"/>
      <c r="X804" s="309"/>
    </row>
    <row r="805" spans="2:24" ht="15" customHeight="1">
      <c r="B805" s="845"/>
      <c r="C805" s="845"/>
      <c r="D805" s="309"/>
      <c r="E805" s="396"/>
      <c r="F805" s="309"/>
      <c r="G805" s="309"/>
      <c r="H805" s="844"/>
      <c r="I805" s="846"/>
      <c r="K805" s="396"/>
      <c r="L805" s="815"/>
      <c r="M805" s="844"/>
      <c r="O805" s="204" t="str">
        <f t="shared" ca="1" si="28"/>
        <v/>
      </c>
      <c r="P805" s="118" t="str">
        <f t="shared" ca="1" si="29"/>
        <v/>
      </c>
      <c r="Q805" s="309"/>
      <c r="X805" s="309"/>
    </row>
    <row r="806" spans="2:24" ht="15" customHeight="1">
      <c r="B806" s="845"/>
      <c r="C806" s="845"/>
      <c r="D806" s="309"/>
      <c r="E806" s="396"/>
      <c r="F806" s="309"/>
      <c r="G806" s="309"/>
      <c r="H806" s="844"/>
      <c r="I806" s="846"/>
      <c r="K806" s="396"/>
      <c r="L806" s="815"/>
      <c r="M806" s="844"/>
      <c r="O806" s="204" t="str">
        <f t="shared" ca="1" si="28"/>
        <v/>
      </c>
      <c r="P806" s="118" t="str">
        <f t="shared" ca="1" si="29"/>
        <v/>
      </c>
      <c r="Q806" s="309"/>
      <c r="X806" s="309"/>
    </row>
    <row r="807" spans="2:24" ht="15" customHeight="1">
      <c r="B807" s="845"/>
      <c r="C807" s="845"/>
      <c r="D807" s="309"/>
      <c r="E807" s="396"/>
      <c r="F807" s="309"/>
      <c r="G807" s="309"/>
      <c r="H807" s="844"/>
      <c r="I807" s="846"/>
      <c r="K807" s="396"/>
      <c r="L807" s="815"/>
      <c r="M807" s="844"/>
      <c r="O807" s="204" t="str">
        <f t="shared" ca="1" si="28"/>
        <v/>
      </c>
      <c r="P807" s="118" t="str">
        <f t="shared" ca="1" si="29"/>
        <v/>
      </c>
      <c r="Q807" s="309"/>
      <c r="X807" s="309"/>
    </row>
    <row r="808" spans="2:24" ht="15" customHeight="1">
      <c r="B808" s="845"/>
      <c r="C808" s="845"/>
      <c r="D808" s="309"/>
      <c r="E808" s="396"/>
      <c r="F808" s="309"/>
      <c r="G808" s="309"/>
      <c r="H808" s="844"/>
      <c r="I808" s="846"/>
      <c r="K808" s="396"/>
      <c r="L808" s="815"/>
      <c r="M808" s="844"/>
      <c r="O808" s="204" t="str">
        <f t="shared" ca="1" si="28"/>
        <v/>
      </c>
      <c r="P808" s="118" t="str">
        <f t="shared" ca="1" si="29"/>
        <v/>
      </c>
      <c r="Q808" s="309"/>
      <c r="X808" s="309"/>
    </row>
    <row r="809" spans="2:24" ht="15" customHeight="1">
      <c r="B809" s="845"/>
      <c r="C809" s="845"/>
      <c r="D809" s="309"/>
      <c r="E809" s="396"/>
      <c r="F809" s="309"/>
      <c r="G809" s="309"/>
      <c r="H809" s="844"/>
      <c r="I809" s="846"/>
      <c r="K809" s="396"/>
      <c r="L809" s="815"/>
      <c r="M809" s="844"/>
      <c r="O809" s="204" t="str">
        <f t="shared" ca="1" si="28"/>
        <v/>
      </c>
      <c r="P809" s="118" t="str">
        <f t="shared" ca="1" si="29"/>
        <v/>
      </c>
      <c r="Q809" s="309"/>
      <c r="X809" s="309"/>
    </row>
    <row r="810" spans="2:24" ht="15" customHeight="1">
      <c r="B810" s="845"/>
      <c r="C810" s="845"/>
      <c r="D810" s="309"/>
      <c r="E810" s="396"/>
      <c r="F810" s="309"/>
      <c r="G810" s="309"/>
      <c r="H810" s="844"/>
      <c r="I810" s="846"/>
      <c r="K810" s="396"/>
      <c r="L810" s="815"/>
      <c r="M810" s="844"/>
      <c r="O810" s="204" t="str">
        <f t="shared" ca="1" si="28"/>
        <v/>
      </c>
      <c r="P810" s="118" t="str">
        <f t="shared" ca="1" si="29"/>
        <v/>
      </c>
      <c r="Q810" s="309"/>
      <c r="X810" s="309"/>
    </row>
    <row r="811" spans="2:24" ht="15" customHeight="1">
      <c r="B811" s="845"/>
      <c r="C811" s="845"/>
      <c r="D811" s="309"/>
      <c r="E811" s="396"/>
      <c r="F811" s="309"/>
      <c r="G811" s="309"/>
      <c r="H811" s="844"/>
      <c r="I811" s="846"/>
      <c r="K811" s="396"/>
      <c r="L811" s="815"/>
      <c r="M811" s="844"/>
      <c r="O811" s="204" t="str">
        <f t="shared" ca="1" si="28"/>
        <v/>
      </c>
      <c r="P811" s="118" t="str">
        <f t="shared" ca="1" si="29"/>
        <v/>
      </c>
      <c r="Q811" s="309"/>
      <c r="X811" s="309"/>
    </row>
    <row r="812" spans="2:24" ht="15" customHeight="1">
      <c r="B812" s="845"/>
      <c r="C812" s="845"/>
      <c r="D812" s="309"/>
      <c r="E812" s="396"/>
      <c r="F812" s="309"/>
      <c r="G812" s="309"/>
      <c r="H812" s="844"/>
      <c r="I812" s="846"/>
      <c r="K812" s="396"/>
      <c r="L812" s="815"/>
      <c r="M812" s="844"/>
      <c r="O812" s="204" t="str">
        <f t="shared" ca="1" si="28"/>
        <v/>
      </c>
      <c r="P812" s="118" t="str">
        <f t="shared" ca="1" si="29"/>
        <v/>
      </c>
      <c r="Q812" s="309"/>
      <c r="X812" s="309"/>
    </row>
    <row r="813" spans="2:24" ht="15" customHeight="1">
      <c r="B813" s="845"/>
      <c r="C813" s="845"/>
      <c r="D813" s="309"/>
      <c r="E813" s="396"/>
      <c r="F813" s="309"/>
      <c r="G813" s="309"/>
      <c r="H813" s="844"/>
      <c r="I813" s="846"/>
      <c r="K813" s="396"/>
      <c r="L813" s="815"/>
      <c r="M813" s="844"/>
      <c r="O813" s="204" t="str">
        <f t="shared" ca="1" si="28"/>
        <v/>
      </c>
      <c r="P813" s="118" t="str">
        <f t="shared" ca="1" si="29"/>
        <v/>
      </c>
      <c r="Q813" s="309"/>
      <c r="X813" s="309"/>
    </row>
    <row r="814" spans="2:24" ht="15" customHeight="1">
      <c r="B814" s="845"/>
      <c r="C814" s="845"/>
      <c r="D814" s="309"/>
      <c r="E814" s="396"/>
      <c r="F814" s="309"/>
      <c r="G814" s="309"/>
      <c r="H814" s="844"/>
      <c r="I814" s="846"/>
      <c r="K814" s="396"/>
      <c r="L814" s="815"/>
      <c r="M814" s="844"/>
      <c r="O814" s="204" t="str">
        <f t="shared" ca="1" si="28"/>
        <v/>
      </c>
      <c r="P814" s="118" t="str">
        <f t="shared" ca="1" si="29"/>
        <v/>
      </c>
      <c r="Q814" s="309"/>
      <c r="X814" s="309"/>
    </row>
    <row r="815" spans="2:24" ht="15" customHeight="1">
      <c r="B815" s="845"/>
      <c r="C815" s="845"/>
      <c r="D815" s="309"/>
      <c r="E815" s="396"/>
      <c r="F815" s="309"/>
      <c r="G815" s="309"/>
      <c r="H815" s="844"/>
      <c r="I815" s="846"/>
      <c r="K815" s="396"/>
      <c r="L815" s="815"/>
      <c r="M815" s="844"/>
      <c r="O815" s="204" t="str">
        <f t="shared" ref="O815:O878" ca="1" si="30">IF(ISBLANK(L815), "", IF(ISNUMBER(M815), M815-L815, TODAY()-L815))</f>
        <v/>
      </c>
      <c r="P815" s="118" t="str">
        <f t="shared" ca="1" si="29"/>
        <v/>
      </c>
      <c r="Q815" s="309"/>
      <c r="X815" s="309"/>
    </row>
    <row r="816" spans="2:24" ht="15" customHeight="1">
      <c r="B816" s="845"/>
      <c r="C816" s="845"/>
      <c r="D816" s="309"/>
      <c r="E816" s="396"/>
      <c r="F816" s="309"/>
      <c r="G816" s="309"/>
      <c r="H816" s="844"/>
      <c r="I816" s="846"/>
      <c r="K816" s="396"/>
      <c r="L816" s="815"/>
      <c r="M816" s="844"/>
      <c r="O816" s="204" t="str">
        <f t="shared" ca="1" si="30"/>
        <v/>
      </c>
      <c r="P816" s="118" t="str">
        <f t="shared" ca="1" si="29"/>
        <v/>
      </c>
      <c r="Q816" s="309"/>
      <c r="X816" s="309"/>
    </row>
    <row r="817" spans="2:24" ht="15" customHeight="1">
      <c r="B817" s="845"/>
      <c r="C817" s="845"/>
      <c r="D817" s="309"/>
      <c r="E817" s="396"/>
      <c r="F817" s="309"/>
      <c r="G817" s="309"/>
      <c r="H817" s="844"/>
      <c r="I817" s="846"/>
      <c r="K817" s="396"/>
      <c r="L817" s="815"/>
      <c r="M817" s="844"/>
      <c r="O817" s="204" t="str">
        <f t="shared" ca="1" si="30"/>
        <v/>
      </c>
      <c r="P817" s="118" t="str">
        <f t="shared" ca="1" si="29"/>
        <v/>
      </c>
      <c r="Q817" s="309"/>
      <c r="X817" s="309"/>
    </row>
    <row r="818" spans="2:24" ht="15" customHeight="1">
      <c r="B818" s="845"/>
      <c r="C818" s="845"/>
      <c r="D818" s="309"/>
      <c r="E818" s="396"/>
      <c r="F818" s="309"/>
      <c r="G818" s="309"/>
      <c r="H818" s="844"/>
      <c r="I818" s="846"/>
      <c r="K818" s="396"/>
      <c r="L818" s="815"/>
      <c r="M818" s="844"/>
      <c r="O818" s="204" t="str">
        <f t="shared" ca="1" si="30"/>
        <v/>
      </c>
      <c r="P818" s="118" t="str">
        <f t="shared" ca="1" si="29"/>
        <v/>
      </c>
      <c r="Q818" s="309"/>
      <c r="X818" s="309"/>
    </row>
    <row r="819" spans="2:24" ht="15" customHeight="1">
      <c r="B819" s="845"/>
      <c r="C819" s="845"/>
      <c r="D819" s="309"/>
      <c r="E819" s="396"/>
      <c r="F819" s="309"/>
      <c r="G819" s="309"/>
      <c r="H819" s="844"/>
      <c r="I819" s="846"/>
      <c r="K819" s="396"/>
      <c r="L819" s="815"/>
      <c r="M819" s="844"/>
      <c r="O819" s="204" t="str">
        <f t="shared" ca="1" si="30"/>
        <v/>
      </c>
      <c r="P819" s="118" t="str">
        <f t="shared" ca="1" si="29"/>
        <v/>
      </c>
      <c r="Q819" s="309"/>
      <c r="X819" s="309"/>
    </row>
    <row r="820" spans="2:24" ht="15" customHeight="1">
      <c r="B820" s="845"/>
      <c r="C820" s="845"/>
      <c r="D820" s="309"/>
      <c r="E820" s="396"/>
      <c r="F820" s="309"/>
      <c r="G820" s="309"/>
      <c r="H820" s="844"/>
      <c r="I820" s="846"/>
      <c r="K820" s="396"/>
      <c r="L820" s="815"/>
      <c r="M820" s="844"/>
      <c r="O820" s="204" t="str">
        <f t="shared" ca="1" si="30"/>
        <v/>
      </c>
      <c r="P820" s="118" t="str">
        <f t="shared" ca="1" si="29"/>
        <v/>
      </c>
      <c r="Q820" s="309"/>
      <c r="X820" s="309"/>
    </row>
    <row r="821" spans="2:24" ht="15" customHeight="1">
      <c r="B821" s="845"/>
      <c r="C821" s="845"/>
      <c r="D821" s="309"/>
      <c r="E821" s="396"/>
      <c r="F821" s="309"/>
      <c r="G821" s="309"/>
      <c r="H821" s="844"/>
      <c r="I821" s="846"/>
      <c r="K821" s="396"/>
      <c r="L821" s="815"/>
      <c r="M821" s="844"/>
      <c r="O821" s="204" t="str">
        <f t="shared" ca="1" si="30"/>
        <v/>
      </c>
      <c r="P821" s="118" t="str">
        <f t="shared" ca="1" si="29"/>
        <v/>
      </c>
      <c r="Q821" s="309"/>
      <c r="X821" s="309"/>
    </row>
    <row r="822" spans="2:24" ht="15" customHeight="1">
      <c r="B822" s="845"/>
      <c r="C822" s="845"/>
      <c r="D822" s="309"/>
      <c r="E822" s="396"/>
      <c r="F822" s="309"/>
      <c r="G822" s="309"/>
      <c r="H822" s="844"/>
      <c r="I822" s="846"/>
      <c r="K822" s="396"/>
      <c r="L822" s="815"/>
      <c r="M822" s="844"/>
      <c r="O822" s="204" t="str">
        <f t="shared" ca="1" si="30"/>
        <v/>
      </c>
      <c r="P822" s="118" t="str">
        <f t="shared" ca="1" si="29"/>
        <v/>
      </c>
      <c r="Q822" s="309"/>
      <c r="X822" s="309"/>
    </row>
    <row r="823" spans="2:24" ht="15" customHeight="1">
      <c r="B823" s="845"/>
      <c r="C823" s="845"/>
      <c r="D823" s="309"/>
      <c r="E823" s="396"/>
      <c r="F823" s="309"/>
      <c r="G823" s="309"/>
      <c r="H823" s="844"/>
      <c r="I823" s="846"/>
      <c r="K823" s="396"/>
      <c r="L823" s="815"/>
      <c r="M823" s="844"/>
      <c r="O823" s="204" t="str">
        <f t="shared" ca="1" si="30"/>
        <v/>
      </c>
      <c r="P823" s="118" t="str">
        <f t="shared" ca="1" si="29"/>
        <v/>
      </c>
      <c r="Q823" s="309"/>
      <c r="X823" s="309"/>
    </row>
    <row r="824" spans="2:24" ht="15" customHeight="1">
      <c r="B824" s="845"/>
      <c r="C824" s="845"/>
      <c r="D824" s="309"/>
      <c r="E824" s="396"/>
      <c r="F824" s="309"/>
      <c r="G824" s="309"/>
      <c r="H824" s="844"/>
      <c r="I824" s="846"/>
      <c r="K824" s="396"/>
      <c r="L824" s="815"/>
      <c r="M824" s="844"/>
      <c r="O824" s="204" t="str">
        <f t="shared" ca="1" si="30"/>
        <v/>
      </c>
      <c r="P824" s="118" t="str">
        <f t="shared" ca="1" si="29"/>
        <v/>
      </c>
      <c r="Q824" s="309"/>
      <c r="X824" s="309"/>
    </row>
    <row r="825" spans="2:24" ht="15" customHeight="1">
      <c r="B825" s="845"/>
      <c r="C825" s="845"/>
      <c r="D825" s="309"/>
      <c r="E825" s="396"/>
      <c r="F825" s="309"/>
      <c r="G825" s="309"/>
      <c r="H825" s="844"/>
      <c r="I825" s="846"/>
      <c r="K825" s="396"/>
      <c r="L825" s="815"/>
      <c r="M825" s="844"/>
      <c r="O825" s="204" t="str">
        <f t="shared" ca="1" si="30"/>
        <v/>
      </c>
      <c r="P825" s="118" t="str">
        <f t="shared" ca="1" si="29"/>
        <v/>
      </c>
      <c r="Q825" s="309"/>
      <c r="X825" s="309"/>
    </row>
    <row r="826" spans="2:24" ht="15" customHeight="1">
      <c r="B826" s="845"/>
      <c r="C826" s="845"/>
      <c r="D826" s="309"/>
      <c r="E826" s="396"/>
      <c r="F826" s="309"/>
      <c r="G826" s="309"/>
      <c r="H826" s="844"/>
      <c r="I826" s="846"/>
      <c r="K826" s="396"/>
      <c r="L826" s="815"/>
      <c r="M826" s="844"/>
      <c r="O826" s="204" t="str">
        <f t="shared" ca="1" si="30"/>
        <v/>
      </c>
      <c r="P826" s="118" t="str">
        <f t="shared" ca="1" si="29"/>
        <v/>
      </c>
      <c r="Q826" s="309"/>
      <c r="X826" s="309"/>
    </row>
    <row r="827" spans="2:24" ht="15" customHeight="1">
      <c r="B827" s="845"/>
      <c r="C827" s="845"/>
      <c r="D827" s="309"/>
      <c r="E827" s="396"/>
      <c r="F827" s="309"/>
      <c r="G827" s="309"/>
      <c r="H827" s="844"/>
      <c r="I827" s="846"/>
      <c r="K827" s="396"/>
      <c r="L827" s="815"/>
      <c r="M827" s="844"/>
      <c r="O827" s="204" t="str">
        <f t="shared" ca="1" si="30"/>
        <v/>
      </c>
      <c r="P827" s="118" t="str">
        <f t="shared" ca="1" si="29"/>
        <v/>
      </c>
      <c r="Q827" s="309"/>
      <c r="X827" s="309"/>
    </row>
    <row r="828" spans="2:24" ht="15" customHeight="1">
      <c r="B828" s="845"/>
      <c r="C828" s="845"/>
      <c r="D828" s="309"/>
      <c r="E828" s="396"/>
      <c r="F828" s="309"/>
      <c r="G828" s="309"/>
      <c r="H828" s="844"/>
      <c r="I828" s="846"/>
      <c r="K828" s="396"/>
      <c r="L828" s="815"/>
      <c r="M828" s="844"/>
      <c r="O828" s="204" t="str">
        <f t="shared" ca="1" si="30"/>
        <v/>
      </c>
      <c r="P828" s="118" t="str">
        <f t="shared" ca="1" si="29"/>
        <v/>
      </c>
      <c r="Q828" s="309"/>
      <c r="X828" s="309"/>
    </row>
    <row r="829" spans="2:24" ht="15" customHeight="1">
      <c r="B829" s="845"/>
      <c r="C829" s="845"/>
      <c r="D829" s="309"/>
      <c r="E829" s="396"/>
      <c r="F829" s="309"/>
      <c r="G829" s="309"/>
      <c r="H829" s="844"/>
      <c r="I829" s="846"/>
      <c r="K829" s="396"/>
      <c r="L829" s="815"/>
      <c r="M829" s="844"/>
      <c r="O829" s="204" t="str">
        <f t="shared" ca="1" si="30"/>
        <v/>
      </c>
      <c r="P829" s="118" t="str">
        <f t="shared" ca="1" si="29"/>
        <v/>
      </c>
      <c r="Q829" s="309"/>
      <c r="X829" s="309"/>
    </row>
    <row r="830" spans="2:24" ht="15" customHeight="1">
      <c r="B830" s="845"/>
      <c r="C830" s="845"/>
      <c r="D830" s="309"/>
      <c r="E830" s="396"/>
      <c r="F830" s="309"/>
      <c r="G830" s="309"/>
      <c r="H830" s="844"/>
      <c r="I830" s="846"/>
      <c r="K830" s="396"/>
      <c r="L830" s="815"/>
      <c r="M830" s="844"/>
      <c r="O830" s="204" t="str">
        <f t="shared" ca="1" si="30"/>
        <v/>
      </c>
      <c r="P830" s="118" t="str">
        <f t="shared" ca="1" si="29"/>
        <v/>
      </c>
      <c r="Q830" s="309"/>
      <c r="X830" s="309"/>
    </row>
    <row r="831" spans="2:24" ht="15" customHeight="1">
      <c r="B831" s="845"/>
      <c r="C831" s="845"/>
      <c r="D831" s="309"/>
      <c r="E831" s="396"/>
      <c r="F831" s="309"/>
      <c r="G831" s="309"/>
      <c r="H831" s="844"/>
      <c r="I831" s="846"/>
      <c r="K831" s="396"/>
      <c r="L831" s="815"/>
      <c r="M831" s="844"/>
      <c r="O831" s="204" t="str">
        <f t="shared" ca="1" si="30"/>
        <v/>
      </c>
      <c r="P831" s="118" t="str">
        <f t="shared" ca="1" si="29"/>
        <v/>
      </c>
      <c r="Q831" s="309"/>
      <c r="X831" s="309"/>
    </row>
    <row r="832" spans="2:24" ht="15" customHeight="1">
      <c r="B832" s="845"/>
      <c r="C832" s="845"/>
      <c r="D832" s="309"/>
      <c r="E832" s="396"/>
      <c r="F832" s="309"/>
      <c r="G832" s="309"/>
      <c r="H832" s="844"/>
      <c r="I832" s="846"/>
      <c r="K832" s="396"/>
      <c r="L832" s="815"/>
      <c r="M832" s="844"/>
      <c r="O832" s="204" t="str">
        <f t="shared" ca="1" si="30"/>
        <v/>
      </c>
      <c r="P832" s="118" t="str">
        <f t="shared" ca="1" si="29"/>
        <v/>
      </c>
      <c r="Q832" s="309"/>
      <c r="X832" s="309"/>
    </row>
    <row r="833" spans="2:24" ht="15" customHeight="1">
      <c r="B833" s="845"/>
      <c r="C833" s="845"/>
      <c r="D833" s="309"/>
      <c r="E833" s="396"/>
      <c r="F833" s="309"/>
      <c r="G833" s="309"/>
      <c r="H833" s="844"/>
      <c r="I833" s="846"/>
      <c r="K833" s="396"/>
      <c r="L833" s="815"/>
      <c r="M833" s="844"/>
      <c r="O833" s="204" t="str">
        <f t="shared" ca="1" si="30"/>
        <v/>
      </c>
      <c r="P833" s="118" t="str">
        <f t="shared" ca="1" si="29"/>
        <v/>
      </c>
      <c r="Q833" s="309"/>
      <c r="X833" s="309"/>
    </row>
    <row r="834" spans="2:24" ht="15" customHeight="1">
      <c r="B834" s="845"/>
      <c r="C834" s="845"/>
      <c r="D834" s="309"/>
      <c r="E834" s="396"/>
      <c r="F834" s="309"/>
      <c r="G834" s="309"/>
      <c r="H834" s="844"/>
      <c r="I834" s="846"/>
      <c r="K834" s="396"/>
      <c r="L834" s="815"/>
      <c r="M834" s="844"/>
      <c r="O834" s="204" t="str">
        <f t="shared" ca="1" si="30"/>
        <v/>
      </c>
      <c r="P834" s="118" t="str">
        <f t="shared" ca="1" si="29"/>
        <v/>
      </c>
      <c r="Q834" s="309"/>
      <c r="X834" s="309"/>
    </row>
    <row r="835" spans="2:24" ht="15" customHeight="1">
      <c r="B835" s="845"/>
      <c r="C835" s="845"/>
      <c r="D835" s="309"/>
      <c r="E835" s="396"/>
      <c r="F835" s="309"/>
      <c r="G835" s="309"/>
      <c r="H835" s="844"/>
      <c r="I835" s="846"/>
      <c r="K835" s="396"/>
      <c r="L835" s="815"/>
      <c r="M835" s="844"/>
      <c r="O835" s="204" t="str">
        <f t="shared" ca="1" si="30"/>
        <v/>
      </c>
      <c r="P835" s="118" t="str">
        <f t="shared" ref="P835:P898" ca="1" si="31">IF(ISBLANK(H835), "", IF(ISNUMBER(M835), M835-H835, TODAY()-H835))</f>
        <v/>
      </c>
      <c r="Q835" s="309"/>
      <c r="X835" s="309"/>
    </row>
    <row r="836" spans="2:24" ht="15" customHeight="1">
      <c r="B836" s="845"/>
      <c r="C836" s="845"/>
      <c r="D836" s="309"/>
      <c r="E836" s="396"/>
      <c r="F836" s="309"/>
      <c r="G836" s="309"/>
      <c r="H836" s="844"/>
      <c r="I836" s="846"/>
      <c r="K836" s="396"/>
      <c r="L836" s="815"/>
      <c r="M836" s="844"/>
      <c r="O836" s="204" t="str">
        <f t="shared" ca="1" si="30"/>
        <v/>
      </c>
      <c r="P836" s="118" t="str">
        <f t="shared" ca="1" si="31"/>
        <v/>
      </c>
      <c r="Q836" s="309"/>
      <c r="X836" s="309"/>
    </row>
    <row r="837" spans="2:24" ht="15" customHeight="1">
      <c r="B837" s="845"/>
      <c r="C837" s="845"/>
      <c r="D837" s="309"/>
      <c r="E837" s="396"/>
      <c r="F837" s="309"/>
      <c r="G837" s="309"/>
      <c r="H837" s="844"/>
      <c r="I837" s="846"/>
      <c r="K837" s="396"/>
      <c r="L837" s="815"/>
      <c r="M837" s="844"/>
      <c r="O837" s="204" t="str">
        <f t="shared" ca="1" si="30"/>
        <v/>
      </c>
      <c r="P837" s="118" t="str">
        <f t="shared" ca="1" si="31"/>
        <v/>
      </c>
      <c r="Q837" s="309"/>
      <c r="X837" s="309"/>
    </row>
    <row r="838" spans="2:24" ht="15" customHeight="1">
      <c r="B838" s="845"/>
      <c r="C838" s="845"/>
      <c r="D838" s="309"/>
      <c r="E838" s="396"/>
      <c r="F838" s="309"/>
      <c r="G838" s="309"/>
      <c r="H838" s="844"/>
      <c r="I838" s="846"/>
      <c r="K838" s="396"/>
      <c r="L838" s="815"/>
      <c r="M838" s="844"/>
      <c r="O838" s="204" t="str">
        <f t="shared" ca="1" si="30"/>
        <v/>
      </c>
      <c r="P838" s="118" t="str">
        <f t="shared" ca="1" si="31"/>
        <v/>
      </c>
      <c r="Q838" s="309"/>
      <c r="X838" s="309"/>
    </row>
    <row r="839" spans="2:24" ht="15" customHeight="1">
      <c r="B839" s="845"/>
      <c r="C839" s="845"/>
      <c r="D839" s="309"/>
      <c r="E839" s="396"/>
      <c r="F839" s="309"/>
      <c r="G839" s="309"/>
      <c r="H839" s="844"/>
      <c r="I839" s="846"/>
      <c r="K839" s="396"/>
      <c r="L839" s="815"/>
      <c r="M839" s="844"/>
      <c r="O839" s="204" t="str">
        <f t="shared" ca="1" si="30"/>
        <v/>
      </c>
      <c r="P839" s="118" t="str">
        <f t="shared" ca="1" si="31"/>
        <v/>
      </c>
      <c r="Q839" s="309"/>
      <c r="X839" s="309"/>
    </row>
    <row r="840" spans="2:24" ht="15" customHeight="1">
      <c r="B840" s="845"/>
      <c r="C840" s="845"/>
      <c r="D840" s="309"/>
      <c r="E840" s="396"/>
      <c r="F840" s="309"/>
      <c r="G840" s="309"/>
      <c r="H840" s="844"/>
      <c r="I840" s="846"/>
      <c r="K840" s="396"/>
      <c r="L840" s="815"/>
      <c r="M840" s="844"/>
      <c r="O840" s="204" t="str">
        <f t="shared" ca="1" si="30"/>
        <v/>
      </c>
      <c r="P840" s="118" t="str">
        <f t="shared" ca="1" si="31"/>
        <v/>
      </c>
      <c r="Q840" s="309"/>
      <c r="X840" s="309"/>
    </row>
    <row r="841" spans="2:24" ht="15" customHeight="1">
      <c r="B841" s="845"/>
      <c r="C841" s="845"/>
      <c r="D841" s="309"/>
      <c r="E841" s="396"/>
      <c r="F841" s="309"/>
      <c r="G841" s="309"/>
      <c r="H841" s="844"/>
      <c r="I841" s="846"/>
      <c r="K841" s="396"/>
      <c r="L841" s="815"/>
      <c r="M841" s="844"/>
      <c r="O841" s="204" t="str">
        <f t="shared" ca="1" si="30"/>
        <v/>
      </c>
      <c r="P841" s="118" t="str">
        <f t="shared" ca="1" si="31"/>
        <v/>
      </c>
      <c r="Q841" s="309"/>
      <c r="X841" s="309"/>
    </row>
    <row r="842" spans="2:24" ht="15" customHeight="1">
      <c r="B842" s="845"/>
      <c r="C842" s="845"/>
      <c r="D842" s="309"/>
      <c r="E842" s="396"/>
      <c r="F842" s="309"/>
      <c r="G842" s="309"/>
      <c r="H842" s="844"/>
      <c r="I842" s="846"/>
      <c r="K842" s="396"/>
      <c r="L842" s="815"/>
      <c r="M842" s="844"/>
      <c r="O842" s="204" t="str">
        <f t="shared" ca="1" si="30"/>
        <v/>
      </c>
      <c r="P842" s="118" t="str">
        <f t="shared" ca="1" si="31"/>
        <v/>
      </c>
      <c r="Q842" s="309"/>
      <c r="X842" s="309"/>
    </row>
    <row r="843" spans="2:24" ht="15" customHeight="1">
      <c r="B843" s="845"/>
      <c r="C843" s="845"/>
      <c r="D843" s="309"/>
      <c r="E843" s="396"/>
      <c r="F843" s="309"/>
      <c r="G843" s="309"/>
      <c r="H843" s="844"/>
      <c r="I843" s="846"/>
      <c r="K843" s="396"/>
      <c r="L843" s="815"/>
      <c r="M843" s="844"/>
      <c r="O843" s="204" t="str">
        <f t="shared" ca="1" si="30"/>
        <v/>
      </c>
      <c r="P843" s="118" t="str">
        <f t="shared" ca="1" si="31"/>
        <v/>
      </c>
      <c r="Q843" s="309"/>
      <c r="X843" s="309"/>
    </row>
    <row r="844" spans="2:24" ht="15" customHeight="1">
      <c r="B844" s="845"/>
      <c r="C844" s="845"/>
      <c r="D844" s="309"/>
      <c r="E844" s="396"/>
      <c r="F844" s="309"/>
      <c r="G844" s="309"/>
      <c r="H844" s="844"/>
      <c r="I844" s="846"/>
      <c r="K844" s="396"/>
      <c r="L844" s="815"/>
      <c r="M844" s="844"/>
      <c r="O844" s="204" t="str">
        <f t="shared" ca="1" si="30"/>
        <v/>
      </c>
      <c r="P844" s="118" t="str">
        <f t="shared" ca="1" si="31"/>
        <v/>
      </c>
      <c r="Q844" s="309"/>
      <c r="X844" s="309"/>
    </row>
    <row r="845" spans="2:24" ht="15" customHeight="1">
      <c r="B845" s="845"/>
      <c r="C845" s="845"/>
      <c r="D845" s="309"/>
      <c r="E845" s="396"/>
      <c r="F845" s="309"/>
      <c r="G845" s="309"/>
      <c r="H845" s="844"/>
      <c r="I845" s="846"/>
      <c r="K845" s="396"/>
      <c r="L845" s="815"/>
      <c r="M845" s="844"/>
      <c r="O845" s="204" t="str">
        <f t="shared" ca="1" si="30"/>
        <v/>
      </c>
      <c r="P845" s="118" t="str">
        <f t="shared" ca="1" si="31"/>
        <v/>
      </c>
      <c r="Q845" s="309"/>
      <c r="X845" s="309"/>
    </row>
    <row r="846" spans="2:24" ht="15" customHeight="1">
      <c r="B846" s="845"/>
      <c r="C846" s="845"/>
      <c r="D846" s="309"/>
      <c r="E846" s="396"/>
      <c r="F846" s="309"/>
      <c r="G846" s="309"/>
      <c r="H846" s="844"/>
      <c r="I846" s="846"/>
      <c r="K846" s="396"/>
      <c r="L846" s="815"/>
      <c r="M846" s="844"/>
      <c r="O846" s="204" t="str">
        <f t="shared" ca="1" si="30"/>
        <v/>
      </c>
      <c r="P846" s="118" t="str">
        <f t="shared" ca="1" si="31"/>
        <v/>
      </c>
      <c r="Q846" s="309"/>
      <c r="X846" s="309"/>
    </row>
    <row r="847" spans="2:24" ht="15" customHeight="1">
      <c r="B847" s="845"/>
      <c r="C847" s="845"/>
      <c r="D847" s="309"/>
      <c r="E847" s="396"/>
      <c r="F847" s="309"/>
      <c r="G847" s="309"/>
      <c r="H847" s="844"/>
      <c r="I847" s="846"/>
      <c r="K847" s="396"/>
      <c r="L847" s="815"/>
      <c r="M847" s="844"/>
      <c r="O847" s="204" t="str">
        <f t="shared" ca="1" si="30"/>
        <v/>
      </c>
      <c r="P847" s="118" t="str">
        <f t="shared" ca="1" si="31"/>
        <v/>
      </c>
      <c r="Q847" s="309"/>
      <c r="X847" s="309"/>
    </row>
    <row r="848" spans="2:24" ht="15" customHeight="1">
      <c r="B848" s="845"/>
      <c r="C848" s="845"/>
      <c r="D848" s="309"/>
      <c r="E848" s="396"/>
      <c r="F848" s="309"/>
      <c r="G848" s="309"/>
      <c r="H848" s="844"/>
      <c r="I848" s="846"/>
      <c r="K848" s="396"/>
      <c r="L848" s="815"/>
      <c r="M848" s="844"/>
      <c r="O848" s="204" t="str">
        <f t="shared" ca="1" si="30"/>
        <v/>
      </c>
      <c r="P848" s="118" t="str">
        <f t="shared" ca="1" si="31"/>
        <v/>
      </c>
      <c r="Q848" s="309"/>
      <c r="X848" s="309"/>
    </row>
    <row r="849" spans="2:24" ht="15" customHeight="1">
      <c r="B849" s="845"/>
      <c r="C849" s="845"/>
      <c r="D849" s="309"/>
      <c r="E849" s="396"/>
      <c r="F849" s="309"/>
      <c r="G849" s="309"/>
      <c r="H849" s="844"/>
      <c r="I849" s="846"/>
      <c r="K849" s="396"/>
      <c r="L849" s="815"/>
      <c r="M849" s="844"/>
      <c r="O849" s="204" t="str">
        <f t="shared" ca="1" si="30"/>
        <v/>
      </c>
      <c r="P849" s="118" t="str">
        <f t="shared" ca="1" si="31"/>
        <v/>
      </c>
      <c r="Q849" s="309"/>
      <c r="X849" s="309"/>
    </row>
    <row r="850" spans="2:24" ht="15" customHeight="1">
      <c r="B850" s="845"/>
      <c r="C850" s="845"/>
      <c r="D850" s="309"/>
      <c r="E850" s="396"/>
      <c r="F850" s="309"/>
      <c r="G850" s="309"/>
      <c r="H850" s="844"/>
      <c r="I850" s="846"/>
      <c r="K850" s="396"/>
      <c r="L850" s="815"/>
      <c r="M850" s="844"/>
      <c r="O850" s="204" t="str">
        <f t="shared" ca="1" si="30"/>
        <v/>
      </c>
      <c r="P850" s="118" t="str">
        <f t="shared" ca="1" si="31"/>
        <v/>
      </c>
      <c r="Q850" s="309"/>
      <c r="X850" s="309"/>
    </row>
    <row r="851" spans="2:24" ht="15" customHeight="1">
      <c r="B851" s="845"/>
      <c r="C851" s="845"/>
      <c r="D851" s="309"/>
      <c r="E851" s="396"/>
      <c r="F851" s="309"/>
      <c r="G851" s="309"/>
      <c r="H851" s="844"/>
      <c r="I851" s="846"/>
      <c r="K851" s="396"/>
      <c r="L851" s="815"/>
      <c r="M851" s="844"/>
      <c r="O851" s="204" t="str">
        <f t="shared" ca="1" si="30"/>
        <v/>
      </c>
      <c r="P851" s="118" t="str">
        <f t="shared" ca="1" si="31"/>
        <v/>
      </c>
      <c r="Q851" s="309"/>
      <c r="X851" s="309"/>
    </row>
    <row r="852" spans="2:24" ht="15" customHeight="1">
      <c r="B852" s="845"/>
      <c r="C852" s="845"/>
      <c r="D852" s="309"/>
      <c r="E852" s="396"/>
      <c r="F852" s="309"/>
      <c r="G852" s="309"/>
      <c r="H852" s="844"/>
      <c r="I852" s="846"/>
      <c r="K852" s="396"/>
      <c r="L852" s="815"/>
      <c r="M852" s="844"/>
      <c r="O852" s="204" t="str">
        <f t="shared" ca="1" si="30"/>
        <v/>
      </c>
      <c r="P852" s="118" t="str">
        <f t="shared" ca="1" si="31"/>
        <v/>
      </c>
      <c r="Q852" s="309"/>
      <c r="X852" s="309"/>
    </row>
    <row r="853" spans="2:24" ht="15" customHeight="1">
      <c r="B853" s="845"/>
      <c r="C853" s="845"/>
      <c r="D853" s="309"/>
      <c r="E853" s="396"/>
      <c r="F853" s="309"/>
      <c r="G853" s="309"/>
      <c r="H853" s="844"/>
      <c r="I853" s="846"/>
      <c r="K853" s="396"/>
      <c r="L853" s="815"/>
      <c r="M853" s="844"/>
      <c r="O853" s="204" t="str">
        <f t="shared" ca="1" si="30"/>
        <v/>
      </c>
      <c r="P853" s="118" t="str">
        <f t="shared" ca="1" si="31"/>
        <v/>
      </c>
      <c r="Q853" s="309"/>
      <c r="X853" s="309"/>
    </row>
    <row r="854" spans="2:24" ht="15" customHeight="1">
      <c r="B854" s="845"/>
      <c r="C854" s="845"/>
      <c r="D854" s="309"/>
      <c r="E854" s="396"/>
      <c r="F854" s="309"/>
      <c r="G854" s="309"/>
      <c r="H854" s="844"/>
      <c r="I854" s="846"/>
      <c r="K854" s="396"/>
      <c r="L854" s="815"/>
      <c r="M854" s="844"/>
      <c r="O854" s="204" t="str">
        <f t="shared" ca="1" si="30"/>
        <v/>
      </c>
      <c r="P854" s="118" t="str">
        <f t="shared" ca="1" si="31"/>
        <v/>
      </c>
      <c r="Q854" s="309"/>
      <c r="X854" s="309"/>
    </row>
    <row r="855" spans="2:24" ht="15" customHeight="1">
      <c r="B855" s="845"/>
      <c r="C855" s="845"/>
      <c r="D855" s="309"/>
      <c r="E855" s="396"/>
      <c r="F855" s="309"/>
      <c r="G855" s="309"/>
      <c r="H855" s="844"/>
      <c r="I855" s="846"/>
      <c r="K855" s="396"/>
      <c r="L855" s="815"/>
      <c r="M855" s="844"/>
      <c r="O855" s="204" t="str">
        <f t="shared" ca="1" si="30"/>
        <v/>
      </c>
      <c r="P855" s="118" t="str">
        <f t="shared" ca="1" si="31"/>
        <v/>
      </c>
      <c r="Q855" s="309"/>
      <c r="X855" s="309"/>
    </row>
    <row r="856" spans="2:24" ht="15" customHeight="1">
      <c r="B856" s="845"/>
      <c r="C856" s="845"/>
      <c r="D856" s="309"/>
      <c r="E856" s="396"/>
      <c r="F856" s="309"/>
      <c r="G856" s="309"/>
      <c r="H856" s="844"/>
      <c r="I856" s="846"/>
      <c r="K856" s="396"/>
      <c r="L856" s="815"/>
      <c r="M856" s="844"/>
      <c r="O856" s="204" t="str">
        <f t="shared" ca="1" si="30"/>
        <v/>
      </c>
      <c r="P856" s="118" t="str">
        <f t="shared" ca="1" si="31"/>
        <v/>
      </c>
      <c r="Q856" s="309"/>
      <c r="X856" s="309"/>
    </row>
    <row r="857" spans="2:24" ht="15" customHeight="1">
      <c r="B857" s="845"/>
      <c r="C857" s="845"/>
      <c r="D857" s="309"/>
      <c r="E857" s="396"/>
      <c r="F857" s="309"/>
      <c r="G857" s="309"/>
      <c r="H857" s="844"/>
      <c r="I857" s="846"/>
      <c r="K857" s="396"/>
      <c r="L857" s="815"/>
      <c r="M857" s="844"/>
      <c r="O857" s="204" t="str">
        <f t="shared" ca="1" si="30"/>
        <v/>
      </c>
      <c r="P857" s="118" t="str">
        <f t="shared" ca="1" si="31"/>
        <v/>
      </c>
      <c r="Q857" s="309"/>
      <c r="X857" s="309"/>
    </row>
    <row r="858" spans="2:24" ht="15" customHeight="1">
      <c r="B858" s="845"/>
      <c r="C858" s="845"/>
      <c r="D858" s="309"/>
      <c r="E858" s="396"/>
      <c r="F858" s="309"/>
      <c r="G858" s="309"/>
      <c r="H858" s="844"/>
      <c r="I858" s="846"/>
      <c r="K858" s="396"/>
      <c r="L858" s="815"/>
      <c r="M858" s="844"/>
      <c r="O858" s="204" t="str">
        <f t="shared" ca="1" si="30"/>
        <v/>
      </c>
      <c r="P858" s="118" t="str">
        <f t="shared" ca="1" si="31"/>
        <v/>
      </c>
      <c r="Q858" s="309"/>
      <c r="X858" s="309"/>
    </row>
    <row r="859" spans="2:24" ht="15" customHeight="1">
      <c r="B859" s="845"/>
      <c r="C859" s="845"/>
      <c r="D859" s="309"/>
      <c r="E859" s="396"/>
      <c r="F859" s="309"/>
      <c r="G859" s="309"/>
      <c r="H859" s="844"/>
      <c r="I859" s="846"/>
      <c r="K859" s="396"/>
      <c r="L859" s="815"/>
      <c r="M859" s="844"/>
      <c r="O859" s="204" t="str">
        <f t="shared" ca="1" si="30"/>
        <v/>
      </c>
      <c r="P859" s="118" t="str">
        <f t="shared" ca="1" si="31"/>
        <v/>
      </c>
      <c r="Q859" s="309"/>
      <c r="X859" s="309"/>
    </row>
    <row r="860" spans="2:24" ht="15" customHeight="1">
      <c r="B860" s="845"/>
      <c r="C860" s="845"/>
      <c r="D860" s="309"/>
      <c r="E860" s="396"/>
      <c r="F860" s="309"/>
      <c r="G860" s="309"/>
      <c r="H860" s="844"/>
      <c r="I860" s="846"/>
      <c r="K860" s="396"/>
      <c r="L860" s="815"/>
      <c r="M860" s="844"/>
      <c r="O860" s="204" t="str">
        <f t="shared" ca="1" si="30"/>
        <v/>
      </c>
      <c r="P860" s="118" t="str">
        <f t="shared" ca="1" si="31"/>
        <v/>
      </c>
      <c r="Q860" s="309"/>
      <c r="X860" s="309"/>
    </row>
    <row r="861" spans="2:24" ht="15" customHeight="1">
      <c r="B861" s="845"/>
      <c r="C861" s="845"/>
      <c r="D861" s="309"/>
      <c r="E861" s="396"/>
      <c r="F861" s="309"/>
      <c r="G861" s="309"/>
      <c r="H861" s="844"/>
      <c r="I861" s="846"/>
      <c r="K861" s="396"/>
      <c r="L861" s="815"/>
      <c r="M861" s="844"/>
      <c r="O861" s="204" t="str">
        <f t="shared" ca="1" si="30"/>
        <v/>
      </c>
      <c r="P861" s="118" t="str">
        <f t="shared" ca="1" si="31"/>
        <v/>
      </c>
      <c r="Q861" s="309"/>
      <c r="X861" s="309"/>
    </row>
    <row r="862" spans="2:24" ht="15" customHeight="1">
      <c r="B862" s="845"/>
      <c r="C862" s="845"/>
      <c r="D862" s="309"/>
      <c r="E862" s="396"/>
      <c r="F862" s="309"/>
      <c r="G862" s="309"/>
      <c r="H862" s="844"/>
      <c r="I862" s="846"/>
      <c r="K862" s="396"/>
      <c r="L862" s="815"/>
      <c r="M862" s="844"/>
      <c r="O862" s="204" t="str">
        <f t="shared" ca="1" si="30"/>
        <v/>
      </c>
      <c r="P862" s="118" t="str">
        <f t="shared" ca="1" si="31"/>
        <v/>
      </c>
      <c r="Q862" s="309"/>
      <c r="X862" s="309"/>
    </row>
    <row r="863" spans="2:24" ht="15" customHeight="1">
      <c r="B863" s="845"/>
      <c r="C863" s="845"/>
      <c r="D863" s="309"/>
      <c r="E863" s="396"/>
      <c r="F863" s="309"/>
      <c r="G863" s="309"/>
      <c r="H863" s="844"/>
      <c r="I863" s="846"/>
      <c r="K863" s="396"/>
      <c r="L863" s="815"/>
      <c r="M863" s="844"/>
      <c r="O863" s="204" t="str">
        <f t="shared" ca="1" si="30"/>
        <v/>
      </c>
      <c r="P863" s="118" t="str">
        <f t="shared" ca="1" si="31"/>
        <v/>
      </c>
      <c r="Q863" s="309"/>
      <c r="X863" s="309"/>
    </row>
    <row r="864" spans="2:24" ht="15" customHeight="1">
      <c r="B864" s="845"/>
      <c r="C864" s="845"/>
      <c r="D864" s="309"/>
      <c r="E864" s="396"/>
      <c r="F864" s="309"/>
      <c r="G864" s="309"/>
      <c r="H864" s="844"/>
      <c r="I864" s="846"/>
      <c r="K864" s="396"/>
      <c r="L864" s="815"/>
      <c r="M864" s="844"/>
      <c r="O864" s="204" t="str">
        <f t="shared" ca="1" si="30"/>
        <v/>
      </c>
      <c r="P864" s="118" t="str">
        <f t="shared" ca="1" si="31"/>
        <v/>
      </c>
      <c r="Q864" s="309"/>
      <c r="X864" s="309"/>
    </row>
    <row r="865" spans="2:24" ht="15" customHeight="1">
      <c r="B865" s="845"/>
      <c r="C865" s="845"/>
      <c r="D865" s="309"/>
      <c r="E865" s="396"/>
      <c r="F865" s="309"/>
      <c r="G865" s="309"/>
      <c r="H865" s="844"/>
      <c r="I865" s="846"/>
      <c r="K865" s="396"/>
      <c r="L865" s="815"/>
      <c r="M865" s="844"/>
      <c r="O865" s="204" t="str">
        <f t="shared" ca="1" si="30"/>
        <v/>
      </c>
      <c r="P865" s="118" t="str">
        <f t="shared" ca="1" si="31"/>
        <v/>
      </c>
      <c r="Q865" s="309"/>
      <c r="X865" s="309"/>
    </row>
    <row r="866" spans="2:24" ht="15" customHeight="1">
      <c r="B866" s="845"/>
      <c r="C866" s="845"/>
      <c r="D866" s="309"/>
      <c r="E866" s="396"/>
      <c r="F866" s="309"/>
      <c r="G866" s="309"/>
      <c r="H866" s="844"/>
      <c r="I866" s="846"/>
      <c r="K866" s="396"/>
      <c r="L866" s="815"/>
      <c r="M866" s="844"/>
      <c r="O866" s="204" t="str">
        <f t="shared" ca="1" si="30"/>
        <v/>
      </c>
      <c r="P866" s="118" t="str">
        <f t="shared" ca="1" si="31"/>
        <v/>
      </c>
      <c r="Q866" s="309"/>
      <c r="X866" s="309"/>
    </row>
    <row r="867" spans="2:24" ht="15" customHeight="1">
      <c r="B867" s="845"/>
      <c r="C867" s="845"/>
      <c r="D867" s="309"/>
      <c r="E867" s="396"/>
      <c r="F867" s="309"/>
      <c r="G867" s="309"/>
      <c r="H867" s="844"/>
      <c r="I867" s="846"/>
      <c r="K867" s="396"/>
      <c r="L867" s="815"/>
      <c r="M867" s="844"/>
      <c r="O867" s="204" t="str">
        <f t="shared" ca="1" si="30"/>
        <v/>
      </c>
      <c r="P867" s="118" t="str">
        <f t="shared" ca="1" si="31"/>
        <v/>
      </c>
      <c r="Q867" s="309"/>
      <c r="X867" s="309"/>
    </row>
    <row r="868" spans="2:24" ht="15" customHeight="1">
      <c r="B868" s="845"/>
      <c r="C868" s="845"/>
      <c r="D868" s="309"/>
      <c r="E868" s="396"/>
      <c r="F868" s="309"/>
      <c r="G868" s="309"/>
      <c r="H868" s="844"/>
      <c r="I868" s="846"/>
      <c r="K868" s="396"/>
      <c r="L868" s="815"/>
      <c r="M868" s="844"/>
      <c r="O868" s="204" t="str">
        <f t="shared" ca="1" si="30"/>
        <v/>
      </c>
      <c r="P868" s="118" t="str">
        <f t="shared" ca="1" si="31"/>
        <v/>
      </c>
      <c r="Q868" s="309"/>
      <c r="X868" s="309"/>
    </row>
    <row r="869" spans="2:24" ht="15" customHeight="1">
      <c r="B869" s="845"/>
      <c r="C869" s="845"/>
      <c r="D869" s="309"/>
      <c r="E869" s="396"/>
      <c r="F869" s="309"/>
      <c r="G869" s="309"/>
      <c r="H869" s="844"/>
      <c r="I869" s="846"/>
      <c r="K869" s="396"/>
      <c r="L869" s="815"/>
      <c r="M869" s="844"/>
      <c r="O869" s="204" t="str">
        <f t="shared" ca="1" si="30"/>
        <v/>
      </c>
      <c r="P869" s="118" t="str">
        <f t="shared" ca="1" si="31"/>
        <v/>
      </c>
      <c r="Q869" s="309"/>
      <c r="X869" s="309"/>
    </row>
    <row r="870" spans="2:24" ht="15" customHeight="1">
      <c r="B870" s="845"/>
      <c r="C870" s="845"/>
      <c r="D870" s="309"/>
      <c r="E870" s="396"/>
      <c r="F870" s="309"/>
      <c r="G870" s="309"/>
      <c r="H870" s="844"/>
      <c r="I870" s="846"/>
      <c r="K870" s="396"/>
      <c r="L870" s="815"/>
      <c r="M870" s="844"/>
      <c r="O870" s="204" t="str">
        <f t="shared" ca="1" si="30"/>
        <v/>
      </c>
      <c r="P870" s="118" t="str">
        <f t="shared" ca="1" si="31"/>
        <v/>
      </c>
      <c r="Q870" s="309"/>
      <c r="X870" s="309"/>
    </row>
    <row r="871" spans="2:24" ht="15" customHeight="1">
      <c r="B871" s="845"/>
      <c r="C871" s="845"/>
      <c r="D871" s="309"/>
      <c r="E871" s="396"/>
      <c r="F871" s="309"/>
      <c r="G871" s="309"/>
      <c r="H871" s="844"/>
      <c r="I871" s="846"/>
      <c r="K871" s="396"/>
      <c r="L871" s="815"/>
      <c r="M871" s="844"/>
      <c r="O871" s="204" t="str">
        <f t="shared" ca="1" si="30"/>
        <v/>
      </c>
      <c r="P871" s="118" t="str">
        <f t="shared" ca="1" si="31"/>
        <v/>
      </c>
      <c r="Q871" s="309"/>
      <c r="X871" s="309"/>
    </row>
    <row r="872" spans="2:24" ht="15" customHeight="1">
      <c r="B872" s="845"/>
      <c r="C872" s="845"/>
      <c r="D872" s="309"/>
      <c r="E872" s="396"/>
      <c r="F872" s="309"/>
      <c r="G872" s="309"/>
      <c r="H872" s="844"/>
      <c r="I872" s="846"/>
      <c r="K872" s="396"/>
      <c r="L872" s="815"/>
      <c r="M872" s="844"/>
      <c r="O872" s="204" t="str">
        <f t="shared" ca="1" si="30"/>
        <v/>
      </c>
      <c r="P872" s="118" t="str">
        <f t="shared" ca="1" si="31"/>
        <v/>
      </c>
      <c r="Q872" s="309"/>
      <c r="X872" s="309"/>
    </row>
    <row r="873" spans="2:24" ht="15" customHeight="1">
      <c r="B873" s="845"/>
      <c r="C873" s="845"/>
      <c r="D873" s="309"/>
      <c r="E873" s="396"/>
      <c r="F873" s="309"/>
      <c r="G873" s="309"/>
      <c r="H873" s="844"/>
      <c r="I873" s="846"/>
      <c r="K873" s="396"/>
      <c r="L873" s="815"/>
      <c r="M873" s="844"/>
      <c r="O873" s="204" t="str">
        <f t="shared" ca="1" si="30"/>
        <v/>
      </c>
      <c r="P873" s="118" t="str">
        <f t="shared" ca="1" si="31"/>
        <v/>
      </c>
      <c r="Q873" s="309"/>
      <c r="X873" s="309"/>
    </row>
    <row r="874" spans="2:24" ht="15" customHeight="1">
      <c r="B874" s="845"/>
      <c r="C874" s="845"/>
      <c r="D874" s="309"/>
      <c r="E874" s="396"/>
      <c r="F874" s="309"/>
      <c r="G874" s="309"/>
      <c r="H874" s="844"/>
      <c r="I874" s="846"/>
      <c r="K874" s="396"/>
      <c r="L874" s="815"/>
      <c r="M874" s="844"/>
      <c r="O874" s="204" t="str">
        <f t="shared" ca="1" si="30"/>
        <v/>
      </c>
      <c r="P874" s="118" t="str">
        <f t="shared" ca="1" si="31"/>
        <v/>
      </c>
      <c r="Q874" s="309"/>
      <c r="X874" s="309"/>
    </row>
    <row r="875" spans="2:24" ht="15" customHeight="1">
      <c r="B875" s="845"/>
      <c r="C875" s="845"/>
      <c r="D875" s="309"/>
      <c r="E875" s="396"/>
      <c r="F875" s="309"/>
      <c r="G875" s="309"/>
      <c r="H875" s="844"/>
      <c r="I875" s="846"/>
      <c r="K875" s="396"/>
      <c r="L875" s="815"/>
      <c r="M875" s="844"/>
      <c r="O875" s="204" t="str">
        <f t="shared" ca="1" si="30"/>
        <v/>
      </c>
      <c r="P875" s="118" t="str">
        <f t="shared" ca="1" si="31"/>
        <v/>
      </c>
      <c r="Q875" s="309"/>
      <c r="X875" s="309"/>
    </row>
    <row r="876" spans="2:24" ht="15" customHeight="1">
      <c r="B876" s="845"/>
      <c r="C876" s="845"/>
      <c r="D876" s="309"/>
      <c r="E876" s="396"/>
      <c r="F876" s="309"/>
      <c r="G876" s="309"/>
      <c r="H876" s="844"/>
      <c r="I876" s="846"/>
      <c r="K876" s="396"/>
      <c r="L876" s="815"/>
      <c r="M876" s="844"/>
      <c r="O876" s="204" t="str">
        <f t="shared" ca="1" si="30"/>
        <v/>
      </c>
      <c r="P876" s="118" t="str">
        <f t="shared" ca="1" si="31"/>
        <v/>
      </c>
      <c r="Q876" s="309"/>
      <c r="X876" s="309"/>
    </row>
    <row r="877" spans="2:24" ht="15" customHeight="1">
      <c r="B877" s="845"/>
      <c r="C877" s="845"/>
      <c r="D877" s="309"/>
      <c r="E877" s="396"/>
      <c r="F877" s="309"/>
      <c r="G877" s="309"/>
      <c r="H877" s="844"/>
      <c r="I877" s="846"/>
      <c r="K877" s="396"/>
      <c r="L877" s="815"/>
      <c r="M877" s="844"/>
      <c r="O877" s="204" t="str">
        <f t="shared" ca="1" si="30"/>
        <v/>
      </c>
      <c r="P877" s="118" t="str">
        <f t="shared" ca="1" si="31"/>
        <v/>
      </c>
      <c r="Q877" s="309"/>
      <c r="X877" s="309"/>
    </row>
    <row r="878" spans="2:24" ht="15" customHeight="1">
      <c r="B878" s="845"/>
      <c r="C878" s="845"/>
      <c r="D878" s="309"/>
      <c r="E878" s="396"/>
      <c r="F878" s="309"/>
      <c r="G878" s="309"/>
      <c r="H878" s="844"/>
      <c r="I878" s="846"/>
      <c r="K878" s="396"/>
      <c r="L878" s="815"/>
      <c r="M878" s="844"/>
      <c r="O878" s="204" t="str">
        <f t="shared" ca="1" si="30"/>
        <v/>
      </c>
      <c r="P878" s="118" t="str">
        <f t="shared" ca="1" si="31"/>
        <v/>
      </c>
      <c r="Q878" s="309"/>
      <c r="X878" s="309"/>
    </row>
    <row r="879" spans="2:24" ht="15" customHeight="1">
      <c r="B879" s="845"/>
      <c r="C879" s="845"/>
      <c r="D879" s="309"/>
      <c r="E879" s="396"/>
      <c r="F879" s="309"/>
      <c r="G879" s="309"/>
      <c r="H879" s="844"/>
      <c r="I879" s="846"/>
      <c r="K879" s="396"/>
      <c r="L879" s="815"/>
      <c r="M879" s="844"/>
      <c r="O879" s="204" t="str">
        <f t="shared" ref="O879:O942" ca="1" si="32">IF(ISBLANK(L879), "", IF(ISNUMBER(M879), M879-L879, TODAY()-L879))</f>
        <v/>
      </c>
      <c r="P879" s="118" t="str">
        <f t="shared" ca="1" si="31"/>
        <v/>
      </c>
      <c r="Q879" s="309"/>
      <c r="X879" s="309"/>
    </row>
    <row r="880" spans="2:24" ht="15" customHeight="1">
      <c r="B880" s="845"/>
      <c r="C880" s="845"/>
      <c r="D880" s="309"/>
      <c r="E880" s="396"/>
      <c r="F880" s="309"/>
      <c r="G880" s="309"/>
      <c r="H880" s="844"/>
      <c r="I880" s="846"/>
      <c r="K880" s="396"/>
      <c r="L880" s="815"/>
      <c r="M880" s="844"/>
      <c r="O880" s="204" t="str">
        <f t="shared" ca="1" si="32"/>
        <v/>
      </c>
      <c r="P880" s="118" t="str">
        <f t="shared" ca="1" si="31"/>
        <v/>
      </c>
      <c r="Q880" s="309"/>
      <c r="X880" s="309"/>
    </row>
    <row r="881" spans="2:24" ht="15" customHeight="1">
      <c r="B881" s="845"/>
      <c r="C881" s="845"/>
      <c r="D881" s="309"/>
      <c r="E881" s="396"/>
      <c r="F881" s="309"/>
      <c r="G881" s="309"/>
      <c r="H881" s="844"/>
      <c r="I881" s="846"/>
      <c r="K881" s="396"/>
      <c r="L881" s="815"/>
      <c r="M881" s="844"/>
      <c r="O881" s="204" t="str">
        <f t="shared" ca="1" si="32"/>
        <v/>
      </c>
      <c r="P881" s="118" t="str">
        <f t="shared" ca="1" si="31"/>
        <v/>
      </c>
      <c r="Q881" s="309"/>
      <c r="X881" s="309"/>
    </row>
    <row r="882" spans="2:24" ht="15" customHeight="1">
      <c r="B882" s="845"/>
      <c r="C882" s="845"/>
      <c r="D882" s="309"/>
      <c r="E882" s="396"/>
      <c r="F882" s="309"/>
      <c r="G882" s="309"/>
      <c r="H882" s="844"/>
      <c r="I882" s="846"/>
      <c r="K882" s="396"/>
      <c r="L882" s="815"/>
      <c r="M882" s="844"/>
      <c r="O882" s="204" t="str">
        <f t="shared" ca="1" si="32"/>
        <v/>
      </c>
      <c r="P882" s="118" t="str">
        <f t="shared" ca="1" si="31"/>
        <v/>
      </c>
      <c r="Q882" s="309"/>
      <c r="X882" s="309"/>
    </row>
    <row r="883" spans="2:24" ht="15" customHeight="1">
      <c r="B883" s="845"/>
      <c r="C883" s="845"/>
      <c r="D883" s="309"/>
      <c r="E883" s="396"/>
      <c r="F883" s="309"/>
      <c r="G883" s="309"/>
      <c r="H883" s="844"/>
      <c r="I883" s="846"/>
      <c r="K883" s="396"/>
      <c r="L883" s="815"/>
      <c r="M883" s="844"/>
      <c r="O883" s="204" t="str">
        <f t="shared" ca="1" si="32"/>
        <v/>
      </c>
      <c r="P883" s="118" t="str">
        <f t="shared" ca="1" si="31"/>
        <v/>
      </c>
      <c r="Q883" s="309"/>
      <c r="X883" s="309"/>
    </row>
    <row r="884" spans="2:24" ht="15" customHeight="1">
      <c r="B884" s="845"/>
      <c r="C884" s="845"/>
      <c r="D884" s="309"/>
      <c r="E884" s="396"/>
      <c r="F884" s="309"/>
      <c r="G884" s="309"/>
      <c r="H884" s="844"/>
      <c r="I884" s="846"/>
      <c r="K884" s="396"/>
      <c r="L884" s="815"/>
      <c r="M884" s="844"/>
      <c r="O884" s="204" t="str">
        <f t="shared" ca="1" si="32"/>
        <v/>
      </c>
      <c r="P884" s="118" t="str">
        <f t="shared" ca="1" si="31"/>
        <v/>
      </c>
      <c r="Q884" s="309"/>
      <c r="X884" s="309"/>
    </row>
    <row r="885" spans="2:24" ht="15" customHeight="1">
      <c r="B885" s="845"/>
      <c r="C885" s="845"/>
      <c r="D885" s="309"/>
      <c r="E885" s="396"/>
      <c r="F885" s="309"/>
      <c r="G885" s="309"/>
      <c r="H885" s="844"/>
      <c r="I885" s="846"/>
      <c r="K885" s="396"/>
      <c r="L885" s="815"/>
      <c r="M885" s="844"/>
      <c r="O885" s="204" t="str">
        <f t="shared" ca="1" si="32"/>
        <v/>
      </c>
      <c r="P885" s="118" t="str">
        <f t="shared" ca="1" si="31"/>
        <v/>
      </c>
      <c r="Q885" s="309"/>
      <c r="X885" s="309"/>
    </row>
    <row r="886" spans="2:24" ht="15" customHeight="1">
      <c r="B886" s="845"/>
      <c r="C886" s="845"/>
      <c r="D886" s="309"/>
      <c r="E886" s="396"/>
      <c r="F886" s="309"/>
      <c r="G886" s="309"/>
      <c r="H886" s="844"/>
      <c r="I886" s="846"/>
      <c r="K886" s="396"/>
      <c r="L886" s="815"/>
      <c r="M886" s="844"/>
      <c r="O886" s="204" t="str">
        <f t="shared" ca="1" si="32"/>
        <v/>
      </c>
      <c r="P886" s="118" t="str">
        <f t="shared" ca="1" si="31"/>
        <v/>
      </c>
      <c r="Q886" s="309"/>
      <c r="X886" s="309"/>
    </row>
    <row r="887" spans="2:24" ht="15" customHeight="1">
      <c r="B887" s="845"/>
      <c r="C887" s="845"/>
      <c r="D887" s="309"/>
      <c r="E887" s="396"/>
      <c r="F887" s="309"/>
      <c r="G887" s="309"/>
      <c r="H887" s="844"/>
      <c r="I887" s="846"/>
      <c r="K887" s="396"/>
      <c r="L887" s="815"/>
      <c r="M887" s="844"/>
      <c r="O887" s="204" t="str">
        <f t="shared" ca="1" si="32"/>
        <v/>
      </c>
      <c r="P887" s="118" t="str">
        <f t="shared" ca="1" si="31"/>
        <v/>
      </c>
      <c r="Q887" s="309"/>
      <c r="X887" s="309"/>
    </row>
    <row r="888" spans="2:24" ht="15" customHeight="1">
      <c r="B888" s="845"/>
      <c r="C888" s="845"/>
      <c r="D888" s="309"/>
      <c r="E888" s="396"/>
      <c r="F888" s="309"/>
      <c r="G888" s="309"/>
      <c r="H888" s="844"/>
      <c r="I888" s="846"/>
      <c r="K888" s="396"/>
      <c r="L888" s="815"/>
      <c r="M888" s="844"/>
      <c r="O888" s="204" t="str">
        <f t="shared" ca="1" si="32"/>
        <v/>
      </c>
      <c r="P888" s="118" t="str">
        <f t="shared" ca="1" si="31"/>
        <v/>
      </c>
      <c r="Q888" s="309"/>
      <c r="X888" s="309"/>
    </row>
    <row r="889" spans="2:24" ht="15" customHeight="1">
      <c r="B889" s="845"/>
      <c r="C889" s="845"/>
      <c r="D889" s="309"/>
      <c r="E889" s="396"/>
      <c r="F889" s="309"/>
      <c r="G889" s="309"/>
      <c r="H889" s="844"/>
      <c r="I889" s="846"/>
      <c r="K889" s="396"/>
      <c r="L889" s="815"/>
      <c r="M889" s="844"/>
      <c r="O889" s="204" t="str">
        <f t="shared" ca="1" si="32"/>
        <v/>
      </c>
      <c r="P889" s="118" t="str">
        <f t="shared" ca="1" si="31"/>
        <v/>
      </c>
      <c r="Q889" s="309"/>
      <c r="X889" s="309"/>
    </row>
    <row r="890" spans="2:24" ht="15" customHeight="1">
      <c r="B890" s="845"/>
      <c r="C890" s="845"/>
      <c r="D890" s="309"/>
      <c r="E890" s="396"/>
      <c r="F890" s="309"/>
      <c r="G890" s="309"/>
      <c r="H890" s="844"/>
      <c r="I890" s="846"/>
      <c r="K890" s="396"/>
      <c r="L890" s="815"/>
      <c r="M890" s="844"/>
      <c r="O890" s="204" t="str">
        <f t="shared" ca="1" si="32"/>
        <v/>
      </c>
      <c r="P890" s="118" t="str">
        <f t="shared" ca="1" si="31"/>
        <v/>
      </c>
      <c r="Q890" s="309"/>
      <c r="X890" s="309"/>
    </row>
    <row r="891" spans="2:24" ht="15" customHeight="1">
      <c r="B891" s="845"/>
      <c r="C891" s="845"/>
      <c r="D891" s="309"/>
      <c r="E891" s="396"/>
      <c r="F891" s="309"/>
      <c r="G891" s="309"/>
      <c r="H891" s="844"/>
      <c r="I891" s="846"/>
      <c r="K891" s="396"/>
      <c r="L891" s="815"/>
      <c r="M891" s="844"/>
      <c r="O891" s="204" t="str">
        <f t="shared" ca="1" si="32"/>
        <v/>
      </c>
      <c r="P891" s="118" t="str">
        <f t="shared" ca="1" si="31"/>
        <v/>
      </c>
      <c r="Q891" s="309"/>
      <c r="X891" s="309"/>
    </row>
    <row r="892" spans="2:24" ht="15" customHeight="1">
      <c r="B892" s="845"/>
      <c r="C892" s="845"/>
      <c r="D892" s="309"/>
      <c r="E892" s="396"/>
      <c r="F892" s="309"/>
      <c r="G892" s="309"/>
      <c r="H892" s="844"/>
      <c r="I892" s="846"/>
      <c r="K892" s="396"/>
      <c r="L892" s="815"/>
      <c r="M892" s="844"/>
      <c r="O892" s="204" t="str">
        <f t="shared" ca="1" si="32"/>
        <v/>
      </c>
      <c r="P892" s="118" t="str">
        <f t="shared" ca="1" si="31"/>
        <v/>
      </c>
      <c r="Q892" s="309"/>
      <c r="X892" s="309"/>
    </row>
    <row r="893" spans="2:24" ht="15" customHeight="1">
      <c r="B893" s="845"/>
      <c r="C893" s="845"/>
      <c r="D893" s="309"/>
      <c r="E893" s="396"/>
      <c r="F893" s="309"/>
      <c r="G893" s="309"/>
      <c r="H893" s="844"/>
      <c r="I893" s="846"/>
      <c r="K893" s="396"/>
      <c r="L893" s="815"/>
      <c r="M893" s="844"/>
      <c r="O893" s="204" t="str">
        <f t="shared" ca="1" si="32"/>
        <v/>
      </c>
      <c r="P893" s="118" t="str">
        <f t="shared" ca="1" si="31"/>
        <v/>
      </c>
      <c r="Q893" s="309"/>
      <c r="X893" s="309"/>
    </row>
    <row r="894" spans="2:24" ht="15" customHeight="1">
      <c r="B894" s="845"/>
      <c r="C894" s="845"/>
      <c r="D894" s="309"/>
      <c r="E894" s="396"/>
      <c r="F894" s="309"/>
      <c r="G894" s="309"/>
      <c r="H894" s="844"/>
      <c r="I894" s="846"/>
      <c r="K894" s="396"/>
      <c r="L894" s="815"/>
      <c r="M894" s="844"/>
      <c r="O894" s="204" t="str">
        <f t="shared" ca="1" si="32"/>
        <v/>
      </c>
      <c r="P894" s="118" t="str">
        <f t="shared" ca="1" si="31"/>
        <v/>
      </c>
      <c r="Q894" s="309"/>
      <c r="X894" s="309"/>
    </row>
    <row r="895" spans="2:24" ht="15" customHeight="1">
      <c r="B895" s="845"/>
      <c r="C895" s="845"/>
      <c r="D895" s="309"/>
      <c r="E895" s="396"/>
      <c r="F895" s="309"/>
      <c r="G895" s="309"/>
      <c r="H895" s="844"/>
      <c r="I895" s="846"/>
      <c r="K895" s="396"/>
      <c r="L895" s="815"/>
      <c r="M895" s="844"/>
      <c r="O895" s="204" t="str">
        <f t="shared" ca="1" si="32"/>
        <v/>
      </c>
      <c r="P895" s="118" t="str">
        <f t="shared" ca="1" si="31"/>
        <v/>
      </c>
      <c r="Q895" s="309"/>
      <c r="X895" s="309"/>
    </row>
    <row r="896" spans="2:24" ht="15" customHeight="1">
      <c r="B896" s="845"/>
      <c r="C896" s="845"/>
      <c r="D896" s="309"/>
      <c r="E896" s="396"/>
      <c r="F896" s="309"/>
      <c r="G896" s="309"/>
      <c r="H896" s="844"/>
      <c r="I896" s="846"/>
      <c r="K896" s="396"/>
      <c r="L896" s="815"/>
      <c r="M896" s="844"/>
      <c r="O896" s="204" t="str">
        <f t="shared" ca="1" si="32"/>
        <v/>
      </c>
      <c r="P896" s="118" t="str">
        <f t="shared" ca="1" si="31"/>
        <v/>
      </c>
      <c r="Q896" s="309"/>
      <c r="X896" s="309"/>
    </row>
    <row r="897" spans="2:24" ht="15" customHeight="1">
      <c r="B897" s="845"/>
      <c r="C897" s="845"/>
      <c r="D897" s="309"/>
      <c r="E897" s="396"/>
      <c r="F897" s="309"/>
      <c r="G897" s="309"/>
      <c r="H897" s="844"/>
      <c r="I897" s="846"/>
      <c r="K897" s="396"/>
      <c r="L897" s="815"/>
      <c r="M897" s="844"/>
      <c r="O897" s="204" t="str">
        <f t="shared" ca="1" si="32"/>
        <v/>
      </c>
      <c r="P897" s="118" t="str">
        <f t="shared" ca="1" si="31"/>
        <v/>
      </c>
      <c r="Q897" s="309"/>
      <c r="X897" s="309"/>
    </row>
    <row r="898" spans="2:24" ht="15" customHeight="1">
      <c r="B898" s="845"/>
      <c r="C898" s="845"/>
      <c r="D898" s="309"/>
      <c r="E898" s="396"/>
      <c r="F898" s="309"/>
      <c r="G898" s="309"/>
      <c r="H898" s="844"/>
      <c r="I898" s="846"/>
      <c r="K898" s="396"/>
      <c r="L898" s="815"/>
      <c r="M898" s="844"/>
      <c r="O898" s="204" t="str">
        <f t="shared" ca="1" si="32"/>
        <v/>
      </c>
      <c r="P898" s="118" t="str">
        <f t="shared" ca="1" si="31"/>
        <v/>
      </c>
      <c r="Q898" s="309"/>
      <c r="X898" s="309"/>
    </row>
    <row r="899" spans="2:24" ht="15" customHeight="1">
      <c r="B899" s="845"/>
      <c r="C899" s="845"/>
      <c r="D899" s="309"/>
      <c r="E899" s="396"/>
      <c r="F899" s="309"/>
      <c r="G899" s="309"/>
      <c r="H899" s="844"/>
      <c r="I899" s="846"/>
      <c r="K899" s="396"/>
      <c r="L899" s="815"/>
      <c r="M899" s="844"/>
      <c r="O899" s="204" t="str">
        <f t="shared" ca="1" si="32"/>
        <v/>
      </c>
      <c r="P899" s="118" t="str">
        <f t="shared" ref="P899:P962" ca="1" si="33">IF(ISBLANK(H899), "", IF(ISNUMBER(M899), M899-H899, TODAY()-H899))</f>
        <v/>
      </c>
      <c r="Q899" s="309"/>
      <c r="X899" s="309"/>
    </row>
    <row r="900" spans="2:24" ht="15" customHeight="1">
      <c r="B900" s="845"/>
      <c r="C900" s="845"/>
      <c r="D900" s="309"/>
      <c r="E900" s="396"/>
      <c r="F900" s="309"/>
      <c r="G900" s="309"/>
      <c r="H900" s="844"/>
      <c r="I900" s="846"/>
      <c r="K900" s="396"/>
      <c r="L900" s="815"/>
      <c r="M900" s="844"/>
      <c r="O900" s="204" t="str">
        <f t="shared" ca="1" si="32"/>
        <v/>
      </c>
      <c r="P900" s="118" t="str">
        <f t="shared" ca="1" si="33"/>
        <v/>
      </c>
      <c r="Q900" s="309"/>
      <c r="X900" s="309"/>
    </row>
    <row r="901" spans="2:24" ht="15" customHeight="1">
      <c r="B901" s="845"/>
      <c r="C901" s="845"/>
      <c r="D901" s="309"/>
      <c r="E901" s="396"/>
      <c r="F901" s="309"/>
      <c r="G901" s="309"/>
      <c r="H901" s="844"/>
      <c r="I901" s="846"/>
      <c r="K901" s="396"/>
      <c r="L901" s="815"/>
      <c r="M901" s="844"/>
      <c r="O901" s="204" t="str">
        <f t="shared" ca="1" si="32"/>
        <v/>
      </c>
      <c r="P901" s="118" t="str">
        <f t="shared" ca="1" si="33"/>
        <v/>
      </c>
      <c r="Q901" s="309"/>
      <c r="X901" s="309"/>
    </row>
    <row r="902" spans="2:24" ht="15" customHeight="1">
      <c r="B902" s="845"/>
      <c r="C902" s="845"/>
      <c r="D902" s="309"/>
      <c r="E902" s="396"/>
      <c r="F902" s="309"/>
      <c r="G902" s="309"/>
      <c r="H902" s="844"/>
      <c r="I902" s="846"/>
      <c r="K902" s="396"/>
      <c r="L902" s="815"/>
      <c r="M902" s="844"/>
      <c r="O902" s="204" t="str">
        <f t="shared" ca="1" si="32"/>
        <v/>
      </c>
      <c r="P902" s="118" t="str">
        <f t="shared" ca="1" si="33"/>
        <v/>
      </c>
      <c r="Q902" s="309"/>
      <c r="X902" s="309"/>
    </row>
    <row r="903" spans="2:24" ht="15" customHeight="1">
      <c r="B903" s="845"/>
      <c r="C903" s="845"/>
      <c r="D903" s="309"/>
      <c r="E903" s="396"/>
      <c r="F903" s="309"/>
      <c r="G903" s="309"/>
      <c r="H903" s="844"/>
      <c r="I903" s="846"/>
      <c r="K903" s="396"/>
      <c r="L903" s="815"/>
      <c r="M903" s="844"/>
      <c r="O903" s="204" t="str">
        <f t="shared" ca="1" si="32"/>
        <v/>
      </c>
      <c r="P903" s="118" t="str">
        <f t="shared" ca="1" si="33"/>
        <v/>
      </c>
      <c r="Q903" s="309"/>
      <c r="X903" s="309"/>
    </row>
    <row r="904" spans="2:24" ht="15" customHeight="1">
      <c r="B904" s="845"/>
      <c r="C904" s="845"/>
      <c r="D904" s="309"/>
      <c r="E904" s="396"/>
      <c r="F904" s="309"/>
      <c r="G904" s="309"/>
      <c r="H904" s="844"/>
      <c r="I904" s="846"/>
      <c r="K904" s="396"/>
      <c r="L904" s="815"/>
      <c r="M904" s="844"/>
      <c r="O904" s="204" t="str">
        <f t="shared" ca="1" si="32"/>
        <v/>
      </c>
      <c r="P904" s="118" t="str">
        <f t="shared" ca="1" si="33"/>
        <v/>
      </c>
      <c r="Q904" s="309"/>
      <c r="X904" s="309"/>
    </row>
    <row r="905" spans="2:24" ht="15" customHeight="1">
      <c r="B905" s="845"/>
      <c r="C905" s="845"/>
      <c r="D905" s="309"/>
      <c r="E905" s="396"/>
      <c r="F905" s="309"/>
      <c r="G905" s="309"/>
      <c r="H905" s="844"/>
      <c r="I905" s="846"/>
      <c r="K905" s="396"/>
      <c r="L905" s="815"/>
      <c r="M905" s="844"/>
      <c r="O905" s="204" t="str">
        <f t="shared" ca="1" si="32"/>
        <v/>
      </c>
      <c r="P905" s="118" t="str">
        <f t="shared" ca="1" si="33"/>
        <v/>
      </c>
      <c r="Q905" s="309"/>
      <c r="X905" s="309"/>
    </row>
    <row r="906" spans="2:24" ht="15" customHeight="1">
      <c r="B906" s="845"/>
      <c r="C906" s="845"/>
      <c r="D906" s="309"/>
      <c r="E906" s="396"/>
      <c r="F906" s="309"/>
      <c r="G906" s="309"/>
      <c r="H906" s="844"/>
      <c r="I906" s="846"/>
      <c r="K906" s="396"/>
      <c r="L906" s="815"/>
      <c r="M906" s="844"/>
      <c r="O906" s="204" t="str">
        <f t="shared" ca="1" si="32"/>
        <v/>
      </c>
      <c r="P906" s="118" t="str">
        <f t="shared" ca="1" si="33"/>
        <v/>
      </c>
      <c r="Q906" s="309"/>
      <c r="X906" s="309"/>
    </row>
    <row r="907" spans="2:24" ht="15" customHeight="1">
      <c r="B907" s="845"/>
      <c r="C907" s="845"/>
      <c r="D907" s="309"/>
      <c r="E907" s="396"/>
      <c r="F907" s="309"/>
      <c r="G907" s="309"/>
      <c r="H907" s="844"/>
      <c r="I907" s="846"/>
      <c r="K907" s="396"/>
      <c r="L907" s="815"/>
      <c r="M907" s="844"/>
      <c r="O907" s="204" t="str">
        <f t="shared" ca="1" si="32"/>
        <v/>
      </c>
      <c r="P907" s="118" t="str">
        <f t="shared" ca="1" si="33"/>
        <v/>
      </c>
      <c r="Q907" s="309"/>
      <c r="X907" s="309"/>
    </row>
    <row r="908" spans="2:24" ht="15" customHeight="1">
      <c r="B908" s="845"/>
      <c r="C908" s="845"/>
      <c r="D908" s="309"/>
      <c r="E908" s="396"/>
      <c r="F908" s="309"/>
      <c r="G908" s="309"/>
      <c r="H908" s="844"/>
      <c r="I908" s="846"/>
      <c r="K908" s="396"/>
      <c r="L908" s="815"/>
      <c r="M908" s="844"/>
      <c r="O908" s="204" t="str">
        <f t="shared" ca="1" si="32"/>
        <v/>
      </c>
      <c r="P908" s="118" t="str">
        <f t="shared" ca="1" si="33"/>
        <v/>
      </c>
      <c r="Q908" s="309"/>
      <c r="X908" s="309"/>
    </row>
    <row r="909" spans="2:24" ht="15" customHeight="1">
      <c r="B909" s="845"/>
      <c r="C909" s="845"/>
      <c r="D909" s="309"/>
      <c r="E909" s="396"/>
      <c r="F909" s="309"/>
      <c r="G909" s="309"/>
      <c r="H909" s="844"/>
      <c r="I909" s="846"/>
      <c r="K909" s="396"/>
      <c r="L909" s="815"/>
      <c r="M909" s="844"/>
      <c r="O909" s="204" t="str">
        <f t="shared" ca="1" si="32"/>
        <v/>
      </c>
      <c r="P909" s="118" t="str">
        <f t="shared" ca="1" si="33"/>
        <v/>
      </c>
      <c r="Q909" s="309"/>
      <c r="X909" s="309"/>
    </row>
    <row r="910" spans="2:24" ht="15" customHeight="1">
      <c r="B910" s="845"/>
      <c r="C910" s="845"/>
      <c r="D910" s="309"/>
      <c r="E910" s="396"/>
      <c r="F910" s="309"/>
      <c r="G910" s="309"/>
      <c r="H910" s="844"/>
      <c r="I910" s="846"/>
      <c r="K910" s="396"/>
      <c r="L910" s="815"/>
      <c r="M910" s="844"/>
      <c r="O910" s="204" t="str">
        <f t="shared" ca="1" si="32"/>
        <v/>
      </c>
      <c r="P910" s="118" t="str">
        <f t="shared" ca="1" si="33"/>
        <v/>
      </c>
      <c r="Q910" s="309"/>
      <c r="X910" s="309"/>
    </row>
    <row r="911" spans="2:24" ht="15" customHeight="1">
      <c r="B911" s="845"/>
      <c r="C911" s="845"/>
      <c r="D911" s="309"/>
      <c r="E911" s="396"/>
      <c r="F911" s="309"/>
      <c r="G911" s="309"/>
      <c r="H911" s="844"/>
      <c r="I911" s="846"/>
      <c r="K911" s="396"/>
      <c r="L911" s="815"/>
      <c r="M911" s="844"/>
      <c r="O911" s="204" t="str">
        <f t="shared" ca="1" si="32"/>
        <v/>
      </c>
      <c r="P911" s="118" t="str">
        <f t="shared" ca="1" si="33"/>
        <v/>
      </c>
      <c r="Q911" s="309"/>
      <c r="X911" s="309"/>
    </row>
    <row r="912" spans="2:24" ht="15" customHeight="1">
      <c r="B912" s="845"/>
      <c r="C912" s="845"/>
      <c r="D912" s="309"/>
      <c r="E912" s="396"/>
      <c r="F912" s="309"/>
      <c r="G912" s="309"/>
      <c r="H912" s="844"/>
      <c r="I912" s="846"/>
      <c r="K912" s="396"/>
      <c r="L912" s="815"/>
      <c r="M912" s="844"/>
      <c r="O912" s="204" t="str">
        <f t="shared" ca="1" si="32"/>
        <v/>
      </c>
      <c r="P912" s="118" t="str">
        <f t="shared" ca="1" si="33"/>
        <v/>
      </c>
      <c r="Q912" s="309"/>
      <c r="X912" s="309"/>
    </row>
    <row r="913" spans="2:24" ht="15" customHeight="1">
      <c r="B913" s="845"/>
      <c r="C913" s="845"/>
      <c r="D913" s="309"/>
      <c r="E913" s="396"/>
      <c r="F913" s="309"/>
      <c r="G913" s="309"/>
      <c r="H913" s="844"/>
      <c r="I913" s="846"/>
      <c r="K913" s="396"/>
      <c r="L913" s="815"/>
      <c r="M913" s="844"/>
      <c r="O913" s="204" t="str">
        <f t="shared" ca="1" si="32"/>
        <v/>
      </c>
      <c r="P913" s="118" t="str">
        <f t="shared" ca="1" si="33"/>
        <v/>
      </c>
      <c r="Q913" s="309"/>
      <c r="X913" s="309"/>
    </row>
    <row r="914" spans="2:24" ht="15" customHeight="1">
      <c r="B914" s="845"/>
      <c r="C914" s="845"/>
      <c r="D914" s="309"/>
      <c r="E914" s="396"/>
      <c r="F914" s="309"/>
      <c r="G914" s="309"/>
      <c r="H914" s="844"/>
      <c r="I914" s="846"/>
      <c r="K914" s="396"/>
      <c r="L914" s="815"/>
      <c r="M914" s="844"/>
      <c r="O914" s="204" t="str">
        <f t="shared" ca="1" si="32"/>
        <v/>
      </c>
      <c r="P914" s="118" t="str">
        <f t="shared" ca="1" si="33"/>
        <v/>
      </c>
      <c r="Q914" s="309"/>
      <c r="X914" s="309"/>
    </row>
    <row r="915" spans="2:24" ht="15" customHeight="1">
      <c r="B915" s="845"/>
      <c r="C915" s="845"/>
      <c r="D915" s="309"/>
      <c r="E915" s="396"/>
      <c r="F915" s="309"/>
      <c r="G915" s="309"/>
      <c r="H915" s="844"/>
      <c r="I915" s="846"/>
      <c r="K915" s="396"/>
      <c r="L915" s="815"/>
      <c r="M915" s="844"/>
      <c r="O915" s="204" t="str">
        <f t="shared" ca="1" si="32"/>
        <v/>
      </c>
      <c r="P915" s="118" t="str">
        <f t="shared" ca="1" si="33"/>
        <v/>
      </c>
      <c r="Q915" s="309"/>
      <c r="X915" s="309"/>
    </row>
    <row r="916" spans="2:24" ht="15" customHeight="1">
      <c r="B916" s="845"/>
      <c r="C916" s="845"/>
      <c r="D916" s="309"/>
      <c r="E916" s="396"/>
      <c r="F916" s="309"/>
      <c r="G916" s="309"/>
      <c r="H916" s="844"/>
      <c r="I916" s="846"/>
      <c r="K916" s="396"/>
      <c r="L916" s="815"/>
      <c r="M916" s="844"/>
      <c r="O916" s="204" t="str">
        <f t="shared" ca="1" si="32"/>
        <v/>
      </c>
      <c r="P916" s="118" t="str">
        <f t="shared" ca="1" si="33"/>
        <v/>
      </c>
      <c r="Q916" s="309"/>
      <c r="X916" s="309"/>
    </row>
    <row r="917" spans="2:24" ht="15" customHeight="1">
      <c r="B917" s="845"/>
      <c r="C917" s="845"/>
      <c r="D917" s="309"/>
      <c r="E917" s="396"/>
      <c r="F917" s="309"/>
      <c r="G917" s="309"/>
      <c r="H917" s="844"/>
      <c r="I917" s="846"/>
      <c r="K917" s="396"/>
      <c r="L917" s="815"/>
      <c r="M917" s="844"/>
      <c r="O917" s="204" t="str">
        <f t="shared" ca="1" si="32"/>
        <v/>
      </c>
      <c r="P917" s="118" t="str">
        <f t="shared" ca="1" si="33"/>
        <v/>
      </c>
      <c r="Q917" s="309"/>
      <c r="X917" s="309"/>
    </row>
    <row r="918" spans="2:24" ht="15" customHeight="1">
      <c r="B918" s="845"/>
      <c r="C918" s="845"/>
      <c r="D918" s="309"/>
      <c r="E918" s="396"/>
      <c r="F918" s="309"/>
      <c r="G918" s="309"/>
      <c r="H918" s="844"/>
      <c r="I918" s="846"/>
      <c r="K918" s="396"/>
      <c r="L918" s="815"/>
      <c r="M918" s="844"/>
      <c r="O918" s="204" t="str">
        <f t="shared" ca="1" si="32"/>
        <v/>
      </c>
      <c r="P918" s="118" t="str">
        <f t="shared" ca="1" si="33"/>
        <v/>
      </c>
      <c r="Q918" s="309"/>
      <c r="X918" s="309"/>
    </row>
    <row r="919" spans="2:24" ht="15" customHeight="1">
      <c r="B919" s="845"/>
      <c r="C919" s="845"/>
      <c r="D919" s="309"/>
      <c r="E919" s="396"/>
      <c r="F919" s="309"/>
      <c r="G919" s="309"/>
      <c r="H919" s="844"/>
      <c r="I919" s="846"/>
      <c r="K919" s="396"/>
      <c r="L919" s="815"/>
      <c r="M919" s="844"/>
      <c r="O919" s="204" t="str">
        <f t="shared" ca="1" si="32"/>
        <v/>
      </c>
      <c r="P919" s="118" t="str">
        <f t="shared" ca="1" si="33"/>
        <v/>
      </c>
      <c r="Q919" s="309"/>
      <c r="X919" s="309"/>
    </row>
    <row r="920" spans="2:24" ht="15" customHeight="1">
      <c r="B920" s="845"/>
      <c r="C920" s="845"/>
      <c r="D920" s="309"/>
      <c r="E920" s="396"/>
      <c r="F920" s="309"/>
      <c r="G920" s="309"/>
      <c r="H920" s="844"/>
      <c r="I920" s="846"/>
      <c r="K920" s="396"/>
      <c r="L920" s="815"/>
      <c r="M920" s="844"/>
      <c r="O920" s="204" t="str">
        <f t="shared" ca="1" si="32"/>
        <v/>
      </c>
      <c r="P920" s="118" t="str">
        <f t="shared" ca="1" si="33"/>
        <v/>
      </c>
      <c r="Q920" s="309"/>
      <c r="X920" s="309"/>
    </row>
    <row r="921" spans="2:24" ht="15" customHeight="1">
      <c r="B921" s="845"/>
      <c r="C921" s="845"/>
      <c r="D921" s="309"/>
      <c r="E921" s="396"/>
      <c r="F921" s="309"/>
      <c r="G921" s="309"/>
      <c r="H921" s="844"/>
      <c r="I921" s="846"/>
      <c r="K921" s="396"/>
      <c r="L921" s="815"/>
      <c r="M921" s="844"/>
      <c r="O921" s="204" t="str">
        <f t="shared" ca="1" si="32"/>
        <v/>
      </c>
      <c r="P921" s="118" t="str">
        <f t="shared" ca="1" si="33"/>
        <v/>
      </c>
      <c r="Q921" s="309"/>
      <c r="X921" s="309"/>
    </row>
    <row r="922" spans="2:24" ht="15" customHeight="1">
      <c r="B922" s="845"/>
      <c r="C922" s="845"/>
      <c r="D922" s="309"/>
      <c r="E922" s="396"/>
      <c r="F922" s="309"/>
      <c r="G922" s="309"/>
      <c r="H922" s="844"/>
      <c r="I922" s="846"/>
      <c r="K922" s="396"/>
      <c r="L922" s="815"/>
      <c r="M922" s="844"/>
      <c r="O922" s="204" t="str">
        <f t="shared" ca="1" si="32"/>
        <v/>
      </c>
      <c r="P922" s="118" t="str">
        <f t="shared" ca="1" si="33"/>
        <v/>
      </c>
      <c r="Q922" s="309"/>
      <c r="X922" s="309"/>
    </row>
    <row r="923" spans="2:24" ht="15" customHeight="1">
      <c r="B923" s="845"/>
      <c r="C923" s="845"/>
      <c r="D923" s="309"/>
      <c r="E923" s="396"/>
      <c r="F923" s="309"/>
      <c r="G923" s="309"/>
      <c r="H923" s="844"/>
      <c r="I923" s="846"/>
      <c r="K923" s="396"/>
      <c r="L923" s="815"/>
      <c r="M923" s="844"/>
      <c r="O923" s="204" t="str">
        <f t="shared" ca="1" si="32"/>
        <v/>
      </c>
      <c r="P923" s="118" t="str">
        <f t="shared" ca="1" si="33"/>
        <v/>
      </c>
      <c r="Q923" s="309"/>
      <c r="X923" s="309"/>
    </row>
    <row r="924" spans="2:24" ht="15" customHeight="1">
      <c r="B924" s="845"/>
      <c r="C924" s="845"/>
      <c r="D924" s="309"/>
      <c r="E924" s="396"/>
      <c r="F924" s="309"/>
      <c r="G924" s="309"/>
      <c r="H924" s="844"/>
      <c r="I924" s="846"/>
      <c r="K924" s="396"/>
      <c r="L924" s="815"/>
      <c r="M924" s="844"/>
      <c r="O924" s="204" t="str">
        <f t="shared" ca="1" si="32"/>
        <v/>
      </c>
      <c r="P924" s="118" t="str">
        <f t="shared" ca="1" si="33"/>
        <v/>
      </c>
      <c r="Q924" s="309"/>
      <c r="X924" s="309"/>
    </row>
    <row r="925" spans="2:24" ht="15" customHeight="1">
      <c r="B925" s="845"/>
      <c r="C925" s="845"/>
      <c r="D925" s="309"/>
      <c r="E925" s="396"/>
      <c r="F925" s="309"/>
      <c r="G925" s="309"/>
      <c r="H925" s="844"/>
      <c r="I925" s="846"/>
      <c r="K925" s="396"/>
      <c r="L925" s="815"/>
      <c r="M925" s="844"/>
      <c r="O925" s="204" t="str">
        <f t="shared" ca="1" si="32"/>
        <v/>
      </c>
      <c r="P925" s="118" t="str">
        <f t="shared" ca="1" si="33"/>
        <v/>
      </c>
      <c r="Q925" s="309"/>
      <c r="X925" s="309"/>
    </row>
    <row r="926" spans="2:24" ht="15" customHeight="1">
      <c r="B926" s="845"/>
      <c r="C926" s="845"/>
      <c r="D926" s="309"/>
      <c r="E926" s="396"/>
      <c r="F926" s="309"/>
      <c r="G926" s="309"/>
      <c r="H926" s="844"/>
      <c r="I926" s="846"/>
      <c r="K926" s="396"/>
      <c r="L926" s="815"/>
      <c r="M926" s="844"/>
      <c r="O926" s="204" t="str">
        <f t="shared" ca="1" si="32"/>
        <v/>
      </c>
      <c r="P926" s="118" t="str">
        <f t="shared" ca="1" si="33"/>
        <v/>
      </c>
      <c r="Q926" s="309"/>
      <c r="X926" s="309"/>
    </row>
    <row r="927" spans="2:24" ht="15" customHeight="1">
      <c r="B927" s="845"/>
      <c r="C927" s="845"/>
      <c r="D927" s="309"/>
      <c r="E927" s="396"/>
      <c r="F927" s="309"/>
      <c r="G927" s="309"/>
      <c r="H927" s="844"/>
      <c r="I927" s="846"/>
      <c r="K927" s="396"/>
      <c r="L927" s="815"/>
      <c r="M927" s="844"/>
      <c r="O927" s="204" t="str">
        <f t="shared" ca="1" si="32"/>
        <v/>
      </c>
      <c r="P927" s="118" t="str">
        <f t="shared" ca="1" si="33"/>
        <v/>
      </c>
      <c r="Q927" s="309"/>
      <c r="X927" s="309"/>
    </row>
    <row r="928" spans="2:24" ht="15" customHeight="1">
      <c r="B928" s="845"/>
      <c r="C928" s="845"/>
      <c r="D928" s="309"/>
      <c r="E928" s="396"/>
      <c r="F928" s="309"/>
      <c r="G928" s="309"/>
      <c r="H928" s="844"/>
      <c r="I928" s="846"/>
      <c r="K928" s="396"/>
      <c r="L928" s="815"/>
      <c r="M928" s="844"/>
      <c r="O928" s="204" t="str">
        <f t="shared" ca="1" si="32"/>
        <v/>
      </c>
      <c r="P928" s="118" t="str">
        <f t="shared" ca="1" si="33"/>
        <v/>
      </c>
      <c r="Q928" s="309"/>
      <c r="X928" s="309"/>
    </row>
    <row r="929" spans="2:24" ht="15" customHeight="1">
      <c r="B929" s="845"/>
      <c r="C929" s="845"/>
      <c r="D929" s="309"/>
      <c r="E929" s="396"/>
      <c r="F929" s="309"/>
      <c r="G929" s="309"/>
      <c r="H929" s="844"/>
      <c r="I929" s="846"/>
      <c r="K929" s="396"/>
      <c r="L929" s="815"/>
      <c r="M929" s="844"/>
      <c r="O929" s="204" t="str">
        <f t="shared" ca="1" si="32"/>
        <v/>
      </c>
      <c r="P929" s="118" t="str">
        <f t="shared" ca="1" si="33"/>
        <v/>
      </c>
      <c r="Q929" s="309"/>
      <c r="X929" s="309"/>
    </row>
    <row r="930" spans="2:24" ht="15" customHeight="1">
      <c r="B930" s="845"/>
      <c r="C930" s="845"/>
      <c r="D930" s="309"/>
      <c r="E930" s="396"/>
      <c r="F930" s="309"/>
      <c r="G930" s="309"/>
      <c r="H930" s="844"/>
      <c r="I930" s="846"/>
      <c r="K930" s="396"/>
      <c r="L930" s="815"/>
      <c r="M930" s="844"/>
      <c r="O930" s="204" t="str">
        <f t="shared" ca="1" si="32"/>
        <v/>
      </c>
      <c r="P930" s="118" t="str">
        <f t="shared" ca="1" si="33"/>
        <v/>
      </c>
      <c r="Q930" s="309"/>
      <c r="X930" s="309"/>
    </row>
    <row r="931" spans="2:24" ht="15" customHeight="1">
      <c r="B931" s="845"/>
      <c r="C931" s="845"/>
      <c r="D931" s="309"/>
      <c r="E931" s="396"/>
      <c r="F931" s="309"/>
      <c r="G931" s="309"/>
      <c r="H931" s="844"/>
      <c r="I931" s="846"/>
      <c r="K931" s="396"/>
      <c r="L931" s="815"/>
      <c r="M931" s="844"/>
      <c r="O931" s="204" t="str">
        <f t="shared" ca="1" si="32"/>
        <v/>
      </c>
      <c r="P931" s="118" t="str">
        <f t="shared" ca="1" si="33"/>
        <v/>
      </c>
      <c r="Q931" s="309"/>
      <c r="X931" s="309"/>
    </row>
    <row r="932" spans="2:24" ht="15" customHeight="1">
      <c r="B932" s="845"/>
      <c r="C932" s="845"/>
      <c r="D932" s="309"/>
      <c r="E932" s="396"/>
      <c r="F932" s="309"/>
      <c r="G932" s="309"/>
      <c r="H932" s="844"/>
      <c r="I932" s="846"/>
      <c r="K932" s="396"/>
      <c r="L932" s="815"/>
      <c r="M932" s="844"/>
      <c r="O932" s="204" t="str">
        <f t="shared" ca="1" si="32"/>
        <v/>
      </c>
      <c r="P932" s="118" t="str">
        <f t="shared" ca="1" si="33"/>
        <v/>
      </c>
      <c r="Q932" s="309"/>
      <c r="X932" s="309"/>
    </row>
    <row r="933" spans="2:24" ht="15" customHeight="1">
      <c r="B933" s="845"/>
      <c r="C933" s="845"/>
      <c r="D933" s="309"/>
      <c r="E933" s="396"/>
      <c r="F933" s="309"/>
      <c r="G933" s="309"/>
      <c r="H933" s="844"/>
      <c r="I933" s="846"/>
      <c r="K933" s="396"/>
      <c r="L933" s="815"/>
      <c r="M933" s="844"/>
      <c r="O933" s="204" t="str">
        <f t="shared" ca="1" si="32"/>
        <v/>
      </c>
      <c r="P933" s="118" t="str">
        <f t="shared" ca="1" si="33"/>
        <v/>
      </c>
      <c r="Q933" s="309"/>
      <c r="X933" s="309"/>
    </row>
    <row r="934" spans="2:24" ht="15" customHeight="1">
      <c r="B934" s="845"/>
      <c r="C934" s="845"/>
      <c r="D934" s="309"/>
      <c r="E934" s="396"/>
      <c r="F934" s="309"/>
      <c r="G934" s="309"/>
      <c r="H934" s="844"/>
      <c r="I934" s="846"/>
      <c r="K934" s="396"/>
      <c r="L934" s="815"/>
      <c r="M934" s="844"/>
      <c r="O934" s="204" t="str">
        <f t="shared" ca="1" si="32"/>
        <v/>
      </c>
      <c r="P934" s="118" t="str">
        <f t="shared" ca="1" si="33"/>
        <v/>
      </c>
      <c r="Q934" s="309"/>
      <c r="X934" s="309"/>
    </row>
    <row r="935" spans="2:24" ht="15" customHeight="1">
      <c r="B935" s="845"/>
      <c r="C935" s="845"/>
      <c r="D935" s="309"/>
      <c r="E935" s="396"/>
      <c r="F935" s="309"/>
      <c r="G935" s="309"/>
      <c r="H935" s="844"/>
      <c r="I935" s="846"/>
      <c r="K935" s="396"/>
      <c r="L935" s="815"/>
      <c r="M935" s="844"/>
      <c r="O935" s="204" t="str">
        <f t="shared" ca="1" si="32"/>
        <v/>
      </c>
      <c r="P935" s="118" t="str">
        <f t="shared" ca="1" si="33"/>
        <v/>
      </c>
      <c r="Q935" s="309"/>
      <c r="X935" s="309"/>
    </row>
    <row r="936" spans="2:24" ht="15" customHeight="1">
      <c r="B936" s="845"/>
      <c r="C936" s="845"/>
      <c r="D936" s="309"/>
      <c r="E936" s="396"/>
      <c r="F936" s="309"/>
      <c r="G936" s="309"/>
      <c r="H936" s="844"/>
      <c r="I936" s="846"/>
      <c r="K936" s="396"/>
      <c r="L936" s="815"/>
      <c r="M936" s="844"/>
      <c r="O936" s="204" t="str">
        <f t="shared" ca="1" si="32"/>
        <v/>
      </c>
      <c r="P936" s="118" t="str">
        <f t="shared" ca="1" si="33"/>
        <v/>
      </c>
      <c r="Q936" s="309"/>
      <c r="X936" s="309"/>
    </row>
    <row r="937" spans="2:24" ht="15" customHeight="1">
      <c r="B937" s="845"/>
      <c r="C937" s="845"/>
      <c r="D937" s="309"/>
      <c r="E937" s="396"/>
      <c r="F937" s="309"/>
      <c r="G937" s="309"/>
      <c r="H937" s="844"/>
      <c r="I937" s="846"/>
      <c r="K937" s="396"/>
      <c r="L937" s="815"/>
      <c r="M937" s="844"/>
      <c r="O937" s="204" t="str">
        <f t="shared" ca="1" si="32"/>
        <v/>
      </c>
      <c r="P937" s="118" t="str">
        <f t="shared" ca="1" si="33"/>
        <v/>
      </c>
      <c r="Q937" s="309"/>
      <c r="X937" s="309"/>
    </row>
    <row r="938" spans="2:24" ht="15" customHeight="1">
      <c r="B938" s="845"/>
      <c r="C938" s="845"/>
      <c r="D938" s="309"/>
      <c r="E938" s="396"/>
      <c r="F938" s="309"/>
      <c r="G938" s="309"/>
      <c r="H938" s="844"/>
      <c r="I938" s="846"/>
      <c r="K938" s="396"/>
      <c r="L938" s="815"/>
      <c r="M938" s="844"/>
      <c r="O938" s="204" t="str">
        <f t="shared" ca="1" si="32"/>
        <v/>
      </c>
      <c r="P938" s="118" t="str">
        <f t="shared" ca="1" si="33"/>
        <v/>
      </c>
      <c r="Q938" s="309"/>
      <c r="X938" s="309"/>
    </row>
    <row r="939" spans="2:24" ht="15" customHeight="1">
      <c r="B939" s="845"/>
      <c r="C939" s="845"/>
      <c r="D939" s="309"/>
      <c r="E939" s="396"/>
      <c r="F939" s="309"/>
      <c r="G939" s="309"/>
      <c r="H939" s="844"/>
      <c r="I939" s="846"/>
      <c r="K939" s="396"/>
      <c r="L939" s="815"/>
      <c r="M939" s="844"/>
      <c r="O939" s="204" t="str">
        <f t="shared" ca="1" si="32"/>
        <v/>
      </c>
      <c r="P939" s="118" t="str">
        <f t="shared" ca="1" si="33"/>
        <v/>
      </c>
      <c r="Q939" s="309"/>
      <c r="X939" s="309"/>
    </row>
    <row r="940" spans="2:24" ht="15" customHeight="1">
      <c r="B940" s="845"/>
      <c r="C940" s="845"/>
      <c r="D940" s="309"/>
      <c r="E940" s="396"/>
      <c r="F940" s="309"/>
      <c r="G940" s="309"/>
      <c r="H940" s="844"/>
      <c r="I940" s="846"/>
      <c r="K940" s="396"/>
      <c r="L940" s="815"/>
      <c r="M940" s="844"/>
      <c r="O940" s="204" t="str">
        <f t="shared" ca="1" si="32"/>
        <v/>
      </c>
      <c r="P940" s="118" t="str">
        <f t="shared" ca="1" si="33"/>
        <v/>
      </c>
      <c r="Q940" s="309"/>
      <c r="X940" s="309"/>
    </row>
    <row r="941" spans="2:24" ht="15" customHeight="1">
      <c r="B941" s="845"/>
      <c r="C941" s="845"/>
      <c r="D941" s="309"/>
      <c r="E941" s="396"/>
      <c r="F941" s="309"/>
      <c r="G941" s="309"/>
      <c r="H941" s="844"/>
      <c r="I941" s="846"/>
      <c r="K941" s="396"/>
      <c r="L941" s="815"/>
      <c r="M941" s="844"/>
      <c r="O941" s="204" t="str">
        <f t="shared" ca="1" si="32"/>
        <v/>
      </c>
      <c r="P941" s="118" t="str">
        <f t="shared" ca="1" si="33"/>
        <v/>
      </c>
      <c r="Q941" s="309"/>
      <c r="X941" s="309"/>
    </row>
    <row r="942" spans="2:24" ht="15" customHeight="1">
      <c r="B942" s="845"/>
      <c r="C942" s="845"/>
      <c r="D942" s="309"/>
      <c r="E942" s="396"/>
      <c r="F942" s="309"/>
      <c r="G942" s="309"/>
      <c r="H942" s="844"/>
      <c r="I942" s="846"/>
      <c r="K942" s="396"/>
      <c r="L942" s="815"/>
      <c r="M942" s="844"/>
      <c r="O942" s="204" t="str">
        <f t="shared" ca="1" si="32"/>
        <v/>
      </c>
      <c r="P942" s="118" t="str">
        <f t="shared" ca="1" si="33"/>
        <v/>
      </c>
      <c r="Q942" s="309"/>
      <c r="X942" s="309"/>
    </row>
    <row r="943" spans="2:24" ht="15" customHeight="1">
      <c r="B943" s="845"/>
      <c r="C943" s="845"/>
      <c r="D943" s="309"/>
      <c r="E943" s="396"/>
      <c r="F943" s="309"/>
      <c r="G943" s="309"/>
      <c r="H943" s="844"/>
      <c r="I943" s="846"/>
      <c r="K943" s="396"/>
      <c r="L943" s="815"/>
      <c r="M943" s="844"/>
      <c r="O943" s="204" t="str">
        <f t="shared" ref="O943:O1006" ca="1" si="34">IF(ISBLANK(L943), "", IF(ISNUMBER(M943), M943-L943, TODAY()-L943))</f>
        <v/>
      </c>
      <c r="P943" s="118" t="str">
        <f t="shared" ca="1" si="33"/>
        <v/>
      </c>
      <c r="Q943" s="309"/>
      <c r="X943" s="309"/>
    </row>
    <row r="944" spans="2:24" ht="15" customHeight="1">
      <c r="B944" s="845"/>
      <c r="C944" s="845"/>
      <c r="D944" s="309"/>
      <c r="E944" s="396"/>
      <c r="F944" s="309"/>
      <c r="G944" s="309"/>
      <c r="H944" s="844"/>
      <c r="I944" s="846"/>
      <c r="K944" s="396"/>
      <c r="L944" s="815"/>
      <c r="M944" s="844"/>
      <c r="O944" s="204" t="str">
        <f t="shared" ca="1" si="34"/>
        <v/>
      </c>
      <c r="P944" s="118" t="str">
        <f t="shared" ca="1" si="33"/>
        <v/>
      </c>
      <c r="Q944" s="309"/>
      <c r="X944" s="309"/>
    </row>
    <row r="945" spans="2:24" ht="15" customHeight="1">
      <c r="B945" s="845"/>
      <c r="C945" s="845"/>
      <c r="D945" s="309"/>
      <c r="E945" s="396"/>
      <c r="F945" s="309"/>
      <c r="G945" s="309"/>
      <c r="H945" s="844"/>
      <c r="I945" s="846"/>
      <c r="K945" s="396"/>
      <c r="L945" s="815"/>
      <c r="M945" s="844"/>
      <c r="O945" s="204" t="str">
        <f t="shared" ca="1" si="34"/>
        <v/>
      </c>
      <c r="P945" s="118" t="str">
        <f t="shared" ca="1" si="33"/>
        <v/>
      </c>
      <c r="Q945" s="309"/>
      <c r="X945" s="309"/>
    </row>
    <row r="946" spans="2:24" ht="15" customHeight="1">
      <c r="B946" s="845"/>
      <c r="C946" s="845"/>
      <c r="D946" s="309"/>
      <c r="E946" s="396"/>
      <c r="F946" s="309"/>
      <c r="G946" s="309"/>
      <c r="H946" s="844"/>
      <c r="I946" s="846"/>
      <c r="K946" s="396"/>
      <c r="L946" s="815"/>
      <c r="M946" s="844"/>
      <c r="O946" s="204" t="str">
        <f t="shared" ca="1" si="34"/>
        <v/>
      </c>
      <c r="P946" s="118" t="str">
        <f t="shared" ca="1" si="33"/>
        <v/>
      </c>
      <c r="Q946" s="309"/>
      <c r="X946" s="309"/>
    </row>
    <row r="947" spans="2:24" ht="15" customHeight="1">
      <c r="B947" s="845"/>
      <c r="C947" s="845"/>
      <c r="D947" s="309"/>
      <c r="E947" s="396"/>
      <c r="F947" s="309"/>
      <c r="G947" s="309"/>
      <c r="H947" s="844"/>
      <c r="I947" s="846"/>
      <c r="K947" s="396"/>
      <c r="L947" s="815"/>
      <c r="M947" s="844"/>
      <c r="O947" s="204" t="str">
        <f t="shared" ca="1" si="34"/>
        <v/>
      </c>
      <c r="P947" s="118" t="str">
        <f t="shared" ca="1" si="33"/>
        <v/>
      </c>
      <c r="Q947" s="309"/>
      <c r="X947" s="309"/>
    </row>
    <row r="948" spans="2:24" ht="15" customHeight="1">
      <c r="B948" s="845"/>
      <c r="C948" s="845"/>
      <c r="D948" s="309"/>
      <c r="E948" s="396"/>
      <c r="F948" s="309"/>
      <c r="G948" s="309"/>
      <c r="H948" s="844"/>
      <c r="I948" s="846"/>
      <c r="K948" s="396"/>
      <c r="L948" s="815"/>
      <c r="M948" s="844"/>
      <c r="O948" s="204" t="str">
        <f t="shared" ca="1" si="34"/>
        <v/>
      </c>
      <c r="P948" s="118" t="str">
        <f t="shared" ca="1" si="33"/>
        <v/>
      </c>
      <c r="Q948" s="309"/>
      <c r="X948" s="309"/>
    </row>
    <row r="949" spans="2:24" ht="15" customHeight="1">
      <c r="B949" s="845"/>
      <c r="C949" s="845"/>
      <c r="D949" s="309"/>
      <c r="E949" s="396"/>
      <c r="F949" s="309"/>
      <c r="G949" s="309"/>
      <c r="H949" s="844"/>
      <c r="I949" s="846"/>
      <c r="K949" s="396"/>
      <c r="L949" s="815"/>
      <c r="M949" s="844"/>
      <c r="O949" s="204" t="str">
        <f t="shared" ca="1" si="34"/>
        <v/>
      </c>
      <c r="P949" s="118" t="str">
        <f t="shared" ca="1" si="33"/>
        <v/>
      </c>
      <c r="Q949" s="309"/>
      <c r="X949" s="309"/>
    </row>
    <row r="950" spans="2:24" ht="15" customHeight="1">
      <c r="B950" s="845"/>
      <c r="C950" s="845"/>
      <c r="D950" s="309"/>
      <c r="E950" s="396"/>
      <c r="F950" s="309"/>
      <c r="G950" s="309"/>
      <c r="H950" s="844"/>
      <c r="I950" s="846"/>
      <c r="K950" s="396"/>
      <c r="L950" s="815"/>
      <c r="M950" s="844"/>
      <c r="O950" s="204" t="str">
        <f t="shared" ca="1" si="34"/>
        <v/>
      </c>
      <c r="P950" s="118" t="str">
        <f t="shared" ca="1" si="33"/>
        <v/>
      </c>
      <c r="Q950" s="309"/>
      <c r="X950" s="309"/>
    </row>
    <row r="951" spans="2:24" ht="15" customHeight="1">
      <c r="B951" s="845"/>
      <c r="C951" s="845"/>
      <c r="D951" s="309"/>
      <c r="E951" s="396"/>
      <c r="F951" s="309"/>
      <c r="G951" s="309"/>
      <c r="H951" s="844"/>
      <c r="I951" s="846"/>
      <c r="K951" s="396"/>
      <c r="L951" s="815"/>
      <c r="M951" s="844"/>
      <c r="O951" s="204" t="str">
        <f t="shared" ca="1" si="34"/>
        <v/>
      </c>
      <c r="P951" s="118" t="str">
        <f t="shared" ca="1" si="33"/>
        <v/>
      </c>
      <c r="Q951" s="309"/>
      <c r="X951" s="309"/>
    </row>
    <row r="952" spans="2:24" ht="15" customHeight="1">
      <c r="B952" s="845"/>
      <c r="C952" s="845"/>
      <c r="D952" s="309"/>
      <c r="E952" s="396"/>
      <c r="F952" s="309"/>
      <c r="G952" s="309"/>
      <c r="H952" s="844"/>
      <c r="I952" s="846"/>
      <c r="K952" s="396"/>
      <c r="L952" s="815"/>
      <c r="M952" s="844"/>
      <c r="O952" s="204" t="str">
        <f t="shared" ca="1" si="34"/>
        <v/>
      </c>
      <c r="P952" s="118" t="str">
        <f t="shared" ca="1" si="33"/>
        <v/>
      </c>
      <c r="Q952" s="309"/>
      <c r="X952" s="309"/>
    </row>
    <row r="953" spans="2:24" ht="15" customHeight="1">
      <c r="B953" s="845"/>
      <c r="C953" s="845"/>
      <c r="D953" s="309"/>
      <c r="E953" s="396"/>
      <c r="F953" s="309"/>
      <c r="G953" s="309"/>
      <c r="H953" s="844"/>
      <c r="I953" s="846"/>
      <c r="K953" s="396"/>
      <c r="L953" s="815"/>
      <c r="M953" s="844"/>
      <c r="O953" s="204" t="str">
        <f t="shared" ca="1" si="34"/>
        <v/>
      </c>
      <c r="P953" s="118" t="str">
        <f t="shared" ca="1" si="33"/>
        <v/>
      </c>
      <c r="Q953" s="309"/>
      <c r="X953" s="309"/>
    </row>
    <row r="954" spans="2:24" ht="15" customHeight="1">
      <c r="B954" s="845"/>
      <c r="C954" s="845"/>
      <c r="D954" s="309"/>
      <c r="E954" s="396"/>
      <c r="F954" s="309"/>
      <c r="G954" s="309"/>
      <c r="H954" s="844"/>
      <c r="I954" s="846"/>
      <c r="K954" s="396"/>
      <c r="L954" s="815"/>
      <c r="M954" s="844"/>
      <c r="O954" s="204" t="str">
        <f t="shared" ca="1" si="34"/>
        <v/>
      </c>
      <c r="P954" s="118" t="str">
        <f t="shared" ca="1" si="33"/>
        <v/>
      </c>
      <c r="Q954" s="309"/>
      <c r="X954" s="309"/>
    </row>
    <row r="955" spans="2:24" ht="15" customHeight="1">
      <c r="B955" s="845"/>
      <c r="C955" s="845"/>
      <c r="D955" s="309"/>
      <c r="E955" s="396"/>
      <c r="F955" s="309"/>
      <c r="G955" s="309"/>
      <c r="H955" s="844"/>
      <c r="I955" s="846"/>
      <c r="K955" s="396"/>
      <c r="L955" s="815"/>
      <c r="M955" s="844"/>
      <c r="O955" s="204" t="str">
        <f t="shared" ca="1" si="34"/>
        <v/>
      </c>
      <c r="P955" s="118" t="str">
        <f t="shared" ca="1" si="33"/>
        <v/>
      </c>
      <c r="Q955" s="309"/>
      <c r="X955" s="309"/>
    </row>
    <row r="956" spans="2:24" ht="15" customHeight="1">
      <c r="B956" s="845"/>
      <c r="C956" s="845"/>
      <c r="D956" s="309"/>
      <c r="E956" s="396"/>
      <c r="F956" s="309"/>
      <c r="G956" s="309"/>
      <c r="H956" s="844"/>
      <c r="I956" s="846"/>
      <c r="K956" s="396"/>
      <c r="L956" s="815"/>
      <c r="M956" s="844"/>
      <c r="O956" s="204" t="str">
        <f t="shared" ca="1" si="34"/>
        <v/>
      </c>
      <c r="P956" s="118" t="str">
        <f t="shared" ca="1" si="33"/>
        <v/>
      </c>
      <c r="Q956" s="309"/>
      <c r="X956" s="309"/>
    </row>
    <row r="957" spans="2:24" ht="15" customHeight="1">
      <c r="B957" s="845"/>
      <c r="C957" s="845"/>
      <c r="D957" s="309"/>
      <c r="E957" s="396"/>
      <c r="F957" s="309"/>
      <c r="G957" s="309"/>
      <c r="H957" s="844"/>
      <c r="I957" s="846"/>
      <c r="K957" s="396"/>
      <c r="L957" s="815"/>
      <c r="M957" s="844"/>
      <c r="O957" s="204" t="str">
        <f t="shared" ca="1" si="34"/>
        <v/>
      </c>
      <c r="P957" s="118" t="str">
        <f t="shared" ca="1" si="33"/>
        <v/>
      </c>
      <c r="Q957" s="309"/>
      <c r="X957" s="309"/>
    </row>
    <row r="958" spans="2:24" ht="15" customHeight="1">
      <c r="B958" s="845"/>
      <c r="C958" s="845"/>
      <c r="D958" s="309"/>
      <c r="E958" s="396"/>
      <c r="F958" s="309"/>
      <c r="G958" s="309"/>
      <c r="H958" s="844"/>
      <c r="I958" s="846"/>
      <c r="K958" s="396"/>
      <c r="L958" s="815"/>
      <c r="M958" s="844"/>
      <c r="O958" s="204" t="str">
        <f t="shared" ca="1" si="34"/>
        <v/>
      </c>
      <c r="P958" s="118" t="str">
        <f t="shared" ca="1" si="33"/>
        <v/>
      </c>
      <c r="Q958" s="309"/>
      <c r="X958" s="309"/>
    </row>
    <row r="959" spans="2:24" ht="15" customHeight="1">
      <c r="B959" s="845"/>
      <c r="C959" s="845"/>
      <c r="D959" s="309"/>
      <c r="E959" s="396"/>
      <c r="F959" s="309"/>
      <c r="G959" s="309"/>
      <c r="H959" s="844"/>
      <c r="I959" s="846"/>
      <c r="K959" s="396"/>
      <c r="L959" s="815"/>
      <c r="M959" s="844"/>
      <c r="O959" s="204" t="str">
        <f t="shared" ca="1" si="34"/>
        <v/>
      </c>
      <c r="P959" s="118" t="str">
        <f t="shared" ca="1" si="33"/>
        <v/>
      </c>
      <c r="Q959" s="309"/>
      <c r="X959" s="309"/>
    </row>
    <row r="960" spans="2:24" ht="15" customHeight="1">
      <c r="B960" s="845"/>
      <c r="C960" s="845"/>
      <c r="D960" s="309"/>
      <c r="E960" s="396"/>
      <c r="F960" s="309"/>
      <c r="G960" s="309"/>
      <c r="H960" s="844"/>
      <c r="I960" s="846"/>
      <c r="K960" s="396"/>
      <c r="L960" s="815"/>
      <c r="M960" s="844"/>
      <c r="O960" s="204" t="str">
        <f t="shared" ca="1" si="34"/>
        <v/>
      </c>
      <c r="P960" s="118" t="str">
        <f t="shared" ca="1" si="33"/>
        <v/>
      </c>
      <c r="Q960" s="309"/>
      <c r="X960" s="309"/>
    </row>
    <row r="961" spans="2:24" ht="15" customHeight="1">
      <c r="B961" s="845"/>
      <c r="C961" s="845"/>
      <c r="D961" s="309"/>
      <c r="E961" s="396"/>
      <c r="F961" s="309"/>
      <c r="G961" s="309"/>
      <c r="H961" s="844"/>
      <c r="I961" s="846"/>
      <c r="K961" s="396"/>
      <c r="L961" s="815"/>
      <c r="M961" s="844"/>
      <c r="O961" s="204" t="str">
        <f t="shared" ca="1" si="34"/>
        <v/>
      </c>
      <c r="P961" s="118" t="str">
        <f t="shared" ca="1" si="33"/>
        <v/>
      </c>
      <c r="Q961" s="309"/>
      <c r="X961" s="309"/>
    </row>
    <row r="962" spans="2:24" ht="15" customHeight="1">
      <c r="B962" s="845"/>
      <c r="C962" s="845"/>
      <c r="D962" s="309"/>
      <c r="E962" s="396"/>
      <c r="F962" s="309"/>
      <c r="G962" s="309"/>
      <c r="H962" s="844"/>
      <c r="I962" s="846"/>
      <c r="K962" s="396"/>
      <c r="L962" s="815"/>
      <c r="M962" s="844"/>
      <c r="O962" s="204" t="str">
        <f t="shared" ca="1" si="34"/>
        <v/>
      </c>
      <c r="P962" s="118" t="str">
        <f t="shared" ca="1" si="33"/>
        <v/>
      </c>
      <c r="Q962" s="309"/>
      <c r="X962" s="309"/>
    </row>
    <row r="963" spans="2:24" ht="15" customHeight="1">
      <c r="B963" s="845"/>
      <c r="C963" s="845"/>
      <c r="D963" s="309"/>
      <c r="E963" s="396"/>
      <c r="F963" s="309"/>
      <c r="G963" s="309"/>
      <c r="H963" s="844"/>
      <c r="I963" s="846"/>
      <c r="K963" s="396"/>
      <c r="L963" s="815"/>
      <c r="M963" s="844"/>
      <c r="O963" s="204" t="str">
        <f t="shared" ca="1" si="34"/>
        <v/>
      </c>
      <c r="P963" s="118" t="str">
        <f t="shared" ref="P963:P1026" ca="1" si="35">IF(ISBLANK(H963), "", IF(ISNUMBER(M963), M963-H963, TODAY()-H963))</f>
        <v/>
      </c>
      <c r="Q963" s="309"/>
      <c r="X963" s="309"/>
    </row>
    <row r="964" spans="2:24" ht="15" customHeight="1">
      <c r="B964" s="845"/>
      <c r="C964" s="845"/>
      <c r="D964" s="309"/>
      <c r="E964" s="396"/>
      <c r="F964" s="309"/>
      <c r="G964" s="309"/>
      <c r="H964" s="844"/>
      <c r="I964" s="846"/>
      <c r="K964" s="396"/>
      <c r="L964" s="815"/>
      <c r="M964" s="844"/>
      <c r="O964" s="204" t="str">
        <f t="shared" ca="1" si="34"/>
        <v/>
      </c>
      <c r="P964" s="118" t="str">
        <f t="shared" ca="1" si="35"/>
        <v/>
      </c>
      <c r="Q964" s="309"/>
      <c r="X964" s="309"/>
    </row>
    <row r="965" spans="2:24" ht="15" customHeight="1">
      <c r="B965" s="845"/>
      <c r="C965" s="845"/>
      <c r="D965" s="309"/>
      <c r="E965" s="396"/>
      <c r="F965" s="309"/>
      <c r="G965" s="309"/>
      <c r="H965" s="844"/>
      <c r="I965" s="846"/>
      <c r="K965" s="396"/>
      <c r="L965" s="815"/>
      <c r="M965" s="844"/>
      <c r="O965" s="204" t="str">
        <f t="shared" ca="1" si="34"/>
        <v/>
      </c>
      <c r="P965" s="118" t="str">
        <f t="shared" ca="1" si="35"/>
        <v/>
      </c>
      <c r="Q965" s="309"/>
      <c r="X965" s="309"/>
    </row>
    <row r="966" spans="2:24" ht="15" customHeight="1">
      <c r="B966" s="845"/>
      <c r="C966" s="845"/>
      <c r="D966" s="309"/>
      <c r="E966" s="396"/>
      <c r="F966" s="309"/>
      <c r="G966" s="309"/>
      <c r="H966" s="844"/>
      <c r="I966" s="846"/>
      <c r="K966" s="396"/>
      <c r="L966" s="815"/>
      <c r="M966" s="844"/>
      <c r="O966" s="204" t="str">
        <f t="shared" ca="1" si="34"/>
        <v/>
      </c>
      <c r="P966" s="118" t="str">
        <f t="shared" ca="1" si="35"/>
        <v/>
      </c>
      <c r="Q966" s="309"/>
      <c r="X966" s="309"/>
    </row>
    <row r="967" spans="2:24" ht="15" customHeight="1">
      <c r="B967" s="845"/>
      <c r="C967" s="845"/>
      <c r="D967" s="309"/>
      <c r="E967" s="396"/>
      <c r="F967" s="309"/>
      <c r="G967" s="309"/>
      <c r="H967" s="844"/>
      <c r="I967" s="846"/>
      <c r="K967" s="396"/>
      <c r="L967" s="815"/>
      <c r="M967" s="844"/>
      <c r="O967" s="204" t="str">
        <f t="shared" ca="1" si="34"/>
        <v/>
      </c>
      <c r="P967" s="118" t="str">
        <f t="shared" ca="1" si="35"/>
        <v/>
      </c>
      <c r="Q967" s="309"/>
      <c r="X967" s="309"/>
    </row>
    <row r="968" spans="2:24" ht="15" customHeight="1">
      <c r="B968" s="845"/>
      <c r="C968" s="845"/>
      <c r="D968" s="309"/>
      <c r="E968" s="396"/>
      <c r="F968" s="309"/>
      <c r="G968" s="309"/>
      <c r="H968" s="844"/>
      <c r="I968" s="846"/>
      <c r="K968" s="396"/>
      <c r="L968" s="815"/>
      <c r="M968" s="844"/>
      <c r="O968" s="204" t="str">
        <f t="shared" ca="1" si="34"/>
        <v/>
      </c>
      <c r="P968" s="118" t="str">
        <f t="shared" ca="1" si="35"/>
        <v/>
      </c>
      <c r="Q968" s="309"/>
      <c r="X968" s="309"/>
    </row>
    <row r="969" spans="2:24" ht="15" customHeight="1">
      <c r="B969" s="845"/>
      <c r="C969" s="845"/>
      <c r="D969" s="309"/>
      <c r="E969" s="396"/>
      <c r="F969" s="309"/>
      <c r="G969" s="309"/>
      <c r="H969" s="844"/>
      <c r="I969" s="846"/>
      <c r="K969" s="396"/>
      <c r="L969" s="815"/>
      <c r="M969" s="844"/>
      <c r="O969" s="204" t="str">
        <f t="shared" ca="1" si="34"/>
        <v/>
      </c>
      <c r="P969" s="118" t="str">
        <f t="shared" ca="1" si="35"/>
        <v/>
      </c>
      <c r="Q969" s="309"/>
      <c r="X969" s="309"/>
    </row>
    <row r="970" spans="2:24" ht="15" customHeight="1">
      <c r="B970" s="845"/>
      <c r="C970" s="845"/>
      <c r="D970" s="309"/>
      <c r="E970" s="396"/>
      <c r="F970" s="309"/>
      <c r="G970" s="309"/>
      <c r="H970" s="844"/>
      <c r="I970" s="846"/>
      <c r="K970" s="396"/>
      <c r="L970" s="815"/>
      <c r="M970" s="844"/>
      <c r="O970" s="204" t="str">
        <f t="shared" ca="1" si="34"/>
        <v/>
      </c>
      <c r="P970" s="118" t="str">
        <f t="shared" ca="1" si="35"/>
        <v/>
      </c>
      <c r="Q970" s="309"/>
      <c r="X970" s="309"/>
    </row>
    <row r="971" spans="2:24" ht="15" customHeight="1">
      <c r="B971" s="845"/>
      <c r="C971" s="845"/>
      <c r="D971" s="309"/>
      <c r="E971" s="396"/>
      <c r="F971" s="309"/>
      <c r="G971" s="309"/>
      <c r="H971" s="844"/>
      <c r="I971" s="846"/>
      <c r="K971" s="396"/>
      <c r="L971" s="815"/>
      <c r="M971" s="844"/>
      <c r="O971" s="204" t="str">
        <f t="shared" ca="1" si="34"/>
        <v/>
      </c>
      <c r="P971" s="118" t="str">
        <f t="shared" ca="1" si="35"/>
        <v/>
      </c>
      <c r="Q971" s="309"/>
      <c r="X971" s="309"/>
    </row>
    <row r="972" spans="2:24" ht="15" customHeight="1">
      <c r="B972" s="845"/>
      <c r="C972" s="845"/>
      <c r="D972" s="309"/>
      <c r="E972" s="396"/>
      <c r="F972" s="309"/>
      <c r="G972" s="309"/>
      <c r="H972" s="844"/>
      <c r="I972" s="846"/>
      <c r="K972" s="396"/>
      <c r="L972" s="815"/>
      <c r="M972" s="844"/>
      <c r="O972" s="204" t="str">
        <f t="shared" ca="1" si="34"/>
        <v/>
      </c>
      <c r="P972" s="118" t="str">
        <f t="shared" ca="1" si="35"/>
        <v/>
      </c>
      <c r="Q972" s="309"/>
      <c r="X972" s="309"/>
    </row>
    <row r="973" spans="2:24" ht="15" customHeight="1">
      <c r="B973" s="845"/>
      <c r="C973" s="845"/>
      <c r="D973" s="309"/>
      <c r="E973" s="396"/>
      <c r="F973" s="309"/>
      <c r="G973" s="309"/>
      <c r="H973" s="844"/>
      <c r="I973" s="846"/>
      <c r="K973" s="396"/>
      <c r="L973" s="815"/>
      <c r="M973" s="844"/>
      <c r="O973" s="204" t="str">
        <f t="shared" ca="1" si="34"/>
        <v/>
      </c>
      <c r="P973" s="118" t="str">
        <f t="shared" ca="1" si="35"/>
        <v/>
      </c>
      <c r="Q973" s="309"/>
      <c r="X973" s="309"/>
    </row>
    <row r="974" spans="2:24" ht="15" customHeight="1">
      <c r="B974" s="845"/>
      <c r="C974" s="845"/>
      <c r="D974" s="309"/>
      <c r="E974" s="396"/>
      <c r="F974" s="309"/>
      <c r="G974" s="309"/>
      <c r="H974" s="844"/>
      <c r="I974" s="846"/>
      <c r="K974" s="396"/>
      <c r="L974" s="815"/>
      <c r="M974" s="844"/>
      <c r="O974" s="204" t="str">
        <f t="shared" ca="1" si="34"/>
        <v/>
      </c>
      <c r="P974" s="118" t="str">
        <f t="shared" ca="1" si="35"/>
        <v/>
      </c>
      <c r="Q974" s="309"/>
      <c r="X974" s="309"/>
    </row>
    <row r="975" spans="2:24" ht="15" customHeight="1">
      <c r="B975" s="845"/>
      <c r="C975" s="845"/>
      <c r="D975" s="309"/>
      <c r="E975" s="396"/>
      <c r="F975" s="309"/>
      <c r="G975" s="309"/>
      <c r="H975" s="844"/>
      <c r="I975" s="846"/>
      <c r="K975" s="396"/>
      <c r="L975" s="815"/>
      <c r="M975" s="844"/>
      <c r="O975" s="204" t="str">
        <f t="shared" ca="1" si="34"/>
        <v/>
      </c>
      <c r="P975" s="118" t="str">
        <f t="shared" ca="1" si="35"/>
        <v/>
      </c>
      <c r="Q975" s="309"/>
      <c r="X975" s="309"/>
    </row>
    <row r="976" spans="2:24" ht="15" customHeight="1">
      <c r="B976" s="845"/>
      <c r="C976" s="845"/>
      <c r="D976" s="309"/>
      <c r="E976" s="396"/>
      <c r="F976" s="309"/>
      <c r="G976" s="309"/>
      <c r="H976" s="844"/>
      <c r="I976" s="846"/>
      <c r="K976" s="396"/>
      <c r="L976" s="815"/>
      <c r="M976" s="844"/>
      <c r="O976" s="204" t="str">
        <f t="shared" ca="1" si="34"/>
        <v/>
      </c>
      <c r="P976" s="118" t="str">
        <f t="shared" ca="1" si="35"/>
        <v/>
      </c>
      <c r="Q976" s="309"/>
      <c r="X976" s="309"/>
    </row>
    <row r="977" spans="2:24" ht="15" customHeight="1">
      <c r="B977" s="845"/>
      <c r="C977" s="845"/>
      <c r="D977" s="309"/>
      <c r="E977" s="396"/>
      <c r="F977" s="309"/>
      <c r="G977" s="309"/>
      <c r="H977" s="844"/>
      <c r="I977" s="846"/>
      <c r="K977" s="396"/>
      <c r="L977" s="815"/>
      <c r="M977" s="844"/>
      <c r="O977" s="204" t="str">
        <f t="shared" ca="1" si="34"/>
        <v/>
      </c>
      <c r="P977" s="118" t="str">
        <f t="shared" ca="1" si="35"/>
        <v/>
      </c>
      <c r="Q977" s="309"/>
      <c r="X977" s="309"/>
    </row>
    <row r="978" spans="2:24" ht="15" customHeight="1">
      <c r="B978" s="845"/>
      <c r="C978" s="845"/>
      <c r="D978" s="309"/>
      <c r="E978" s="396"/>
      <c r="F978" s="309"/>
      <c r="G978" s="309"/>
      <c r="H978" s="844"/>
      <c r="I978" s="846"/>
      <c r="K978" s="396"/>
      <c r="L978" s="815"/>
      <c r="M978" s="844"/>
      <c r="O978" s="204" t="str">
        <f t="shared" ca="1" si="34"/>
        <v/>
      </c>
      <c r="P978" s="118" t="str">
        <f t="shared" ca="1" si="35"/>
        <v/>
      </c>
      <c r="Q978" s="309"/>
      <c r="X978" s="309"/>
    </row>
    <row r="979" spans="2:24" ht="15" customHeight="1">
      <c r="B979" s="845"/>
      <c r="C979" s="845"/>
      <c r="D979" s="309"/>
      <c r="E979" s="396"/>
      <c r="F979" s="309"/>
      <c r="G979" s="309"/>
      <c r="H979" s="844"/>
      <c r="I979" s="846"/>
      <c r="K979" s="396"/>
      <c r="L979" s="815"/>
      <c r="M979" s="844"/>
      <c r="O979" s="204" t="str">
        <f t="shared" ca="1" si="34"/>
        <v/>
      </c>
      <c r="P979" s="118" t="str">
        <f t="shared" ca="1" si="35"/>
        <v/>
      </c>
      <c r="Q979" s="309"/>
      <c r="X979" s="309"/>
    </row>
    <row r="980" spans="2:24" ht="15" customHeight="1">
      <c r="B980" s="845"/>
      <c r="C980" s="845"/>
      <c r="D980" s="309"/>
      <c r="E980" s="396"/>
      <c r="F980" s="309"/>
      <c r="G980" s="309"/>
      <c r="H980" s="844"/>
      <c r="I980" s="846"/>
      <c r="K980" s="396"/>
      <c r="L980" s="815"/>
      <c r="M980" s="844"/>
      <c r="O980" s="204" t="str">
        <f t="shared" ca="1" si="34"/>
        <v/>
      </c>
      <c r="P980" s="118" t="str">
        <f t="shared" ca="1" si="35"/>
        <v/>
      </c>
      <c r="Q980" s="309"/>
      <c r="X980" s="309"/>
    </row>
    <row r="981" spans="2:24" ht="15" customHeight="1">
      <c r="B981" s="845"/>
      <c r="C981" s="845"/>
      <c r="D981" s="309"/>
      <c r="E981" s="396"/>
      <c r="F981" s="309"/>
      <c r="G981" s="309"/>
      <c r="H981" s="844"/>
      <c r="I981" s="846"/>
      <c r="K981" s="396"/>
      <c r="L981" s="815"/>
      <c r="M981" s="844"/>
      <c r="O981" s="204" t="str">
        <f t="shared" ca="1" si="34"/>
        <v/>
      </c>
      <c r="P981" s="118" t="str">
        <f t="shared" ca="1" si="35"/>
        <v/>
      </c>
      <c r="Q981" s="309"/>
      <c r="X981" s="309"/>
    </row>
    <row r="982" spans="2:24" ht="15" customHeight="1">
      <c r="B982" s="845"/>
      <c r="C982" s="845"/>
      <c r="D982" s="309"/>
      <c r="E982" s="396"/>
      <c r="F982" s="309"/>
      <c r="G982" s="309"/>
      <c r="H982" s="844"/>
      <c r="I982" s="846"/>
      <c r="K982" s="396"/>
      <c r="L982" s="815"/>
      <c r="M982" s="844"/>
      <c r="O982" s="204" t="str">
        <f t="shared" ca="1" si="34"/>
        <v/>
      </c>
      <c r="P982" s="118" t="str">
        <f t="shared" ca="1" si="35"/>
        <v/>
      </c>
      <c r="Q982" s="309"/>
      <c r="X982" s="309"/>
    </row>
    <row r="983" spans="2:24" ht="15" customHeight="1">
      <c r="B983" s="845"/>
      <c r="C983" s="845"/>
      <c r="D983" s="309"/>
      <c r="E983" s="396"/>
      <c r="F983" s="309"/>
      <c r="G983" s="309"/>
      <c r="H983" s="844"/>
      <c r="I983" s="846"/>
      <c r="K983" s="396"/>
      <c r="L983" s="815"/>
      <c r="M983" s="844"/>
      <c r="O983" s="204" t="str">
        <f t="shared" ca="1" si="34"/>
        <v/>
      </c>
      <c r="P983" s="118" t="str">
        <f t="shared" ca="1" si="35"/>
        <v/>
      </c>
      <c r="Q983" s="309"/>
      <c r="X983" s="309"/>
    </row>
    <row r="984" spans="2:24" ht="15" customHeight="1">
      <c r="B984" s="845"/>
      <c r="C984" s="845"/>
      <c r="D984" s="309"/>
      <c r="E984" s="396"/>
      <c r="F984" s="309"/>
      <c r="G984" s="309"/>
      <c r="H984" s="844"/>
      <c r="I984" s="846"/>
      <c r="K984" s="396"/>
      <c r="L984" s="815"/>
      <c r="M984" s="844"/>
      <c r="O984" s="204" t="str">
        <f t="shared" ca="1" si="34"/>
        <v/>
      </c>
      <c r="P984" s="118" t="str">
        <f t="shared" ca="1" si="35"/>
        <v/>
      </c>
      <c r="Q984" s="309"/>
      <c r="X984" s="309"/>
    </row>
    <row r="985" spans="2:24" ht="15" customHeight="1">
      <c r="B985" s="845"/>
      <c r="C985" s="845"/>
      <c r="D985" s="309"/>
      <c r="E985" s="396"/>
      <c r="F985" s="309"/>
      <c r="G985" s="309"/>
      <c r="H985" s="844"/>
      <c r="I985" s="846"/>
      <c r="K985" s="396"/>
      <c r="L985" s="815"/>
      <c r="M985" s="844"/>
      <c r="O985" s="204" t="str">
        <f t="shared" ca="1" si="34"/>
        <v/>
      </c>
      <c r="P985" s="118" t="str">
        <f t="shared" ca="1" si="35"/>
        <v/>
      </c>
      <c r="Q985" s="309"/>
      <c r="X985" s="309"/>
    </row>
    <row r="986" spans="2:24" ht="15" customHeight="1">
      <c r="B986" s="845"/>
      <c r="C986" s="845"/>
      <c r="D986" s="309"/>
      <c r="E986" s="396"/>
      <c r="F986" s="309"/>
      <c r="G986" s="309"/>
      <c r="H986" s="844"/>
      <c r="I986" s="846"/>
      <c r="K986" s="396"/>
      <c r="L986" s="815"/>
      <c r="M986" s="844"/>
      <c r="O986" s="204" t="str">
        <f t="shared" ca="1" si="34"/>
        <v/>
      </c>
      <c r="P986" s="118" t="str">
        <f t="shared" ca="1" si="35"/>
        <v/>
      </c>
      <c r="Q986" s="309"/>
      <c r="X986" s="309"/>
    </row>
    <row r="987" spans="2:24" ht="15" customHeight="1">
      <c r="B987" s="845"/>
      <c r="C987" s="845"/>
      <c r="D987" s="309"/>
      <c r="E987" s="396"/>
      <c r="F987" s="309"/>
      <c r="G987" s="309"/>
      <c r="H987" s="844"/>
      <c r="I987" s="846"/>
      <c r="K987" s="396"/>
      <c r="L987" s="815"/>
      <c r="M987" s="844"/>
      <c r="O987" s="204" t="str">
        <f t="shared" ca="1" si="34"/>
        <v/>
      </c>
      <c r="P987" s="118" t="str">
        <f t="shared" ca="1" si="35"/>
        <v/>
      </c>
      <c r="Q987" s="309"/>
      <c r="X987" s="309"/>
    </row>
    <row r="988" spans="2:24" ht="15" customHeight="1">
      <c r="B988" s="845"/>
      <c r="C988" s="845"/>
      <c r="D988" s="309"/>
      <c r="E988" s="396"/>
      <c r="F988" s="309"/>
      <c r="G988" s="309"/>
      <c r="H988" s="844"/>
      <c r="I988" s="846"/>
      <c r="K988" s="396"/>
      <c r="L988" s="815"/>
      <c r="M988" s="844"/>
      <c r="O988" s="204" t="str">
        <f t="shared" ca="1" si="34"/>
        <v/>
      </c>
      <c r="P988" s="118" t="str">
        <f t="shared" ca="1" si="35"/>
        <v/>
      </c>
      <c r="Q988" s="309"/>
      <c r="X988" s="309"/>
    </row>
    <row r="989" spans="2:24" ht="15" customHeight="1">
      <c r="B989" s="845"/>
      <c r="C989" s="845"/>
      <c r="D989" s="309"/>
      <c r="E989" s="396"/>
      <c r="F989" s="309"/>
      <c r="G989" s="309"/>
      <c r="H989" s="844"/>
      <c r="I989" s="846"/>
      <c r="K989" s="396"/>
      <c r="L989" s="815"/>
      <c r="M989" s="844"/>
      <c r="O989" s="204" t="str">
        <f t="shared" ca="1" si="34"/>
        <v/>
      </c>
      <c r="P989" s="118" t="str">
        <f t="shared" ca="1" si="35"/>
        <v/>
      </c>
      <c r="Q989" s="309"/>
      <c r="X989" s="309"/>
    </row>
    <row r="990" spans="2:24" ht="15" customHeight="1">
      <c r="B990" s="845"/>
      <c r="C990" s="845"/>
      <c r="D990" s="309"/>
      <c r="E990" s="396"/>
      <c r="F990" s="309"/>
      <c r="G990" s="309"/>
      <c r="H990" s="844"/>
      <c r="I990" s="846"/>
      <c r="K990" s="396"/>
      <c r="L990" s="815"/>
      <c r="M990" s="844"/>
      <c r="O990" s="204" t="str">
        <f t="shared" ca="1" si="34"/>
        <v/>
      </c>
      <c r="P990" s="118" t="str">
        <f t="shared" ca="1" si="35"/>
        <v/>
      </c>
      <c r="Q990" s="309"/>
      <c r="X990" s="309"/>
    </row>
    <row r="991" spans="2:24" ht="15" customHeight="1">
      <c r="B991" s="845"/>
      <c r="C991" s="845"/>
      <c r="D991" s="309"/>
      <c r="E991" s="396"/>
      <c r="F991" s="309"/>
      <c r="G991" s="309"/>
      <c r="H991" s="844"/>
      <c r="I991" s="846"/>
      <c r="K991" s="396"/>
      <c r="L991" s="815"/>
      <c r="M991" s="844"/>
      <c r="O991" s="204" t="str">
        <f t="shared" ca="1" si="34"/>
        <v/>
      </c>
      <c r="P991" s="118" t="str">
        <f t="shared" ca="1" si="35"/>
        <v/>
      </c>
      <c r="Q991" s="309"/>
      <c r="X991" s="309"/>
    </row>
    <row r="992" spans="2:24" ht="15" customHeight="1">
      <c r="B992" s="845"/>
      <c r="C992" s="845"/>
      <c r="D992" s="309"/>
      <c r="E992" s="396"/>
      <c r="F992" s="309"/>
      <c r="G992" s="309"/>
      <c r="H992" s="844"/>
      <c r="I992" s="846"/>
      <c r="K992" s="396"/>
      <c r="L992" s="815"/>
      <c r="M992" s="844"/>
      <c r="O992" s="204" t="str">
        <f t="shared" ca="1" si="34"/>
        <v/>
      </c>
      <c r="P992" s="118" t="str">
        <f t="shared" ca="1" si="35"/>
        <v/>
      </c>
      <c r="Q992" s="309"/>
      <c r="X992" s="309"/>
    </row>
    <row r="993" spans="2:24" ht="15" customHeight="1">
      <c r="B993" s="845"/>
      <c r="C993" s="845"/>
      <c r="D993" s="309"/>
      <c r="E993" s="396"/>
      <c r="F993" s="309"/>
      <c r="G993" s="309"/>
      <c r="H993" s="844"/>
      <c r="I993" s="846"/>
      <c r="K993" s="396"/>
      <c r="L993" s="815"/>
      <c r="M993" s="844"/>
      <c r="O993" s="204" t="str">
        <f t="shared" ca="1" si="34"/>
        <v/>
      </c>
      <c r="P993" s="118" t="str">
        <f t="shared" ca="1" si="35"/>
        <v/>
      </c>
      <c r="Q993" s="309"/>
      <c r="X993" s="309"/>
    </row>
    <row r="994" spans="2:24" ht="15" customHeight="1">
      <c r="B994" s="845"/>
      <c r="C994" s="845"/>
      <c r="D994" s="309"/>
      <c r="E994" s="396"/>
      <c r="F994" s="309"/>
      <c r="G994" s="309"/>
      <c r="H994" s="844"/>
      <c r="I994" s="846"/>
      <c r="K994" s="396"/>
      <c r="L994" s="815"/>
      <c r="M994" s="844"/>
      <c r="O994" s="204" t="str">
        <f t="shared" ca="1" si="34"/>
        <v/>
      </c>
      <c r="P994" s="118" t="str">
        <f t="shared" ca="1" si="35"/>
        <v/>
      </c>
      <c r="Q994" s="309"/>
      <c r="X994" s="309"/>
    </row>
    <row r="995" spans="2:24" ht="15" customHeight="1">
      <c r="B995" s="845"/>
      <c r="C995" s="845"/>
      <c r="D995" s="309"/>
      <c r="E995" s="396"/>
      <c r="F995" s="309"/>
      <c r="G995" s="309"/>
      <c r="H995" s="844"/>
      <c r="I995" s="846"/>
      <c r="K995" s="396"/>
      <c r="L995" s="815"/>
      <c r="M995" s="844"/>
      <c r="O995" s="204" t="str">
        <f t="shared" ca="1" si="34"/>
        <v/>
      </c>
      <c r="P995" s="118" t="str">
        <f t="shared" ca="1" si="35"/>
        <v/>
      </c>
      <c r="Q995" s="309"/>
      <c r="X995" s="309"/>
    </row>
    <row r="996" spans="2:24" ht="15" customHeight="1">
      <c r="B996" s="845"/>
      <c r="C996" s="845"/>
      <c r="D996" s="309"/>
      <c r="E996" s="396"/>
      <c r="F996" s="309"/>
      <c r="G996" s="309"/>
      <c r="H996" s="844"/>
      <c r="I996" s="846"/>
      <c r="K996" s="396"/>
      <c r="L996" s="815"/>
      <c r="M996" s="844"/>
      <c r="O996" s="204" t="str">
        <f t="shared" ca="1" si="34"/>
        <v/>
      </c>
      <c r="P996" s="118" t="str">
        <f t="shared" ca="1" si="35"/>
        <v/>
      </c>
      <c r="Q996" s="309"/>
      <c r="X996" s="309"/>
    </row>
    <row r="997" spans="2:24" ht="15" customHeight="1">
      <c r="B997" s="845"/>
      <c r="C997" s="845"/>
      <c r="D997" s="309"/>
      <c r="E997" s="396"/>
      <c r="F997" s="309"/>
      <c r="G997" s="309"/>
      <c r="H997" s="844"/>
      <c r="I997" s="846"/>
      <c r="K997" s="396"/>
      <c r="L997" s="815"/>
      <c r="M997" s="844"/>
      <c r="O997" s="204" t="str">
        <f t="shared" ca="1" si="34"/>
        <v/>
      </c>
      <c r="P997" s="118" t="str">
        <f t="shared" ca="1" si="35"/>
        <v/>
      </c>
      <c r="Q997" s="309"/>
      <c r="X997" s="309"/>
    </row>
    <row r="998" spans="2:24" ht="15" customHeight="1">
      <c r="B998" s="845"/>
      <c r="C998" s="845"/>
      <c r="D998" s="309"/>
      <c r="E998" s="396"/>
      <c r="F998" s="309"/>
      <c r="G998" s="309"/>
      <c r="H998" s="844"/>
      <c r="I998" s="846"/>
      <c r="K998" s="396"/>
      <c r="L998" s="815"/>
      <c r="M998" s="844"/>
      <c r="O998" s="204" t="str">
        <f t="shared" ca="1" si="34"/>
        <v/>
      </c>
      <c r="P998" s="118" t="str">
        <f t="shared" ca="1" si="35"/>
        <v/>
      </c>
      <c r="Q998" s="309"/>
      <c r="X998" s="309"/>
    </row>
    <row r="999" spans="2:24" ht="15" customHeight="1">
      <c r="B999" s="845"/>
      <c r="C999" s="845"/>
      <c r="D999" s="309"/>
      <c r="E999" s="396"/>
      <c r="F999" s="309"/>
      <c r="G999" s="309"/>
      <c r="H999" s="844"/>
      <c r="I999" s="846"/>
      <c r="K999" s="396"/>
      <c r="L999" s="815"/>
      <c r="M999" s="844"/>
      <c r="O999" s="204" t="str">
        <f t="shared" ca="1" si="34"/>
        <v/>
      </c>
      <c r="P999" s="118" t="str">
        <f t="shared" ca="1" si="35"/>
        <v/>
      </c>
      <c r="Q999" s="309"/>
      <c r="X999" s="309"/>
    </row>
    <row r="1000" spans="2:24" ht="15" customHeight="1">
      <c r="B1000" s="845"/>
      <c r="C1000" s="845"/>
      <c r="D1000" s="309"/>
      <c r="E1000" s="396"/>
      <c r="F1000" s="309"/>
      <c r="G1000" s="309"/>
      <c r="H1000" s="844"/>
      <c r="I1000" s="846"/>
      <c r="K1000" s="396"/>
      <c r="L1000" s="815"/>
      <c r="M1000" s="844"/>
      <c r="O1000" s="204" t="str">
        <f t="shared" ca="1" si="34"/>
        <v/>
      </c>
      <c r="P1000" s="118" t="str">
        <f t="shared" ca="1" si="35"/>
        <v/>
      </c>
      <c r="Q1000" s="309"/>
      <c r="X1000" s="309"/>
    </row>
    <row r="1001" spans="2:24" ht="15" customHeight="1">
      <c r="B1001" s="845"/>
      <c r="C1001" s="845"/>
      <c r="D1001" s="309"/>
      <c r="E1001" s="396"/>
      <c r="F1001" s="309"/>
      <c r="G1001" s="309"/>
      <c r="H1001" s="844"/>
      <c r="I1001" s="846"/>
      <c r="K1001" s="396"/>
      <c r="L1001" s="815"/>
      <c r="M1001" s="844"/>
      <c r="O1001" s="204" t="str">
        <f t="shared" ca="1" si="34"/>
        <v/>
      </c>
      <c r="P1001" s="118" t="str">
        <f t="shared" ca="1" si="35"/>
        <v/>
      </c>
      <c r="Q1001" s="309"/>
      <c r="X1001" s="309"/>
    </row>
    <row r="1002" spans="2:24" ht="15" customHeight="1">
      <c r="B1002" s="845"/>
      <c r="C1002" s="845"/>
      <c r="D1002" s="309"/>
      <c r="E1002" s="396"/>
      <c r="F1002" s="309"/>
      <c r="G1002" s="309"/>
      <c r="H1002" s="844"/>
      <c r="I1002" s="846"/>
      <c r="K1002" s="396"/>
      <c r="L1002" s="815"/>
      <c r="M1002" s="844"/>
      <c r="O1002" s="204" t="str">
        <f t="shared" ca="1" si="34"/>
        <v/>
      </c>
      <c r="P1002" s="118" t="str">
        <f t="shared" ca="1" si="35"/>
        <v/>
      </c>
      <c r="Q1002" s="309"/>
      <c r="X1002" s="309"/>
    </row>
    <row r="1003" spans="2:24" ht="15" customHeight="1">
      <c r="B1003" s="845"/>
      <c r="C1003" s="845"/>
      <c r="D1003" s="309"/>
      <c r="E1003" s="396"/>
      <c r="F1003" s="309"/>
      <c r="G1003" s="309"/>
      <c r="H1003" s="844"/>
      <c r="I1003" s="846"/>
      <c r="K1003" s="396"/>
      <c r="L1003" s="815"/>
      <c r="M1003" s="844"/>
      <c r="O1003" s="204" t="str">
        <f t="shared" ca="1" si="34"/>
        <v/>
      </c>
      <c r="P1003" s="118" t="str">
        <f t="shared" ca="1" si="35"/>
        <v/>
      </c>
      <c r="Q1003" s="309"/>
      <c r="X1003" s="309"/>
    </row>
    <row r="1004" spans="2:24" ht="15" customHeight="1">
      <c r="B1004" s="845"/>
      <c r="C1004" s="845"/>
      <c r="D1004" s="309"/>
      <c r="E1004" s="396"/>
      <c r="F1004" s="309"/>
      <c r="G1004" s="309"/>
      <c r="H1004" s="844"/>
      <c r="I1004" s="846"/>
      <c r="K1004" s="396"/>
      <c r="L1004" s="815"/>
      <c r="M1004" s="844"/>
      <c r="O1004" s="204" t="str">
        <f t="shared" ca="1" si="34"/>
        <v/>
      </c>
      <c r="P1004" s="118" t="str">
        <f t="shared" ca="1" si="35"/>
        <v/>
      </c>
      <c r="Q1004" s="309"/>
      <c r="X1004" s="309"/>
    </row>
    <row r="1005" spans="2:24" ht="15" customHeight="1">
      <c r="B1005" s="845"/>
      <c r="C1005" s="845"/>
      <c r="D1005" s="309"/>
      <c r="E1005" s="396"/>
      <c r="F1005" s="309"/>
      <c r="G1005" s="309"/>
      <c r="H1005" s="844"/>
      <c r="I1005" s="846"/>
      <c r="K1005" s="396"/>
      <c r="L1005" s="815"/>
      <c r="M1005" s="844"/>
      <c r="O1005" s="204" t="str">
        <f t="shared" ca="1" si="34"/>
        <v/>
      </c>
      <c r="P1005" s="118" t="str">
        <f t="shared" ca="1" si="35"/>
        <v/>
      </c>
      <c r="Q1005" s="309"/>
      <c r="X1005" s="309"/>
    </row>
    <row r="1006" spans="2:24" ht="15" customHeight="1">
      <c r="B1006" s="845"/>
      <c r="C1006" s="845"/>
      <c r="D1006" s="309"/>
      <c r="E1006" s="396"/>
      <c r="F1006" s="309"/>
      <c r="G1006" s="309"/>
      <c r="H1006" s="844"/>
      <c r="I1006" s="846"/>
      <c r="K1006" s="396"/>
      <c r="L1006" s="815"/>
      <c r="M1006" s="844"/>
      <c r="O1006" s="204" t="str">
        <f t="shared" ca="1" si="34"/>
        <v/>
      </c>
      <c r="P1006" s="118" t="str">
        <f t="shared" ca="1" si="35"/>
        <v/>
      </c>
      <c r="Q1006" s="309"/>
      <c r="X1006" s="309"/>
    </row>
    <row r="1007" spans="2:24" ht="15" customHeight="1">
      <c r="B1007" s="845"/>
      <c r="C1007" s="845"/>
      <c r="D1007" s="309"/>
      <c r="E1007" s="396"/>
      <c r="F1007" s="309"/>
      <c r="G1007" s="309"/>
      <c r="H1007" s="844"/>
      <c r="I1007" s="846"/>
      <c r="K1007" s="396"/>
      <c r="L1007" s="815"/>
      <c r="M1007" s="844"/>
      <c r="O1007" s="204" t="str">
        <f t="shared" ref="O1007:O1070" ca="1" si="36">IF(ISBLANK(L1007), "", IF(ISNUMBER(M1007), M1007-L1007, TODAY()-L1007))</f>
        <v/>
      </c>
      <c r="P1007" s="118" t="str">
        <f t="shared" ca="1" si="35"/>
        <v/>
      </c>
      <c r="Q1007" s="309"/>
      <c r="X1007" s="309"/>
    </row>
    <row r="1008" spans="2:24" ht="15" customHeight="1">
      <c r="B1008" s="845"/>
      <c r="C1008" s="845"/>
      <c r="D1008" s="309"/>
      <c r="E1008" s="396"/>
      <c r="F1008" s="309"/>
      <c r="G1008" s="309"/>
      <c r="H1008" s="844"/>
      <c r="I1008" s="846"/>
      <c r="K1008" s="396"/>
      <c r="L1008" s="815"/>
      <c r="M1008" s="844"/>
      <c r="O1008" s="204" t="str">
        <f t="shared" ca="1" si="36"/>
        <v/>
      </c>
      <c r="P1008" s="118" t="str">
        <f t="shared" ca="1" si="35"/>
        <v/>
      </c>
      <c r="Q1008" s="309"/>
      <c r="X1008" s="309"/>
    </row>
    <row r="1009" spans="2:24" ht="15" customHeight="1">
      <c r="B1009" s="845"/>
      <c r="C1009" s="845"/>
      <c r="D1009" s="309"/>
      <c r="E1009" s="396"/>
      <c r="F1009" s="309"/>
      <c r="G1009" s="309"/>
      <c r="H1009" s="844"/>
      <c r="I1009" s="846"/>
      <c r="K1009" s="396"/>
      <c r="L1009" s="815"/>
      <c r="M1009" s="844"/>
      <c r="O1009" s="204" t="str">
        <f t="shared" ca="1" si="36"/>
        <v/>
      </c>
      <c r="P1009" s="118" t="str">
        <f t="shared" ca="1" si="35"/>
        <v/>
      </c>
      <c r="Q1009" s="309"/>
      <c r="X1009" s="309"/>
    </row>
    <row r="1010" spans="2:24" ht="15" customHeight="1">
      <c r="B1010" s="845"/>
      <c r="C1010" s="845"/>
      <c r="D1010" s="309"/>
      <c r="E1010" s="396"/>
      <c r="F1010" s="309"/>
      <c r="G1010" s="309"/>
      <c r="H1010" s="844"/>
      <c r="I1010" s="846"/>
      <c r="K1010" s="396"/>
      <c r="L1010" s="815"/>
      <c r="M1010" s="844"/>
      <c r="O1010" s="204" t="str">
        <f t="shared" ca="1" si="36"/>
        <v/>
      </c>
      <c r="P1010" s="118" t="str">
        <f t="shared" ca="1" si="35"/>
        <v/>
      </c>
      <c r="Q1010" s="309"/>
      <c r="X1010" s="309"/>
    </row>
    <row r="1011" spans="2:24" ht="15" customHeight="1">
      <c r="B1011" s="845"/>
      <c r="C1011" s="845"/>
      <c r="D1011" s="309"/>
      <c r="E1011" s="396"/>
      <c r="F1011" s="309"/>
      <c r="G1011" s="309"/>
      <c r="H1011" s="844"/>
      <c r="I1011" s="846"/>
      <c r="K1011" s="396"/>
      <c r="L1011" s="815"/>
      <c r="M1011" s="844"/>
      <c r="O1011" s="204" t="str">
        <f t="shared" ca="1" si="36"/>
        <v/>
      </c>
      <c r="P1011" s="118" t="str">
        <f t="shared" ca="1" si="35"/>
        <v/>
      </c>
      <c r="Q1011" s="309"/>
      <c r="X1011" s="309"/>
    </row>
    <row r="1012" spans="2:24" ht="15" customHeight="1">
      <c r="B1012" s="845"/>
      <c r="C1012" s="845"/>
      <c r="D1012" s="309"/>
      <c r="E1012" s="396"/>
      <c r="F1012" s="309"/>
      <c r="G1012" s="309"/>
      <c r="H1012" s="844"/>
      <c r="I1012" s="846"/>
      <c r="K1012" s="396"/>
      <c r="L1012" s="815"/>
      <c r="M1012" s="844"/>
      <c r="O1012" s="204" t="str">
        <f t="shared" ca="1" si="36"/>
        <v/>
      </c>
      <c r="P1012" s="118" t="str">
        <f t="shared" ca="1" si="35"/>
        <v/>
      </c>
      <c r="Q1012" s="309"/>
      <c r="X1012" s="309"/>
    </row>
    <row r="1013" spans="2:24" ht="15" customHeight="1">
      <c r="B1013" s="845"/>
      <c r="C1013" s="845"/>
      <c r="D1013" s="309"/>
      <c r="E1013" s="396"/>
      <c r="F1013" s="309"/>
      <c r="G1013" s="309"/>
      <c r="H1013" s="844"/>
      <c r="I1013" s="846"/>
      <c r="K1013" s="396"/>
      <c r="L1013" s="815"/>
      <c r="M1013" s="844"/>
      <c r="O1013" s="204" t="str">
        <f t="shared" ca="1" si="36"/>
        <v/>
      </c>
      <c r="P1013" s="118" t="str">
        <f t="shared" ca="1" si="35"/>
        <v/>
      </c>
      <c r="Q1013" s="309"/>
      <c r="X1013" s="309"/>
    </row>
    <row r="1014" spans="2:24" ht="15" customHeight="1">
      <c r="B1014" s="845"/>
      <c r="C1014" s="845"/>
      <c r="D1014" s="309"/>
      <c r="E1014" s="396"/>
      <c r="F1014" s="309"/>
      <c r="G1014" s="309"/>
      <c r="H1014" s="844"/>
      <c r="I1014" s="846"/>
      <c r="K1014" s="396"/>
      <c r="L1014" s="815"/>
      <c r="M1014" s="844"/>
      <c r="O1014" s="204" t="str">
        <f t="shared" ca="1" si="36"/>
        <v/>
      </c>
      <c r="P1014" s="118" t="str">
        <f t="shared" ca="1" si="35"/>
        <v/>
      </c>
      <c r="Q1014" s="309"/>
      <c r="X1014" s="309"/>
    </row>
    <row r="1015" spans="2:24" ht="15" customHeight="1">
      <c r="B1015" s="845"/>
      <c r="C1015" s="845"/>
      <c r="D1015" s="309"/>
      <c r="E1015" s="396"/>
      <c r="F1015" s="309"/>
      <c r="G1015" s="309"/>
      <c r="H1015" s="844"/>
      <c r="I1015" s="846"/>
      <c r="K1015" s="396"/>
      <c r="L1015" s="815"/>
      <c r="M1015" s="844"/>
      <c r="O1015" s="204" t="str">
        <f t="shared" ca="1" si="36"/>
        <v/>
      </c>
      <c r="P1015" s="118" t="str">
        <f t="shared" ca="1" si="35"/>
        <v/>
      </c>
      <c r="Q1015" s="309"/>
      <c r="X1015" s="309"/>
    </row>
    <row r="1016" spans="2:24" ht="15" customHeight="1">
      <c r="B1016" s="845"/>
      <c r="C1016" s="845"/>
      <c r="D1016" s="309"/>
      <c r="E1016" s="396"/>
      <c r="F1016" s="309"/>
      <c r="G1016" s="309"/>
      <c r="H1016" s="844"/>
      <c r="I1016" s="846"/>
      <c r="K1016" s="396"/>
      <c r="L1016" s="815"/>
      <c r="M1016" s="844"/>
      <c r="O1016" s="204" t="str">
        <f t="shared" ca="1" si="36"/>
        <v/>
      </c>
      <c r="P1016" s="118" t="str">
        <f t="shared" ca="1" si="35"/>
        <v/>
      </c>
      <c r="Q1016" s="309"/>
      <c r="X1016" s="309"/>
    </row>
    <row r="1017" spans="2:24" ht="15" customHeight="1">
      <c r="B1017" s="845"/>
      <c r="C1017" s="845"/>
      <c r="D1017" s="309"/>
      <c r="E1017" s="396"/>
      <c r="F1017" s="309"/>
      <c r="G1017" s="309"/>
      <c r="H1017" s="844"/>
      <c r="I1017" s="846"/>
      <c r="K1017" s="396"/>
      <c r="L1017" s="815"/>
      <c r="M1017" s="844"/>
      <c r="O1017" s="204" t="str">
        <f t="shared" ca="1" si="36"/>
        <v/>
      </c>
      <c r="P1017" s="118" t="str">
        <f t="shared" ca="1" si="35"/>
        <v/>
      </c>
      <c r="Q1017" s="309"/>
      <c r="X1017" s="309"/>
    </row>
    <row r="1018" spans="2:24" ht="15" customHeight="1">
      <c r="B1018" s="845"/>
      <c r="C1018" s="845"/>
      <c r="D1018" s="309"/>
      <c r="E1018" s="396"/>
      <c r="F1018" s="309"/>
      <c r="G1018" s="309"/>
      <c r="H1018" s="844"/>
      <c r="I1018" s="846"/>
      <c r="K1018" s="396"/>
      <c r="L1018" s="815"/>
      <c r="M1018" s="844"/>
      <c r="O1018" s="204" t="str">
        <f t="shared" ca="1" si="36"/>
        <v/>
      </c>
      <c r="P1018" s="118" t="str">
        <f t="shared" ca="1" si="35"/>
        <v/>
      </c>
      <c r="Q1018" s="309"/>
      <c r="X1018" s="309"/>
    </row>
    <row r="1019" spans="2:24" ht="15" customHeight="1">
      <c r="B1019" s="845"/>
      <c r="C1019" s="845"/>
      <c r="D1019" s="309"/>
      <c r="E1019" s="396"/>
      <c r="F1019" s="309"/>
      <c r="G1019" s="309"/>
      <c r="H1019" s="844"/>
      <c r="I1019" s="846"/>
      <c r="K1019" s="396"/>
      <c r="L1019" s="815"/>
      <c r="M1019" s="844"/>
      <c r="O1019" s="204" t="str">
        <f t="shared" ca="1" si="36"/>
        <v/>
      </c>
      <c r="P1019" s="118" t="str">
        <f t="shared" ca="1" si="35"/>
        <v/>
      </c>
      <c r="Q1019" s="309"/>
      <c r="X1019" s="309"/>
    </row>
    <row r="1020" spans="2:24" ht="15" customHeight="1">
      <c r="B1020" s="845"/>
      <c r="C1020" s="845"/>
      <c r="D1020" s="309"/>
      <c r="E1020" s="396"/>
      <c r="F1020" s="309"/>
      <c r="G1020" s="309"/>
      <c r="H1020" s="844"/>
      <c r="I1020" s="846"/>
      <c r="K1020" s="396"/>
      <c r="L1020" s="815"/>
      <c r="M1020" s="844"/>
      <c r="O1020" s="204" t="str">
        <f t="shared" ca="1" si="36"/>
        <v/>
      </c>
      <c r="P1020" s="118" t="str">
        <f t="shared" ca="1" si="35"/>
        <v/>
      </c>
      <c r="Q1020" s="309"/>
      <c r="X1020" s="309"/>
    </row>
    <row r="1021" spans="2:24" ht="15" customHeight="1">
      <c r="B1021" s="845"/>
      <c r="C1021" s="845"/>
      <c r="D1021" s="309"/>
      <c r="E1021" s="396"/>
      <c r="F1021" s="309"/>
      <c r="G1021" s="309"/>
      <c r="H1021" s="844"/>
      <c r="I1021" s="846"/>
      <c r="K1021" s="396"/>
      <c r="L1021" s="815"/>
      <c r="M1021" s="844"/>
      <c r="O1021" s="204" t="str">
        <f t="shared" ca="1" si="36"/>
        <v/>
      </c>
      <c r="P1021" s="118" t="str">
        <f t="shared" ca="1" si="35"/>
        <v/>
      </c>
      <c r="Q1021" s="309"/>
      <c r="X1021" s="309"/>
    </row>
    <row r="1022" spans="2:24" ht="15" customHeight="1">
      <c r="B1022" s="845"/>
      <c r="C1022" s="845"/>
      <c r="D1022" s="309"/>
      <c r="E1022" s="396"/>
      <c r="F1022" s="309"/>
      <c r="G1022" s="309"/>
      <c r="H1022" s="844"/>
      <c r="I1022" s="846"/>
      <c r="K1022" s="396"/>
      <c r="L1022" s="815"/>
      <c r="M1022" s="844"/>
      <c r="O1022" s="204" t="str">
        <f t="shared" ca="1" si="36"/>
        <v/>
      </c>
      <c r="P1022" s="118" t="str">
        <f t="shared" ca="1" si="35"/>
        <v/>
      </c>
      <c r="Q1022" s="309"/>
      <c r="X1022" s="309"/>
    </row>
    <row r="1023" spans="2:24" ht="15" customHeight="1">
      <c r="B1023" s="845"/>
      <c r="C1023" s="845"/>
      <c r="D1023" s="309"/>
      <c r="E1023" s="396"/>
      <c r="F1023" s="309"/>
      <c r="G1023" s="309"/>
      <c r="H1023" s="844"/>
      <c r="I1023" s="846"/>
      <c r="K1023" s="396"/>
      <c r="L1023" s="815"/>
      <c r="M1023" s="844"/>
      <c r="O1023" s="204" t="str">
        <f t="shared" ca="1" si="36"/>
        <v/>
      </c>
      <c r="P1023" s="118" t="str">
        <f t="shared" ca="1" si="35"/>
        <v/>
      </c>
      <c r="Q1023" s="309"/>
      <c r="X1023" s="309"/>
    </row>
    <row r="1024" spans="2:24" ht="15" customHeight="1">
      <c r="B1024" s="845"/>
      <c r="C1024" s="845"/>
      <c r="D1024" s="309"/>
      <c r="E1024" s="396"/>
      <c r="F1024" s="309"/>
      <c r="G1024" s="309"/>
      <c r="H1024" s="844"/>
      <c r="I1024" s="846"/>
      <c r="K1024" s="396"/>
      <c r="L1024" s="815"/>
      <c r="M1024" s="844"/>
      <c r="O1024" s="204" t="str">
        <f t="shared" ca="1" si="36"/>
        <v/>
      </c>
      <c r="P1024" s="118" t="str">
        <f t="shared" ca="1" si="35"/>
        <v/>
      </c>
      <c r="Q1024" s="309"/>
      <c r="X1024" s="309"/>
    </row>
    <row r="1025" spans="2:24" ht="15" customHeight="1">
      <c r="B1025" s="845"/>
      <c r="C1025" s="845"/>
      <c r="D1025" s="309"/>
      <c r="E1025" s="396"/>
      <c r="F1025" s="309"/>
      <c r="G1025" s="309"/>
      <c r="H1025" s="844"/>
      <c r="I1025" s="846"/>
      <c r="K1025" s="396"/>
      <c r="L1025" s="815"/>
      <c r="M1025" s="844"/>
      <c r="O1025" s="204" t="str">
        <f t="shared" ca="1" si="36"/>
        <v/>
      </c>
      <c r="P1025" s="118" t="str">
        <f t="shared" ca="1" si="35"/>
        <v/>
      </c>
      <c r="Q1025" s="309"/>
      <c r="X1025" s="309"/>
    </row>
    <row r="1026" spans="2:24" ht="15" customHeight="1">
      <c r="B1026" s="845"/>
      <c r="C1026" s="845"/>
      <c r="D1026" s="309"/>
      <c r="E1026" s="396"/>
      <c r="F1026" s="309"/>
      <c r="G1026" s="309"/>
      <c r="H1026" s="844"/>
      <c r="I1026" s="846"/>
      <c r="K1026" s="396"/>
      <c r="L1026" s="815"/>
      <c r="M1026" s="844"/>
      <c r="O1026" s="204" t="str">
        <f t="shared" ca="1" si="36"/>
        <v/>
      </c>
      <c r="P1026" s="118" t="str">
        <f t="shared" ca="1" si="35"/>
        <v/>
      </c>
      <c r="Q1026" s="309"/>
      <c r="X1026" s="309"/>
    </row>
    <row r="1027" spans="2:24" ht="15" customHeight="1">
      <c r="B1027" s="845"/>
      <c r="C1027" s="845"/>
      <c r="D1027" s="309"/>
      <c r="E1027" s="396"/>
      <c r="F1027" s="309"/>
      <c r="G1027" s="309"/>
      <c r="H1027" s="844"/>
      <c r="I1027" s="846"/>
      <c r="K1027" s="396"/>
      <c r="L1027" s="815"/>
      <c r="M1027" s="844"/>
      <c r="O1027" s="204" t="str">
        <f t="shared" ca="1" si="36"/>
        <v/>
      </c>
      <c r="P1027" s="118" t="str">
        <f t="shared" ref="P1027:P1089" ca="1" si="37">IF(ISBLANK(H1027), "", IF(ISNUMBER(M1027), M1027-H1027, TODAY()-H1027))</f>
        <v/>
      </c>
      <c r="Q1027" s="309"/>
      <c r="X1027" s="309"/>
    </row>
    <row r="1028" spans="2:24" ht="15" customHeight="1">
      <c r="B1028" s="845"/>
      <c r="C1028" s="845"/>
      <c r="D1028" s="309"/>
      <c r="E1028" s="396"/>
      <c r="F1028" s="309"/>
      <c r="G1028" s="309"/>
      <c r="H1028" s="844"/>
      <c r="I1028" s="846"/>
      <c r="K1028" s="396"/>
      <c r="L1028" s="815"/>
      <c r="M1028" s="844"/>
      <c r="O1028" s="204" t="str">
        <f t="shared" ca="1" si="36"/>
        <v/>
      </c>
      <c r="P1028" s="118" t="str">
        <f t="shared" ca="1" si="37"/>
        <v/>
      </c>
      <c r="Q1028" s="309"/>
      <c r="X1028" s="309"/>
    </row>
    <row r="1029" spans="2:24" ht="15" customHeight="1">
      <c r="B1029" s="845"/>
      <c r="C1029" s="845"/>
      <c r="D1029" s="309"/>
      <c r="E1029" s="396"/>
      <c r="F1029" s="309"/>
      <c r="G1029" s="309"/>
      <c r="H1029" s="844"/>
      <c r="I1029" s="846"/>
      <c r="K1029" s="396"/>
      <c r="L1029" s="815"/>
      <c r="M1029" s="844"/>
      <c r="O1029" s="204" t="str">
        <f t="shared" ca="1" si="36"/>
        <v/>
      </c>
      <c r="P1029" s="118" t="str">
        <f t="shared" ca="1" si="37"/>
        <v/>
      </c>
      <c r="Q1029" s="309"/>
      <c r="X1029" s="309"/>
    </row>
    <row r="1030" spans="2:24" ht="15" customHeight="1">
      <c r="B1030" s="845"/>
      <c r="C1030" s="845"/>
      <c r="D1030" s="309"/>
      <c r="E1030" s="396"/>
      <c r="F1030" s="309"/>
      <c r="G1030" s="309"/>
      <c r="H1030" s="844"/>
      <c r="I1030" s="846"/>
      <c r="K1030" s="396"/>
      <c r="L1030" s="815"/>
      <c r="M1030" s="844"/>
      <c r="O1030" s="204" t="str">
        <f t="shared" ca="1" si="36"/>
        <v/>
      </c>
      <c r="P1030" s="118" t="str">
        <f t="shared" ca="1" si="37"/>
        <v/>
      </c>
      <c r="Q1030" s="309"/>
      <c r="X1030" s="309"/>
    </row>
    <row r="1031" spans="2:24" ht="15" customHeight="1">
      <c r="B1031" s="845"/>
      <c r="C1031" s="845"/>
      <c r="D1031" s="309"/>
      <c r="E1031" s="396"/>
      <c r="F1031" s="309"/>
      <c r="G1031" s="309"/>
      <c r="H1031" s="844"/>
      <c r="I1031" s="846"/>
      <c r="K1031" s="396"/>
      <c r="L1031" s="815"/>
      <c r="M1031" s="844"/>
      <c r="O1031" s="204" t="str">
        <f t="shared" ca="1" si="36"/>
        <v/>
      </c>
      <c r="P1031" s="118" t="str">
        <f t="shared" ca="1" si="37"/>
        <v/>
      </c>
      <c r="Q1031" s="309"/>
      <c r="X1031" s="309"/>
    </row>
    <row r="1032" spans="2:24" ht="15" customHeight="1">
      <c r="B1032" s="845"/>
      <c r="C1032" s="845"/>
      <c r="D1032" s="309"/>
      <c r="E1032" s="396"/>
      <c r="F1032" s="309"/>
      <c r="G1032" s="309"/>
      <c r="H1032" s="844"/>
      <c r="I1032" s="846"/>
      <c r="K1032" s="396"/>
      <c r="L1032" s="815"/>
      <c r="M1032" s="844"/>
      <c r="O1032" s="204" t="str">
        <f t="shared" ca="1" si="36"/>
        <v/>
      </c>
      <c r="P1032" s="118" t="str">
        <f t="shared" ca="1" si="37"/>
        <v/>
      </c>
      <c r="Q1032" s="309"/>
      <c r="X1032" s="309"/>
    </row>
    <row r="1033" spans="2:24" ht="15" customHeight="1">
      <c r="B1033" s="845"/>
      <c r="C1033" s="845"/>
      <c r="D1033" s="309"/>
      <c r="E1033" s="396"/>
      <c r="F1033" s="309"/>
      <c r="G1033" s="309"/>
      <c r="H1033" s="844"/>
      <c r="I1033" s="846"/>
      <c r="K1033" s="396"/>
      <c r="L1033" s="815"/>
      <c r="M1033" s="844"/>
      <c r="O1033" s="204" t="str">
        <f t="shared" ca="1" si="36"/>
        <v/>
      </c>
      <c r="P1033" s="118" t="str">
        <f t="shared" ca="1" si="37"/>
        <v/>
      </c>
      <c r="Q1033" s="309"/>
      <c r="X1033" s="309"/>
    </row>
    <row r="1034" spans="2:24" ht="15" customHeight="1">
      <c r="B1034" s="845"/>
      <c r="C1034" s="845"/>
      <c r="D1034" s="309"/>
      <c r="E1034" s="396"/>
      <c r="F1034" s="309"/>
      <c r="G1034" s="309"/>
      <c r="H1034" s="844"/>
      <c r="I1034" s="846"/>
      <c r="K1034" s="396"/>
      <c r="L1034" s="815"/>
      <c r="M1034" s="844"/>
      <c r="O1034" s="204" t="str">
        <f t="shared" ca="1" si="36"/>
        <v/>
      </c>
      <c r="P1034" s="118" t="str">
        <f t="shared" ca="1" si="37"/>
        <v/>
      </c>
      <c r="Q1034" s="309"/>
      <c r="X1034" s="309"/>
    </row>
    <row r="1035" spans="2:24" ht="15" customHeight="1">
      <c r="B1035" s="845"/>
      <c r="C1035" s="845"/>
      <c r="D1035" s="309"/>
      <c r="E1035" s="396"/>
      <c r="F1035" s="309"/>
      <c r="G1035" s="309"/>
      <c r="H1035" s="844"/>
      <c r="I1035" s="846"/>
      <c r="K1035" s="396"/>
      <c r="L1035" s="815"/>
      <c r="M1035" s="844"/>
      <c r="O1035" s="204" t="str">
        <f t="shared" ca="1" si="36"/>
        <v/>
      </c>
      <c r="P1035" s="118" t="str">
        <f t="shared" ca="1" si="37"/>
        <v/>
      </c>
      <c r="Q1035" s="309"/>
      <c r="X1035" s="309"/>
    </row>
    <row r="1036" spans="2:24" ht="15" customHeight="1">
      <c r="B1036" s="845"/>
      <c r="C1036" s="845"/>
      <c r="D1036" s="309"/>
      <c r="E1036" s="396"/>
      <c r="F1036" s="309"/>
      <c r="G1036" s="309"/>
      <c r="H1036" s="844"/>
      <c r="I1036" s="846"/>
      <c r="K1036" s="396"/>
      <c r="L1036" s="815"/>
      <c r="M1036" s="844"/>
      <c r="O1036" s="204" t="str">
        <f t="shared" ca="1" si="36"/>
        <v/>
      </c>
      <c r="P1036" s="118" t="str">
        <f t="shared" ca="1" si="37"/>
        <v/>
      </c>
      <c r="Q1036" s="309"/>
      <c r="X1036" s="309"/>
    </row>
    <row r="1037" spans="2:24" ht="15" customHeight="1">
      <c r="B1037" s="845"/>
      <c r="C1037" s="845"/>
      <c r="D1037" s="309"/>
      <c r="E1037" s="396"/>
      <c r="F1037" s="309"/>
      <c r="G1037" s="309"/>
      <c r="H1037" s="844"/>
      <c r="I1037" s="846"/>
      <c r="K1037" s="396"/>
      <c r="L1037" s="815"/>
      <c r="M1037" s="844"/>
      <c r="O1037" s="204" t="str">
        <f t="shared" ca="1" si="36"/>
        <v/>
      </c>
      <c r="P1037" s="118" t="str">
        <f t="shared" ca="1" si="37"/>
        <v/>
      </c>
      <c r="Q1037" s="309"/>
      <c r="X1037" s="309"/>
    </row>
    <row r="1038" spans="2:24" ht="15" customHeight="1">
      <c r="B1038" s="845"/>
      <c r="C1038" s="845"/>
      <c r="D1038" s="309"/>
      <c r="E1038" s="396"/>
      <c r="F1038" s="309"/>
      <c r="G1038" s="309"/>
      <c r="H1038" s="844"/>
      <c r="I1038" s="846"/>
      <c r="K1038" s="396"/>
      <c r="L1038" s="815"/>
      <c r="M1038" s="844"/>
      <c r="O1038" s="204" t="str">
        <f t="shared" ca="1" si="36"/>
        <v/>
      </c>
      <c r="P1038" s="118" t="str">
        <f t="shared" ca="1" si="37"/>
        <v/>
      </c>
      <c r="Q1038" s="309"/>
      <c r="X1038" s="309"/>
    </row>
    <row r="1039" spans="2:24" ht="15" customHeight="1">
      <c r="B1039" s="845"/>
      <c r="C1039" s="845"/>
      <c r="D1039" s="309"/>
      <c r="E1039" s="396"/>
      <c r="F1039" s="309"/>
      <c r="G1039" s="309"/>
      <c r="H1039" s="844"/>
      <c r="I1039" s="846"/>
      <c r="K1039" s="396"/>
      <c r="L1039" s="815"/>
      <c r="M1039" s="844"/>
      <c r="O1039" s="204" t="str">
        <f t="shared" ca="1" si="36"/>
        <v/>
      </c>
      <c r="P1039" s="118" t="str">
        <f t="shared" ca="1" si="37"/>
        <v/>
      </c>
      <c r="Q1039" s="309"/>
      <c r="X1039" s="309"/>
    </row>
    <row r="1040" spans="2:24" ht="15" customHeight="1">
      <c r="B1040" s="845"/>
      <c r="C1040" s="845"/>
      <c r="D1040" s="309"/>
      <c r="E1040" s="396"/>
      <c r="F1040" s="309"/>
      <c r="G1040" s="309"/>
      <c r="H1040" s="844"/>
      <c r="I1040" s="846"/>
      <c r="K1040" s="396"/>
      <c r="L1040" s="815"/>
      <c r="M1040" s="844"/>
      <c r="O1040" s="204" t="str">
        <f t="shared" ca="1" si="36"/>
        <v/>
      </c>
      <c r="P1040" s="118" t="str">
        <f t="shared" ca="1" si="37"/>
        <v/>
      </c>
      <c r="Q1040" s="309"/>
      <c r="X1040" s="309"/>
    </row>
    <row r="1041" spans="2:24" ht="15" customHeight="1">
      <c r="B1041" s="845"/>
      <c r="C1041" s="845"/>
      <c r="D1041" s="309"/>
      <c r="E1041" s="396"/>
      <c r="F1041" s="309"/>
      <c r="G1041" s="309"/>
      <c r="H1041" s="844"/>
      <c r="I1041" s="846"/>
      <c r="K1041" s="396"/>
      <c r="L1041" s="815"/>
      <c r="M1041" s="844"/>
      <c r="O1041" s="204" t="str">
        <f t="shared" ca="1" si="36"/>
        <v/>
      </c>
      <c r="P1041" s="118" t="str">
        <f t="shared" ca="1" si="37"/>
        <v/>
      </c>
      <c r="Q1041" s="309"/>
      <c r="X1041" s="309"/>
    </row>
    <row r="1042" spans="2:24" ht="15" customHeight="1">
      <c r="B1042" s="845"/>
      <c r="C1042" s="845"/>
      <c r="D1042" s="309"/>
      <c r="E1042" s="396"/>
      <c r="F1042" s="309"/>
      <c r="G1042" s="309"/>
      <c r="H1042" s="844"/>
      <c r="I1042" s="846"/>
      <c r="K1042" s="396"/>
      <c r="L1042" s="815"/>
      <c r="M1042" s="844"/>
      <c r="O1042" s="204" t="str">
        <f t="shared" ca="1" si="36"/>
        <v/>
      </c>
      <c r="P1042" s="118" t="str">
        <f t="shared" ca="1" si="37"/>
        <v/>
      </c>
      <c r="Q1042" s="309"/>
      <c r="X1042" s="309"/>
    </row>
    <row r="1043" spans="2:24" ht="15" customHeight="1">
      <c r="B1043" s="845"/>
      <c r="C1043" s="845"/>
      <c r="D1043" s="309"/>
      <c r="E1043" s="396"/>
      <c r="F1043" s="309"/>
      <c r="G1043" s="309"/>
      <c r="H1043" s="844"/>
      <c r="I1043" s="846"/>
      <c r="K1043" s="396"/>
      <c r="L1043" s="815"/>
      <c r="M1043" s="844"/>
      <c r="O1043" s="204" t="str">
        <f t="shared" ca="1" si="36"/>
        <v/>
      </c>
      <c r="P1043" s="118" t="str">
        <f t="shared" ca="1" si="37"/>
        <v/>
      </c>
      <c r="Q1043" s="309"/>
      <c r="X1043" s="309"/>
    </row>
    <row r="1044" spans="2:24" ht="15" customHeight="1">
      <c r="B1044" s="845"/>
      <c r="C1044" s="845"/>
      <c r="D1044" s="309"/>
      <c r="E1044" s="396"/>
      <c r="F1044" s="309"/>
      <c r="G1044" s="309"/>
      <c r="H1044" s="844"/>
      <c r="I1044" s="846"/>
      <c r="K1044" s="396"/>
      <c r="L1044" s="815"/>
      <c r="M1044" s="844"/>
      <c r="O1044" s="204" t="str">
        <f t="shared" ca="1" si="36"/>
        <v/>
      </c>
      <c r="P1044" s="118" t="str">
        <f t="shared" ca="1" si="37"/>
        <v/>
      </c>
      <c r="Q1044" s="309"/>
      <c r="X1044" s="309"/>
    </row>
    <row r="1045" spans="2:24" ht="15" customHeight="1">
      <c r="B1045" s="845"/>
      <c r="C1045" s="845"/>
      <c r="D1045" s="309"/>
      <c r="E1045" s="396"/>
      <c r="F1045" s="309"/>
      <c r="G1045" s="309"/>
      <c r="H1045" s="844"/>
      <c r="I1045" s="846"/>
      <c r="K1045" s="396"/>
      <c r="L1045" s="815"/>
      <c r="M1045" s="844"/>
      <c r="O1045" s="204" t="str">
        <f t="shared" ca="1" si="36"/>
        <v/>
      </c>
      <c r="P1045" s="118" t="str">
        <f t="shared" ca="1" si="37"/>
        <v/>
      </c>
      <c r="Q1045" s="309"/>
      <c r="X1045" s="309"/>
    </row>
    <row r="1046" spans="2:24" ht="15" customHeight="1">
      <c r="B1046" s="845"/>
      <c r="C1046" s="845"/>
      <c r="D1046" s="309"/>
      <c r="E1046" s="396"/>
      <c r="F1046" s="309"/>
      <c r="G1046" s="309"/>
      <c r="H1046" s="844"/>
      <c r="I1046" s="846"/>
      <c r="K1046" s="396"/>
      <c r="L1046" s="815"/>
      <c r="M1046" s="844"/>
      <c r="O1046" s="204" t="str">
        <f t="shared" ca="1" si="36"/>
        <v/>
      </c>
      <c r="P1046" s="118" t="str">
        <f t="shared" ca="1" si="37"/>
        <v/>
      </c>
      <c r="Q1046" s="309"/>
      <c r="X1046" s="309"/>
    </row>
    <row r="1047" spans="2:24" ht="15" customHeight="1">
      <c r="B1047" s="845"/>
      <c r="C1047" s="845"/>
      <c r="D1047" s="309"/>
      <c r="E1047" s="396"/>
      <c r="F1047" s="309"/>
      <c r="G1047" s="309"/>
      <c r="H1047" s="844"/>
      <c r="I1047" s="846"/>
      <c r="K1047" s="396"/>
      <c r="L1047" s="815"/>
      <c r="M1047" s="844"/>
      <c r="O1047" s="204" t="str">
        <f t="shared" ca="1" si="36"/>
        <v/>
      </c>
      <c r="P1047" s="118" t="str">
        <f t="shared" ca="1" si="37"/>
        <v/>
      </c>
      <c r="Q1047" s="309"/>
      <c r="X1047" s="309"/>
    </row>
    <row r="1048" spans="2:24" ht="15" customHeight="1">
      <c r="B1048" s="845"/>
      <c r="C1048" s="845"/>
      <c r="D1048" s="309"/>
      <c r="E1048" s="396"/>
      <c r="F1048" s="309"/>
      <c r="G1048" s="309"/>
      <c r="H1048" s="844"/>
      <c r="I1048" s="846"/>
      <c r="K1048" s="396"/>
      <c r="L1048" s="815"/>
      <c r="M1048" s="844"/>
      <c r="O1048" s="204" t="str">
        <f t="shared" ca="1" si="36"/>
        <v/>
      </c>
      <c r="P1048" s="118" t="str">
        <f t="shared" ca="1" si="37"/>
        <v/>
      </c>
      <c r="Q1048" s="309"/>
      <c r="X1048" s="309"/>
    </row>
    <row r="1049" spans="2:24" ht="15" customHeight="1">
      <c r="B1049" s="845"/>
      <c r="C1049" s="845"/>
      <c r="D1049" s="309"/>
      <c r="E1049" s="396"/>
      <c r="F1049" s="309"/>
      <c r="G1049" s="309"/>
      <c r="H1049" s="844"/>
      <c r="I1049" s="846"/>
      <c r="K1049" s="396"/>
      <c r="L1049" s="815"/>
      <c r="M1049" s="844"/>
      <c r="O1049" s="204" t="str">
        <f t="shared" ca="1" si="36"/>
        <v/>
      </c>
      <c r="P1049" s="118" t="str">
        <f t="shared" ca="1" si="37"/>
        <v/>
      </c>
      <c r="Q1049" s="309"/>
      <c r="X1049" s="309"/>
    </row>
    <row r="1050" spans="2:24" ht="15" customHeight="1">
      <c r="B1050" s="845"/>
      <c r="C1050" s="845"/>
      <c r="D1050" s="309"/>
      <c r="E1050" s="396"/>
      <c r="F1050" s="309"/>
      <c r="G1050" s="309"/>
      <c r="H1050" s="844"/>
      <c r="I1050" s="846"/>
      <c r="K1050" s="396"/>
      <c r="L1050" s="815"/>
      <c r="M1050" s="844"/>
      <c r="O1050" s="204" t="str">
        <f t="shared" ca="1" si="36"/>
        <v/>
      </c>
      <c r="P1050" s="118" t="str">
        <f t="shared" ca="1" si="37"/>
        <v/>
      </c>
      <c r="Q1050" s="309"/>
      <c r="X1050" s="309"/>
    </row>
    <row r="1051" spans="2:24" ht="15" customHeight="1">
      <c r="B1051" s="845"/>
      <c r="C1051" s="845"/>
      <c r="D1051" s="309"/>
      <c r="E1051" s="396"/>
      <c r="F1051" s="309"/>
      <c r="G1051" s="309"/>
      <c r="H1051" s="844"/>
      <c r="I1051" s="846"/>
      <c r="K1051" s="396"/>
      <c r="L1051" s="815"/>
      <c r="M1051" s="844"/>
      <c r="O1051" s="204" t="str">
        <f t="shared" ca="1" si="36"/>
        <v/>
      </c>
      <c r="P1051" s="118" t="str">
        <f t="shared" ca="1" si="37"/>
        <v/>
      </c>
      <c r="Q1051" s="309"/>
      <c r="X1051" s="309"/>
    </row>
    <row r="1052" spans="2:24" ht="15" customHeight="1">
      <c r="B1052" s="845"/>
      <c r="C1052" s="845"/>
      <c r="D1052" s="309"/>
      <c r="E1052" s="396"/>
      <c r="F1052" s="309"/>
      <c r="G1052" s="309"/>
      <c r="H1052" s="844"/>
      <c r="I1052" s="846"/>
      <c r="K1052" s="396"/>
      <c r="L1052" s="815"/>
      <c r="M1052" s="844"/>
      <c r="O1052" s="204" t="str">
        <f t="shared" ca="1" si="36"/>
        <v/>
      </c>
      <c r="P1052" s="118" t="str">
        <f t="shared" ca="1" si="37"/>
        <v/>
      </c>
      <c r="Q1052" s="309"/>
      <c r="X1052" s="309"/>
    </row>
    <row r="1053" spans="2:24" ht="15" customHeight="1">
      <c r="B1053" s="845"/>
      <c r="C1053" s="845"/>
      <c r="D1053" s="309"/>
      <c r="E1053" s="396"/>
      <c r="F1053" s="309"/>
      <c r="G1053" s="309"/>
      <c r="H1053" s="844"/>
      <c r="I1053" s="846"/>
      <c r="K1053" s="396"/>
      <c r="L1053" s="815"/>
      <c r="M1053" s="844"/>
      <c r="O1053" s="204" t="str">
        <f t="shared" ca="1" si="36"/>
        <v/>
      </c>
      <c r="P1053" s="118" t="str">
        <f t="shared" ca="1" si="37"/>
        <v/>
      </c>
      <c r="Q1053" s="309"/>
      <c r="X1053" s="309"/>
    </row>
    <row r="1054" spans="2:24" ht="15" customHeight="1">
      <c r="B1054" s="845"/>
      <c r="C1054" s="845"/>
      <c r="D1054" s="309"/>
      <c r="E1054" s="396"/>
      <c r="F1054" s="309"/>
      <c r="G1054" s="309"/>
      <c r="H1054" s="844"/>
      <c r="I1054" s="846"/>
      <c r="K1054" s="396"/>
      <c r="L1054" s="815"/>
      <c r="M1054" s="844"/>
      <c r="O1054" s="204" t="str">
        <f t="shared" ca="1" si="36"/>
        <v/>
      </c>
      <c r="P1054" s="118" t="str">
        <f t="shared" ca="1" si="37"/>
        <v/>
      </c>
      <c r="Q1054" s="309"/>
      <c r="X1054" s="309"/>
    </row>
    <row r="1055" spans="2:24" ht="15" customHeight="1">
      <c r="B1055" s="845"/>
      <c r="C1055" s="845"/>
      <c r="D1055" s="309"/>
      <c r="E1055" s="396"/>
      <c r="F1055" s="309"/>
      <c r="G1055" s="309"/>
      <c r="H1055" s="844"/>
      <c r="I1055" s="846"/>
      <c r="K1055" s="396"/>
      <c r="L1055" s="815"/>
      <c r="M1055" s="844"/>
      <c r="O1055" s="204" t="str">
        <f t="shared" ca="1" si="36"/>
        <v/>
      </c>
      <c r="P1055" s="118" t="str">
        <f t="shared" ca="1" si="37"/>
        <v/>
      </c>
      <c r="Q1055" s="309"/>
      <c r="X1055" s="309"/>
    </row>
    <row r="1056" spans="2:24" ht="15" customHeight="1">
      <c r="B1056" s="845"/>
      <c r="C1056" s="845"/>
      <c r="D1056" s="309"/>
      <c r="E1056" s="396"/>
      <c r="F1056" s="309"/>
      <c r="G1056" s="309"/>
      <c r="H1056" s="844"/>
      <c r="I1056" s="846"/>
      <c r="K1056" s="396"/>
      <c r="L1056" s="815"/>
      <c r="M1056" s="844"/>
      <c r="O1056" s="204" t="str">
        <f t="shared" ca="1" si="36"/>
        <v/>
      </c>
      <c r="P1056" s="118" t="str">
        <f t="shared" ca="1" si="37"/>
        <v/>
      </c>
      <c r="Q1056" s="309"/>
      <c r="X1056" s="309"/>
    </row>
    <row r="1057" spans="2:24" ht="15" customHeight="1">
      <c r="B1057" s="845"/>
      <c r="C1057" s="845"/>
      <c r="D1057" s="309"/>
      <c r="E1057" s="396"/>
      <c r="F1057" s="309"/>
      <c r="G1057" s="309"/>
      <c r="H1057" s="844"/>
      <c r="I1057" s="846"/>
      <c r="K1057" s="396"/>
      <c r="L1057" s="815"/>
      <c r="M1057" s="844"/>
      <c r="O1057" s="204" t="str">
        <f t="shared" ca="1" si="36"/>
        <v/>
      </c>
      <c r="P1057" s="118" t="str">
        <f t="shared" ca="1" si="37"/>
        <v/>
      </c>
      <c r="Q1057" s="309"/>
      <c r="X1057" s="309"/>
    </row>
    <row r="1058" spans="2:24" ht="15" customHeight="1">
      <c r="B1058" s="845"/>
      <c r="C1058" s="845"/>
      <c r="D1058" s="309"/>
      <c r="E1058" s="396"/>
      <c r="F1058" s="309"/>
      <c r="G1058" s="309"/>
      <c r="H1058" s="844"/>
      <c r="I1058" s="846"/>
      <c r="K1058" s="396"/>
      <c r="L1058" s="815"/>
      <c r="M1058" s="844"/>
      <c r="O1058" s="204" t="str">
        <f t="shared" ca="1" si="36"/>
        <v/>
      </c>
      <c r="P1058" s="118" t="str">
        <f t="shared" ca="1" si="37"/>
        <v/>
      </c>
      <c r="Q1058" s="309"/>
      <c r="X1058" s="309"/>
    </row>
    <row r="1059" spans="2:24" ht="15" customHeight="1">
      <c r="B1059" s="845"/>
      <c r="C1059" s="845"/>
      <c r="D1059" s="309"/>
      <c r="E1059" s="396"/>
      <c r="F1059" s="309"/>
      <c r="G1059" s="309"/>
      <c r="H1059" s="844"/>
      <c r="I1059" s="846"/>
      <c r="K1059" s="396"/>
      <c r="L1059" s="815"/>
      <c r="M1059" s="844"/>
      <c r="O1059" s="204" t="str">
        <f t="shared" ca="1" si="36"/>
        <v/>
      </c>
      <c r="P1059" s="118" t="str">
        <f t="shared" ca="1" si="37"/>
        <v/>
      </c>
      <c r="Q1059" s="309"/>
      <c r="X1059" s="309"/>
    </row>
    <row r="1060" spans="2:24" ht="15" customHeight="1">
      <c r="B1060" s="845"/>
      <c r="C1060" s="845"/>
      <c r="D1060" s="309"/>
      <c r="E1060" s="396"/>
      <c r="F1060" s="309"/>
      <c r="G1060" s="309"/>
      <c r="H1060" s="844"/>
      <c r="I1060" s="846"/>
      <c r="K1060" s="396"/>
      <c r="L1060" s="815"/>
      <c r="M1060" s="844"/>
      <c r="O1060" s="204" t="str">
        <f t="shared" ca="1" si="36"/>
        <v/>
      </c>
      <c r="P1060" s="118" t="str">
        <f t="shared" ca="1" si="37"/>
        <v/>
      </c>
      <c r="Q1060" s="309"/>
      <c r="X1060" s="309"/>
    </row>
    <row r="1061" spans="2:24" ht="15" customHeight="1">
      <c r="B1061" s="845"/>
      <c r="C1061" s="845"/>
      <c r="D1061" s="309"/>
      <c r="E1061" s="396"/>
      <c r="F1061" s="309"/>
      <c r="G1061" s="309"/>
      <c r="H1061" s="844"/>
      <c r="I1061" s="846"/>
      <c r="K1061" s="396"/>
      <c r="L1061" s="815"/>
      <c r="M1061" s="844"/>
      <c r="O1061" s="204" t="str">
        <f t="shared" ca="1" si="36"/>
        <v/>
      </c>
      <c r="P1061" s="118" t="str">
        <f t="shared" ca="1" si="37"/>
        <v/>
      </c>
      <c r="Q1061" s="309"/>
      <c r="X1061" s="309"/>
    </row>
    <row r="1062" spans="2:24" ht="15" customHeight="1">
      <c r="B1062" s="845"/>
      <c r="C1062" s="845"/>
      <c r="D1062" s="309"/>
      <c r="E1062" s="396"/>
      <c r="F1062" s="309"/>
      <c r="G1062" s="309"/>
      <c r="H1062" s="844"/>
      <c r="I1062" s="846"/>
      <c r="K1062" s="396"/>
      <c r="L1062" s="815"/>
      <c r="M1062" s="844"/>
      <c r="O1062" s="204" t="str">
        <f t="shared" ca="1" si="36"/>
        <v/>
      </c>
      <c r="P1062" s="118" t="str">
        <f t="shared" ca="1" si="37"/>
        <v/>
      </c>
      <c r="Q1062" s="309"/>
      <c r="X1062" s="309"/>
    </row>
    <row r="1063" spans="2:24" ht="15" customHeight="1">
      <c r="B1063" s="845"/>
      <c r="C1063" s="845"/>
      <c r="D1063" s="309"/>
      <c r="E1063" s="396"/>
      <c r="F1063" s="309"/>
      <c r="G1063" s="309"/>
      <c r="H1063" s="844"/>
      <c r="I1063" s="846"/>
      <c r="K1063" s="396"/>
      <c r="L1063" s="815"/>
      <c r="M1063" s="844"/>
      <c r="O1063" s="204" t="str">
        <f t="shared" ca="1" si="36"/>
        <v/>
      </c>
      <c r="P1063" s="118" t="str">
        <f t="shared" ca="1" si="37"/>
        <v/>
      </c>
      <c r="Q1063" s="309"/>
      <c r="X1063" s="309"/>
    </row>
    <row r="1064" spans="2:24" ht="15" customHeight="1">
      <c r="B1064" s="845"/>
      <c r="C1064" s="845"/>
      <c r="D1064" s="309"/>
      <c r="E1064" s="396"/>
      <c r="F1064" s="309"/>
      <c r="G1064" s="309"/>
      <c r="H1064" s="844"/>
      <c r="I1064" s="846"/>
      <c r="K1064" s="396"/>
      <c r="L1064" s="815"/>
      <c r="M1064" s="844"/>
      <c r="O1064" s="204" t="str">
        <f t="shared" ca="1" si="36"/>
        <v/>
      </c>
      <c r="P1064" s="118" t="str">
        <f t="shared" ca="1" si="37"/>
        <v/>
      </c>
      <c r="Q1064" s="309"/>
      <c r="X1064" s="309"/>
    </row>
    <row r="1065" spans="2:24" ht="15" customHeight="1">
      <c r="B1065" s="845"/>
      <c r="C1065" s="845"/>
      <c r="D1065" s="309"/>
      <c r="E1065" s="396"/>
      <c r="F1065" s="309"/>
      <c r="G1065" s="309"/>
      <c r="H1065" s="844"/>
      <c r="I1065" s="846"/>
      <c r="K1065" s="396"/>
      <c r="L1065" s="815"/>
      <c r="M1065" s="844"/>
      <c r="O1065" s="204" t="str">
        <f t="shared" ca="1" si="36"/>
        <v/>
      </c>
      <c r="P1065" s="118" t="str">
        <f t="shared" ca="1" si="37"/>
        <v/>
      </c>
      <c r="Q1065" s="309"/>
      <c r="X1065" s="309"/>
    </row>
    <row r="1066" spans="2:24" ht="15" customHeight="1">
      <c r="B1066" s="845"/>
      <c r="C1066" s="845"/>
      <c r="D1066" s="309"/>
      <c r="E1066" s="396"/>
      <c r="F1066" s="309"/>
      <c r="G1066" s="309"/>
      <c r="H1066" s="844"/>
      <c r="I1066" s="846"/>
      <c r="K1066" s="396"/>
      <c r="L1066" s="815"/>
      <c r="M1066" s="844"/>
      <c r="O1066" s="204" t="str">
        <f t="shared" ca="1" si="36"/>
        <v/>
      </c>
      <c r="P1066" s="118" t="str">
        <f t="shared" ca="1" si="37"/>
        <v/>
      </c>
      <c r="Q1066" s="309"/>
      <c r="X1066" s="309"/>
    </row>
    <row r="1067" spans="2:24" ht="15" customHeight="1">
      <c r="B1067" s="845"/>
      <c r="C1067" s="845"/>
      <c r="D1067" s="309"/>
      <c r="E1067" s="396"/>
      <c r="F1067" s="309"/>
      <c r="G1067" s="309"/>
      <c r="H1067" s="844"/>
      <c r="I1067" s="846"/>
      <c r="K1067" s="396"/>
      <c r="L1067" s="815"/>
      <c r="M1067" s="844"/>
      <c r="O1067" s="204" t="str">
        <f t="shared" ca="1" si="36"/>
        <v/>
      </c>
      <c r="P1067" s="118" t="str">
        <f t="shared" ca="1" si="37"/>
        <v/>
      </c>
      <c r="Q1067" s="309"/>
      <c r="X1067" s="309"/>
    </row>
    <row r="1068" spans="2:24" ht="15" customHeight="1">
      <c r="B1068" s="845"/>
      <c r="C1068" s="845"/>
      <c r="D1068" s="309"/>
      <c r="E1068" s="396"/>
      <c r="F1068" s="309"/>
      <c r="G1068" s="309"/>
      <c r="H1068" s="844"/>
      <c r="I1068" s="846"/>
      <c r="K1068" s="396"/>
      <c r="L1068" s="815"/>
      <c r="M1068" s="844"/>
      <c r="O1068" s="204" t="str">
        <f t="shared" ca="1" si="36"/>
        <v/>
      </c>
      <c r="P1068" s="118" t="str">
        <f t="shared" ca="1" si="37"/>
        <v/>
      </c>
      <c r="Q1068" s="309"/>
      <c r="X1068" s="309"/>
    </row>
    <row r="1069" spans="2:24" ht="15" customHeight="1">
      <c r="B1069" s="845"/>
      <c r="C1069" s="845"/>
      <c r="D1069" s="309"/>
      <c r="E1069" s="396"/>
      <c r="F1069" s="309"/>
      <c r="G1069" s="309"/>
      <c r="H1069" s="844"/>
      <c r="I1069" s="846"/>
      <c r="K1069" s="396"/>
      <c r="L1069" s="815"/>
      <c r="M1069" s="844"/>
      <c r="O1069" s="204" t="str">
        <f t="shared" ca="1" si="36"/>
        <v/>
      </c>
      <c r="P1069" s="118" t="str">
        <f t="shared" ca="1" si="37"/>
        <v/>
      </c>
      <c r="Q1069" s="309"/>
      <c r="X1069" s="309"/>
    </row>
    <row r="1070" spans="2:24" ht="15" customHeight="1">
      <c r="B1070" s="845"/>
      <c r="C1070" s="845"/>
      <c r="D1070" s="309"/>
      <c r="E1070" s="396"/>
      <c r="F1070" s="309"/>
      <c r="G1070" s="309"/>
      <c r="H1070" s="844"/>
      <c r="I1070" s="846"/>
      <c r="K1070" s="396"/>
      <c r="L1070" s="815"/>
      <c r="M1070" s="844"/>
      <c r="O1070" s="204" t="str">
        <f t="shared" ca="1" si="36"/>
        <v/>
      </c>
      <c r="P1070" s="118" t="str">
        <f t="shared" ca="1" si="37"/>
        <v/>
      </c>
      <c r="Q1070" s="309"/>
      <c r="X1070" s="309"/>
    </row>
    <row r="1071" spans="2:24" ht="15" customHeight="1">
      <c r="B1071" s="845"/>
      <c r="C1071" s="845"/>
      <c r="D1071" s="309"/>
      <c r="E1071" s="396"/>
      <c r="F1071" s="309"/>
      <c r="G1071" s="309"/>
      <c r="H1071" s="844"/>
      <c r="I1071" s="846"/>
      <c r="K1071" s="396"/>
      <c r="L1071" s="815"/>
      <c r="M1071" s="844"/>
      <c r="O1071" s="204" t="str">
        <f t="shared" ref="O1071:O1089" ca="1" si="38">IF(ISBLANK(L1071), "", IF(ISNUMBER(M1071), M1071-L1071, TODAY()-L1071))</f>
        <v/>
      </c>
      <c r="P1071" s="118" t="str">
        <f t="shared" ca="1" si="37"/>
        <v/>
      </c>
      <c r="Q1071" s="309"/>
      <c r="X1071" s="309"/>
    </row>
    <row r="1072" spans="2:24" ht="15" customHeight="1">
      <c r="B1072" s="845"/>
      <c r="C1072" s="845"/>
      <c r="D1072" s="309"/>
      <c r="E1072" s="396"/>
      <c r="F1072" s="309"/>
      <c r="G1072" s="309"/>
      <c r="H1072" s="844"/>
      <c r="I1072" s="846"/>
      <c r="K1072" s="396"/>
      <c r="L1072" s="815"/>
      <c r="M1072" s="844"/>
      <c r="O1072" s="204" t="str">
        <f t="shared" ca="1" si="38"/>
        <v/>
      </c>
      <c r="P1072" s="118" t="str">
        <f t="shared" ca="1" si="37"/>
        <v/>
      </c>
      <c r="Q1072" s="309"/>
      <c r="X1072" s="309"/>
    </row>
    <row r="1073" spans="2:24" ht="15" customHeight="1">
      <c r="B1073" s="845"/>
      <c r="C1073" s="845"/>
      <c r="D1073" s="309"/>
      <c r="E1073" s="396"/>
      <c r="F1073" s="309"/>
      <c r="G1073" s="309"/>
      <c r="H1073" s="844"/>
      <c r="I1073" s="846"/>
      <c r="K1073" s="396"/>
      <c r="L1073" s="815"/>
      <c r="M1073" s="844"/>
      <c r="O1073" s="204" t="str">
        <f t="shared" ca="1" si="38"/>
        <v/>
      </c>
      <c r="P1073" s="118" t="str">
        <f t="shared" ca="1" si="37"/>
        <v/>
      </c>
      <c r="Q1073" s="309"/>
      <c r="X1073" s="309"/>
    </row>
    <row r="1074" spans="2:24" ht="15" customHeight="1">
      <c r="B1074" s="845"/>
      <c r="C1074" s="845"/>
      <c r="D1074" s="309"/>
      <c r="E1074" s="396"/>
      <c r="F1074" s="309"/>
      <c r="G1074" s="309"/>
      <c r="H1074" s="844"/>
      <c r="I1074" s="846"/>
      <c r="K1074" s="396"/>
      <c r="L1074" s="815"/>
      <c r="M1074" s="844"/>
      <c r="O1074" s="204" t="str">
        <f t="shared" ca="1" si="38"/>
        <v/>
      </c>
      <c r="P1074" s="118" t="str">
        <f t="shared" ca="1" si="37"/>
        <v/>
      </c>
      <c r="Q1074" s="309"/>
      <c r="X1074" s="309"/>
    </row>
    <row r="1075" spans="2:24" ht="15" customHeight="1">
      <c r="B1075" s="845"/>
      <c r="C1075" s="845"/>
      <c r="D1075" s="309"/>
      <c r="E1075" s="396"/>
      <c r="F1075" s="309"/>
      <c r="G1075" s="309"/>
      <c r="H1075" s="844"/>
      <c r="I1075" s="846"/>
      <c r="K1075" s="396"/>
      <c r="L1075" s="815"/>
      <c r="M1075" s="844"/>
      <c r="O1075" s="204" t="str">
        <f t="shared" ca="1" si="38"/>
        <v/>
      </c>
      <c r="P1075" s="118" t="str">
        <f t="shared" ca="1" si="37"/>
        <v/>
      </c>
      <c r="Q1075" s="309"/>
      <c r="X1075" s="309"/>
    </row>
    <row r="1076" spans="2:24" ht="15" customHeight="1">
      <c r="B1076" s="845"/>
      <c r="C1076" s="845"/>
      <c r="D1076" s="309"/>
      <c r="E1076" s="396"/>
      <c r="F1076" s="309"/>
      <c r="G1076" s="309"/>
      <c r="H1076" s="844"/>
      <c r="I1076" s="846"/>
      <c r="K1076" s="396"/>
      <c r="L1076" s="815"/>
      <c r="M1076" s="844"/>
      <c r="O1076" s="204" t="str">
        <f t="shared" ca="1" si="38"/>
        <v/>
      </c>
      <c r="P1076" s="118" t="str">
        <f t="shared" ca="1" si="37"/>
        <v/>
      </c>
      <c r="Q1076" s="309"/>
      <c r="X1076" s="309"/>
    </row>
    <row r="1077" spans="2:24" ht="15" customHeight="1">
      <c r="B1077" s="845"/>
      <c r="C1077" s="845"/>
      <c r="D1077" s="309"/>
      <c r="E1077" s="396"/>
      <c r="F1077" s="309"/>
      <c r="G1077" s="309"/>
      <c r="H1077" s="844"/>
      <c r="I1077" s="846"/>
      <c r="K1077" s="396"/>
      <c r="L1077" s="815"/>
      <c r="M1077" s="844"/>
      <c r="O1077" s="204" t="str">
        <f t="shared" ca="1" si="38"/>
        <v/>
      </c>
      <c r="P1077" s="118" t="str">
        <f t="shared" ca="1" si="37"/>
        <v/>
      </c>
      <c r="Q1077" s="309"/>
      <c r="X1077" s="309"/>
    </row>
    <row r="1078" spans="2:24" ht="15" customHeight="1">
      <c r="B1078" s="845"/>
      <c r="C1078" s="845"/>
      <c r="D1078" s="309"/>
      <c r="E1078" s="396"/>
      <c r="F1078" s="309"/>
      <c r="G1078" s="309"/>
      <c r="H1078" s="844"/>
      <c r="I1078" s="846"/>
      <c r="K1078" s="396"/>
      <c r="L1078" s="815"/>
      <c r="M1078" s="844"/>
      <c r="O1078" s="204" t="str">
        <f t="shared" ca="1" si="38"/>
        <v/>
      </c>
      <c r="P1078" s="118" t="str">
        <f t="shared" ca="1" si="37"/>
        <v/>
      </c>
      <c r="Q1078" s="309"/>
      <c r="X1078" s="309"/>
    </row>
    <row r="1079" spans="2:24" ht="15" customHeight="1">
      <c r="B1079" s="845"/>
      <c r="C1079" s="845"/>
      <c r="D1079" s="309"/>
      <c r="E1079" s="396"/>
      <c r="F1079" s="309"/>
      <c r="G1079" s="309"/>
      <c r="H1079" s="844"/>
      <c r="I1079" s="846"/>
      <c r="K1079" s="396"/>
      <c r="L1079" s="815"/>
      <c r="M1079" s="844"/>
      <c r="O1079" s="204" t="str">
        <f t="shared" ca="1" si="38"/>
        <v/>
      </c>
      <c r="P1079" s="118" t="str">
        <f t="shared" ca="1" si="37"/>
        <v/>
      </c>
      <c r="Q1079" s="309"/>
      <c r="X1079" s="309"/>
    </row>
    <row r="1080" spans="2:24" ht="15" customHeight="1">
      <c r="B1080" s="845"/>
      <c r="C1080" s="845"/>
      <c r="D1080" s="309"/>
      <c r="E1080" s="396"/>
      <c r="F1080" s="309"/>
      <c r="G1080" s="309"/>
      <c r="H1080" s="844"/>
      <c r="I1080" s="846"/>
      <c r="K1080" s="396"/>
      <c r="L1080" s="815"/>
      <c r="M1080" s="844"/>
      <c r="O1080" s="204" t="str">
        <f t="shared" ca="1" si="38"/>
        <v/>
      </c>
      <c r="P1080" s="118" t="str">
        <f t="shared" ca="1" si="37"/>
        <v/>
      </c>
      <c r="Q1080" s="309"/>
      <c r="X1080" s="309"/>
    </row>
    <row r="1081" spans="2:24" ht="15" customHeight="1">
      <c r="B1081" s="845"/>
      <c r="C1081" s="845"/>
      <c r="D1081" s="309"/>
      <c r="E1081" s="396"/>
      <c r="F1081" s="309"/>
      <c r="G1081" s="309"/>
      <c r="H1081" s="844"/>
      <c r="I1081" s="846"/>
      <c r="K1081" s="396"/>
      <c r="L1081" s="815"/>
      <c r="M1081" s="844"/>
      <c r="O1081" s="204" t="str">
        <f t="shared" ca="1" si="38"/>
        <v/>
      </c>
      <c r="P1081" s="118" t="str">
        <f t="shared" ca="1" si="37"/>
        <v/>
      </c>
      <c r="Q1081" s="309"/>
      <c r="X1081" s="309"/>
    </row>
    <row r="1082" spans="2:24" ht="15" customHeight="1">
      <c r="B1082" s="845"/>
      <c r="C1082" s="845"/>
      <c r="D1082" s="309"/>
      <c r="E1082" s="396"/>
      <c r="F1082" s="309"/>
      <c r="G1082" s="309"/>
      <c r="H1082" s="844"/>
      <c r="I1082" s="846"/>
      <c r="K1082" s="396"/>
      <c r="L1082" s="815"/>
      <c r="M1082" s="844"/>
      <c r="O1082" s="204" t="str">
        <f t="shared" ca="1" si="38"/>
        <v/>
      </c>
      <c r="P1082" s="118" t="str">
        <f t="shared" ca="1" si="37"/>
        <v/>
      </c>
      <c r="Q1082" s="309"/>
      <c r="X1082" s="309"/>
    </row>
    <row r="1083" spans="2:24" ht="15" customHeight="1">
      <c r="B1083" s="845"/>
      <c r="C1083" s="845"/>
      <c r="D1083" s="309"/>
      <c r="E1083" s="396"/>
      <c r="F1083" s="309"/>
      <c r="G1083" s="309"/>
      <c r="H1083" s="844"/>
      <c r="I1083" s="846"/>
      <c r="K1083" s="396"/>
      <c r="L1083" s="815"/>
      <c r="M1083" s="844"/>
      <c r="O1083" s="204" t="str">
        <f t="shared" ca="1" si="38"/>
        <v/>
      </c>
      <c r="P1083" s="118" t="str">
        <f t="shared" ca="1" si="37"/>
        <v/>
      </c>
      <c r="Q1083" s="309"/>
      <c r="X1083" s="309"/>
    </row>
    <row r="1084" spans="2:24" ht="15" customHeight="1">
      <c r="B1084" s="845"/>
      <c r="C1084" s="845"/>
      <c r="D1084" s="309"/>
      <c r="E1084" s="396"/>
      <c r="F1084" s="309"/>
      <c r="G1084" s="309"/>
      <c r="H1084" s="844"/>
      <c r="I1084" s="846"/>
      <c r="K1084" s="396"/>
      <c r="L1084" s="815"/>
      <c r="M1084" s="844"/>
      <c r="O1084" s="204" t="str">
        <f t="shared" ca="1" si="38"/>
        <v/>
      </c>
      <c r="P1084" s="118" t="str">
        <f t="shared" ca="1" si="37"/>
        <v/>
      </c>
      <c r="Q1084" s="309"/>
      <c r="X1084" s="309"/>
    </row>
    <row r="1085" spans="2:24" ht="15" customHeight="1">
      <c r="B1085" s="845"/>
      <c r="C1085" s="845"/>
      <c r="D1085" s="309"/>
      <c r="E1085" s="396"/>
      <c r="F1085" s="309"/>
      <c r="G1085" s="309"/>
      <c r="H1085" s="844"/>
      <c r="I1085" s="846"/>
      <c r="K1085" s="396"/>
      <c r="L1085" s="815"/>
      <c r="M1085" s="844"/>
      <c r="O1085" s="204" t="str">
        <f t="shared" ca="1" si="38"/>
        <v/>
      </c>
      <c r="P1085" s="118" t="str">
        <f t="shared" ca="1" si="37"/>
        <v/>
      </c>
      <c r="Q1085" s="309"/>
      <c r="X1085" s="309"/>
    </row>
    <row r="1086" spans="2:24" ht="15" customHeight="1">
      <c r="B1086" s="845"/>
      <c r="C1086" s="845"/>
      <c r="D1086" s="309"/>
      <c r="E1086" s="396"/>
      <c r="F1086" s="309"/>
      <c r="G1086" s="309"/>
      <c r="H1086" s="844"/>
      <c r="I1086" s="846"/>
      <c r="K1086" s="396"/>
      <c r="L1086" s="815"/>
      <c r="M1086" s="844"/>
      <c r="O1086" s="204" t="str">
        <f t="shared" ca="1" si="38"/>
        <v/>
      </c>
      <c r="P1086" s="118" t="str">
        <f t="shared" ca="1" si="37"/>
        <v/>
      </c>
      <c r="Q1086" s="309"/>
      <c r="X1086" s="309"/>
    </row>
    <row r="1087" spans="2:24" ht="15" customHeight="1">
      <c r="B1087" s="845"/>
      <c r="C1087" s="845"/>
      <c r="D1087" s="309"/>
      <c r="E1087" s="396"/>
      <c r="F1087" s="309"/>
      <c r="G1087" s="309"/>
      <c r="H1087" s="844"/>
      <c r="I1087" s="846"/>
      <c r="K1087" s="396"/>
      <c r="L1087" s="815"/>
      <c r="M1087" s="844"/>
      <c r="O1087" s="204" t="str">
        <f t="shared" ca="1" si="38"/>
        <v/>
      </c>
      <c r="P1087" s="118" t="str">
        <f t="shared" ca="1" si="37"/>
        <v/>
      </c>
      <c r="Q1087" s="309"/>
      <c r="X1087" s="309"/>
    </row>
    <row r="1088" spans="2:24" ht="15" customHeight="1">
      <c r="B1088" s="845"/>
      <c r="C1088" s="845"/>
      <c r="D1088" s="309"/>
      <c r="E1088" s="396"/>
      <c r="F1088" s="309"/>
      <c r="G1088" s="309"/>
      <c r="H1088" s="844"/>
      <c r="I1088" s="846"/>
      <c r="K1088" s="396"/>
      <c r="L1088" s="815"/>
      <c r="M1088" s="844"/>
      <c r="O1088" s="204" t="str">
        <f t="shared" ca="1" si="38"/>
        <v/>
      </c>
      <c r="P1088" s="118" t="str">
        <f t="shared" ca="1" si="37"/>
        <v/>
      </c>
      <c r="Q1088" s="309"/>
      <c r="X1088" s="309"/>
    </row>
    <row r="1089" spans="2:24" ht="15" customHeight="1">
      <c r="B1089" s="845"/>
      <c r="C1089" s="845"/>
      <c r="D1089" s="309"/>
      <c r="E1089" s="396"/>
      <c r="F1089" s="309"/>
      <c r="G1089" s="309"/>
      <c r="H1089" s="844"/>
      <c r="I1089" s="846"/>
      <c r="K1089" s="396"/>
      <c r="L1089" s="815"/>
      <c r="M1089" s="844"/>
      <c r="O1089" s="204" t="str">
        <f t="shared" ca="1" si="38"/>
        <v/>
      </c>
      <c r="P1089" s="118" t="str">
        <f t="shared" ca="1" si="37"/>
        <v/>
      </c>
      <c r="Q1089" s="309"/>
      <c r="X1089" s="309"/>
    </row>
    <row r="1090" spans="2:24" ht="15" customHeight="1">
      <c r="B1090" s="845"/>
      <c r="C1090" s="845"/>
      <c r="D1090" s="309"/>
      <c r="E1090" s="396"/>
      <c r="F1090" s="309"/>
      <c r="G1090" s="309"/>
      <c r="H1090" s="844"/>
      <c r="I1090" s="846"/>
      <c r="K1090" s="396"/>
      <c r="L1090" s="815"/>
      <c r="M1090" s="844"/>
      <c r="Q1090" s="309"/>
      <c r="X1090" s="309"/>
    </row>
    <row r="1091" spans="2:24" ht="15" customHeight="1">
      <c r="B1091" s="845"/>
      <c r="C1091" s="845"/>
      <c r="D1091" s="309"/>
      <c r="E1091" s="396"/>
      <c r="F1091" s="309"/>
      <c r="G1091" s="309"/>
      <c r="H1091" s="844"/>
      <c r="I1091" s="846"/>
      <c r="K1091" s="396"/>
      <c r="L1091" s="815"/>
      <c r="M1091" s="844"/>
      <c r="Q1091" s="309"/>
      <c r="X1091" s="309"/>
    </row>
    <row r="1092" spans="2:24" ht="15" customHeight="1">
      <c r="B1092" s="845"/>
      <c r="C1092" s="845"/>
      <c r="D1092" s="309"/>
      <c r="E1092" s="396"/>
      <c r="F1092" s="309"/>
      <c r="G1092" s="309"/>
      <c r="H1092" s="844"/>
      <c r="I1092" s="846"/>
      <c r="K1092" s="396"/>
      <c r="L1092" s="815"/>
      <c r="M1092" s="844"/>
      <c r="Q1092" s="309"/>
      <c r="X1092" s="309"/>
    </row>
    <row r="1093" spans="2:24" ht="15" customHeight="1">
      <c r="B1093" s="845"/>
      <c r="C1093" s="845"/>
      <c r="D1093" s="309"/>
      <c r="E1093" s="396"/>
      <c r="F1093" s="309"/>
      <c r="G1093" s="309"/>
      <c r="H1093" s="844"/>
      <c r="I1093" s="846"/>
      <c r="K1093" s="396"/>
      <c r="L1093" s="815"/>
      <c r="M1093" s="844"/>
      <c r="Q1093" s="309"/>
      <c r="X1093" s="309"/>
    </row>
    <row r="1094" spans="2:24" ht="15" customHeight="1">
      <c r="B1094" s="845"/>
      <c r="C1094" s="845"/>
      <c r="D1094" s="309"/>
      <c r="E1094" s="396"/>
      <c r="F1094" s="309"/>
      <c r="G1094" s="309"/>
      <c r="H1094" s="844"/>
      <c r="I1094" s="846"/>
      <c r="K1094" s="396"/>
      <c r="L1094" s="815"/>
      <c r="M1094" s="844"/>
      <c r="Q1094" s="309"/>
      <c r="X1094" s="309"/>
    </row>
    <row r="1095" spans="2:24" ht="15" customHeight="1">
      <c r="B1095" s="845"/>
      <c r="C1095" s="845"/>
      <c r="D1095" s="309"/>
      <c r="E1095" s="396"/>
      <c r="F1095" s="309"/>
      <c r="G1095" s="309"/>
      <c r="H1095" s="844"/>
      <c r="I1095" s="846"/>
      <c r="K1095" s="396"/>
      <c r="L1095" s="815"/>
      <c r="M1095" s="844"/>
      <c r="Q1095" s="309"/>
      <c r="X1095" s="309"/>
    </row>
    <row r="1096" spans="2:24" ht="15" customHeight="1">
      <c r="B1096" s="845"/>
      <c r="C1096" s="845"/>
      <c r="D1096" s="309"/>
      <c r="E1096" s="396"/>
      <c r="F1096" s="309"/>
      <c r="G1096" s="309"/>
      <c r="H1096" s="844"/>
      <c r="I1096" s="846"/>
      <c r="K1096" s="396"/>
      <c r="L1096" s="815"/>
      <c r="M1096" s="844"/>
      <c r="Q1096" s="309"/>
      <c r="X1096" s="309"/>
    </row>
    <row r="1097" spans="2:24" ht="15" customHeight="1">
      <c r="B1097" s="845"/>
      <c r="C1097" s="845"/>
      <c r="D1097" s="309"/>
      <c r="E1097" s="396"/>
      <c r="F1097" s="309"/>
      <c r="G1097" s="309"/>
      <c r="H1097" s="844"/>
      <c r="I1097" s="846"/>
      <c r="K1097" s="396"/>
      <c r="L1097" s="815"/>
      <c r="M1097" s="844"/>
      <c r="Q1097" s="309"/>
      <c r="X1097" s="309"/>
    </row>
    <row r="1098" spans="2:24" ht="15" customHeight="1">
      <c r="B1098" s="845"/>
      <c r="C1098" s="845"/>
      <c r="D1098" s="309"/>
      <c r="E1098" s="396"/>
      <c r="F1098" s="309"/>
      <c r="G1098" s="309"/>
      <c r="H1098" s="844"/>
      <c r="I1098" s="846"/>
      <c r="K1098" s="396"/>
      <c r="L1098" s="815"/>
      <c r="M1098" s="844"/>
      <c r="Q1098" s="309"/>
      <c r="X1098" s="309"/>
    </row>
    <row r="1099" spans="2:24" ht="15" customHeight="1">
      <c r="B1099" s="845"/>
      <c r="C1099" s="845"/>
      <c r="D1099" s="309"/>
      <c r="E1099" s="396"/>
      <c r="F1099" s="309"/>
      <c r="G1099" s="309"/>
      <c r="H1099" s="844"/>
      <c r="I1099" s="846"/>
      <c r="K1099" s="396"/>
      <c r="L1099" s="815"/>
      <c r="M1099" s="844"/>
      <c r="Q1099" s="309"/>
      <c r="X1099" s="309"/>
    </row>
    <row r="1100" spans="2:24" ht="15" customHeight="1">
      <c r="B1100" s="845"/>
      <c r="C1100" s="845"/>
      <c r="D1100" s="309"/>
      <c r="E1100" s="396"/>
      <c r="F1100" s="309"/>
      <c r="G1100" s="309"/>
      <c r="H1100" s="844"/>
      <c r="I1100" s="846"/>
      <c r="K1100" s="396"/>
      <c r="L1100" s="815"/>
      <c r="M1100" s="844"/>
      <c r="Q1100" s="309"/>
      <c r="X1100" s="309"/>
    </row>
    <row r="1101" spans="2:24" ht="15" customHeight="1">
      <c r="B1101" s="845"/>
      <c r="C1101" s="845"/>
      <c r="D1101" s="309"/>
      <c r="E1101" s="396"/>
      <c r="F1101" s="309"/>
      <c r="G1101" s="309"/>
      <c r="H1101" s="844"/>
      <c r="I1101" s="846"/>
      <c r="K1101" s="396"/>
      <c r="L1101" s="815"/>
      <c r="M1101" s="844"/>
      <c r="Q1101" s="309"/>
      <c r="X1101" s="309"/>
    </row>
    <row r="1102" spans="2:24" ht="15" customHeight="1">
      <c r="B1102" s="845"/>
      <c r="C1102" s="845"/>
      <c r="D1102" s="309"/>
      <c r="E1102" s="396"/>
      <c r="F1102" s="309"/>
      <c r="G1102" s="309"/>
      <c r="H1102" s="844"/>
      <c r="I1102" s="846"/>
      <c r="K1102" s="396"/>
      <c r="L1102" s="815"/>
      <c r="M1102" s="844"/>
      <c r="Q1102" s="309"/>
      <c r="X1102" s="309"/>
    </row>
    <row r="1103" spans="2:24" ht="15" customHeight="1">
      <c r="B1103" s="845"/>
      <c r="C1103" s="845"/>
      <c r="D1103" s="309"/>
      <c r="E1103" s="396"/>
      <c r="F1103" s="309"/>
      <c r="G1103" s="309"/>
      <c r="H1103" s="844"/>
      <c r="I1103" s="846"/>
      <c r="K1103" s="396"/>
      <c r="L1103" s="815"/>
      <c r="M1103" s="844"/>
      <c r="Q1103" s="309"/>
      <c r="X1103" s="309"/>
    </row>
    <row r="1104" spans="2:24" ht="15" customHeight="1">
      <c r="B1104" s="845"/>
      <c r="C1104" s="845"/>
      <c r="D1104" s="309"/>
      <c r="E1104" s="396"/>
      <c r="F1104" s="309"/>
      <c r="G1104" s="309"/>
      <c r="H1104" s="844"/>
      <c r="I1104" s="846"/>
      <c r="K1104" s="396"/>
      <c r="L1104" s="815"/>
      <c r="M1104" s="844"/>
      <c r="Q1104" s="309"/>
      <c r="X1104" s="309"/>
    </row>
    <row r="1105" spans="2:24" ht="15" customHeight="1">
      <c r="B1105" s="845"/>
      <c r="C1105" s="845"/>
      <c r="D1105" s="309"/>
      <c r="E1105" s="396"/>
      <c r="F1105" s="309"/>
      <c r="G1105" s="309"/>
      <c r="H1105" s="844"/>
      <c r="I1105" s="846"/>
      <c r="K1105" s="396"/>
      <c r="L1105" s="815"/>
      <c r="M1105" s="844"/>
      <c r="Q1105" s="309"/>
      <c r="X1105" s="309"/>
    </row>
    <row r="1106" spans="2:24" ht="15" customHeight="1">
      <c r="B1106" s="845"/>
      <c r="C1106" s="845"/>
      <c r="D1106" s="309"/>
      <c r="E1106" s="396"/>
      <c r="F1106" s="309"/>
      <c r="G1106" s="309"/>
      <c r="H1106" s="844"/>
      <c r="I1106" s="846"/>
      <c r="K1106" s="396"/>
      <c r="L1106" s="815"/>
      <c r="M1106" s="844"/>
      <c r="Q1106" s="309"/>
      <c r="X1106" s="309"/>
    </row>
    <row r="1107" spans="2:24" ht="15" customHeight="1">
      <c r="B1107" s="845"/>
      <c r="C1107" s="845"/>
      <c r="D1107" s="309"/>
      <c r="E1107" s="396"/>
      <c r="F1107" s="309"/>
      <c r="G1107" s="309"/>
      <c r="H1107" s="844"/>
      <c r="I1107" s="846"/>
      <c r="K1107" s="396"/>
      <c r="L1107" s="815"/>
      <c r="M1107" s="844"/>
      <c r="Q1107" s="309"/>
      <c r="X1107" s="309"/>
    </row>
    <row r="1108" spans="2:24" ht="15" customHeight="1">
      <c r="B1108" s="845"/>
      <c r="C1108" s="845"/>
      <c r="D1108" s="309"/>
      <c r="E1108" s="396"/>
      <c r="F1108" s="309"/>
      <c r="G1108" s="309"/>
      <c r="H1108" s="844"/>
      <c r="I1108" s="846"/>
      <c r="K1108" s="396"/>
      <c r="L1108" s="815"/>
      <c r="M1108" s="844"/>
      <c r="Q1108" s="309"/>
      <c r="X1108" s="309"/>
    </row>
    <row r="1109" spans="2:24" ht="15" customHeight="1">
      <c r="B1109" s="845"/>
      <c r="C1109" s="845"/>
      <c r="D1109" s="309"/>
      <c r="E1109" s="396"/>
      <c r="F1109" s="309"/>
      <c r="G1109" s="309"/>
      <c r="H1109" s="844"/>
      <c r="I1109" s="846"/>
      <c r="K1109" s="396"/>
      <c r="L1109" s="815"/>
      <c r="M1109" s="844"/>
      <c r="Q1109" s="309"/>
      <c r="X1109" s="309"/>
    </row>
    <row r="1110" spans="2:24" ht="15" customHeight="1">
      <c r="B1110" s="845"/>
      <c r="C1110" s="845"/>
      <c r="D1110" s="309"/>
      <c r="E1110" s="396"/>
      <c r="F1110" s="309"/>
      <c r="G1110" s="309"/>
      <c r="H1110" s="844"/>
      <c r="I1110" s="846"/>
      <c r="K1110" s="396"/>
      <c r="L1110" s="815"/>
      <c r="M1110" s="844"/>
      <c r="Q1110" s="309"/>
      <c r="X1110" s="309"/>
    </row>
    <row r="1111" spans="2:24" ht="15" customHeight="1">
      <c r="B1111" s="845"/>
      <c r="C1111" s="845"/>
      <c r="D1111" s="309"/>
      <c r="E1111" s="396"/>
      <c r="F1111" s="309"/>
      <c r="G1111" s="309"/>
      <c r="H1111" s="844"/>
      <c r="I1111" s="846"/>
      <c r="K1111" s="396"/>
      <c r="L1111" s="815"/>
      <c r="M1111" s="844"/>
      <c r="Q1111" s="309"/>
      <c r="X1111" s="309"/>
    </row>
    <row r="1112" spans="2:24" ht="15" customHeight="1">
      <c r="B1112" s="845"/>
      <c r="C1112" s="845"/>
      <c r="D1112" s="309"/>
      <c r="E1112" s="396"/>
      <c r="F1112" s="309"/>
      <c r="G1112" s="309"/>
      <c r="H1112" s="844"/>
      <c r="I1112" s="846"/>
      <c r="K1112" s="396"/>
      <c r="L1112" s="815"/>
      <c r="M1112" s="844"/>
      <c r="Q1112" s="309"/>
      <c r="X1112" s="309"/>
    </row>
    <row r="1113" spans="2:24" ht="15" customHeight="1">
      <c r="B1113" s="845"/>
      <c r="C1113" s="845"/>
      <c r="D1113" s="309"/>
      <c r="E1113" s="396"/>
      <c r="F1113" s="309"/>
      <c r="G1113" s="309"/>
      <c r="H1113" s="844"/>
      <c r="I1113" s="846"/>
      <c r="K1113" s="396"/>
      <c r="L1113" s="815"/>
      <c r="M1113" s="844"/>
      <c r="Q1113" s="309"/>
      <c r="X1113" s="309"/>
    </row>
    <row r="1114" spans="2:24" ht="15" customHeight="1">
      <c r="B1114" s="845"/>
      <c r="C1114" s="845"/>
      <c r="D1114" s="309"/>
      <c r="E1114" s="396"/>
      <c r="F1114" s="309"/>
      <c r="G1114" s="309"/>
      <c r="H1114" s="844"/>
      <c r="I1114" s="846"/>
      <c r="K1114" s="396"/>
      <c r="L1114" s="815"/>
      <c r="M1114" s="844"/>
      <c r="Q1114" s="309"/>
      <c r="X1114" s="309"/>
    </row>
    <row r="1115" spans="2:24" ht="15" customHeight="1">
      <c r="B1115" s="845"/>
      <c r="C1115" s="845"/>
      <c r="D1115" s="309"/>
      <c r="E1115" s="396"/>
      <c r="F1115" s="309"/>
      <c r="G1115" s="309"/>
      <c r="H1115" s="844"/>
      <c r="I1115" s="846"/>
      <c r="K1115" s="396"/>
      <c r="L1115" s="815"/>
      <c r="M1115" s="844"/>
      <c r="Q1115" s="309"/>
      <c r="X1115" s="309"/>
    </row>
    <row r="1116" spans="2:24" ht="15" customHeight="1">
      <c r="B1116" s="845"/>
      <c r="C1116" s="845"/>
      <c r="D1116" s="309"/>
      <c r="E1116" s="396"/>
      <c r="F1116" s="309"/>
      <c r="G1116" s="309"/>
      <c r="H1116" s="844"/>
      <c r="I1116" s="846"/>
      <c r="K1116" s="396"/>
      <c r="L1116" s="815"/>
      <c r="M1116" s="844"/>
      <c r="Q1116" s="309"/>
      <c r="X1116" s="309"/>
    </row>
    <row r="1117" spans="2:24" ht="15" customHeight="1">
      <c r="B1117" s="845"/>
      <c r="C1117" s="845"/>
      <c r="D1117" s="309"/>
      <c r="E1117" s="396"/>
      <c r="F1117" s="309"/>
      <c r="G1117" s="309"/>
      <c r="H1117" s="844"/>
      <c r="I1117" s="846"/>
      <c r="K1117" s="396"/>
      <c r="L1117" s="815"/>
      <c r="M1117" s="844"/>
      <c r="Q1117" s="309"/>
      <c r="X1117" s="309"/>
    </row>
    <row r="1118" spans="2:24" ht="15" customHeight="1">
      <c r="B1118" s="845"/>
      <c r="C1118" s="845"/>
      <c r="D1118" s="309"/>
      <c r="E1118" s="396"/>
      <c r="F1118" s="309"/>
      <c r="G1118" s="309"/>
      <c r="H1118" s="844"/>
      <c r="I1118" s="846"/>
      <c r="K1118" s="396"/>
      <c r="L1118" s="815"/>
      <c r="M1118" s="844"/>
      <c r="Q1118" s="309"/>
      <c r="X1118" s="309"/>
    </row>
    <row r="1119" spans="2:24" ht="15" customHeight="1">
      <c r="B1119" s="845"/>
      <c r="C1119" s="845"/>
      <c r="D1119" s="309"/>
      <c r="E1119" s="396"/>
      <c r="F1119" s="309"/>
      <c r="G1119" s="309"/>
      <c r="H1119" s="844"/>
      <c r="I1119" s="846"/>
      <c r="K1119" s="396"/>
      <c r="L1119" s="815"/>
      <c r="M1119" s="844"/>
      <c r="Q1119" s="309"/>
      <c r="X1119" s="309"/>
    </row>
    <row r="1120" spans="2:24" ht="15" customHeight="1">
      <c r="B1120" s="845"/>
      <c r="C1120" s="845"/>
      <c r="D1120" s="309"/>
      <c r="E1120" s="396"/>
      <c r="F1120" s="309"/>
      <c r="G1120" s="309"/>
      <c r="H1120" s="844"/>
      <c r="I1120" s="846"/>
      <c r="K1120" s="396"/>
      <c r="L1120" s="815"/>
      <c r="M1120" s="844"/>
      <c r="Q1120" s="309"/>
      <c r="X1120" s="309"/>
    </row>
    <row r="1121" spans="2:24" ht="15" customHeight="1">
      <c r="B1121" s="845"/>
      <c r="C1121" s="845"/>
      <c r="D1121" s="309"/>
      <c r="E1121" s="396"/>
      <c r="F1121" s="309"/>
      <c r="G1121" s="309"/>
      <c r="H1121" s="844"/>
      <c r="I1121" s="846"/>
      <c r="K1121" s="396"/>
      <c r="L1121" s="815"/>
      <c r="M1121" s="844"/>
      <c r="Q1121" s="309"/>
      <c r="X1121" s="309"/>
    </row>
    <row r="1122" spans="2:24" ht="15" customHeight="1">
      <c r="B1122" s="845"/>
      <c r="C1122" s="845"/>
      <c r="D1122" s="309"/>
      <c r="E1122" s="396"/>
      <c r="F1122" s="309"/>
      <c r="G1122" s="309"/>
      <c r="H1122" s="844"/>
      <c r="I1122" s="846"/>
      <c r="K1122" s="396"/>
      <c r="L1122" s="815"/>
      <c r="M1122" s="844"/>
      <c r="Q1122" s="309"/>
      <c r="X1122" s="309"/>
    </row>
    <row r="1123" spans="2:24" ht="15" customHeight="1">
      <c r="B1123" s="845"/>
      <c r="C1123" s="845"/>
      <c r="D1123" s="309"/>
      <c r="E1123" s="396"/>
      <c r="F1123" s="309"/>
      <c r="G1123" s="309"/>
      <c r="H1123" s="844"/>
      <c r="I1123" s="846"/>
      <c r="K1123" s="396"/>
      <c r="L1123" s="815"/>
      <c r="M1123" s="844"/>
      <c r="Q1123" s="309"/>
      <c r="X1123" s="309"/>
    </row>
    <row r="1124" spans="2:24" ht="15" customHeight="1">
      <c r="B1124" s="845"/>
      <c r="C1124" s="845"/>
      <c r="D1124" s="309"/>
      <c r="E1124" s="396"/>
      <c r="F1124" s="309"/>
      <c r="G1124" s="309"/>
      <c r="H1124" s="844"/>
      <c r="I1124" s="846"/>
      <c r="K1124" s="396"/>
      <c r="L1124" s="815"/>
      <c r="M1124" s="844"/>
      <c r="Q1124" s="309"/>
      <c r="X1124" s="309"/>
    </row>
    <row r="1125" spans="2:24" ht="15" customHeight="1">
      <c r="B1125" s="845"/>
      <c r="C1125" s="845"/>
      <c r="D1125" s="309"/>
      <c r="E1125" s="396"/>
      <c r="F1125" s="309"/>
      <c r="G1125" s="309"/>
      <c r="H1125" s="844"/>
      <c r="I1125" s="846"/>
      <c r="K1125" s="396"/>
      <c r="L1125" s="815"/>
      <c r="M1125" s="844"/>
      <c r="Q1125" s="309"/>
      <c r="X1125" s="309"/>
    </row>
    <row r="1126" spans="2:24" ht="15" customHeight="1">
      <c r="B1126" s="845"/>
      <c r="C1126" s="845"/>
      <c r="D1126" s="309"/>
      <c r="E1126" s="396"/>
      <c r="F1126" s="309"/>
      <c r="G1126" s="309"/>
      <c r="H1126" s="844"/>
      <c r="I1126" s="846"/>
      <c r="K1126" s="396"/>
      <c r="L1126" s="815"/>
      <c r="M1126" s="844"/>
      <c r="Q1126" s="309"/>
      <c r="X1126" s="309"/>
    </row>
    <row r="1127" spans="2:24" ht="15" customHeight="1">
      <c r="B1127" s="845"/>
      <c r="C1127" s="845"/>
      <c r="D1127" s="309"/>
      <c r="E1127" s="396"/>
      <c r="F1127" s="309"/>
      <c r="G1127" s="309"/>
      <c r="H1127" s="844"/>
      <c r="I1127" s="846"/>
      <c r="K1127" s="396"/>
      <c r="L1127" s="815"/>
      <c r="M1127" s="844"/>
      <c r="Q1127" s="309"/>
      <c r="X1127" s="309"/>
    </row>
    <row r="1128" spans="2:24" ht="15" customHeight="1">
      <c r="B1128" s="845"/>
      <c r="C1128" s="845"/>
      <c r="D1128" s="309"/>
      <c r="E1128" s="396"/>
      <c r="F1128" s="309"/>
      <c r="G1128" s="309"/>
      <c r="H1128" s="844"/>
      <c r="I1128" s="846"/>
      <c r="K1128" s="396"/>
      <c r="L1128" s="815"/>
      <c r="M1128" s="844"/>
      <c r="Q1128" s="309"/>
      <c r="X1128" s="309"/>
    </row>
    <row r="1129" spans="2:24" ht="15" customHeight="1">
      <c r="B1129" s="845"/>
      <c r="C1129" s="845"/>
      <c r="D1129" s="309"/>
      <c r="E1129" s="396"/>
      <c r="F1129" s="309"/>
      <c r="G1129" s="309"/>
      <c r="H1129" s="844"/>
      <c r="I1129" s="846"/>
      <c r="K1129" s="396"/>
      <c r="L1129" s="815"/>
      <c r="M1129" s="844"/>
      <c r="Q1129" s="309"/>
      <c r="X1129" s="309"/>
    </row>
    <row r="1130" spans="2:24" ht="15" customHeight="1">
      <c r="B1130" s="845"/>
      <c r="C1130" s="845"/>
      <c r="D1130" s="309"/>
      <c r="E1130" s="396"/>
      <c r="F1130" s="309"/>
      <c r="G1130" s="309"/>
      <c r="H1130" s="844"/>
      <c r="I1130" s="846"/>
      <c r="K1130" s="396"/>
      <c r="L1130" s="815"/>
      <c r="M1130" s="844"/>
      <c r="Q1130" s="309"/>
      <c r="X1130" s="309"/>
    </row>
    <row r="1131" spans="2:24" ht="15" customHeight="1">
      <c r="B1131" s="845"/>
      <c r="C1131" s="845"/>
      <c r="D1131" s="309"/>
      <c r="E1131" s="396"/>
      <c r="F1131" s="309"/>
      <c r="G1131" s="309"/>
      <c r="H1131" s="844"/>
      <c r="I1131" s="846"/>
      <c r="K1131" s="396"/>
      <c r="L1131" s="815"/>
      <c r="M1131" s="844"/>
      <c r="Q1131" s="309"/>
      <c r="X1131" s="309"/>
    </row>
    <row r="1132" spans="2:24" ht="15" customHeight="1">
      <c r="B1132" s="845"/>
      <c r="C1132" s="845"/>
      <c r="D1132" s="309"/>
      <c r="E1132" s="396"/>
      <c r="F1132" s="309"/>
      <c r="G1132" s="309"/>
      <c r="H1132" s="844"/>
      <c r="I1132" s="846"/>
      <c r="K1132" s="396"/>
      <c r="L1132" s="815"/>
      <c r="M1132" s="844"/>
      <c r="Q1132" s="309"/>
      <c r="X1132" s="309"/>
    </row>
    <row r="1133" spans="2:24" ht="15" customHeight="1">
      <c r="B1133" s="845"/>
      <c r="C1133" s="845"/>
      <c r="D1133" s="309"/>
      <c r="E1133" s="396"/>
      <c r="F1133" s="309"/>
      <c r="G1133" s="309"/>
      <c r="H1133" s="844"/>
      <c r="I1133" s="846"/>
      <c r="K1133" s="396"/>
      <c r="L1133" s="815"/>
      <c r="M1133" s="844"/>
      <c r="Q1133" s="309"/>
      <c r="X1133" s="309"/>
    </row>
    <row r="1134" spans="2:24" ht="15" customHeight="1">
      <c r="B1134" s="845"/>
      <c r="C1134" s="845"/>
      <c r="D1134" s="309"/>
      <c r="E1134" s="396"/>
      <c r="F1134" s="309"/>
      <c r="G1134" s="309"/>
      <c r="H1134" s="844"/>
      <c r="I1134" s="846"/>
      <c r="K1134" s="396"/>
      <c r="L1134" s="815"/>
      <c r="M1134" s="844"/>
      <c r="Q1134" s="309"/>
      <c r="X1134" s="309"/>
    </row>
    <row r="1135" spans="2:24" ht="15" customHeight="1">
      <c r="B1135" s="845"/>
      <c r="C1135" s="845"/>
      <c r="D1135" s="309"/>
      <c r="E1135" s="396"/>
      <c r="F1135" s="309"/>
      <c r="G1135" s="309"/>
      <c r="H1135" s="844"/>
      <c r="I1135" s="846"/>
      <c r="K1135" s="396"/>
      <c r="L1135" s="815"/>
      <c r="M1135" s="844"/>
      <c r="Q1135" s="309"/>
      <c r="X1135" s="309"/>
    </row>
    <row r="1136" spans="2:24" ht="15" customHeight="1">
      <c r="B1136" s="845"/>
      <c r="C1136" s="845"/>
      <c r="D1136" s="309"/>
      <c r="E1136" s="396"/>
      <c r="F1136" s="309"/>
      <c r="G1136" s="309"/>
      <c r="H1136" s="844"/>
      <c r="I1136" s="846"/>
      <c r="K1136" s="396"/>
      <c r="L1136" s="815"/>
      <c r="M1136" s="844"/>
      <c r="Q1136" s="309"/>
      <c r="X1136" s="309"/>
    </row>
    <row r="1137" spans="2:24" ht="15" customHeight="1">
      <c r="B1137" s="845"/>
      <c r="C1137" s="845"/>
      <c r="D1137" s="309"/>
      <c r="E1137" s="396"/>
      <c r="F1137" s="309"/>
      <c r="G1137" s="309"/>
      <c r="H1137" s="844"/>
      <c r="I1137" s="846"/>
      <c r="K1137" s="396"/>
      <c r="L1137" s="815"/>
      <c r="M1137" s="844"/>
      <c r="Q1137" s="309"/>
      <c r="X1137" s="309"/>
    </row>
    <row r="1138" spans="2:24" ht="15" customHeight="1">
      <c r="B1138" s="845"/>
      <c r="C1138" s="845"/>
      <c r="D1138" s="309"/>
      <c r="E1138" s="396"/>
      <c r="F1138" s="309"/>
      <c r="G1138" s="309"/>
      <c r="H1138" s="844"/>
      <c r="I1138" s="846"/>
      <c r="K1138" s="396"/>
      <c r="L1138" s="815"/>
      <c r="M1138" s="844"/>
      <c r="Q1138" s="309"/>
      <c r="X1138" s="309"/>
    </row>
    <row r="1139" spans="2:24" ht="15" customHeight="1">
      <c r="B1139" s="845"/>
      <c r="C1139" s="845"/>
      <c r="D1139" s="309"/>
      <c r="E1139" s="396"/>
      <c r="F1139" s="309"/>
      <c r="G1139" s="309"/>
      <c r="H1139" s="844"/>
      <c r="I1139" s="846"/>
      <c r="K1139" s="396"/>
      <c r="L1139" s="815"/>
      <c r="M1139" s="844"/>
      <c r="Q1139" s="309"/>
      <c r="X1139" s="309"/>
    </row>
    <row r="1140" spans="2:24" ht="15" customHeight="1">
      <c r="B1140" s="845"/>
      <c r="C1140" s="845"/>
      <c r="D1140" s="309"/>
      <c r="E1140" s="396"/>
      <c r="F1140" s="309"/>
      <c r="G1140" s="309"/>
      <c r="H1140" s="844"/>
      <c r="I1140" s="846"/>
      <c r="K1140" s="396"/>
      <c r="L1140" s="815"/>
      <c r="M1140" s="844"/>
      <c r="Q1140" s="309"/>
      <c r="X1140" s="309"/>
    </row>
    <row r="1141" spans="2:24" ht="15" customHeight="1">
      <c r="B1141" s="845"/>
      <c r="C1141" s="845"/>
      <c r="D1141" s="309"/>
      <c r="E1141" s="396"/>
      <c r="F1141" s="309"/>
      <c r="G1141" s="309"/>
      <c r="H1141" s="844"/>
      <c r="I1141" s="846"/>
      <c r="K1141" s="396"/>
      <c r="L1141" s="815"/>
      <c r="M1141" s="844"/>
      <c r="Q1141" s="309"/>
      <c r="X1141" s="309"/>
    </row>
    <row r="1142" spans="2:24" ht="15" customHeight="1">
      <c r="B1142" s="845"/>
      <c r="C1142" s="845"/>
      <c r="D1142" s="309"/>
      <c r="E1142" s="396"/>
      <c r="F1142" s="309"/>
      <c r="G1142" s="309"/>
      <c r="H1142" s="844"/>
      <c r="I1142" s="846"/>
      <c r="K1142" s="396"/>
      <c r="L1142" s="815"/>
      <c r="M1142" s="844"/>
      <c r="Q1142" s="309"/>
      <c r="X1142" s="309"/>
    </row>
    <row r="1143" spans="2:24" ht="15" customHeight="1">
      <c r="B1143" s="845"/>
      <c r="C1143" s="845"/>
      <c r="D1143" s="309"/>
      <c r="E1143" s="396"/>
      <c r="F1143" s="309"/>
      <c r="G1143" s="309"/>
      <c r="H1143" s="844"/>
      <c r="I1143" s="846"/>
      <c r="K1143" s="396"/>
      <c r="L1143" s="815"/>
      <c r="M1143" s="844"/>
      <c r="Q1143" s="309"/>
      <c r="X1143" s="309"/>
    </row>
    <row r="1144" spans="2:24" ht="15" customHeight="1">
      <c r="B1144" s="845"/>
      <c r="C1144" s="845"/>
      <c r="D1144" s="309"/>
      <c r="E1144" s="396"/>
      <c r="F1144" s="309"/>
      <c r="G1144" s="309"/>
      <c r="H1144" s="844"/>
      <c r="I1144" s="846"/>
      <c r="K1144" s="396"/>
      <c r="L1144" s="815"/>
      <c r="M1144" s="844"/>
      <c r="Q1144" s="309"/>
      <c r="X1144" s="309"/>
    </row>
    <row r="1145" spans="2:24" ht="15" customHeight="1">
      <c r="B1145" s="845"/>
      <c r="C1145" s="845"/>
      <c r="D1145" s="309"/>
      <c r="E1145" s="396"/>
      <c r="F1145" s="309"/>
      <c r="G1145" s="309"/>
      <c r="H1145" s="844"/>
      <c r="I1145" s="846"/>
      <c r="K1145" s="396"/>
      <c r="L1145" s="815"/>
      <c r="M1145" s="844"/>
      <c r="Q1145" s="309"/>
      <c r="X1145" s="309"/>
    </row>
    <row r="1146" spans="2:24" ht="15" customHeight="1">
      <c r="B1146" s="845"/>
      <c r="C1146" s="845"/>
      <c r="D1146" s="309"/>
      <c r="E1146" s="396"/>
      <c r="F1146" s="309"/>
      <c r="G1146" s="309"/>
      <c r="H1146" s="844"/>
      <c r="I1146" s="846"/>
      <c r="K1146" s="396"/>
      <c r="L1146" s="815"/>
      <c r="M1146" s="844"/>
      <c r="Q1146" s="309"/>
      <c r="X1146" s="309"/>
    </row>
    <row r="1147" spans="2:24" ht="15" customHeight="1">
      <c r="B1147" s="845"/>
      <c r="C1147" s="845"/>
      <c r="D1147" s="309"/>
      <c r="E1147" s="396"/>
      <c r="F1147" s="309"/>
      <c r="G1147" s="309"/>
      <c r="H1147" s="844"/>
      <c r="I1147" s="846"/>
      <c r="K1147" s="396"/>
      <c r="L1147" s="815"/>
      <c r="M1147" s="844"/>
      <c r="Q1147" s="309"/>
      <c r="X1147" s="309"/>
    </row>
    <row r="1148" spans="2:24" ht="15" customHeight="1">
      <c r="B1148" s="845"/>
      <c r="C1148" s="845"/>
      <c r="D1148" s="309"/>
      <c r="E1148" s="396"/>
      <c r="F1148" s="309"/>
      <c r="G1148" s="309"/>
      <c r="H1148" s="844"/>
      <c r="I1148" s="846"/>
      <c r="K1148" s="396"/>
      <c r="L1148" s="815"/>
      <c r="M1148" s="844"/>
      <c r="Q1148" s="309"/>
      <c r="X1148" s="309"/>
    </row>
    <row r="1149" spans="2:24" ht="15" customHeight="1">
      <c r="B1149" s="845"/>
      <c r="C1149" s="845"/>
      <c r="D1149" s="309"/>
      <c r="E1149" s="396"/>
      <c r="F1149" s="309"/>
      <c r="G1149" s="309"/>
      <c r="H1149" s="844"/>
      <c r="I1149" s="846"/>
      <c r="K1149" s="396"/>
      <c r="L1149" s="815"/>
      <c r="M1149" s="844"/>
      <c r="Q1149" s="309"/>
      <c r="X1149" s="309"/>
    </row>
    <row r="1150" spans="2:24" ht="15" customHeight="1">
      <c r="B1150" s="845"/>
      <c r="C1150" s="845"/>
      <c r="D1150" s="309"/>
      <c r="E1150" s="396"/>
      <c r="F1150" s="309"/>
      <c r="G1150" s="309"/>
      <c r="H1150" s="844"/>
      <c r="I1150" s="846"/>
      <c r="K1150" s="396"/>
      <c r="L1150" s="815"/>
      <c r="M1150" s="844"/>
      <c r="Q1150" s="309"/>
      <c r="X1150" s="309"/>
    </row>
    <row r="1151" spans="2:24" ht="15" customHeight="1">
      <c r="B1151" s="845"/>
      <c r="C1151" s="845"/>
      <c r="D1151" s="309"/>
      <c r="E1151" s="396"/>
      <c r="F1151" s="309"/>
      <c r="G1151" s="309"/>
      <c r="H1151" s="844"/>
      <c r="I1151" s="846"/>
      <c r="K1151" s="396"/>
      <c r="L1151" s="815"/>
      <c r="M1151" s="844"/>
      <c r="Q1151" s="309"/>
      <c r="X1151" s="309"/>
    </row>
    <row r="1152" spans="2:24" ht="15" customHeight="1">
      <c r="B1152" s="845"/>
      <c r="C1152" s="845"/>
      <c r="D1152" s="309"/>
      <c r="E1152" s="396"/>
      <c r="F1152" s="309"/>
      <c r="G1152" s="309"/>
      <c r="H1152" s="844"/>
      <c r="I1152" s="846"/>
      <c r="K1152" s="396"/>
      <c r="L1152" s="815"/>
      <c r="M1152" s="844"/>
      <c r="Q1152" s="309"/>
      <c r="X1152" s="309"/>
    </row>
    <row r="1153" spans="2:24" ht="15" customHeight="1">
      <c r="B1153" s="845"/>
      <c r="C1153" s="845"/>
      <c r="D1153" s="309"/>
      <c r="E1153" s="396"/>
      <c r="F1153" s="309"/>
      <c r="G1153" s="309"/>
      <c r="H1153" s="844"/>
      <c r="I1153" s="846"/>
      <c r="K1153" s="396"/>
      <c r="L1153" s="815"/>
      <c r="M1153" s="844"/>
      <c r="Q1153" s="309"/>
      <c r="X1153" s="309"/>
    </row>
    <row r="1154" spans="2:24" ht="15" customHeight="1">
      <c r="B1154" s="845"/>
      <c r="C1154" s="845"/>
      <c r="D1154" s="309"/>
      <c r="E1154" s="396"/>
      <c r="F1154" s="309"/>
      <c r="G1154" s="309"/>
      <c r="H1154" s="844"/>
      <c r="I1154" s="846"/>
      <c r="K1154" s="396"/>
      <c r="L1154" s="815"/>
      <c r="M1154" s="844"/>
      <c r="Q1154" s="309"/>
      <c r="X1154" s="309"/>
    </row>
    <row r="1155" spans="2:24" ht="15" customHeight="1">
      <c r="B1155" s="845"/>
      <c r="C1155" s="845"/>
      <c r="D1155" s="309"/>
      <c r="E1155" s="396"/>
      <c r="F1155" s="309"/>
      <c r="G1155" s="309"/>
      <c r="H1155" s="844"/>
      <c r="I1155" s="846"/>
      <c r="K1155" s="396"/>
      <c r="L1155" s="815"/>
      <c r="M1155" s="844"/>
      <c r="Q1155" s="309"/>
      <c r="X1155" s="309"/>
    </row>
  </sheetData>
  <sheetProtection formatCells="0" formatColumns="0" formatRows="0" insertColumns="0" insertRows="0"/>
  <protectedRanges>
    <protectedRange sqref="P588:Q646 O588:O1089 Q133:Q134 Q136:Q155 Q157:Q158 Q160:Q164 J107:O107 D179:D182 D184:D187 D177:P178 E179:Q187 B177:C187 B588:N646 C188:C196 F188:F196 Q173:Q178 Q166:Q171 B188:B189 D188:E189 G188:G189 C198:C210 H203:H206 H188:H201 G191:G201 B133:P176 B130:Q132 H208:H216 N216 M188:N215 K232:K236 L220:X223 O219:X219 I241:I242 O188:Q218 I188:L219 G203:G218 F198:F218 D191:E218 C212:C218 B191:B218 M217:N219 R1:X218 I243:J245 K245:X245 E237:H244 E235:G236 B235:D244 B245:H245 L224:P224 R224:X224 H218:H236 I231:J240 L225:X234 B219:G234 I220:K230 K237:P244 L235:P236 Q235:X244 R506:X1048576 B246:X505 B506:Q587" name="Range1"/>
  </protectedRanges>
  <autoFilter ref="B1:X1089" xr:uid="{ED18AC10-AA8A-43A8-9D29-1233DEBA3947}"/>
  <customSheetViews>
    <customSheetView guid="{B8B11DCA-15D9-43FE-8242-24BA30DC4E5E}" showAutoFilter="1">
      <pane ySplit="1" topLeftCell="A2" activePane="bottomLeft" state="frozen"/>
      <selection pane="bottomLeft" activeCell="R12" sqref="R12"/>
      <pageMargins left="0" right="0" top="0" bottom="0" header="0" footer="0"/>
      <headerFooter>
        <oddFooter>&amp;C_x000D_&amp;1#&amp;"Calibri"&amp;6&amp;K626469 General</oddFooter>
      </headerFooter>
      <autoFilter ref="B1:P25" xr:uid="{46EA91FC-8F67-46B7-965F-A24BA803FCF5}"/>
    </customSheetView>
  </customSheetViews>
  <mergeCells count="351">
    <mergeCell ref="B97:B103"/>
    <mergeCell ref="E124:E125"/>
    <mergeCell ref="G124:G125"/>
    <mergeCell ref="D122:D123"/>
    <mergeCell ref="E109:E111"/>
    <mergeCell ref="G109:G111"/>
    <mergeCell ref="B76:B93"/>
    <mergeCell ref="E76:E93"/>
    <mergeCell ref="D94:D95"/>
    <mergeCell ref="E94:E95"/>
    <mergeCell ref="D76:D93"/>
    <mergeCell ref="B94:B95"/>
    <mergeCell ref="C76:C84"/>
    <mergeCell ref="C85:C93"/>
    <mergeCell ref="C94:C95"/>
    <mergeCell ref="B109:B111"/>
    <mergeCell ref="B112:B114"/>
    <mergeCell ref="B104:B107"/>
    <mergeCell ref="G104:G107"/>
    <mergeCell ref="D112:D114"/>
    <mergeCell ref="E112:E114"/>
    <mergeCell ref="G112:G114"/>
    <mergeCell ref="E97:E103"/>
    <mergeCell ref="D97:D103"/>
    <mergeCell ref="C97:C103"/>
    <mergeCell ref="G94:G95"/>
    <mergeCell ref="H94:H95"/>
    <mergeCell ref="X117:X119"/>
    <mergeCell ref="X97:X103"/>
    <mergeCell ref="X94:X95"/>
    <mergeCell ref="I112:I114"/>
    <mergeCell ref="I117:I119"/>
    <mergeCell ref="Q94:Q95"/>
    <mergeCell ref="X112:X114"/>
    <mergeCell ref="X104:X106"/>
    <mergeCell ref="I94:I95"/>
    <mergeCell ref="D109:D111"/>
    <mergeCell ref="C109:C111"/>
    <mergeCell ref="C112:C114"/>
    <mergeCell ref="C104:C107"/>
    <mergeCell ref="D104:D107"/>
    <mergeCell ref="E104:E107"/>
    <mergeCell ref="H104:H107"/>
    <mergeCell ref="H109:H111"/>
    <mergeCell ref="H97:H103"/>
    <mergeCell ref="G97:G103"/>
    <mergeCell ref="H117:H119"/>
    <mergeCell ref="X109:X111"/>
    <mergeCell ref="Q109:Q111"/>
    <mergeCell ref="Q112:Q114"/>
    <mergeCell ref="Q117:Q119"/>
    <mergeCell ref="I122:I123"/>
    <mergeCell ref="Q97:Q103"/>
    <mergeCell ref="Q104:Q106"/>
    <mergeCell ref="I109:I111"/>
    <mergeCell ref="I97:I103"/>
    <mergeCell ref="I104:I107"/>
    <mergeCell ref="X76:X84"/>
    <mergeCell ref="X85:X93"/>
    <mergeCell ref="X46:X53"/>
    <mergeCell ref="X42:X43"/>
    <mergeCell ref="X67:X70"/>
    <mergeCell ref="X71:X75"/>
    <mergeCell ref="I76:I93"/>
    <mergeCell ref="I71:I75"/>
    <mergeCell ref="I46:I53"/>
    <mergeCell ref="I67:I70"/>
    <mergeCell ref="X60:X66"/>
    <mergeCell ref="I60:I66"/>
    <mergeCell ref="I54:I59"/>
    <mergeCell ref="I44:I45"/>
    <mergeCell ref="X54:X59"/>
    <mergeCell ref="Q46:Q53"/>
    <mergeCell ref="Q54:Q59"/>
    <mergeCell ref="Q60:Q66"/>
    <mergeCell ref="Q67:Q70"/>
    <mergeCell ref="Q71:Q75"/>
    <mergeCell ref="Q76:Q84"/>
    <mergeCell ref="Q85:Q93"/>
    <mergeCell ref="I35:I41"/>
    <mergeCell ref="G6:G15"/>
    <mergeCell ref="H6:H15"/>
    <mergeCell ref="G28:G29"/>
    <mergeCell ref="H28:H29"/>
    <mergeCell ref="X6:X15"/>
    <mergeCell ref="X19:X26"/>
    <mergeCell ref="G30:G34"/>
    <mergeCell ref="G35:G41"/>
    <mergeCell ref="Q6:Q15"/>
    <mergeCell ref="Q16:Q18"/>
    <mergeCell ref="Q19:Q26"/>
    <mergeCell ref="Q30:Q34"/>
    <mergeCell ref="Q35:Q41"/>
    <mergeCell ref="I33:I34"/>
    <mergeCell ref="I30:I32"/>
    <mergeCell ref="X30:X34"/>
    <mergeCell ref="X35:X41"/>
    <mergeCell ref="H35:H41"/>
    <mergeCell ref="H30:H32"/>
    <mergeCell ref="H33:H34"/>
    <mergeCell ref="E28:E29"/>
    <mergeCell ref="B2:B5"/>
    <mergeCell ref="C2:C4"/>
    <mergeCell ref="D16:D18"/>
    <mergeCell ref="D19:D26"/>
    <mergeCell ref="B19:B26"/>
    <mergeCell ref="X16:X18"/>
    <mergeCell ref="I16:I18"/>
    <mergeCell ref="I6:I15"/>
    <mergeCell ref="H42:H43"/>
    <mergeCell ref="C35:C41"/>
    <mergeCell ref="D30:D34"/>
    <mergeCell ref="I2:I5"/>
    <mergeCell ref="E19:E26"/>
    <mergeCell ref="C19:C26"/>
    <mergeCell ref="D2:D5"/>
    <mergeCell ref="B6:B15"/>
    <mergeCell ref="B16:B18"/>
    <mergeCell ref="D6:D15"/>
    <mergeCell ref="G2:G4"/>
    <mergeCell ref="H2:H5"/>
    <mergeCell ref="H19:H26"/>
    <mergeCell ref="E2:E5"/>
    <mergeCell ref="E6:E15"/>
    <mergeCell ref="C16:C18"/>
    <mergeCell ref="E16:E18"/>
    <mergeCell ref="G16:G18"/>
    <mergeCell ref="H16:H18"/>
    <mergeCell ref="G19:G26"/>
    <mergeCell ref="C6:C15"/>
    <mergeCell ref="B28:B29"/>
    <mergeCell ref="C28:C29"/>
    <mergeCell ref="D28:D29"/>
    <mergeCell ref="C60:C66"/>
    <mergeCell ref="D60:D66"/>
    <mergeCell ref="E60:E66"/>
    <mergeCell ref="C71:C75"/>
    <mergeCell ref="D71:D75"/>
    <mergeCell ref="B71:B75"/>
    <mergeCell ref="E30:E32"/>
    <mergeCell ref="E33:E34"/>
    <mergeCell ref="E35:E41"/>
    <mergeCell ref="B42:B43"/>
    <mergeCell ref="D42:D43"/>
    <mergeCell ref="B30:B34"/>
    <mergeCell ref="C30:C34"/>
    <mergeCell ref="D35:D41"/>
    <mergeCell ref="B35:B41"/>
    <mergeCell ref="I126:I128"/>
    <mergeCell ref="B44:B45"/>
    <mergeCell ref="C44:C45"/>
    <mergeCell ref="D44:D45"/>
    <mergeCell ref="E44:E45"/>
    <mergeCell ref="B46:B53"/>
    <mergeCell ref="C46:C53"/>
    <mergeCell ref="D46:D53"/>
    <mergeCell ref="E46:E53"/>
    <mergeCell ref="G44:G45"/>
    <mergeCell ref="G46:G53"/>
    <mergeCell ref="C54:C59"/>
    <mergeCell ref="B54:B59"/>
    <mergeCell ref="D54:D59"/>
    <mergeCell ref="E54:E59"/>
    <mergeCell ref="E71:E75"/>
    <mergeCell ref="B67:B70"/>
    <mergeCell ref="C67:C70"/>
    <mergeCell ref="D67:D70"/>
    <mergeCell ref="E67:E70"/>
    <mergeCell ref="H46:H53"/>
    <mergeCell ref="H44:H45"/>
    <mergeCell ref="H54:H59"/>
    <mergeCell ref="B60:B66"/>
    <mergeCell ref="H71:H75"/>
    <mergeCell ref="G54:G59"/>
    <mergeCell ref="G67:G70"/>
    <mergeCell ref="G76:G93"/>
    <mergeCell ref="H76:H93"/>
    <mergeCell ref="G60:G66"/>
    <mergeCell ref="H67:H70"/>
    <mergeCell ref="H60:H66"/>
    <mergeCell ref="G71:G75"/>
    <mergeCell ref="X137:X138"/>
    <mergeCell ref="H126:H128"/>
    <mergeCell ref="H124:H125"/>
    <mergeCell ref="G122:G123"/>
    <mergeCell ref="H122:H123"/>
    <mergeCell ref="C124:C125"/>
    <mergeCell ref="D124:D125"/>
    <mergeCell ref="C122:C123"/>
    <mergeCell ref="G126:G128"/>
    <mergeCell ref="X126:X128"/>
    <mergeCell ref="X122:X123"/>
    <mergeCell ref="G137:G154"/>
    <mergeCell ref="H137:H154"/>
    <mergeCell ref="W137:W138"/>
    <mergeCell ref="T137:T138"/>
    <mergeCell ref="U137:U138"/>
    <mergeCell ref="V137:V138"/>
    <mergeCell ref="I124:I125"/>
    <mergeCell ref="Q122:Q123"/>
    <mergeCell ref="Q126:Q128"/>
    <mergeCell ref="H133:H136"/>
    <mergeCell ref="Q133:Q136"/>
    <mergeCell ref="I137:I154"/>
    <mergeCell ref="I133:I136"/>
    <mergeCell ref="C155:C157"/>
    <mergeCell ref="B155:B157"/>
    <mergeCell ref="B137:B154"/>
    <mergeCell ref="G117:G119"/>
    <mergeCell ref="E122:E123"/>
    <mergeCell ref="E133:E136"/>
    <mergeCell ref="G133:G136"/>
    <mergeCell ref="B117:B119"/>
    <mergeCell ref="B126:B128"/>
    <mergeCell ref="D117:D119"/>
    <mergeCell ref="E117:E119"/>
    <mergeCell ref="B133:B136"/>
    <mergeCell ref="C133:C136"/>
    <mergeCell ref="D133:D136"/>
    <mergeCell ref="B122:B123"/>
    <mergeCell ref="C126:C128"/>
    <mergeCell ref="D126:D128"/>
    <mergeCell ref="B124:B125"/>
    <mergeCell ref="C137:C154"/>
    <mergeCell ref="F137:F154"/>
    <mergeCell ref="S177:S178"/>
    <mergeCell ref="H112:H114"/>
    <mergeCell ref="D137:D154"/>
    <mergeCell ref="E137:E154"/>
    <mergeCell ref="D155:D157"/>
    <mergeCell ref="D177:D178"/>
    <mergeCell ref="C117:C119"/>
    <mergeCell ref="Q137:Q154"/>
    <mergeCell ref="Q166:Q168"/>
    <mergeCell ref="I166:I168"/>
    <mergeCell ref="G166:G168"/>
    <mergeCell ref="H166:H168"/>
    <mergeCell ref="H158:H160"/>
    <mergeCell ref="I158:I160"/>
    <mergeCell ref="Q158:Q160"/>
    <mergeCell ref="G177:G178"/>
    <mergeCell ref="I177:I178"/>
    <mergeCell ref="H177:H178"/>
    <mergeCell ref="Q155:Q157"/>
    <mergeCell ref="S137:S138"/>
    <mergeCell ref="E155:E157"/>
    <mergeCell ref="D158:D160"/>
    <mergeCell ref="E158:E160"/>
    <mergeCell ref="I155:I157"/>
    <mergeCell ref="B166:B168"/>
    <mergeCell ref="C166:C168"/>
    <mergeCell ref="D166:D168"/>
    <mergeCell ref="E166:E168"/>
    <mergeCell ref="B169:B176"/>
    <mergeCell ref="C169:C176"/>
    <mergeCell ref="D169:D176"/>
    <mergeCell ref="E169:E176"/>
    <mergeCell ref="B158:B160"/>
    <mergeCell ref="C158:C160"/>
    <mergeCell ref="V177:V178"/>
    <mergeCell ref="W177:W178"/>
    <mergeCell ref="E126:E128"/>
    <mergeCell ref="X181:X182"/>
    <mergeCell ref="D181:D182"/>
    <mergeCell ref="E181:E182"/>
    <mergeCell ref="J177:J178"/>
    <mergeCell ref="I169:I176"/>
    <mergeCell ref="K177:K178"/>
    <mergeCell ref="L177:L178"/>
    <mergeCell ref="M177:M178"/>
    <mergeCell ref="N177:N178"/>
    <mergeCell ref="O177:O178"/>
    <mergeCell ref="R137:R138"/>
    <mergeCell ref="T177:T178"/>
    <mergeCell ref="U177:U178"/>
    <mergeCell ref="G155:G157"/>
    <mergeCell ref="H155:H157"/>
    <mergeCell ref="E177:E178"/>
    <mergeCell ref="G169:G176"/>
    <mergeCell ref="H169:H176"/>
    <mergeCell ref="G158:G160"/>
    <mergeCell ref="Q169:Q176"/>
    <mergeCell ref="R177:R178"/>
    <mergeCell ref="G200:G204"/>
    <mergeCell ref="P177:P178"/>
    <mergeCell ref="Q177:Q178"/>
    <mergeCell ref="I183:I186"/>
    <mergeCell ref="G183:G186"/>
    <mergeCell ref="H183:H186"/>
    <mergeCell ref="H187:H188"/>
    <mergeCell ref="G189:G197"/>
    <mergeCell ref="Q190:Q193"/>
    <mergeCell ref="Q194:Q197"/>
    <mergeCell ref="Q183:Q186"/>
    <mergeCell ref="G205:G209"/>
    <mergeCell ref="H205:H209"/>
    <mergeCell ref="B207:B208"/>
    <mergeCell ref="C207:C208"/>
    <mergeCell ref="B205:B206"/>
    <mergeCell ref="Q200:Q204"/>
    <mergeCell ref="H190:H197"/>
    <mergeCell ref="B177:B178"/>
    <mergeCell ref="B200:B204"/>
    <mergeCell ref="B198:B199"/>
    <mergeCell ref="B179:B180"/>
    <mergeCell ref="B181:B182"/>
    <mergeCell ref="B183:B186"/>
    <mergeCell ref="B187:B188"/>
    <mergeCell ref="H200:H204"/>
    <mergeCell ref="C190:C193"/>
    <mergeCell ref="C194:C197"/>
    <mergeCell ref="E183:E186"/>
    <mergeCell ref="C187:C188"/>
    <mergeCell ref="D187:D188"/>
    <mergeCell ref="I190:I197"/>
    <mergeCell ref="G198:G199"/>
    <mergeCell ref="H198:H199"/>
    <mergeCell ref="C183:C186"/>
    <mergeCell ref="B189:B197"/>
    <mergeCell ref="D179:D180"/>
    <mergeCell ref="C179:C180"/>
    <mergeCell ref="C181:C182"/>
    <mergeCell ref="E187:E188"/>
    <mergeCell ref="D189:D197"/>
    <mergeCell ref="E189:E197"/>
    <mergeCell ref="C205:C206"/>
    <mergeCell ref="D205:D209"/>
    <mergeCell ref="E205:E209"/>
    <mergeCell ref="D183:D186"/>
    <mergeCell ref="D200:D204"/>
    <mergeCell ref="C200:C201"/>
    <mergeCell ref="C202:C204"/>
    <mergeCell ref="C198:C199"/>
    <mergeCell ref="D198:D199"/>
    <mergeCell ref="E198:E199"/>
    <mergeCell ref="P210:P211"/>
    <mergeCell ref="Q210:Q211"/>
    <mergeCell ref="N210:N211"/>
    <mergeCell ref="L210:L211"/>
    <mergeCell ref="M210:M211"/>
    <mergeCell ref="O210:O211"/>
    <mergeCell ref="H213:H215"/>
    <mergeCell ref="B213:B215"/>
    <mergeCell ref="C213:C215"/>
    <mergeCell ref="D213:D215"/>
    <mergeCell ref="E213:E215"/>
    <mergeCell ref="G213:G215"/>
    <mergeCell ref="J210:J211"/>
    <mergeCell ref="K210:K211"/>
    <mergeCell ref="D210:D211"/>
    <mergeCell ref="H210:H211"/>
  </mergeCells>
  <phoneticPr fontId="3" type="noConversion"/>
  <conditionalFormatting sqref="A423:K424 A425:Q1048576">
    <cfRule type="expression" dxfId="315" priority="1">
      <formula>$I423="x"</formula>
    </cfRule>
  </conditionalFormatting>
  <conditionalFormatting sqref="A1:Q422 L423:Q424">
    <cfRule type="expression" dxfId="314" priority="7">
      <formula>$I1="x"</formula>
    </cfRule>
  </conditionalFormatting>
  <conditionalFormatting sqref="B189 C190 C346:C347 B348:C385 C386:C389 B390:C1048576">
    <cfRule type="containsBlanks" dxfId="313" priority="63">
      <formula>LEN(TRIM(B189))=0</formula>
    </cfRule>
  </conditionalFormatting>
  <conditionalFormatting sqref="B346:B347">
    <cfRule type="expression" dxfId="312" priority="30">
      <formula>$H346=100</formula>
    </cfRule>
  </conditionalFormatting>
  <conditionalFormatting sqref="B388:B389">
    <cfRule type="expression" dxfId="311" priority="12">
      <formula>$I388="x"</formula>
    </cfRule>
    <cfRule type="expression" dxfId="310" priority="13">
      <formula>$I388=100</formula>
    </cfRule>
  </conditionalFormatting>
  <conditionalFormatting sqref="B1:C158 B161:C166 B169:C183 B187:C187 C194 B198:C198 B200:C200 C202 B205:C205 B207:C207 B209:C209 B211:C213">
    <cfRule type="containsBlanks" dxfId="309" priority="76">
      <formula>LEN(TRIM(B1))=0</formula>
    </cfRule>
  </conditionalFormatting>
  <conditionalFormatting sqref="B217:C345">
    <cfRule type="containsBlanks" dxfId="308" priority="36">
      <formula>LEN(TRIM(B217))=0</formula>
    </cfRule>
  </conditionalFormatting>
  <conditionalFormatting sqref="B1:Q350 E351:Q354 B355:Q380 L381:Q389 B390:Q422 L423:Q424 B351:C354 B381:D385 C386:D389 B423:J424 G381:G388 G389:J389 I381:I388 B425:Q1048576">
    <cfRule type="expression" dxfId="307" priority="110">
      <formula>$N1="x"</formula>
    </cfRule>
  </conditionalFormatting>
  <conditionalFormatting sqref="C307:C308">
    <cfRule type="expression" dxfId="306" priority="35">
      <formula>$N307="x"</formula>
    </cfRule>
    <cfRule type="expression" dxfId="305" priority="37">
      <formula>$N307="x"</formula>
    </cfRule>
  </conditionalFormatting>
  <conditionalFormatting sqref="D347">
    <cfRule type="expression" dxfId="304" priority="31">
      <formula>$H347=100</formula>
    </cfRule>
  </conditionalFormatting>
  <conditionalFormatting sqref="D351:D354">
    <cfRule type="expression" dxfId="303" priority="29">
      <formula>$I351=100</formula>
    </cfRule>
  </conditionalFormatting>
  <conditionalFormatting sqref="E381:F385">
    <cfRule type="expression" dxfId="302" priority="19">
      <formula>$I381="x"</formula>
    </cfRule>
    <cfRule type="expression" dxfId="301" priority="20">
      <formula>$I381=100</formula>
    </cfRule>
  </conditionalFormatting>
  <conditionalFormatting sqref="E388:F389">
    <cfRule type="expression" dxfId="300" priority="10">
      <formula>$I388="x"</formula>
    </cfRule>
    <cfRule type="expression" dxfId="299" priority="11">
      <formula>$I388=100</formula>
    </cfRule>
  </conditionalFormatting>
  <conditionalFormatting sqref="G1:G104 G108:G133 G137 G155 G162:G166 G169:G175 G177 G179:G183 G187:G189 G198 G200 G205 G210:G213 G217:G238 G243:G1048576">
    <cfRule type="containsText" dxfId="298" priority="53" operator="containsText" text="SPECIAL PAINT">
      <formula>NOT(ISERROR(SEARCH("SPECIAL PAINT",G1)))</formula>
    </cfRule>
    <cfRule type="containsBlanks" dxfId="297" priority="54">
      <formula>LEN(TRIM(G1))=0</formula>
    </cfRule>
    <cfRule type="notContainsText" dxfId="296" priority="55" operator="notContains" text="STD">
      <formula>ISERROR(SEARCH("STD",G1))</formula>
    </cfRule>
  </conditionalFormatting>
  <conditionalFormatting sqref="H1:H213 H216:H380 H389:H1048576">
    <cfRule type="timePeriod" dxfId="295" priority="136" timePeriod="lastMonth">
      <formula>AND(MONTH(H1)=MONTH(EDATE(TODAY(),0-1)),YEAR(H1)=YEAR(EDATE(TODAY(),0-1)))</formula>
    </cfRule>
  </conditionalFormatting>
  <conditionalFormatting sqref="H1:H1048576">
    <cfRule type="expression" dxfId="294" priority="15">
      <formula>$I1=100</formula>
    </cfRule>
    <cfRule type="timePeriod" dxfId="293" priority="16" timePeriod="tomorrow">
      <formula>FLOOR(H1,1)=TODAY()+1</formula>
    </cfRule>
    <cfRule type="timePeriod" dxfId="292" priority="17" timePeriod="thisWeek">
      <formula>AND(TODAY()-ROUNDDOWN(H1,0)&lt;=WEEKDAY(TODAY())-1,ROUNDDOWN(H1,0)-TODAY()&lt;=7-WEEKDAY(TODAY()))</formula>
    </cfRule>
    <cfRule type="timePeriod" dxfId="291" priority="18" timePeriod="today">
      <formula>FLOOR(H1,1)=TODAY()</formula>
    </cfRule>
    <cfRule type="timePeriod" dxfId="290" priority="137" timePeriod="thisWeek">
      <formula>AND(TODAY()-ROUNDDOWN(H1,0)&lt;=WEEKDAY(TODAY())-1,ROUNDDOWN(H1,0)-TODAY()&lt;=7-WEEKDAY(TODAY()))</formula>
    </cfRule>
    <cfRule type="timePeriod" dxfId="289" priority="148" timePeriod="lastWeek">
      <formula>AND(TODAY()-ROUNDDOWN(H1,0)&gt;=(WEEKDAY(TODAY())),TODAY()-ROUNDDOWN(H1,0)&lt;(WEEKDAY(TODAY())+7))</formula>
    </cfRule>
    <cfRule type="timePeriod" dxfId="288" priority="149" timePeriod="nextWeek">
      <formula>AND(ROUNDDOWN(H1,0)-TODAY()&gt;(7-WEEKDAY(TODAY())),ROUNDDOWN(H1,0)-TODAY()&lt;(15-WEEKDAY(TODAY())))</formula>
    </cfRule>
  </conditionalFormatting>
  <conditionalFormatting sqref="J1:J1048576">
    <cfRule type="containsText" dxfId="287" priority="23" operator="containsText" text="BUY">
      <formula>NOT(ISERROR(SEARCH("BUY",J1)))</formula>
    </cfRule>
  </conditionalFormatting>
  <conditionalFormatting sqref="J381:J388">
    <cfRule type="expression" dxfId="286" priority="21">
      <formula>$I381="x"</formula>
    </cfRule>
    <cfRule type="expression" dxfId="285" priority="22">
      <formula>$I381=100</formula>
    </cfRule>
  </conditionalFormatting>
  <conditionalFormatting sqref="J1:N422 J423:J424 J425:N1048576 L423:N424">
    <cfRule type="expression" dxfId="284" priority="44">
      <formula>$N1="C"</formula>
    </cfRule>
  </conditionalFormatting>
  <conditionalFormatting sqref="K1:K1048576">
    <cfRule type="duplicateValues" dxfId="283" priority="9"/>
  </conditionalFormatting>
  <conditionalFormatting sqref="K216">
    <cfRule type="duplicateValues" dxfId="282" priority="2047"/>
    <cfRule type="expression" dxfId="281" priority="2048">
      <formula>#REF!="C"</formula>
    </cfRule>
  </conditionalFormatting>
  <conditionalFormatting sqref="K230">
    <cfRule type="expression" dxfId="280" priority="2414">
      <formula>$N231="x"</formula>
    </cfRule>
    <cfRule type="expression" dxfId="279" priority="2423">
      <formula>$N231="C"</formula>
    </cfRule>
  </conditionalFormatting>
  <conditionalFormatting sqref="K249:K256 K1:K215 K232:K247 K217:K230 K261:K380 K390:K1048576">
    <cfRule type="duplicateValues" dxfId="278" priority="114"/>
  </conditionalFormatting>
  <conditionalFormatting sqref="K381:K385">
    <cfRule type="expression" dxfId="277" priority="24">
      <formula>$I381="x"</formula>
    </cfRule>
    <cfRule type="expression" dxfId="276" priority="25">
      <formula>$I381=100</formula>
    </cfRule>
  </conditionalFormatting>
  <conditionalFormatting sqref="K388:K389">
    <cfRule type="expression" dxfId="275" priority="8">
      <formula>$I388=100</formula>
    </cfRule>
  </conditionalFormatting>
  <conditionalFormatting sqref="K423:K424">
    <cfRule type="expression" dxfId="274" priority="2">
      <formula>$N423="C"</formula>
    </cfRule>
    <cfRule type="expression" dxfId="273" priority="3">
      <formula>$N423="x"</formula>
    </cfRule>
  </conditionalFormatting>
  <conditionalFormatting sqref="L1:L159 L161:L177 L179:L210 L212:L215 L217:L218 L220:L1048576">
    <cfRule type="timePeriod" dxfId="272" priority="67" timePeriod="lastMonth">
      <formula>AND(MONTH(L1)=MONTH(EDATE(TODAY(),0-1)),YEAR(L1)=YEAR(EDATE(TODAY(),0-1)))</formula>
    </cfRule>
    <cfRule type="timePeriod" dxfId="271" priority="78" timePeriod="lastWeek">
      <formula>AND(TODAY()-ROUNDDOWN(L1,0)&gt;=(WEEKDAY(TODAY())),TODAY()-ROUNDDOWN(L1,0)&lt;(WEEKDAY(TODAY())+7))</formula>
    </cfRule>
  </conditionalFormatting>
  <conditionalFormatting sqref="M1:M1048576">
    <cfRule type="containsBlanks" dxfId="270" priority="108">
      <formula>LEN(TRIM(M1))=0</formula>
    </cfRule>
  </conditionalFormatting>
  <conditionalFormatting sqref="N1:N1048576">
    <cfRule type="containsBlanks" dxfId="269" priority="105">
      <formula>LEN(TRIM(N1))=0</formula>
    </cfRule>
    <cfRule type="containsText" dxfId="268" priority="106" operator="containsText" text="x">
      <formula>NOT(ISERROR(SEARCH("x",N1)))</formula>
    </cfRule>
    <cfRule type="containsText" dxfId="267" priority="109" operator="containsText" text="C">
      <formula>NOT(ISERROR(SEARCH("C",N1)))</formula>
    </cfRule>
  </conditionalFormatting>
  <conditionalFormatting sqref="O1:O1048576">
    <cfRule type="containsBlanks" dxfId="266" priority="41">
      <formula>LEN(TRIM(O1))=0</formula>
    </cfRule>
    <cfRule type="containsText" dxfId="265" priority="42" operator="containsText" text="DAYS ACTIVE">
      <formula>NOT(ISERROR(SEARCH("DAYS ACTIVE",O1)))</formula>
    </cfRule>
    <cfRule type="cellIs" dxfId="264" priority="43" operator="greaterThan">
      <formula>12</formula>
    </cfRule>
  </conditionalFormatting>
  <conditionalFormatting sqref="P1:P1048576">
    <cfRule type="containsText" dxfId="263" priority="33" operator="containsText" text="DAYS">
      <formula>NOT(ISERROR(SEARCH("DAYS",P1)))</formula>
    </cfRule>
    <cfRule type="cellIs" dxfId="262" priority="34" operator="greaterThan">
      <formula>0</formula>
    </cfRule>
  </conditionalFormatting>
  <conditionalFormatting sqref="P368:P371">
    <cfRule type="expression" dxfId="261" priority="2995">
      <formula>$N365="x"</formula>
    </cfRule>
  </conditionalFormatting>
  <conditionalFormatting sqref="P372:P373">
    <cfRule type="expression" dxfId="260" priority="3229">
      <formula>$N368="x"</formula>
    </cfRule>
  </conditionalFormatting>
  <conditionalFormatting sqref="P374">
    <cfRule type="expression" dxfId="259" priority="3202">
      <formula>$N369="x"</formula>
    </cfRule>
  </conditionalFormatting>
  <conditionalFormatting sqref="Q1:Q1048576">
    <cfRule type="containsText" dxfId="258" priority="6" operator="containsText" text="Completado">
      <formula>NOT(ISERROR(SEARCH("Completado",Q1)))</formula>
    </cfRule>
    <cfRule type="expression" dxfId="257" priority="46">
      <formula>AND(ISNUMBER($L1), ISBLANK($M1), ISBLANK($N1))</formula>
    </cfRule>
    <cfRule type="containsText" dxfId="256" priority="86" operator="containsText" text="Finalizado">
      <formula>NOT(ISERROR(SEARCH("Finalizado",Q1)))</formula>
    </cfRule>
    <cfRule type="containsText" dxfId="255" priority="88" operator="containsText" text="Actualizado">
      <formula>NOT(ISERROR(SEARCH("Actualizado",Q1)))</formula>
    </cfRule>
    <cfRule type="containsText" dxfId="254" priority="90" operator="containsText" text="Cancelado">
      <formula>NOT(ISERROR(SEARCH("Cancelado",Q1)))</formula>
    </cfRule>
    <cfRule type="containsBlanks" priority="107">
      <formula>LEN(TRIM(Q1))=0</formula>
    </cfRule>
  </conditionalFormatting>
  <conditionalFormatting sqref="S1:S199 S209:S1048576">
    <cfRule type="duplicateValues" dxfId="253" priority="69"/>
  </conditionalFormatting>
  <conditionalFormatting sqref="S1:U21 S26:U42 S44:U60 S63:U137 S140:U161 S169:U176 T177:U177 S179:U199 S209:U1048576 W1:W137 W140:W177 W179:W302">
    <cfRule type="expression" dxfId="252" priority="133">
      <formula>$V1 ="C"</formula>
    </cfRule>
  </conditionalFormatting>
  <conditionalFormatting sqref="S1:U21 S26:U137 S140:U161 S169:U176 S179:U199 S209:U1048576 T177:U177">
    <cfRule type="expression" dxfId="251" priority="119">
      <formula>$V1="x"</formula>
    </cfRule>
  </conditionalFormatting>
  <conditionalFormatting sqref="T177:U177 S169:U176 S140:U165 S1:U137 S179:U199 S209:U1048576">
    <cfRule type="duplicateValues" dxfId="250" priority="702"/>
  </conditionalFormatting>
  <conditionalFormatting sqref="V1:V177 V179:V199 V209:V1048576">
    <cfRule type="containsText" dxfId="249" priority="77" operator="containsText" text="I">
      <formula>NOT(ISERROR(SEARCH("I",V1)))</formula>
    </cfRule>
  </conditionalFormatting>
  <conditionalFormatting sqref="W140:W177 W1:W137 W179:W302">
    <cfRule type="duplicateValues" dxfId="248" priority="2825"/>
  </conditionalFormatting>
  <conditionalFormatting sqref="X1:X97 Z9 X104 X108:X109 X112 X115:X117 X120:X122 X124 X126 X129:X137 X183:X1048576">
    <cfRule type="containsText" dxfId="247" priority="123" operator="containsText" text="Finalizado">
      <formula>NOT(ISERROR(SEARCH("Finalizado",X1)))</formula>
    </cfRule>
  </conditionalFormatting>
  <dataValidations disablePrompts="1" count="6">
    <dataValidation type="list" allowBlank="1" showInputMessage="1" showErrorMessage="1" sqref="F2:F3" xr:uid="{4C8FA9D0-61B5-46A7-8FAD-0136E1D81697}">
      <formula1>"LDT,DP,VL,KGF,OAL,HB, ADL,SMA,CML,HUB,ODE,ISQ"</formula1>
    </dataValidation>
    <dataValidation type="list" allowBlank="1" showInputMessage="1" showErrorMessage="1" sqref="E2:E4" xr:uid="{07F53C77-84B1-4998-B1A8-A60A0FDE3F26}">
      <formula1>"JAV,KYC,RRD,ADT,SMA,EPM,RAS,LGS,DEV,JMZ,OAC,JAT,LMB,DRV,AOB,JTV,GGM,MGL,ASP,JAM,HMA,JRC,CFC,DMA"</formula1>
    </dataValidation>
    <dataValidation type="list" allowBlank="1" showInputMessage="1" showErrorMessage="1" sqref="R62" xr:uid="{585D7E54-74A8-4F5F-B462-E065D5CE9A7B}">
      <formula1>"YES,NO"</formula1>
    </dataValidation>
    <dataValidation allowBlank="1" showInputMessage="1" showErrorMessage="1" sqref="N62 R62" xr:uid="{E08923B9-10D7-4DBA-B830-B20F89ABC2D0}"/>
    <dataValidation type="list" allowBlank="1" showInputMessage="1" showErrorMessage="1" sqref="E256" xr:uid="{B0F985FB-8B8C-4290-A182-EBCF71642BD9}">
      <formula1>"JAV,KYC,RRD,ADT,SMA,EPM,RAS,LGS,DEV,JMZ,OAC,JAT,LMB,DRV,AOB,JTV,GGM,MGL,ASP,JAM,HMA,JRC,CFC,DMA,ATA,UFA"</formula1>
    </dataValidation>
    <dataValidation type="list" allowBlank="1" showInputMessage="1" showErrorMessage="1" sqref="F256" xr:uid="{4B01BA8C-1DBA-4A3B-9B00-CB6A5173A158}">
      <formula1>"LDT,DP,VL,KGF,OAL,HB, ADL,SMA,CML,HUP,ODE,ISQ,FRC,RCI"</formula1>
    </dataValidation>
  </dataValidations>
  <pageMargins left="0.7" right="0.7" top="0.75" bottom="0.75" header="0.3" footer="0.3"/>
  <pageSetup orientation="portrait" r:id="rId1"/>
  <headerFooter>
    <oddFooter>&amp;C_x000D_&amp;1#&amp;"Calibri"&amp;6&amp;K626469 General</oddFooter>
  </headerFooter>
  <ignoredErrors>
    <ignoredError sqref="B121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0" operator="containsText" id="{50584336-B9C4-4049-875B-9AC0D777278A}">
            <xm:f>NOT(ISERROR(SEARCH("x",V1)))</xm:f>
            <xm:f>"x"</xm:f>
            <x14:dxf>
              <font>
                <strike/>
                <color theme="1"/>
              </font>
              <fill>
                <patternFill patternType="solid">
                  <bgColor theme="0" tint="-0.34998626667073579"/>
                </patternFill>
              </fill>
            </x14:dxf>
          </x14:cfRule>
          <x14:cfRule type="containsText" priority="134" operator="containsText" id="{FEAA6123-1E50-45DB-9A13-DEBE39BD6264}">
            <xm:f>NOT(ISERROR(SEARCH("C",V1)))</xm:f>
            <xm:f>"C"</xm:f>
            <x14:dxf>
              <font>
                <color theme="9" tint="-0.499984740745262"/>
              </font>
              <fill>
                <patternFill>
                  <bgColor rgb="FFC6EFCE"/>
                </patternFill>
              </fill>
            </x14:dxf>
          </x14:cfRule>
          <xm:sqref>V1:V137 V140:V177 V179:V199 V209:V302 V303:W1048576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C01C-FD2B-429A-A541-0BB106A187BC}">
  <sheetPr>
    <tabColor theme="8" tint="0.59999389629810485"/>
  </sheetPr>
  <dimension ref="C4:R256"/>
  <sheetViews>
    <sheetView workbookViewId="0">
      <selection activeCell="H53" sqref="H53"/>
    </sheetView>
  </sheetViews>
  <sheetFormatPr defaultRowHeight="14.45"/>
  <cols>
    <col min="3" max="3" width="25.7109375" style="47" customWidth="1"/>
    <col min="4" max="4" width="7" style="50" customWidth="1"/>
    <col min="5" max="5" width="12.5703125" style="47" customWidth="1"/>
    <col min="6" max="6" width="11.140625" style="50" customWidth="1"/>
    <col min="7" max="7" width="9" style="50" bestFit="1" customWidth="1"/>
    <col min="8" max="8" width="23.28515625" style="49" customWidth="1"/>
    <col min="9" max="9" width="11.140625" style="85" customWidth="1"/>
    <col min="10" max="10" width="28.7109375" customWidth="1"/>
    <col min="18" max="18" width="11.42578125" bestFit="1" customWidth="1"/>
  </cols>
  <sheetData>
    <row r="4" spans="3:18" s="36" customFormat="1" ht="30" customHeight="1">
      <c r="C4" s="72" t="s">
        <v>953</v>
      </c>
      <c r="D4" s="75" t="s">
        <v>954</v>
      </c>
      <c r="E4" s="76" t="s">
        <v>955</v>
      </c>
      <c r="F4" s="77" t="s">
        <v>956</v>
      </c>
      <c r="G4" s="51" t="s">
        <v>957</v>
      </c>
      <c r="H4" s="52" t="s">
        <v>958</v>
      </c>
      <c r="I4" s="84" t="s">
        <v>959</v>
      </c>
      <c r="M4"/>
      <c r="R4"/>
    </row>
    <row r="5" spans="3:18">
      <c r="C5" s="992"/>
      <c r="D5" s="8"/>
      <c r="E5" s="7"/>
      <c r="F5" s="9"/>
      <c r="G5" s="60"/>
      <c r="H5" s="61"/>
      <c r="I5" s="59"/>
    </row>
    <row r="6" spans="3:18" s="45" customFormat="1">
      <c r="C6" s="993"/>
      <c r="D6" s="3"/>
      <c r="E6" s="4"/>
      <c r="F6" s="6"/>
      <c r="G6" s="78"/>
      <c r="H6" s="54"/>
      <c r="I6" s="79"/>
      <c r="R6"/>
    </row>
    <row r="7" spans="3:18">
      <c r="C7" s="993"/>
      <c r="D7" s="3"/>
      <c r="E7" s="4"/>
      <c r="F7" s="6"/>
      <c r="G7" s="66"/>
      <c r="H7" s="80"/>
      <c r="I7" s="67"/>
    </row>
    <row r="8" spans="3:18">
      <c r="C8" s="62"/>
      <c r="D8" s="3"/>
      <c r="E8" s="4"/>
      <c r="F8" s="6"/>
      <c r="G8" s="66"/>
      <c r="H8" s="54"/>
      <c r="I8" s="68"/>
    </row>
    <row r="9" spans="3:18" s="45" customFormat="1">
      <c r="C9" s="993"/>
      <c r="D9" s="3"/>
      <c r="E9" s="4"/>
      <c r="F9" s="6"/>
      <c r="G9" s="66"/>
      <c r="H9" s="54"/>
      <c r="I9" s="68"/>
      <c r="R9"/>
    </row>
    <row r="10" spans="3:18">
      <c r="C10" s="993"/>
      <c r="D10" s="8"/>
      <c r="E10" s="8"/>
      <c r="F10" s="9"/>
      <c r="G10" s="66"/>
      <c r="H10" s="54"/>
      <c r="I10" s="68"/>
    </row>
    <row r="11" spans="3:18">
      <c r="C11" s="994"/>
      <c r="D11" s="8"/>
      <c r="E11" s="8"/>
      <c r="F11" s="9"/>
      <c r="G11" s="66"/>
      <c r="H11" s="54"/>
      <c r="I11" s="68"/>
    </row>
    <row r="12" spans="3:18" s="46" customFormat="1">
      <c r="C12" s="995"/>
      <c r="D12" s="8"/>
      <c r="E12" s="7"/>
      <c r="F12" s="9"/>
      <c r="G12" s="66"/>
      <c r="H12" s="54"/>
      <c r="I12" s="67"/>
      <c r="R12"/>
    </row>
    <row r="13" spans="3:18" s="46" customFormat="1">
      <c r="C13" s="62"/>
      <c r="D13" s="1"/>
      <c r="E13" s="5"/>
      <c r="F13" s="43"/>
      <c r="G13" s="66"/>
      <c r="H13" s="54"/>
      <c r="I13" s="67"/>
      <c r="R13"/>
    </row>
    <row r="14" spans="3:18" s="46" customFormat="1">
      <c r="C14" s="62"/>
      <c r="D14" s="44"/>
      <c r="E14" s="5"/>
      <c r="F14" s="43"/>
      <c r="G14" s="66"/>
      <c r="H14" s="54"/>
      <c r="I14" s="67"/>
      <c r="R14"/>
    </row>
    <row r="15" spans="3:18" s="46" customFormat="1">
      <c r="C15" s="62"/>
      <c r="D15" s="2"/>
      <c r="E15" s="5"/>
      <c r="F15" s="43"/>
      <c r="G15" s="66"/>
      <c r="H15" s="54"/>
      <c r="I15" s="67"/>
      <c r="J15" s="996"/>
      <c r="R15"/>
    </row>
    <row r="16" spans="3:18" s="46" customFormat="1">
      <c r="C16" s="62"/>
      <c r="D16" s="53"/>
      <c r="E16" s="54"/>
      <c r="F16" s="83"/>
      <c r="G16" s="66"/>
      <c r="H16" s="54"/>
      <c r="I16" s="67"/>
      <c r="R16"/>
    </row>
    <row r="17" spans="3:18" s="46" customFormat="1">
      <c r="C17" s="62"/>
      <c r="D17" s="53"/>
      <c r="E17" s="54"/>
      <c r="F17" s="83"/>
      <c r="G17" s="66"/>
      <c r="H17" s="54"/>
      <c r="I17" s="67"/>
      <c r="R17"/>
    </row>
    <row r="18" spans="3:18" s="46" customFormat="1">
      <c r="C18" s="62"/>
      <c r="D18" s="53"/>
      <c r="E18" s="98"/>
      <c r="F18" s="83"/>
      <c r="G18" s="66"/>
      <c r="H18" s="54"/>
      <c r="I18" s="67"/>
      <c r="R18"/>
    </row>
    <row r="19" spans="3:18" s="46" customFormat="1">
      <c r="C19" s="62"/>
      <c r="D19" s="53"/>
      <c r="E19" s="99"/>
      <c r="F19" s="83"/>
      <c r="G19" s="66"/>
      <c r="H19" s="54"/>
      <c r="I19" s="67"/>
      <c r="R19"/>
    </row>
    <row r="20" spans="3:18" s="46" customFormat="1">
      <c r="C20" s="62"/>
      <c r="D20" s="53"/>
      <c r="E20" s="54"/>
      <c r="F20" s="83"/>
      <c r="G20" s="66"/>
      <c r="H20" s="54"/>
      <c r="I20" s="67"/>
      <c r="R20"/>
    </row>
    <row r="21" spans="3:18" s="46" customFormat="1">
      <c r="C21" s="62"/>
      <c r="D21" s="53"/>
      <c r="E21" s="54"/>
      <c r="F21" s="83"/>
      <c r="G21" s="66"/>
      <c r="H21" s="54"/>
      <c r="I21" s="67"/>
      <c r="R21"/>
    </row>
    <row r="22" spans="3:18" s="46" customFormat="1">
      <c r="C22" s="90"/>
      <c r="D22" s="91"/>
      <c r="E22" s="91"/>
      <c r="F22" s="92"/>
      <c r="G22" s="93"/>
      <c r="H22" s="54"/>
      <c r="I22" s="94"/>
      <c r="R22" s="64"/>
    </row>
    <row r="23" spans="3:18" s="46" customFormat="1">
      <c r="C23" s="62"/>
      <c r="D23" s="53"/>
      <c r="E23" s="98"/>
      <c r="F23" s="83"/>
      <c r="G23" s="66"/>
      <c r="H23" s="54"/>
      <c r="I23" s="67"/>
    </row>
    <row r="24" spans="3:18" s="46" customFormat="1" ht="12.75" customHeight="1">
      <c r="C24" s="62"/>
      <c r="D24" s="53"/>
      <c r="E24" s="54"/>
      <c r="F24" s="83"/>
      <c r="G24" s="66"/>
      <c r="H24" s="54"/>
      <c r="I24" s="67"/>
      <c r="J24" s="97"/>
    </row>
    <row r="25" spans="3:18" s="46" customFormat="1">
      <c r="C25" s="62"/>
      <c r="D25" s="53"/>
      <c r="E25" s="54"/>
      <c r="F25" s="83"/>
      <c r="G25" s="66"/>
      <c r="H25" s="54"/>
      <c r="I25" s="67"/>
    </row>
    <row r="26" spans="3:18" s="46" customFormat="1">
      <c r="C26" s="62"/>
      <c r="D26" s="53"/>
      <c r="E26" s="54"/>
      <c r="F26" s="83"/>
      <c r="G26" s="66"/>
      <c r="H26" s="54"/>
      <c r="I26" s="67"/>
    </row>
    <row r="27" spans="3:18" s="46" customFormat="1">
      <c r="C27" s="62"/>
      <c r="D27" s="53"/>
      <c r="E27" s="98"/>
      <c r="F27" s="83"/>
      <c r="G27" s="66"/>
      <c r="H27" s="54"/>
      <c r="I27" s="67"/>
    </row>
    <row r="28" spans="3:18" s="46" customFormat="1">
      <c r="C28" s="62"/>
      <c r="D28" s="53"/>
      <c r="E28" s="54"/>
      <c r="F28" s="83"/>
      <c r="G28" s="66"/>
      <c r="H28" s="54"/>
      <c r="I28" s="67"/>
    </row>
    <row r="29" spans="3:18" s="46" customFormat="1">
      <c r="C29" s="62"/>
      <c r="D29" s="53"/>
      <c r="E29" s="98"/>
      <c r="F29" s="83"/>
      <c r="G29" s="66"/>
      <c r="H29" s="54"/>
      <c r="I29" s="67"/>
    </row>
    <row r="30" spans="3:18" s="46" customFormat="1">
      <c r="C30" s="62"/>
      <c r="D30" s="53"/>
      <c r="E30" s="54"/>
      <c r="F30" s="83"/>
      <c r="G30" s="66"/>
      <c r="H30" s="54"/>
      <c r="I30" s="67"/>
      <c r="J30" s="996"/>
    </row>
    <row r="31" spans="3:18" s="46" customFormat="1">
      <c r="C31" s="48"/>
      <c r="D31" s="53"/>
      <c r="E31" s="54"/>
      <c r="F31" s="83"/>
      <c r="G31" s="66"/>
      <c r="H31" s="54"/>
      <c r="I31" s="67"/>
    </row>
    <row r="32" spans="3:18" s="46" customFormat="1">
      <c r="C32" s="48"/>
      <c r="D32" s="53"/>
      <c r="E32" s="54"/>
      <c r="F32" s="83"/>
      <c r="G32" s="66"/>
      <c r="H32" s="54"/>
      <c r="I32" s="67"/>
      <c r="J32" s="996"/>
    </row>
    <row r="33" spans="3:9" s="46" customFormat="1">
      <c r="C33" s="48"/>
      <c r="D33" s="53"/>
      <c r="E33" s="53"/>
      <c r="F33" s="83"/>
      <c r="G33" s="66"/>
      <c r="H33" s="54"/>
      <c r="I33" s="67"/>
    </row>
    <row r="34" spans="3:9" s="46" customFormat="1">
      <c r="C34" s="48"/>
      <c r="D34" s="53"/>
      <c r="E34" s="98"/>
      <c r="F34" s="83"/>
      <c r="G34" s="66"/>
      <c r="H34" s="54"/>
      <c r="I34" s="67"/>
    </row>
    <row r="35" spans="3:9" s="46" customFormat="1">
      <c r="C35" s="48"/>
      <c r="D35" s="53"/>
      <c r="E35" s="54"/>
      <c r="F35" s="83"/>
      <c r="G35" s="66"/>
      <c r="H35" s="54"/>
      <c r="I35" s="67"/>
    </row>
    <row r="36" spans="3:9" s="46" customFormat="1">
      <c r="C36" s="48"/>
      <c r="D36" s="53"/>
      <c r="E36" s="54"/>
      <c r="F36" s="83"/>
      <c r="G36" s="66"/>
      <c r="H36" s="54"/>
      <c r="I36" s="67"/>
    </row>
    <row r="37" spans="3:9" s="46" customFormat="1">
      <c r="C37" s="48"/>
      <c r="D37" s="53"/>
      <c r="E37" s="54"/>
      <c r="F37" s="83"/>
      <c r="G37" s="66"/>
      <c r="H37" s="54"/>
      <c r="I37" s="67"/>
    </row>
    <row r="38" spans="3:9" s="46" customFormat="1">
      <c r="C38" s="48"/>
      <c r="D38" s="53"/>
      <c r="E38" s="53"/>
      <c r="F38" s="83"/>
      <c r="G38" s="66"/>
      <c r="H38" s="54"/>
      <c r="I38" s="67"/>
    </row>
    <row r="39" spans="3:9" s="46" customFormat="1">
      <c r="C39" s="48"/>
      <c r="D39" s="997"/>
      <c r="E39" s="4"/>
      <c r="F39" s="83"/>
      <c r="G39" s="66"/>
      <c r="H39" s="54"/>
      <c r="I39" s="67"/>
    </row>
    <row r="40" spans="3:9" s="46" customFormat="1">
      <c r="C40" s="48"/>
      <c r="D40" s="997"/>
      <c r="E40" s="4"/>
      <c r="F40" s="83"/>
      <c r="G40" s="66"/>
      <c r="H40" s="54"/>
      <c r="I40" s="67"/>
    </row>
    <row r="41" spans="3:9" s="46" customFormat="1">
      <c r="C41" s="48"/>
      <c r="D41" s="997"/>
      <c r="E41" s="4"/>
      <c r="F41" s="83"/>
      <c r="G41" s="66"/>
      <c r="H41" s="54"/>
      <c r="I41" s="67"/>
    </row>
    <row r="42" spans="3:9" s="46" customFormat="1">
      <c r="C42" s="48"/>
      <c r="D42" s="997"/>
      <c r="E42" s="4"/>
      <c r="F42" s="83"/>
      <c r="G42" s="66"/>
      <c r="H42" s="54"/>
      <c r="I42" s="67"/>
    </row>
    <row r="43" spans="3:9" s="46" customFormat="1">
      <c r="C43" s="48"/>
      <c r="D43" s="997"/>
      <c r="E43" s="100"/>
      <c r="F43" s="83"/>
      <c r="G43" s="66"/>
      <c r="H43" s="54"/>
      <c r="I43" s="67"/>
    </row>
    <row r="44" spans="3:9" s="46" customFormat="1">
      <c r="C44" s="48"/>
      <c r="D44" s="997"/>
      <c r="E44" s="4"/>
      <c r="F44" s="83"/>
      <c r="G44" s="66"/>
      <c r="H44" s="53"/>
      <c r="I44" s="67"/>
    </row>
    <row r="45" spans="3:9">
      <c r="C45" s="48"/>
      <c r="D45" s="998"/>
      <c r="E45" s="999"/>
      <c r="F45" s="83"/>
      <c r="G45" s="66"/>
      <c r="H45" s="54"/>
      <c r="I45" s="67"/>
    </row>
    <row r="46" spans="3:9">
      <c r="C46" s="48"/>
      <c r="D46" s="53"/>
      <c r="E46" s="53"/>
      <c r="F46" s="83"/>
      <c r="G46" s="66"/>
      <c r="H46" s="54"/>
      <c r="I46" s="67"/>
    </row>
    <row r="47" spans="3:9">
      <c r="C47" s="48"/>
      <c r="D47" s="53"/>
      <c r="E47" s="54"/>
      <c r="F47" s="83"/>
      <c r="G47" s="66"/>
      <c r="H47" s="54"/>
      <c r="I47" s="67"/>
    </row>
    <row r="48" spans="3:9">
      <c r="C48" s="48"/>
      <c r="D48" s="53"/>
      <c r="E48" s="54"/>
      <c r="F48" s="83"/>
      <c r="G48" s="66" t="str">
        <f ca="1">IF(ISBLANK(F48), "", NETWORKDAYS(F48, TODAY(), Holidays!$D$4:$D$19))</f>
        <v/>
      </c>
      <c r="H48" s="54"/>
      <c r="I48" s="67"/>
    </row>
    <row r="49" spans="3:16">
      <c r="C49" s="48"/>
      <c r="D49" s="53"/>
      <c r="E49" s="54"/>
      <c r="F49" s="83"/>
      <c r="G49" s="66" t="str">
        <f ca="1">IF(ISBLANK(F49), "", NETWORKDAYS(F49, TODAY(), Holidays!$D$4:$D$19))</f>
        <v/>
      </c>
      <c r="H49" s="54"/>
      <c r="I49" s="67"/>
    </row>
    <row r="50" spans="3:16">
      <c r="C50" s="48"/>
      <c r="D50" s="53"/>
      <c r="E50" s="54"/>
      <c r="F50" s="83"/>
      <c r="G50" s="66"/>
      <c r="H50" s="54"/>
      <c r="I50" s="67"/>
    </row>
    <row r="51" spans="3:16">
      <c r="C51" s="48"/>
      <c r="D51" s="53"/>
      <c r="E51" s="54"/>
      <c r="F51" s="83"/>
      <c r="G51" s="66"/>
      <c r="H51" s="54"/>
      <c r="I51" s="67"/>
    </row>
    <row r="52" spans="3:16">
      <c r="C52" s="48"/>
      <c r="D52" s="53"/>
      <c r="E52" s="54"/>
      <c r="F52" s="83"/>
      <c r="G52" s="66"/>
      <c r="H52" s="54"/>
      <c r="I52" s="67"/>
    </row>
    <row r="53" spans="3:16">
      <c r="C53" s="48"/>
      <c r="D53" s="53"/>
      <c r="E53" s="54"/>
      <c r="F53" s="83"/>
      <c r="G53" s="66"/>
      <c r="H53" s="54"/>
      <c r="I53" s="67"/>
    </row>
    <row r="54" spans="3:16">
      <c r="C54" s="48"/>
      <c r="D54" s="53"/>
      <c r="E54" s="54"/>
      <c r="F54" s="83"/>
      <c r="G54" s="66"/>
      <c r="H54" s="54"/>
      <c r="I54" s="67"/>
    </row>
    <row r="55" spans="3:16">
      <c r="C55" s="48"/>
      <c r="D55" s="53"/>
      <c r="E55" s="54"/>
      <c r="F55" s="83"/>
      <c r="G55" s="66"/>
      <c r="H55" s="54"/>
      <c r="I55" s="67"/>
    </row>
    <row r="56" spans="3:16">
      <c r="C56" s="48"/>
      <c r="D56" s="53"/>
      <c r="E56" s="54"/>
      <c r="F56" s="83"/>
      <c r="G56" s="66"/>
      <c r="H56" s="54"/>
      <c r="I56" s="67"/>
      <c r="J56" s="47"/>
      <c r="K56" s="50"/>
      <c r="L56" s="47"/>
      <c r="M56" s="50"/>
      <c r="N56" s="50"/>
      <c r="O56" s="49"/>
      <c r="P56" s="85"/>
    </row>
    <row r="57" spans="3:16">
      <c r="C57" s="48"/>
      <c r="D57" s="53"/>
      <c r="E57" s="54"/>
      <c r="F57" s="83"/>
      <c r="G57" s="66"/>
      <c r="H57" s="54"/>
      <c r="I57" s="67"/>
      <c r="J57" s="47"/>
      <c r="K57" s="50"/>
      <c r="L57" s="47"/>
      <c r="M57" s="50"/>
      <c r="N57" s="50"/>
      <c r="O57" s="49"/>
      <c r="P57" s="85"/>
    </row>
    <row r="58" spans="3:16">
      <c r="C58" s="48"/>
      <c r="D58" s="53"/>
      <c r="E58" s="54"/>
      <c r="F58" s="83"/>
      <c r="G58" s="66"/>
      <c r="H58" s="54"/>
      <c r="I58" s="67"/>
      <c r="J58" s="47"/>
      <c r="K58" s="50"/>
      <c r="L58" s="47"/>
      <c r="M58" s="50"/>
      <c r="N58" s="50"/>
      <c r="O58" s="49"/>
      <c r="P58" s="85"/>
    </row>
    <row r="59" spans="3:16">
      <c r="C59" s="48"/>
      <c r="D59" s="53"/>
      <c r="E59" s="54"/>
      <c r="F59" s="83"/>
      <c r="G59" s="66"/>
      <c r="H59" s="54"/>
      <c r="I59" s="67"/>
      <c r="J59" s="47"/>
      <c r="K59" s="50"/>
      <c r="L59" s="47"/>
      <c r="M59" s="50"/>
      <c r="N59" s="50"/>
      <c r="O59" s="49"/>
      <c r="P59" s="85"/>
    </row>
    <row r="60" spans="3:16">
      <c r="C60" s="48"/>
      <c r="D60" s="53"/>
      <c r="E60" s="54"/>
      <c r="F60" s="83"/>
      <c r="G60" s="66"/>
      <c r="H60" s="54"/>
      <c r="I60" s="67"/>
      <c r="J60" s="47"/>
      <c r="K60" s="50"/>
      <c r="L60" s="47"/>
      <c r="M60" s="50"/>
      <c r="N60" s="50"/>
      <c r="O60" s="49"/>
      <c r="P60" s="85"/>
    </row>
    <row r="61" spans="3:16">
      <c r="C61" s="48"/>
      <c r="D61" s="53"/>
      <c r="E61" s="54"/>
      <c r="F61" s="83"/>
      <c r="G61" s="66" t="str">
        <f ca="1">IF(ISBLANK(F61), "", NETWORKDAYS(F61, TODAY(), Holidays!$D$4:$D$19))</f>
        <v/>
      </c>
      <c r="H61" s="54"/>
      <c r="I61" s="67"/>
      <c r="J61" s="47"/>
      <c r="K61" s="50"/>
      <c r="L61" s="47"/>
      <c r="M61" s="50"/>
      <c r="N61" s="50"/>
      <c r="O61" s="49"/>
      <c r="P61" s="85"/>
    </row>
    <row r="62" spans="3:16">
      <c r="C62"/>
      <c r="D62"/>
      <c r="E62"/>
      <c r="F62"/>
      <c r="G62"/>
      <c r="H62"/>
      <c r="I62"/>
      <c r="J62" s="47"/>
      <c r="K62" s="50"/>
      <c r="L62" s="47"/>
      <c r="M62" s="50"/>
      <c r="N62" s="50"/>
      <c r="O62" s="49"/>
      <c r="P62" s="85"/>
    </row>
    <row r="63" spans="3:16">
      <c r="C63"/>
      <c r="D63"/>
      <c r="E63"/>
      <c r="F63"/>
      <c r="G63"/>
      <c r="H63"/>
      <c r="I63"/>
      <c r="J63" s="47"/>
      <c r="K63" s="50"/>
      <c r="L63" s="47"/>
      <c r="M63" s="50"/>
      <c r="N63" s="50"/>
      <c r="O63" s="49"/>
      <c r="P63" s="85"/>
    </row>
    <row r="64" spans="3:16">
      <c r="C64"/>
      <c r="D64"/>
      <c r="E64"/>
      <c r="F64"/>
      <c r="G64"/>
      <c r="H64"/>
      <c r="I64"/>
    </row>
    <row r="65" customFormat="1"/>
    <row r="66" customFormat="1"/>
    <row r="67" customFormat="1"/>
    <row r="68" customFormat="1"/>
    <row r="69" customFormat="1"/>
    <row r="70" customFormat="1"/>
    <row r="256" spans="15:15">
      <c r="O256" t="str">
        <f ca="1">IF(ISBLANK(L256), "", IF(ISNUMBER(M256), NETWORKDAYS(L256, M256, 'Cierre de WFs'!J13), NETWORKDAYS(L256, TODAY(), Holidays!$D$4:$D$19)))</f>
        <v/>
      </c>
    </row>
  </sheetData>
  <protectedRanges>
    <protectedRange sqref="C8" name="Range1_4"/>
    <protectedRange sqref="C12" name="Range1_14"/>
    <protectedRange sqref="C5:C7 C9:C11" name="Range1_12"/>
    <protectedRange sqref="D5:F5" name="Range1_6"/>
    <protectedRange sqref="D6:F6" name="Range1_10"/>
    <protectedRange sqref="D7:F7" name="Range1_17"/>
    <protectedRange sqref="D8:F8" name="Range1_18"/>
    <protectedRange sqref="D9:F9" name="Range1_19"/>
    <protectedRange sqref="F10:F11 D10:D11" name="Range1_20"/>
    <protectedRange sqref="D12:F12" name="Range1_21"/>
    <protectedRange sqref="E13:F13" name="Range1_24"/>
    <protectedRange sqref="E14:F15" name="Range1_25"/>
    <protectedRange sqref="D39:E45" name="Range1"/>
  </protectedRanges>
  <autoFilter ref="C4:I267" xr:uid="{553BC01C-FD2B-429A-A541-0BB106A187BC}"/>
  <conditionalFormatting sqref="C1:I1048576">
    <cfRule type="expression" dxfId="244" priority="4">
      <formula>$H1="x"</formula>
    </cfRule>
    <cfRule type="expression" dxfId="243" priority="134">
      <formula>$H1="Completado"</formula>
    </cfRule>
  </conditionalFormatting>
  <conditionalFormatting sqref="D1:D38 D46:D61 D71:D1048576 K56:K63">
    <cfRule type="containsText" dxfId="242" priority="149" operator="containsText" text="BUY">
      <formula>NOT(ISERROR(SEARCH("BUY",D1)))</formula>
    </cfRule>
  </conditionalFormatting>
  <conditionalFormatting sqref="D1:D1048576">
    <cfRule type="containsText" dxfId="241" priority="3" operator="containsText" text="BUY">
      <formula>NOT(ISERROR(SEARCH("BUY",D1)))</formula>
    </cfRule>
  </conditionalFormatting>
  <conditionalFormatting sqref="E1:E1048576">
    <cfRule type="duplicateValues" dxfId="240" priority="5"/>
  </conditionalFormatting>
  <conditionalFormatting sqref="F1:F61 F71:F1048576 M56:M63">
    <cfRule type="timePeriod" dxfId="239" priority="137" timePeriod="lastWeek">
      <formula>AND(TODAY()-ROUNDDOWN(F1,0)&gt;=(WEEKDAY(TODAY())),TODAY()-ROUNDDOWN(F1,0)&lt;(WEEKDAY(TODAY())+7))</formula>
    </cfRule>
  </conditionalFormatting>
  <conditionalFormatting sqref="F1:F61 M56:M63 F71:F1048576">
    <cfRule type="timePeriod" dxfId="238" priority="138" timePeriod="lastMonth">
      <formula>AND(MONTH(F1)=MONTH(EDATE(TODAY(),0-1)),YEAR(F1)=YEAR(EDATE(TODAY(),0-1)))</formula>
    </cfRule>
  </conditionalFormatting>
  <conditionalFormatting sqref="G1:G61 G71:G1048576 N56:N63">
    <cfRule type="containsText" dxfId="237" priority="8" operator="containsText" text="DAYS">
      <formula>NOT(ISERROR(SEARCH("DAYS",G1)))</formula>
    </cfRule>
    <cfRule type="cellIs" dxfId="236" priority="152" operator="greaterThan">
      <formula>10</formula>
    </cfRule>
  </conditionalFormatting>
  <conditionalFormatting sqref="H1:H61 H71:H1048576 O56:O63">
    <cfRule type="containsText" dxfId="235" priority="151" operator="containsText" text="Completado">
      <formula>NOT(ISERROR(SEARCH("Completado",H1)))</formula>
    </cfRule>
  </conditionalFormatting>
  <conditionalFormatting sqref="H1:H1048576">
    <cfRule type="containsText" dxfId="234" priority="6" operator="containsText" text="2">
      <formula>NOT(ISERROR(SEARCH("2",H1)))</formula>
    </cfRule>
    <cfRule type="containsText" dxfId="233" priority="7" operator="containsText" text="1">
      <formula>NOT(ISERROR(SEARCH("1",H1)))</formula>
    </cfRule>
  </conditionalFormatting>
  <conditionalFormatting sqref="I1:I61 I71:I1048576 P56:P63">
    <cfRule type="timePeriod" dxfId="232" priority="112" timePeriod="lastMonth">
      <formula>AND(MONTH(I1)=MONTH(EDATE(TODAY(),0-1)),YEAR(I1)=YEAR(EDATE(TODAY(),0-1)))</formula>
    </cfRule>
    <cfRule type="timePeriod" dxfId="231" priority="136" timePeriod="lastWeek">
      <formula>AND(TODAY()-ROUNDDOWN(I1,0)&gt;=(WEEKDAY(TODAY())),TODAY()-ROUNDDOWN(I1,0)&lt;(WEEKDAY(TODAY())+7))</formula>
    </cfRule>
  </conditionalFormatting>
  <conditionalFormatting sqref="I1:I61 P56:P63 I71:I1048576">
    <cfRule type="timePeriod" dxfId="230" priority="133" timePeriod="thisWeek">
      <formula>AND(TODAY()-ROUNDDOWN(I1,0)&lt;=WEEKDAY(TODAY())-1,ROUNDDOWN(I1,0)-TODAY()&lt;=7-WEEKDAY(TODAY()))</formula>
    </cfRule>
  </conditionalFormatting>
  <conditionalFormatting sqref="J1:J1048576">
    <cfRule type="containsText" dxfId="229" priority="132" operator="containsText" text="pendiente">
      <formula>NOT(ISERROR(SEARCH("pendiente",J1)))</formula>
    </cfRule>
  </conditionalFormatting>
  <conditionalFormatting sqref="J56:P63">
    <cfRule type="expression" dxfId="228" priority="2679">
      <formula>$O56="Completado"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F63C-40BC-4F26-91CC-D4EDD43569C8}">
  <dimension ref="A3:L54"/>
  <sheetViews>
    <sheetView topLeftCell="A27" workbookViewId="0">
      <selection activeCell="B54" sqref="B54"/>
    </sheetView>
  </sheetViews>
  <sheetFormatPr defaultRowHeight="14.45"/>
  <cols>
    <col min="2" max="2" width="33.7109375" bestFit="1" customWidth="1"/>
    <col min="3" max="3" width="11.7109375" bestFit="1" customWidth="1"/>
    <col min="4" max="5" width="11.42578125" bestFit="1" customWidth="1"/>
    <col min="11" max="11" width="11.28515625" bestFit="1" customWidth="1"/>
  </cols>
  <sheetData>
    <row r="3" spans="4:5" ht="28.9">
      <c r="D3" s="65" t="s">
        <v>960</v>
      </c>
      <c r="E3" s="65" t="s">
        <v>961</v>
      </c>
    </row>
    <row r="4" spans="4:5">
      <c r="D4" s="69">
        <v>45658</v>
      </c>
      <c r="E4" s="69"/>
    </row>
    <row r="5" spans="4:5">
      <c r="D5" s="70">
        <v>45691</v>
      </c>
      <c r="E5" s="70"/>
    </row>
    <row r="6" spans="4:5">
      <c r="D6" s="70">
        <v>45733</v>
      </c>
      <c r="E6" s="70"/>
    </row>
    <row r="7" spans="4:5">
      <c r="D7" s="70">
        <v>45764</v>
      </c>
      <c r="E7" s="70"/>
    </row>
    <row r="8" spans="4:5">
      <c r="D8" s="70">
        <v>45765</v>
      </c>
      <c r="E8" s="70"/>
    </row>
    <row r="9" spans="4:5">
      <c r="D9" s="70">
        <v>45778</v>
      </c>
      <c r="E9" s="70"/>
    </row>
    <row r="10" spans="4:5">
      <c r="D10" s="70">
        <v>45786</v>
      </c>
      <c r="E10" s="70"/>
    </row>
    <row r="11" spans="4:5">
      <c r="D11" s="70">
        <v>45916</v>
      </c>
      <c r="E11" s="70"/>
    </row>
    <row r="12" spans="4:5">
      <c r="D12" s="70">
        <v>45961</v>
      </c>
      <c r="E12" s="70"/>
    </row>
    <row r="13" spans="4:5">
      <c r="D13" s="70">
        <v>45978</v>
      </c>
      <c r="E13" s="70"/>
    </row>
    <row r="14" spans="4:5">
      <c r="D14" s="70">
        <v>45980</v>
      </c>
      <c r="E14" s="70"/>
    </row>
    <row r="15" spans="4:5">
      <c r="D15" s="70">
        <v>45981</v>
      </c>
      <c r="E15" s="70"/>
    </row>
    <row r="16" spans="4:5">
      <c r="D16" s="70">
        <v>46003</v>
      </c>
      <c r="E16" s="70"/>
    </row>
    <row r="17" spans="1:12">
      <c r="D17" s="70">
        <v>46015</v>
      </c>
      <c r="E17" s="70"/>
    </row>
    <row r="18" spans="1:12">
      <c r="D18" s="70">
        <v>46016</v>
      </c>
      <c r="E18" s="70"/>
    </row>
    <row r="19" spans="1:12">
      <c r="D19" s="71">
        <v>46022</v>
      </c>
      <c r="E19" s="71"/>
    </row>
    <row r="23" spans="1:12">
      <c r="A23" s="1302" t="s">
        <v>962</v>
      </c>
      <c r="B23" s="1302"/>
      <c r="C23" s="1302"/>
      <c r="D23" s="1302"/>
      <c r="E23" s="1302"/>
      <c r="F23" s="1302"/>
      <c r="G23" s="1302"/>
      <c r="H23" s="1302"/>
      <c r="I23" s="1302"/>
      <c r="J23" s="1302"/>
      <c r="K23" s="1302"/>
      <c r="L23" s="1302"/>
    </row>
    <row r="24" spans="1:12">
      <c r="A24" s="927"/>
      <c r="B24" s="927"/>
      <c r="C24" s="927"/>
      <c r="D24" s="927"/>
      <c r="E24" s="927"/>
      <c r="F24" s="927"/>
      <c r="G24" s="927"/>
      <c r="H24" s="927"/>
      <c r="I24" s="927"/>
      <c r="J24" s="927"/>
      <c r="K24" s="927"/>
      <c r="L24" s="927"/>
    </row>
    <row r="28" spans="1:12">
      <c r="B28" s="1298" t="s">
        <v>27</v>
      </c>
      <c r="C28" s="1298"/>
      <c r="D28" s="1298"/>
      <c r="F28" s="1299" t="s">
        <v>40</v>
      </c>
      <c r="G28" s="1299"/>
      <c r="H28" s="1299"/>
      <c r="J28" s="1300" t="s">
        <v>963</v>
      </c>
      <c r="K28" s="1300"/>
      <c r="L28" s="1300"/>
    </row>
    <row r="29" spans="1:12">
      <c r="B29" s="925" t="s">
        <v>964</v>
      </c>
      <c r="C29" s="925" t="s">
        <v>965</v>
      </c>
      <c r="D29" s="925" t="s">
        <v>966</v>
      </c>
      <c r="E29" s="28"/>
      <c r="F29" s="925" t="s">
        <v>964</v>
      </c>
      <c r="G29" s="925" t="s">
        <v>965</v>
      </c>
      <c r="H29" s="925" t="s">
        <v>966</v>
      </c>
      <c r="I29" s="28"/>
      <c r="J29" s="925" t="s">
        <v>964</v>
      </c>
      <c r="K29" s="925" t="s">
        <v>965</v>
      </c>
      <c r="L29" s="925" t="s">
        <v>966</v>
      </c>
    </row>
    <row r="30" spans="1:12">
      <c r="B30" s="924">
        <v>7</v>
      </c>
      <c r="C30" s="924">
        <v>1</v>
      </c>
      <c r="D30" s="924">
        <v>8</v>
      </c>
      <c r="F30" s="924">
        <v>3</v>
      </c>
      <c r="G30" s="924">
        <v>1</v>
      </c>
      <c r="H30" s="924">
        <v>3</v>
      </c>
      <c r="J30" s="924">
        <v>7</v>
      </c>
      <c r="K30" s="924">
        <v>1</v>
      </c>
      <c r="L30" s="924">
        <v>7</v>
      </c>
    </row>
    <row r="31" spans="1:12">
      <c r="B31" s="924">
        <v>3</v>
      </c>
      <c r="C31" s="924">
        <v>2</v>
      </c>
      <c r="D31" s="924">
        <v>10</v>
      </c>
      <c r="F31" s="924">
        <v>1</v>
      </c>
      <c r="G31" s="924">
        <v>2</v>
      </c>
      <c r="H31" s="924">
        <v>4</v>
      </c>
      <c r="J31" s="924">
        <v>1</v>
      </c>
      <c r="K31" s="924">
        <v>2</v>
      </c>
      <c r="L31" s="924">
        <v>8</v>
      </c>
    </row>
    <row r="32" spans="1:12">
      <c r="B32" s="924">
        <v>4</v>
      </c>
      <c r="C32" s="924">
        <v>3</v>
      </c>
      <c r="D32" s="924">
        <v>14</v>
      </c>
      <c r="F32" s="924">
        <v>4</v>
      </c>
      <c r="G32" s="924">
        <v>3</v>
      </c>
      <c r="H32" s="924">
        <v>8</v>
      </c>
      <c r="J32" s="924">
        <v>3</v>
      </c>
      <c r="K32" s="924">
        <v>3</v>
      </c>
      <c r="L32" s="924">
        <v>11</v>
      </c>
    </row>
    <row r="33" spans="2:8">
      <c r="B33" s="924">
        <v>2</v>
      </c>
      <c r="C33" s="924">
        <v>4</v>
      </c>
      <c r="D33" s="924">
        <v>16</v>
      </c>
      <c r="F33" s="924">
        <v>3</v>
      </c>
      <c r="G33" s="924">
        <v>4</v>
      </c>
      <c r="H33" s="924">
        <v>11</v>
      </c>
    </row>
    <row r="34" spans="2:8">
      <c r="B34" s="924">
        <v>2</v>
      </c>
      <c r="C34" s="924">
        <v>5</v>
      </c>
      <c r="D34" s="924">
        <v>18</v>
      </c>
      <c r="F34" s="924">
        <v>3</v>
      </c>
      <c r="G34" s="924">
        <v>5</v>
      </c>
      <c r="H34" s="924">
        <v>14</v>
      </c>
    </row>
    <row r="35" spans="2:8">
      <c r="B35" s="924">
        <v>2</v>
      </c>
      <c r="C35" s="924">
        <v>6</v>
      </c>
      <c r="D35" s="924">
        <v>20</v>
      </c>
      <c r="F35" s="924">
        <v>3</v>
      </c>
      <c r="G35" s="924">
        <v>6</v>
      </c>
      <c r="H35" s="924">
        <v>17</v>
      </c>
    </row>
    <row r="37" spans="2:8">
      <c r="B37" s="1301" t="s">
        <v>967</v>
      </c>
      <c r="C37" s="1301"/>
    </row>
    <row r="38" spans="2:8">
      <c r="B38" s="926" t="s">
        <v>968</v>
      </c>
      <c r="C38" s="926" t="s">
        <v>969</v>
      </c>
    </row>
    <row r="39" spans="2:8">
      <c r="B39" s="924" t="s">
        <v>970</v>
      </c>
      <c r="C39" s="924"/>
    </row>
    <row r="40" spans="2:8">
      <c r="B40" s="924" t="s">
        <v>971</v>
      </c>
      <c r="C40" s="924"/>
    </row>
    <row r="41" spans="2:8">
      <c r="B41" s="924" t="s">
        <v>972</v>
      </c>
      <c r="C41" s="924"/>
    </row>
    <row r="42" spans="2:8">
      <c r="B42" s="924" t="s">
        <v>973</v>
      </c>
      <c r="C42" s="924"/>
    </row>
    <row r="43" spans="2:8">
      <c r="B43" s="924" t="s">
        <v>974</v>
      </c>
      <c r="C43" s="924"/>
    </row>
    <row r="44" spans="2:8">
      <c r="B44" s="924" t="s">
        <v>975</v>
      </c>
      <c r="C44" s="924"/>
    </row>
    <row r="45" spans="2:8">
      <c r="B45" s="924" t="s">
        <v>976</v>
      </c>
      <c r="C45" s="924"/>
    </row>
    <row r="46" spans="2:8">
      <c r="B46" s="924" t="s">
        <v>977</v>
      </c>
      <c r="C46" s="924"/>
    </row>
    <row r="47" spans="2:8">
      <c r="B47" s="924" t="s">
        <v>978</v>
      </c>
      <c r="C47" s="924"/>
    </row>
    <row r="48" spans="2:8">
      <c r="B48" s="924" t="s">
        <v>979</v>
      </c>
      <c r="C48" s="924"/>
    </row>
    <row r="49" spans="2:3">
      <c r="B49" s="924" t="s">
        <v>980</v>
      </c>
      <c r="C49" s="924"/>
    </row>
    <row r="50" spans="2:3">
      <c r="B50" s="924" t="s">
        <v>981</v>
      </c>
      <c r="C50" s="924"/>
    </row>
    <row r="51" spans="2:3">
      <c r="B51" t="s">
        <v>982</v>
      </c>
    </row>
    <row r="52" spans="2:3">
      <c r="B52" t="s">
        <v>983</v>
      </c>
    </row>
    <row r="53" spans="2:3">
      <c r="B53" t="s">
        <v>984</v>
      </c>
    </row>
    <row r="54" spans="2:3">
      <c r="B54" s="1089" t="s">
        <v>985</v>
      </c>
    </row>
  </sheetData>
  <mergeCells count="5">
    <mergeCell ref="B28:D28"/>
    <mergeCell ref="F28:H28"/>
    <mergeCell ref="J28:L28"/>
    <mergeCell ref="B37:C37"/>
    <mergeCell ref="A23:L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93C1-43FD-4B71-993C-354ED9D54CBC}">
  <sheetPr>
    <tabColor theme="8" tint="-0.249977111117893"/>
  </sheetPr>
  <dimension ref="A3:V14"/>
  <sheetViews>
    <sheetView workbookViewId="0">
      <selection activeCell="G19" sqref="G19"/>
    </sheetView>
  </sheetViews>
  <sheetFormatPr defaultRowHeight="14.45"/>
  <cols>
    <col min="1" max="4" width="9.140625" style="29"/>
    <col min="5" max="6" width="16.7109375" style="29" customWidth="1"/>
    <col min="7" max="8" width="16.85546875" style="29" customWidth="1"/>
    <col min="9" max="22" width="9.140625" style="29"/>
    <col min="16384" max="16384" width="9.140625" bestFit="1" customWidth="1"/>
  </cols>
  <sheetData>
    <row r="3" spans="5:8" ht="39.75" customHeight="1">
      <c r="E3" s="935" t="s">
        <v>986</v>
      </c>
      <c r="F3" s="934" t="s">
        <v>987</v>
      </c>
      <c r="G3" s="932" t="s">
        <v>988</v>
      </c>
    </row>
    <row r="4" spans="5:8">
      <c r="E4" s="1305">
        <f ca="1">AVERAGEIFS('Workflows tracker'!O:O, 'Workflows tracker'!J:J, "Make", 'Workflows tracker'!N:N, "C*")</f>
        <v>10.711815561959654</v>
      </c>
      <c r="F4" s="1306">
        <f ca="1">AVERAGEIFS('Workflows tracker'!O:O, 'Workflows tracker'!J:J, "Buy", 'Workflows tracker'!N:N, "C*")</f>
        <v>10.7</v>
      </c>
      <c r="G4" s="1307">
        <f ca="1">AVERAGEIF('Workflows tracker'!N:N, "C*", 'Workflows tracker'!O:O)</f>
        <v>10.68139534883721</v>
      </c>
    </row>
    <row r="5" spans="5:8">
      <c r="E5" s="1305"/>
      <c r="F5" s="1306"/>
      <c r="G5" s="1307"/>
    </row>
    <row r="6" spans="5:8">
      <c r="E6" s="1305"/>
      <c r="F6" s="1306"/>
      <c r="G6" s="1307"/>
    </row>
    <row r="7" spans="5:8">
      <c r="E7" s="1305"/>
      <c r="F7" s="1306"/>
      <c r="G7" s="1307"/>
    </row>
    <row r="10" spans="5:8" ht="43.15">
      <c r="E10" s="933" t="s">
        <v>989</v>
      </c>
      <c r="F10" s="936" t="s">
        <v>990</v>
      </c>
      <c r="G10" s="937" t="s">
        <v>991</v>
      </c>
      <c r="H10" s="938" t="s">
        <v>992</v>
      </c>
    </row>
    <row r="11" spans="5:8">
      <c r="E11" s="1308">
        <f>COUNTIFS('Workflows tracker'!L:L, "&gt;0", 'Workflows tracker'!N:N, "")</f>
        <v>19</v>
      </c>
      <c r="F11" s="1308">
        <f ca="1">COUNTIFS('Workflows tracker'!L:L, "&lt;&gt;"&amp;"", 'Workflows tracker'!N:N, "", 'Workflows tracker'!O:O, "&gt;10")</f>
        <v>13</v>
      </c>
      <c r="G11" s="1309">
        <f ca="1">COUNTIFS('Workflows tracker'!L:L, "&lt;&gt;"&amp;"", 'Workflows tracker'!N:N, "", 'Workflows tracker'!P:P, "&gt;0")</f>
        <v>10</v>
      </c>
      <c r="H11" s="1303">
        <f ca="1">COUNTIFS('Workflows tracker'!L:L, "&lt;&gt;"&amp;"", 'Workflows tracker'!N:N, "", 'Workflows tracker'!P:P, "&gt;-5")</f>
        <v>15</v>
      </c>
    </row>
    <row r="12" spans="5:8">
      <c r="E12" s="1308"/>
      <c r="F12" s="1308"/>
      <c r="G12" s="1308"/>
      <c r="H12" s="1304"/>
    </row>
    <row r="13" spans="5:8">
      <c r="E13" s="1308"/>
      <c r="F13" s="1308"/>
      <c r="G13" s="1308"/>
      <c r="H13" s="1304"/>
    </row>
    <row r="14" spans="5:8">
      <c r="E14" s="1308"/>
      <c r="F14" s="1308"/>
      <c r="G14" s="1308"/>
      <c r="H14" s="1304"/>
    </row>
  </sheetData>
  <mergeCells count="7">
    <mergeCell ref="H11:H14"/>
    <mergeCell ref="E4:E7"/>
    <mergeCell ref="F4:F7"/>
    <mergeCell ref="G4:G7"/>
    <mergeCell ref="E11:E14"/>
    <mergeCell ref="F11:F14"/>
    <mergeCell ref="G11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40E2-67F2-4F8E-9947-164392E4D478}">
  <sheetPr>
    <tabColor rgb="FF7030A0"/>
  </sheetPr>
  <dimension ref="A1:Z419"/>
  <sheetViews>
    <sheetView topLeftCell="A190" zoomScale="115" zoomScaleNormal="115" workbookViewId="0">
      <selection activeCell="C204" sqref="C204"/>
    </sheetView>
  </sheetViews>
  <sheetFormatPr defaultRowHeight="14.45"/>
  <cols>
    <col min="1" max="1" width="46.140625" bestFit="1" customWidth="1"/>
    <col min="2" max="2" width="18.42578125" bestFit="1" customWidth="1"/>
    <col min="3" max="3" width="31.42578125" bestFit="1" customWidth="1"/>
    <col min="4" max="4" width="12.140625" bestFit="1" customWidth="1"/>
    <col min="5" max="5" width="31" bestFit="1" customWidth="1"/>
    <col min="6" max="6" width="31.42578125" bestFit="1" customWidth="1"/>
    <col min="7" max="7" width="12.140625" bestFit="1" customWidth="1"/>
    <col min="8" max="8" width="31.42578125" bestFit="1" customWidth="1"/>
    <col min="9" max="9" width="22.140625" bestFit="1" customWidth="1"/>
    <col min="10" max="10" width="46" bestFit="1" customWidth="1"/>
    <col min="11" max="11" width="31" bestFit="1" customWidth="1"/>
    <col min="12" max="12" width="27.140625" bestFit="1" customWidth="1"/>
    <col min="13" max="14" width="15.5703125" bestFit="1" customWidth="1"/>
    <col min="15" max="15" width="38" bestFit="1" customWidth="1"/>
    <col min="16" max="16" width="43.28515625" bestFit="1" customWidth="1"/>
    <col min="17" max="17" width="31.42578125" bestFit="1" customWidth="1"/>
    <col min="18" max="18" width="12.140625" bestFit="1" customWidth="1"/>
    <col min="19" max="20" width="15.5703125" bestFit="1" customWidth="1"/>
    <col min="21" max="21" width="26.42578125" bestFit="1" customWidth="1"/>
    <col min="22" max="22" width="31.42578125" bestFit="1" customWidth="1"/>
    <col min="23" max="23" width="22.140625" bestFit="1" customWidth="1"/>
    <col min="24" max="24" width="46" bestFit="1" customWidth="1"/>
    <col min="25" max="25" width="31" bestFit="1" customWidth="1"/>
    <col min="26" max="26" width="27.140625" bestFit="1" customWidth="1"/>
    <col min="27" max="290" width="15.5703125" bestFit="1" customWidth="1"/>
    <col min="291" max="291" width="11" bestFit="1" customWidth="1"/>
  </cols>
  <sheetData>
    <row r="1" spans="1:22">
      <c r="O1" s="22" t="s">
        <v>993</v>
      </c>
      <c r="P1" t="s">
        <v>994</v>
      </c>
    </row>
    <row r="2" spans="1:22">
      <c r="A2" s="22" t="s">
        <v>993</v>
      </c>
      <c r="B2" t="s">
        <v>994</v>
      </c>
      <c r="O2" s="22" t="s">
        <v>995</v>
      </c>
      <c r="P2" t="s">
        <v>994</v>
      </c>
    </row>
    <row r="3" spans="1:22">
      <c r="A3" s="22" t="s">
        <v>995</v>
      </c>
      <c r="B3" t="s">
        <v>994</v>
      </c>
      <c r="O3" s="22" t="s">
        <v>996</v>
      </c>
      <c r="P3" t="s">
        <v>994</v>
      </c>
    </row>
    <row r="4" spans="1:22">
      <c r="A4" s="22" t="s">
        <v>996</v>
      </c>
      <c r="B4" t="s">
        <v>994</v>
      </c>
      <c r="O4" s="22" t="s">
        <v>997</v>
      </c>
      <c r="P4" t="s">
        <v>994</v>
      </c>
    </row>
    <row r="5" spans="1:22">
      <c r="A5" s="22" t="s">
        <v>997</v>
      </c>
      <c r="B5" t="s">
        <v>994</v>
      </c>
      <c r="O5" s="22" t="s">
        <v>998</v>
      </c>
      <c r="P5" t="s">
        <v>994</v>
      </c>
    </row>
    <row r="6" spans="1:22" ht="15" customHeight="1">
      <c r="A6" s="22" t="s">
        <v>998</v>
      </c>
      <c r="B6" t="s">
        <v>994</v>
      </c>
      <c r="O6" s="22" t="s">
        <v>999</v>
      </c>
      <c r="P6" t="s">
        <v>1000</v>
      </c>
    </row>
    <row r="8" spans="1:22" ht="30.75">
      <c r="A8" s="36" t="s">
        <v>1001</v>
      </c>
      <c r="B8" s="1324" t="s">
        <v>1002</v>
      </c>
      <c r="C8" t="s">
        <v>1003</v>
      </c>
      <c r="D8" t="s">
        <v>1004</v>
      </c>
      <c r="O8" s="36" t="s">
        <v>1001</v>
      </c>
      <c r="P8" s="1324" t="s">
        <v>1002</v>
      </c>
      <c r="Q8" t="s">
        <v>1003</v>
      </c>
      <c r="R8" t="s">
        <v>1004</v>
      </c>
    </row>
    <row r="9" spans="1:22">
      <c r="A9" s="1323">
        <v>2.2429906542056073</v>
      </c>
      <c r="B9" s="1323">
        <v>9.6623831775700939</v>
      </c>
      <c r="C9" s="1323">
        <v>13.189252336448599</v>
      </c>
      <c r="D9" s="1323">
        <v>856</v>
      </c>
      <c r="O9" s="1323">
        <v>1.3933333333333333</v>
      </c>
      <c r="P9" s="1323">
        <v>8.76</v>
      </c>
      <c r="Q9" s="1323">
        <v>11.253333333333334</v>
      </c>
      <c r="R9" s="1323">
        <v>150</v>
      </c>
    </row>
    <row r="12" spans="1:22">
      <c r="A12" s="22" t="s">
        <v>1005</v>
      </c>
      <c r="B12" t="s">
        <v>994</v>
      </c>
      <c r="O12" s="22" t="s">
        <v>1005</v>
      </c>
      <c r="P12" t="s">
        <v>994</v>
      </c>
    </row>
    <row r="13" spans="1:22">
      <c r="A13" s="22" t="s">
        <v>995</v>
      </c>
      <c r="B13" t="s">
        <v>994</v>
      </c>
      <c r="O13" s="22" t="s">
        <v>995</v>
      </c>
      <c r="P13" t="s">
        <v>994</v>
      </c>
      <c r="U13" s="22" t="s">
        <v>998</v>
      </c>
      <c r="V13" t="s">
        <v>994</v>
      </c>
    </row>
    <row r="14" spans="1:22">
      <c r="A14" s="22" t="s">
        <v>996</v>
      </c>
      <c r="B14" t="s">
        <v>994</v>
      </c>
      <c r="G14" s="22" t="s">
        <v>998</v>
      </c>
      <c r="H14" t="s">
        <v>994</v>
      </c>
      <c r="O14" s="22" t="s">
        <v>996</v>
      </c>
      <c r="P14" t="s">
        <v>994</v>
      </c>
      <c r="U14" s="22" t="s">
        <v>996</v>
      </c>
      <c r="V14" t="s">
        <v>994</v>
      </c>
    </row>
    <row r="15" spans="1:22">
      <c r="A15" s="22" t="s">
        <v>997</v>
      </c>
      <c r="B15" t="s">
        <v>994</v>
      </c>
      <c r="G15" s="22" t="s">
        <v>996</v>
      </c>
      <c r="H15" t="s">
        <v>994</v>
      </c>
      <c r="O15" s="22" t="s">
        <v>997</v>
      </c>
      <c r="P15" t="s">
        <v>994</v>
      </c>
      <c r="U15" s="22" t="s">
        <v>1006</v>
      </c>
      <c r="V15" t="s">
        <v>1000</v>
      </c>
    </row>
    <row r="16" spans="1:22">
      <c r="A16" s="22" t="s">
        <v>999</v>
      </c>
      <c r="B16" t="s">
        <v>994</v>
      </c>
      <c r="G16" s="22" t="s">
        <v>1006</v>
      </c>
      <c r="H16" t="s">
        <v>1000</v>
      </c>
      <c r="O16" s="22" t="s">
        <v>999</v>
      </c>
      <c r="P16" t="s">
        <v>1007</v>
      </c>
      <c r="U16" s="22" t="s">
        <v>999</v>
      </c>
      <c r="V16" t="s">
        <v>1007</v>
      </c>
    </row>
    <row r="18" spans="1:26">
      <c r="A18" s="22" t="s">
        <v>1006</v>
      </c>
      <c r="B18" t="s">
        <v>1008</v>
      </c>
      <c r="G18" t="s">
        <v>1001</v>
      </c>
      <c r="O18" s="22" t="s">
        <v>1006</v>
      </c>
      <c r="P18" t="s">
        <v>1008</v>
      </c>
      <c r="U18" t="s">
        <v>1001</v>
      </c>
    </row>
    <row r="19" spans="1:26">
      <c r="A19" t="s">
        <v>1009</v>
      </c>
      <c r="B19" s="86">
        <v>0.52219626168224298</v>
      </c>
      <c r="G19" s="1323">
        <v>5.8822269807280518</v>
      </c>
      <c r="O19" t="s">
        <v>1009</v>
      </c>
      <c r="P19" s="86">
        <v>0.22413793103448276</v>
      </c>
      <c r="U19" s="1323">
        <v>5.5384615384615383</v>
      </c>
    </row>
    <row r="20" spans="1:26">
      <c r="A20" t="s">
        <v>1010</v>
      </c>
      <c r="B20" s="86">
        <v>0.45443925233644861</v>
      </c>
      <c r="O20" t="s">
        <v>1010</v>
      </c>
      <c r="P20" s="86">
        <v>0.77586206896551724</v>
      </c>
      <c r="U20" s="22" t="s">
        <v>996</v>
      </c>
      <c r="V20" t="s">
        <v>1011</v>
      </c>
    </row>
    <row r="21" spans="1:26">
      <c r="A21" t="s">
        <v>1012</v>
      </c>
      <c r="B21" s="86">
        <v>2.336448598130841E-2</v>
      </c>
      <c r="G21" s="22" t="s">
        <v>996</v>
      </c>
      <c r="H21" t="s">
        <v>1011</v>
      </c>
      <c r="O21" t="s">
        <v>1013</v>
      </c>
      <c r="P21" s="86">
        <v>1</v>
      </c>
      <c r="U21" s="22" t="s">
        <v>999</v>
      </c>
      <c r="V21" t="s">
        <v>1007</v>
      </c>
    </row>
    <row r="22" spans="1:26">
      <c r="A22" t="s">
        <v>1013</v>
      </c>
      <c r="B22" s="86">
        <v>1</v>
      </c>
    </row>
    <row r="23" spans="1:26">
      <c r="G23" t="s">
        <v>1004</v>
      </c>
      <c r="H23" t="s">
        <v>1003</v>
      </c>
      <c r="I23" t="s">
        <v>1002</v>
      </c>
      <c r="J23" t="s">
        <v>1001</v>
      </c>
      <c r="K23" t="s">
        <v>1014</v>
      </c>
      <c r="L23" t="s">
        <v>1015</v>
      </c>
      <c r="U23" t="s">
        <v>1004</v>
      </c>
      <c r="V23" t="s">
        <v>1003</v>
      </c>
      <c r="W23" t="s">
        <v>1002</v>
      </c>
      <c r="X23" t="s">
        <v>1001</v>
      </c>
      <c r="Y23" t="s">
        <v>1014</v>
      </c>
      <c r="Z23" t="s">
        <v>1015</v>
      </c>
    </row>
    <row r="24" spans="1:26">
      <c r="G24" s="1323">
        <v>44</v>
      </c>
      <c r="H24" s="1323">
        <v>11.409090909090908</v>
      </c>
      <c r="I24" s="1323">
        <v>10.568181818181818</v>
      </c>
      <c r="J24" s="1323">
        <v>1.9545454545454546</v>
      </c>
      <c r="K24" s="1323">
        <v>-1.2727272727272727</v>
      </c>
      <c r="L24" s="86" t="e">
        <v>#N/A</v>
      </c>
      <c r="U24" s="1323">
        <v>2</v>
      </c>
      <c r="V24" s="1323">
        <v>24</v>
      </c>
      <c r="W24" s="1323">
        <v>3.5</v>
      </c>
      <c r="X24" s="1323">
        <v>-5</v>
      </c>
      <c r="Y24" s="1323">
        <v>-21.5</v>
      </c>
      <c r="Z24" s="86">
        <v>0.16666666666666666</v>
      </c>
    </row>
    <row r="25" spans="1:26">
      <c r="U25" s="22" t="s">
        <v>996</v>
      </c>
      <c r="V25" t="s">
        <v>29</v>
      </c>
    </row>
    <row r="26" spans="1:26">
      <c r="G26" s="22" t="s">
        <v>996</v>
      </c>
      <c r="H26" t="s">
        <v>29</v>
      </c>
      <c r="U26" s="22" t="s">
        <v>999</v>
      </c>
      <c r="V26" t="s">
        <v>1007</v>
      </c>
    </row>
    <row r="27" spans="1:26">
      <c r="O27" s="22" t="s">
        <v>995</v>
      </c>
      <c r="P27" t="s">
        <v>994</v>
      </c>
    </row>
    <row r="28" spans="1:26">
      <c r="A28" s="22" t="s">
        <v>995</v>
      </c>
      <c r="B28" t="s">
        <v>994</v>
      </c>
      <c r="G28" t="s">
        <v>1004</v>
      </c>
      <c r="H28" t="s">
        <v>1003</v>
      </c>
      <c r="I28" t="s">
        <v>1002</v>
      </c>
      <c r="J28" t="s">
        <v>1001</v>
      </c>
      <c r="K28" t="s">
        <v>1014</v>
      </c>
      <c r="O28" s="22" t="s">
        <v>996</v>
      </c>
      <c r="P28" t="s">
        <v>1011</v>
      </c>
      <c r="U28" t="s">
        <v>1004</v>
      </c>
      <c r="V28" t="s">
        <v>1003</v>
      </c>
      <c r="W28" t="s">
        <v>1002</v>
      </c>
      <c r="X28" t="s">
        <v>1001</v>
      </c>
      <c r="Y28" t="s">
        <v>1014</v>
      </c>
    </row>
    <row r="29" spans="1:26">
      <c r="A29" s="22" t="s">
        <v>996</v>
      </c>
      <c r="B29" t="s">
        <v>1011</v>
      </c>
      <c r="G29" s="1323">
        <v>764</v>
      </c>
      <c r="H29" s="1323">
        <v>13.103403141361257</v>
      </c>
      <c r="I29" s="1323">
        <v>9.6034031413612571</v>
      </c>
      <c r="J29" s="1323">
        <v>2.2892670157068062</v>
      </c>
      <c r="K29" s="1323">
        <v>-3.243455497382199</v>
      </c>
      <c r="O29" s="22" t="s">
        <v>997</v>
      </c>
      <c r="P29" t="s">
        <v>994</v>
      </c>
      <c r="U29" s="1323">
        <v>17</v>
      </c>
      <c r="V29" s="1323">
        <v>6.4117647058823533</v>
      </c>
      <c r="W29" s="1323">
        <v>4.5882352941176467</v>
      </c>
      <c r="X29" s="1323">
        <v>-1.3529411764705883</v>
      </c>
      <c r="Y29" s="1323">
        <v>-2.1176470588235294</v>
      </c>
    </row>
    <row r="30" spans="1:26">
      <c r="A30" s="22" t="s">
        <v>997</v>
      </c>
      <c r="B30" t="s">
        <v>994</v>
      </c>
      <c r="O30" s="22" t="s">
        <v>1006</v>
      </c>
      <c r="P30" t="s">
        <v>1009</v>
      </c>
      <c r="U30" s="22" t="s">
        <v>996</v>
      </c>
      <c r="V30" t="s">
        <v>1016</v>
      </c>
    </row>
    <row r="31" spans="1:26">
      <c r="A31" s="22" t="s">
        <v>1006</v>
      </c>
      <c r="B31" t="s">
        <v>1009</v>
      </c>
      <c r="G31" s="22" t="s">
        <v>996</v>
      </c>
      <c r="H31" t="s">
        <v>1016</v>
      </c>
      <c r="O31" s="22" t="s">
        <v>999</v>
      </c>
      <c r="P31" t="s">
        <v>1007</v>
      </c>
      <c r="U31" s="22" t="s">
        <v>999</v>
      </c>
      <c r="V31" t="s">
        <v>1007</v>
      </c>
    </row>
    <row r="33" spans="1:26">
      <c r="A33" s="22" t="s">
        <v>1005</v>
      </c>
      <c r="B33" t="s">
        <v>1004</v>
      </c>
      <c r="C33" s="88">
        <f>COUNTA(A34:A46)-1</f>
        <v>2</v>
      </c>
      <c r="G33" t="s">
        <v>1004</v>
      </c>
      <c r="H33" t="s">
        <v>1003</v>
      </c>
      <c r="I33" t="s">
        <v>1002</v>
      </c>
      <c r="J33" t="s">
        <v>1001</v>
      </c>
      <c r="K33" t="s">
        <v>1014</v>
      </c>
      <c r="O33" s="22" t="s">
        <v>1005</v>
      </c>
      <c r="P33" t="s">
        <v>1004</v>
      </c>
      <c r="Q33" s="88">
        <f>COUNTA(O34:O36)-1</f>
        <v>0</v>
      </c>
      <c r="U33" t="s">
        <v>1004</v>
      </c>
      <c r="V33" t="s">
        <v>1003</v>
      </c>
      <c r="W33" t="s">
        <v>1002</v>
      </c>
      <c r="X33" t="s">
        <v>1001</v>
      </c>
      <c r="Y33" t="s">
        <v>1014</v>
      </c>
    </row>
    <row r="34" spans="1:26">
      <c r="A34" t="s">
        <v>410</v>
      </c>
      <c r="B34" s="1323">
        <v>1</v>
      </c>
      <c r="G34" s="1323">
        <v>48</v>
      </c>
      <c r="H34" s="1323">
        <v>16.1875</v>
      </c>
      <c r="I34" s="1323">
        <v>9.7708333333333339</v>
      </c>
      <c r="J34" s="1323">
        <v>1.7708333333333333</v>
      </c>
      <c r="K34" s="1323">
        <v>-7.104166666666667</v>
      </c>
      <c r="O34" t="s">
        <v>1013</v>
      </c>
      <c r="P34" s="1323"/>
      <c r="U34" s="1323">
        <v>39</v>
      </c>
      <c r="V34" s="1323">
        <v>15.23076923076923</v>
      </c>
      <c r="W34" s="1323">
        <v>7.9487179487179489</v>
      </c>
      <c r="X34" s="1323">
        <v>-0.38461538461538464</v>
      </c>
      <c r="Y34" s="1323">
        <v>-8.1025641025641022</v>
      </c>
    </row>
    <row r="35" spans="1:26">
      <c r="A35" t="s">
        <v>474</v>
      </c>
      <c r="B35" s="1323">
        <v>1</v>
      </c>
      <c r="U35" s="22" t="s">
        <v>996</v>
      </c>
      <c r="V35" t="s">
        <v>994</v>
      </c>
    </row>
    <row r="36" spans="1:26">
      <c r="A36" t="s">
        <v>1013</v>
      </c>
      <c r="B36" s="1323">
        <v>2</v>
      </c>
      <c r="G36" s="22" t="s">
        <v>996</v>
      </c>
      <c r="H36" t="s">
        <v>994</v>
      </c>
      <c r="U36" s="22" t="s">
        <v>999</v>
      </c>
      <c r="V36" t="s">
        <v>1007</v>
      </c>
    </row>
    <row r="38" spans="1:26">
      <c r="G38" t="s">
        <v>1004</v>
      </c>
      <c r="H38" t="s">
        <v>1003</v>
      </c>
      <c r="I38" t="s">
        <v>1002</v>
      </c>
      <c r="J38" t="s">
        <v>1001</v>
      </c>
      <c r="K38" t="s">
        <v>1014</v>
      </c>
      <c r="U38" t="s">
        <v>1004</v>
      </c>
      <c r="V38" t="s">
        <v>1003</v>
      </c>
      <c r="W38" t="s">
        <v>1002</v>
      </c>
      <c r="X38" t="s">
        <v>1001</v>
      </c>
      <c r="Y38" t="s">
        <v>1014</v>
      </c>
    </row>
    <row r="39" spans="1:26">
      <c r="G39" s="1323">
        <v>856</v>
      </c>
      <c r="H39" s="1323">
        <v>13.189252336448599</v>
      </c>
      <c r="I39" s="1323">
        <v>9.6623831775700939</v>
      </c>
      <c r="J39" s="1323">
        <v>2.2429906542056073</v>
      </c>
      <c r="K39" s="1323">
        <v>-3.3586448598130842</v>
      </c>
      <c r="U39" s="1323">
        <v>58</v>
      </c>
      <c r="V39" s="1323">
        <v>12.948275862068966</v>
      </c>
      <c r="W39" s="1323">
        <v>6.8103448275862073</v>
      </c>
      <c r="X39" s="1323">
        <v>-0.82758620689655171</v>
      </c>
      <c r="Y39" s="1323">
        <v>-6.8103448275862073</v>
      </c>
    </row>
    <row r="40" spans="1:26">
      <c r="U40" s="22" t="s">
        <v>996</v>
      </c>
      <c r="V40" t="s">
        <v>1011</v>
      </c>
    </row>
    <row r="41" spans="1:26">
      <c r="G41" s="22" t="s">
        <v>996</v>
      </c>
      <c r="H41" t="s">
        <v>1011</v>
      </c>
      <c r="U41" s="22" t="s">
        <v>997</v>
      </c>
      <c r="V41" t="s">
        <v>1017</v>
      </c>
    </row>
    <row r="42" spans="1:26">
      <c r="G42" s="22" t="s">
        <v>997</v>
      </c>
      <c r="H42" t="s">
        <v>1017</v>
      </c>
      <c r="U42" s="22" t="s">
        <v>999</v>
      </c>
      <c r="V42" t="s">
        <v>1007</v>
      </c>
    </row>
    <row r="44" spans="1:26">
      <c r="G44" t="s">
        <v>1004</v>
      </c>
      <c r="H44" t="s">
        <v>1003</v>
      </c>
      <c r="I44" t="s">
        <v>1002</v>
      </c>
      <c r="J44" t="s">
        <v>1001</v>
      </c>
      <c r="K44" t="s">
        <v>1014</v>
      </c>
      <c r="L44" t="s">
        <v>1015</v>
      </c>
      <c r="U44" t="s">
        <v>1004</v>
      </c>
      <c r="V44" t="s">
        <v>1003</v>
      </c>
      <c r="W44" t="s">
        <v>1002</v>
      </c>
      <c r="X44" t="s">
        <v>1001</v>
      </c>
      <c r="Y44" t="s">
        <v>1014</v>
      </c>
      <c r="Z44" t="s">
        <v>1015</v>
      </c>
    </row>
    <row r="45" spans="1:26">
      <c r="G45" s="1323">
        <v>17</v>
      </c>
      <c r="H45" s="1323">
        <v>9.2941176470588243</v>
      </c>
      <c r="I45" s="1323">
        <v>11.823529411764707</v>
      </c>
      <c r="J45" s="1323">
        <v>3.7058823529411766</v>
      </c>
      <c r="K45" s="1323">
        <v>2.5882352941176472</v>
      </c>
      <c r="L45" s="86">
        <v>0.13706266820453669</v>
      </c>
      <c r="U45" s="1323">
        <v>1</v>
      </c>
      <c r="V45" s="1323">
        <v>22</v>
      </c>
      <c r="W45" s="1323">
        <v>6</v>
      </c>
      <c r="X45" s="1323">
        <v>-3</v>
      </c>
      <c r="Y45" s="1323">
        <v>-17</v>
      </c>
      <c r="Z45" s="86">
        <v>0.33333333333333331</v>
      </c>
    </row>
    <row r="46" spans="1:26">
      <c r="U46" s="22" t="s">
        <v>996</v>
      </c>
      <c r="V46" t="s">
        <v>29</v>
      </c>
    </row>
    <row r="47" spans="1:26">
      <c r="G47" s="22" t="s">
        <v>996</v>
      </c>
      <c r="H47" t="s">
        <v>29</v>
      </c>
      <c r="U47" s="22" t="s">
        <v>997</v>
      </c>
      <c r="V47" t="s">
        <v>1017</v>
      </c>
    </row>
    <row r="48" spans="1:26">
      <c r="G48" s="22" t="s">
        <v>997</v>
      </c>
      <c r="H48" t="s">
        <v>1017</v>
      </c>
      <c r="U48" s="22" t="s">
        <v>999</v>
      </c>
      <c r="V48" t="s">
        <v>1007</v>
      </c>
    </row>
    <row r="49" spans="1:25">
      <c r="O49" s="22" t="s">
        <v>995</v>
      </c>
      <c r="P49" t="s">
        <v>994</v>
      </c>
    </row>
    <row r="50" spans="1:25">
      <c r="A50" s="22" t="s">
        <v>995</v>
      </c>
      <c r="B50" t="s">
        <v>994</v>
      </c>
      <c r="G50" t="s">
        <v>1004</v>
      </c>
      <c r="H50" t="s">
        <v>1003</v>
      </c>
      <c r="I50" t="s">
        <v>1002</v>
      </c>
      <c r="J50" t="s">
        <v>1001</v>
      </c>
      <c r="K50" t="s">
        <v>1014</v>
      </c>
      <c r="O50" s="22" t="s">
        <v>996</v>
      </c>
      <c r="P50" t="s">
        <v>1011</v>
      </c>
      <c r="U50" t="s">
        <v>1004</v>
      </c>
      <c r="V50" t="s">
        <v>1003</v>
      </c>
      <c r="W50" t="s">
        <v>1002</v>
      </c>
      <c r="X50" t="s">
        <v>1001</v>
      </c>
      <c r="Y50" t="s">
        <v>1014</v>
      </c>
    </row>
    <row r="51" spans="1:25">
      <c r="A51" s="22" t="s">
        <v>996</v>
      </c>
      <c r="B51" t="s">
        <v>1011</v>
      </c>
      <c r="G51" s="1323">
        <v>419</v>
      </c>
      <c r="H51" s="1323">
        <v>9.5178997613365155</v>
      </c>
      <c r="I51" s="1323">
        <v>8.7804295942720767</v>
      </c>
      <c r="J51" s="1323">
        <v>1.8114558472553699</v>
      </c>
      <c r="K51" s="1323">
        <v>-0.58711217183770881</v>
      </c>
      <c r="O51" s="22" t="s">
        <v>997</v>
      </c>
      <c r="P51" t="s">
        <v>994</v>
      </c>
      <c r="U51" s="1323">
        <v>9</v>
      </c>
      <c r="V51" s="1323">
        <v>4.333333333333333</v>
      </c>
      <c r="W51" s="1323">
        <v>2.5555555555555554</v>
      </c>
      <c r="X51" s="1323">
        <v>-1.3333333333333333</v>
      </c>
      <c r="Y51" s="1323">
        <v>-2.5555555555555554</v>
      </c>
    </row>
    <row r="52" spans="1:25">
      <c r="A52" s="22" t="s">
        <v>997</v>
      </c>
      <c r="B52" t="s">
        <v>994</v>
      </c>
      <c r="O52" s="22" t="s">
        <v>1006</v>
      </c>
      <c r="P52" t="s">
        <v>1000</v>
      </c>
      <c r="U52" s="22" t="s">
        <v>996</v>
      </c>
      <c r="V52" t="s">
        <v>1016</v>
      </c>
    </row>
    <row r="53" spans="1:25">
      <c r="A53" s="22" t="s">
        <v>1006</v>
      </c>
      <c r="B53" t="s">
        <v>1000</v>
      </c>
      <c r="G53" s="22" t="s">
        <v>996</v>
      </c>
      <c r="H53" t="s">
        <v>1016</v>
      </c>
      <c r="O53" s="22" t="s">
        <v>999</v>
      </c>
      <c r="P53" t="s">
        <v>1007</v>
      </c>
      <c r="U53" s="22" t="s">
        <v>997</v>
      </c>
      <c r="V53" t="s">
        <v>1017</v>
      </c>
    </row>
    <row r="54" spans="1:25">
      <c r="G54" s="22" t="s">
        <v>997</v>
      </c>
      <c r="H54" t="s">
        <v>1017</v>
      </c>
      <c r="U54" s="22" t="s">
        <v>999</v>
      </c>
      <c r="V54" t="s">
        <v>1007</v>
      </c>
    </row>
    <row r="55" spans="1:25">
      <c r="A55" s="22" t="s">
        <v>1005</v>
      </c>
      <c r="B55" t="s">
        <v>1004</v>
      </c>
      <c r="C55" s="88">
        <f>COUNTA(A56:A82)-1</f>
        <v>26</v>
      </c>
      <c r="O55" s="22" t="s">
        <v>1005</v>
      </c>
      <c r="P55" t="s">
        <v>1004</v>
      </c>
      <c r="Q55" s="88">
        <f>COUNTA(O56:O73)-1</f>
        <v>2</v>
      </c>
    </row>
    <row r="56" spans="1:25">
      <c r="A56" t="s">
        <v>551</v>
      </c>
      <c r="B56" s="1323">
        <v>5</v>
      </c>
      <c r="G56" t="s">
        <v>1004</v>
      </c>
      <c r="H56" t="s">
        <v>1003</v>
      </c>
      <c r="I56" t="s">
        <v>1002</v>
      </c>
      <c r="J56" t="s">
        <v>1001</v>
      </c>
      <c r="K56" t="s">
        <v>1014</v>
      </c>
      <c r="O56" t="s">
        <v>1018</v>
      </c>
      <c r="P56" s="1323">
        <v>1</v>
      </c>
      <c r="U56" t="s">
        <v>1004</v>
      </c>
      <c r="V56" t="s">
        <v>1003</v>
      </c>
      <c r="W56" t="s">
        <v>1002</v>
      </c>
      <c r="X56" t="s">
        <v>1001</v>
      </c>
      <c r="Y56" t="s">
        <v>1014</v>
      </c>
    </row>
    <row r="57" spans="1:25">
      <c r="A57" t="s">
        <v>35</v>
      </c>
      <c r="B57" s="1323">
        <v>2</v>
      </c>
      <c r="G57" s="1323">
        <v>27</v>
      </c>
      <c r="H57" s="1323">
        <v>14.25925925925926</v>
      </c>
      <c r="I57" s="1323">
        <v>10</v>
      </c>
      <c r="J57" s="1323">
        <v>2.5185185185185186</v>
      </c>
      <c r="K57" s="1323">
        <v>-4.7407407407407405</v>
      </c>
      <c r="O57" t="s">
        <v>1019</v>
      </c>
      <c r="P57" s="1323">
        <v>1</v>
      </c>
      <c r="U57" s="1323">
        <v>22</v>
      </c>
      <c r="V57" s="1323">
        <v>13.954545454545455</v>
      </c>
      <c r="W57" s="1323">
        <v>8.4090909090909083</v>
      </c>
      <c r="X57" s="1323">
        <v>0.81818181818181823</v>
      </c>
      <c r="Y57" s="1323">
        <v>-6.2727272727272725</v>
      </c>
    </row>
    <row r="58" spans="1:25">
      <c r="A58" t="s">
        <v>355</v>
      </c>
      <c r="B58" s="1323">
        <v>1</v>
      </c>
      <c r="O58" t="s">
        <v>1013</v>
      </c>
      <c r="P58" s="1323">
        <v>2</v>
      </c>
      <c r="U58" s="22" t="s">
        <v>996</v>
      </c>
      <c r="V58" t="s">
        <v>994</v>
      </c>
    </row>
    <row r="59" spans="1:25">
      <c r="A59" t="s">
        <v>1020</v>
      </c>
      <c r="B59" s="1323">
        <v>1</v>
      </c>
      <c r="G59" s="22" t="s">
        <v>996</v>
      </c>
      <c r="H59" t="s">
        <v>994</v>
      </c>
      <c r="U59" s="22" t="s">
        <v>997</v>
      </c>
      <c r="V59" t="s">
        <v>1017</v>
      </c>
    </row>
    <row r="60" spans="1:25">
      <c r="A60" t="s">
        <v>613</v>
      </c>
      <c r="B60" s="1323">
        <v>1</v>
      </c>
      <c r="G60" s="22" t="s">
        <v>997</v>
      </c>
      <c r="H60" t="s">
        <v>1017</v>
      </c>
      <c r="U60" s="22" t="s">
        <v>999</v>
      </c>
      <c r="V60" t="s">
        <v>1007</v>
      </c>
    </row>
    <row r="61" spans="1:25">
      <c r="A61" t="s">
        <v>419</v>
      </c>
      <c r="B61" s="1323">
        <v>2</v>
      </c>
    </row>
    <row r="62" spans="1:25">
      <c r="A62" t="s">
        <v>116</v>
      </c>
      <c r="B62" s="1323">
        <v>1</v>
      </c>
      <c r="G62" t="s">
        <v>1004</v>
      </c>
      <c r="H62" t="s">
        <v>1003</v>
      </c>
      <c r="I62" t="s">
        <v>1002</v>
      </c>
      <c r="J62" t="s">
        <v>1001</v>
      </c>
      <c r="K62" t="s">
        <v>1014</v>
      </c>
      <c r="U62" t="s">
        <v>1004</v>
      </c>
      <c r="V62" t="s">
        <v>1003</v>
      </c>
      <c r="W62" t="s">
        <v>1002</v>
      </c>
      <c r="X62" t="s">
        <v>1001</v>
      </c>
      <c r="Y62" t="s">
        <v>1014</v>
      </c>
    </row>
    <row r="63" spans="1:25">
      <c r="A63" t="s">
        <v>1021</v>
      </c>
      <c r="B63" s="1323">
        <v>2</v>
      </c>
      <c r="G63" s="1323">
        <v>463</v>
      </c>
      <c r="H63" s="1323">
        <v>9.7861771058315341</v>
      </c>
      <c r="I63" s="1323">
        <v>8.96328293736501</v>
      </c>
      <c r="J63" s="1323">
        <v>1.9222462203023758</v>
      </c>
      <c r="K63" s="1323">
        <v>-0.71274298056155505</v>
      </c>
      <c r="U63" s="1323">
        <v>32</v>
      </c>
      <c r="V63" s="1323">
        <v>11.5</v>
      </c>
      <c r="W63" s="1323">
        <v>6.6875</v>
      </c>
      <c r="X63" s="1323">
        <v>9.375E-2</v>
      </c>
      <c r="Y63" s="1323">
        <v>-5.5625</v>
      </c>
    </row>
    <row r="64" spans="1:25">
      <c r="A64" t="s">
        <v>652</v>
      </c>
      <c r="B64" s="1323">
        <v>1</v>
      </c>
      <c r="U64" s="22" t="s">
        <v>996</v>
      </c>
      <c r="V64" t="s">
        <v>1011</v>
      </c>
    </row>
    <row r="65" spans="1:26">
      <c r="A65" t="s">
        <v>1022</v>
      </c>
      <c r="B65" s="1323">
        <v>1</v>
      </c>
      <c r="G65" s="22" t="s">
        <v>996</v>
      </c>
      <c r="H65" t="s">
        <v>1011</v>
      </c>
      <c r="U65" s="22" t="s">
        <v>997</v>
      </c>
      <c r="V65" t="s">
        <v>1023</v>
      </c>
    </row>
    <row r="66" spans="1:26">
      <c r="A66" t="s">
        <v>589</v>
      </c>
      <c r="B66" s="1323">
        <v>1</v>
      </c>
      <c r="G66" s="22" t="s">
        <v>997</v>
      </c>
      <c r="H66" t="s">
        <v>1023</v>
      </c>
      <c r="U66" s="22" t="s">
        <v>999</v>
      </c>
      <c r="V66" t="s">
        <v>1007</v>
      </c>
    </row>
    <row r="67" spans="1:26">
      <c r="A67" t="s">
        <v>602</v>
      </c>
      <c r="B67" s="1323">
        <v>2</v>
      </c>
    </row>
    <row r="68" spans="1:26">
      <c r="A68" t="s">
        <v>634</v>
      </c>
      <c r="B68" s="1323">
        <v>1</v>
      </c>
      <c r="G68" t="s">
        <v>1004</v>
      </c>
      <c r="H68" t="s">
        <v>1003</v>
      </c>
      <c r="I68" t="s">
        <v>1002</v>
      </c>
      <c r="J68" t="s">
        <v>1001</v>
      </c>
      <c r="K68" t="s">
        <v>1014</v>
      </c>
      <c r="L68" t="s">
        <v>1015</v>
      </c>
      <c r="U68" t="s">
        <v>1004</v>
      </c>
      <c r="V68" t="s">
        <v>1003</v>
      </c>
      <c r="W68" t="s">
        <v>1002</v>
      </c>
      <c r="X68" t="s">
        <v>1001</v>
      </c>
      <c r="Y68" t="s">
        <v>1014</v>
      </c>
      <c r="Z68" t="s">
        <v>1015</v>
      </c>
    </row>
    <row r="69" spans="1:26">
      <c r="A69" t="s">
        <v>629</v>
      </c>
      <c r="B69" s="1323">
        <v>1</v>
      </c>
      <c r="G69" s="1323">
        <v>26</v>
      </c>
      <c r="H69" s="1323">
        <v>13.538461538461538</v>
      </c>
      <c r="I69" s="1323">
        <v>10</v>
      </c>
      <c r="J69" s="1323">
        <v>1.0769230769230769</v>
      </c>
      <c r="K69" s="1323">
        <v>-4.2692307692307692</v>
      </c>
      <c r="L69" s="86" t="e">
        <v>#N/A</v>
      </c>
      <c r="U69" s="1323">
        <v>1</v>
      </c>
      <c r="V69" s="1323">
        <v>26</v>
      </c>
      <c r="W69" s="1323">
        <v>1</v>
      </c>
      <c r="X69" s="1323">
        <v>-7</v>
      </c>
      <c r="Y69" s="1323">
        <v>-26</v>
      </c>
      <c r="Z69" s="86">
        <v>0</v>
      </c>
    </row>
    <row r="70" spans="1:26">
      <c r="A70" t="s">
        <v>1024</v>
      </c>
      <c r="B70" s="1323">
        <v>2</v>
      </c>
      <c r="U70" s="22" t="s">
        <v>996</v>
      </c>
      <c r="V70" t="s">
        <v>29</v>
      </c>
    </row>
    <row r="71" spans="1:26">
      <c r="A71" t="s">
        <v>668</v>
      </c>
      <c r="B71" s="1323">
        <v>2</v>
      </c>
      <c r="G71" s="22" t="s">
        <v>996</v>
      </c>
      <c r="H71" t="s">
        <v>29</v>
      </c>
      <c r="U71" s="22" t="s">
        <v>997</v>
      </c>
      <c r="V71" t="s">
        <v>1023</v>
      </c>
    </row>
    <row r="72" spans="1:26">
      <c r="A72" t="s">
        <v>716</v>
      </c>
      <c r="B72" s="1323">
        <v>2</v>
      </c>
      <c r="G72" s="22" t="s">
        <v>997</v>
      </c>
      <c r="H72" t="s">
        <v>1023</v>
      </c>
      <c r="U72" s="22" t="s">
        <v>999</v>
      </c>
      <c r="V72" t="s">
        <v>1007</v>
      </c>
    </row>
    <row r="73" spans="1:26">
      <c r="A73" t="s">
        <v>675</v>
      </c>
      <c r="B73" s="1323">
        <v>2</v>
      </c>
    </row>
    <row r="74" spans="1:26">
      <c r="A74" t="s">
        <v>1025</v>
      </c>
      <c r="B74" s="1323">
        <v>1</v>
      </c>
      <c r="G74" t="s">
        <v>1004</v>
      </c>
      <c r="H74" t="s">
        <v>1003</v>
      </c>
      <c r="I74" t="s">
        <v>1002</v>
      </c>
      <c r="J74" t="s">
        <v>1001</v>
      </c>
      <c r="K74" t="s">
        <v>1014</v>
      </c>
      <c r="U74" t="s">
        <v>1004</v>
      </c>
      <c r="V74" t="s">
        <v>1003</v>
      </c>
      <c r="W74" t="s">
        <v>1002</v>
      </c>
      <c r="X74" t="s">
        <v>1001</v>
      </c>
      <c r="Y74" t="s">
        <v>1014</v>
      </c>
    </row>
    <row r="75" spans="1:26">
      <c r="A75" t="s">
        <v>903</v>
      </c>
      <c r="B75" s="1323">
        <v>1</v>
      </c>
      <c r="G75" s="1323">
        <v>345</v>
      </c>
      <c r="H75" s="1323">
        <v>17.457971014492752</v>
      </c>
      <c r="I75" s="1323">
        <v>10.602898550724637</v>
      </c>
      <c r="J75" s="1323">
        <v>2.8695652173913042</v>
      </c>
      <c r="K75" s="1323">
        <v>-6.4695652173913043</v>
      </c>
      <c r="U75" s="1323">
        <v>8</v>
      </c>
      <c r="V75" s="1323">
        <v>8.75</v>
      </c>
      <c r="W75" s="1323">
        <v>6.875</v>
      </c>
      <c r="X75" s="1323">
        <v>-1.375</v>
      </c>
      <c r="Y75" s="1323">
        <v>-1.625</v>
      </c>
    </row>
    <row r="76" spans="1:26">
      <c r="A76" t="s">
        <v>820</v>
      </c>
      <c r="B76" s="1323">
        <v>1</v>
      </c>
      <c r="U76" s="22" t="s">
        <v>996</v>
      </c>
      <c r="V76" t="s">
        <v>1016</v>
      </c>
    </row>
    <row r="77" spans="1:26">
      <c r="A77" t="s">
        <v>1026</v>
      </c>
      <c r="B77" s="1323">
        <v>1</v>
      </c>
      <c r="G77" s="22" t="s">
        <v>996</v>
      </c>
      <c r="H77" t="s">
        <v>1016</v>
      </c>
      <c r="U77" s="22" t="s">
        <v>997</v>
      </c>
      <c r="V77" t="s">
        <v>1023</v>
      </c>
    </row>
    <row r="78" spans="1:26">
      <c r="A78" t="s">
        <v>888</v>
      </c>
      <c r="B78" s="1323">
        <v>1</v>
      </c>
      <c r="G78" s="22" t="s">
        <v>997</v>
      </c>
      <c r="H78" t="s">
        <v>1023</v>
      </c>
      <c r="U78" s="22" t="s">
        <v>999</v>
      </c>
      <c r="V78" t="s">
        <v>1007</v>
      </c>
    </row>
    <row r="79" spans="1:26">
      <c r="A79" t="s">
        <v>885</v>
      </c>
      <c r="B79" s="1323">
        <v>1</v>
      </c>
    </row>
    <row r="80" spans="1:26">
      <c r="A80" t="s">
        <v>1018</v>
      </c>
      <c r="B80" s="1323">
        <v>1</v>
      </c>
      <c r="G80" t="s">
        <v>1004</v>
      </c>
      <c r="H80" t="s">
        <v>1003</v>
      </c>
      <c r="I80" t="s">
        <v>1002</v>
      </c>
      <c r="J80" t="s">
        <v>1001</v>
      </c>
      <c r="K80" t="s">
        <v>1014</v>
      </c>
      <c r="U80" t="s">
        <v>1004</v>
      </c>
      <c r="V80" t="s">
        <v>1003</v>
      </c>
      <c r="W80" t="s">
        <v>1002</v>
      </c>
      <c r="X80" t="s">
        <v>1001</v>
      </c>
      <c r="Y80" t="s">
        <v>1014</v>
      </c>
    </row>
    <row r="81" spans="1:26">
      <c r="A81" t="s">
        <v>1019</v>
      </c>
      <c r="B81" s="1323">
        <v>1</v>
      </c>
      <c r="G81" s="1323">
        <v>21</v>
      </c>
      <c r="H81" s="1323">
        <v>18.666666666666668</v>
      </c>
      <c r="I81" s="1323">
        <v>9.4761904761904763</v>
      </c>
      <c r="J81" s="1323">
        <v>0.80952380952380953</v>
      </c>
      <c r="K81" s="1323">
        <v>-10.142857142857142</v>
      </c>
      <c r="U81" s="1323">
        <v>17</v>
      </c>
      <c r="V81" s="1323">
        <v>16.882352941176471</v>
      </c>
      <c r="W81" s="1323">
        <v>7.3529411764705879</v>
      </c>
      <c r="X81" s="1323">
        <v>-1.9411764705882353</v>
      </c>
      <c r="Y81" s="1323">
        <v>-10.470588235294118</v>
      </c>
    </row>
    <row r="82" spans="1:26">
      <c r="A82" t="s">
        <v>1013</v>
      </c>
      <c r="B82" s="1323">
        <v>38</v>
      </c>
      <c r="U82" s="22" t="s">
        <v>996</v>
      </c>
      <c r="V82" t="s">
        <v>994</v>
      </c>
    </row>
    <row r="83" spans="1:26">
      <c r="G83" s="22" t="s">
        <v>996</v>
      </c>
      <c r="H83" t="s">
        <v>994</v>
      </c>
      <c r="U83" s="22" t="s">
        <v>997</v>
      </c>
      <c r="V83" t="s">
        <v>1023</v>
      </c>
    </row>
    <row r="84" spans="1:26">
      <c r="G84" s="22" t="s">
        <v>997</v>
      </c>
      <c r="H84" t="s">
        <v>1023</v>
      </c>
      <c r="O84" s="22" t="s">
        <v>995</v>
      </c>
      <c r="P84" t="s">
        <v>994</v>
      </c>
      <c r="U84" s="22" t="s">
        <v>999</v>
      </c>
      <c r="V84" t="s">
        <v>1007</v>
      </c>
    </row>
    <row r="85" spans="1:26">
      <c r="A85" s="22" t="s">
        <v>995</v>
      </c>
      <c r="B85" t="s">
        <v>994</v>
      </c>
      <c r="O85" s="22" t="s">
        <v>996</v>
      </c>
      <c r="P85" t="s">
        <v>1000</v>
      </c>
    </row>
    <row r="86" spans="1:26">
      <c r="A86" s="22" t="s">
        <v>996</v>
      </c>
      <c r="B86" t="s">
        <v>1000</v>
      </c>
      <c r="G86" t="s">
        <v>1004</v>
      </c>
      <c r="H86" t="s">
        <v>1003</v>
      </c>
      <c r="I86" t="s">
        <v>1002</v>
      </c>
      <c r="J86" t="s">
        <v>1001</v>
      </c>
      <c r="K86" t="s">
        <v>1014</v>
      </c>
      <c r="O86" s="22" t="s">
        <v>997</v>
      </c>
      <c r="P86" t="s">
        <v>994</v>
      </c>
      <c r="U86" t="s">
        <v>1004</v>
      </c>
      <c r="V86" t="s">
        <v>1003</v>
      </c>
      <c r="W86" t="s">
        <v>1002</v>
      </c>
      <c r="X86" t="s">
        <v>1001</v>
      </c>
      <c r="Y86" t="s">
        <v>1014</v>
      </c>
    </row>
    <row r="87" spans="1:26">
      <c r="A87" s="22" t="s">
        <v>997</v>
      </c>
      <c r="B87" t="s">
        <v>994</v>
      </c>
      <c r="G87" s="1323">
        <v>392</v>
      </c>
      <c r="H87" s="1323">
        <v>17.262755102040817</v>
      </c>
      <c r="I87" s="1323">
        <v>10.502551020408163</v>
      </c>
      <c r="J87" s="1323">
        <v>2.6403061224489797</v>
      </c>
      <c r="K87" s="1323">
        <v>-6.5204081632653059</v>
      </c>
      <c r="O87" s="22" t="s">
        <v>1006</v>
      </c>
      <c r="P87" t="s">
        <v>1000</v>
      </c>
      <c r="U87" s="1323">
        <v>26</v>
      </c>
      <c r="V87" s="1323">
        <v>14.73076923076923</v>
      </c>
      <c r="W87" s="1323">
        <v>6.9615384615384617</v>
      </c>
      <c r="X87" s="1323">
        <v>-1.9615384615384615</v>
      </c>
      <c r="Y87" s="1323">
        <v>-8.3461538461538467</v>
      </c>
    </row>
    <row r="88" spans="1:26">
      <c r="A88" s="22" t="s">
        <v>1006</v>
      </c>
      <c r="B88" t="s">
        <v>1000</v>
      </c>
      <c r="O88" s="22" t="s">
        <v>999</v>
      </c>
      <c r="P88" t="s">
        <v>1007</v>
      </c>
      <c r="U88" s="22" t="s">
        <v>995</v>
      </c>
      <c r="V88" t="s">
        <v>27</v>
      </c>
    </row>
    <row r="89" spans="1:26">
      <c r="G89" s="22" t="s">
        <v>995</v>
      </c>
      <c r="H89" t="s">
        <v>27</v>
      </c>
      <c r="U89" s="22" t="s">
        <v>996</v>
      </c>
      <c r="V89" t="s">
        <v>1011</v>
      </c>
    </row>
    <row r="90" spans="1:26">
      <c r="A90" s="22" t="s">
        <v>1005</v>
      </c>
      <c r="B90" t="s">
        <v>1004</v>
      </c>
      <c r="C90" s="88">
        <f>COUNTA(A90:A194)-2</f>
        <v>103</v>
      </c>
      <c r="G90" s="22" t="s">
        <v>996</v>
      </c>
      <c r="H90" t="s">
        <v>1011</v>
      </c>
      <c r="O90" s="22" t="s">
        <v>1005</v>
      </c>
      <c r="P90" t="s">
        <v>1004</v>
      </c>
      <c r="Q90" s="88">
        <f>COUNTA(O91:O188)-1</f>
        <v>7</v>
      </c>
      <c r="U90" s="22" t="s">
        <v>999</v>
      </c>
      <c r="V90" t="s">
        <v>1007</v>
      </c>
    </row>
    <row r="91" spans="1:26">
      <c r="A91" t="s">
        <v>98</v>
      </c>
      <c r="B91" s="1323">
        <v>1</v>
      </c>
      <c r="O91" t="s">
        <v>1027</v>
      </c>
      <c r="P91" s="1323">
        <v>1</v>
      </c>
    </row>
    <row r="92" spans="1:26">
      <c r="A92" t="s">
        <v>551</v>
      </c>
      <c r="B92" s="1323">
        <v>19</v>
      </c>
      <c r="G92" t="s">
        <v>1004</v>
      </c>
      <c r="H92" t="s">
        <v>1003</v>
      </c>
      <c r="I92" t="s">
        <v>1002</v>
      </c>
      <c r="J92" t="s">
        <v>1001</v>
      </c>
      <c r="K92" t="s">
        <v>1014</v>
      </c>
      <c r="L92" t="s">
        <v>1015</v>
      </c>
      <c r="O92" t="s">
        <v>1024</v>
      </c>
      <c r="P92" s="1323">
        <v>1</v>
      </c>
      <c r="U92" t="s">
        <v>1004</v>
      </c>
      <c r="V92" t="s">
        <v>1003</v>
      </c>
      <c r="W92" t="s">
        <v>1002</v>
      </c>
      <c r="X92" t="s">
        <v>1001</v>
      </c>
      <c r="Y92" t="s">
        <v>1014</v>
      </c>
      <c r="Z92" t="s">
        <v>1015</v>
      </c>
    </row>
    <row r="93" spans="1:26">
      <c r="A93" t="s">
        <v>35</v>
      </c>
      <c r="B93" s="1323">
        <v>13</v>
      </c>
      <c r="G93" s="1323">
        <v>18</v>
      </c>
      <c r="H93" s="1323">
        <v>18.666666666666668</v>
      </c>
      <c r="I93" s="1323">
        <v>13.166666666666666</v>
      </c>
      <c r="J93" s="1323">
        <v>5</v>
      </c>
      <c r="K93" s="1323">
        <v>-5.4444444444444446</v>
      </c>
      <c r="L93" s="86">
        <v>2.4691358024691357E-2</v>
      </c>
      <c r="O93" t="s">
        <v>1028</v>
      </c>
      <c r="P93" s="1323">
        <v>1</v>
      </c>
      <c r="U93" s="1323">
        <v>2</v>
      </c>
      <c r="V93" s="1323">
        <v>24</v>
      </c>
      <c r="W93" s="1323">
        <v>3.5</v>
      </c>
      <c r="X93" s="1323">
        <v>-5</v>
      </c>
      <c r="Y93" s="1323">
        <v>-21.5</v>
      </c>
      <c r="Z93" s="86">
        <v>0.16666666666666666</v>
      </c>
    </row>
    <row r="94" spans="1:26">
      <c r="A94" t="s">
        <v>445</v>
      </c>
      <c r="B94" s="1323">
        <v>1</v>
      </c>
      <c r="O94" t="s">
        <v>1029</v>
      </c>
      <c r="P94" s="1323">
        <v>1</v>
      </c>
      <c r="U94" s="22" t="s">
        <v>995</v>
      </c>
      <c r="V94" t="s">
        <v>27</v>
      </c>
    </row>
    <row r="95" spans="1:26">
      <c r="A95" t="s">
        <v>1030</v>
      </c>
      <c r="B95" s="1323">
        <v>4</v>
      </c>
      <c r="G95" s="22" t="s">
        <v>995</v>
      </c>
      <c r="H95" t="s">
        <v>27</v>
      </c>
      <c r="O95" t="s">
        <v>1031</v>
      </c>
      <c r="P95" s="1323">
        <v>4</v>
      </c>
      <c r="U95" s="22" t="s">
        <v>996</v>
      </c>
      <c r="V95" t="s">
        <v>29</v>
      </c>
    </row>
    <row r="96" spans="1:26">
      <c r="A96" t="s">
        <v>294</v>
      </c>
      <c r="B96" s="1323">
        <v>1</v>
      </c>
      <c r="G96" s="22" t="s">
        <v>996</v>
      </c>
      <c r="H96" t="s">
        <v>29</v>
      </c>
      <c r="O96" t="s">
        <v>1032</v>
      </c>
      <c r="P96" s="1323">
        <v>3</v>
      </c>
      <c r="U96" s="22" t="s">
        <v>999</v>
      </c>
      <c r="V96" t="s">
        <v>1007</v>
      </c>
    </row>
    <row r="97" spans="1:26">
      <c r="A97" t="s">
        <v>355</v>
      </c>
      <c r="B97" s="1323">
        <v>17</v>
      </c>
      <c r="O97" t="s">
        <v>1033</v>
      </c>
      <c r="P97" s="1323">
        <v>2</v>
      </c>
    </row>
    <row r="98" spans="1:26">
      <c r="A98" t="s">
        <v>735</v>
      </c>
      <c r="B98" s="1323">
        <v>2</v>
      </c>
      <c r="G98" t="s">
        <v>1004</v>
      </c>
      <c r="H98" t="s">
        <v>1003</v>
      </c>
      <c r="I98" t="s">
        <v>1002</v>
      </c>
      <c r="J98" t="s">
        <v>1001</v>
      </c>
      <c r="K98" t="s">
        <v>1014</v>
      </c>
      <c r="O98" t="s">
        <v>1013</v>
      </c>
      <c r="P98" s="1323">
        <v>13</v>
      </c>
      <c r="U98" t="s">
        <v>1004</v>
      </c>
      <c r="V98" t="s">
        <v>1003</v>
      </c>
      <c r="W98" t="s">
        <v>1002</v>
      </c>
      <c r="X98" t="s">
        <v>1001</v>
      </c>
      <c r="Y98" t="s">
        <v>1014</v>
      </c>
    </row>
    <row r="99" spans="1:26">
      <c r="A99" t="s">
        <v>290</v>
      </c>
      <c r="B99" s="1323">
        <v>1</v>
      </c>
      <c r="G99" s="1323">
        <v>540</v>
      </c>
      <c r="H99" s="1323">
        <v>14.992592592592592</v>
      </c>
      <c r="I99" s="1323">
        <v>9.7185185185185183</v>
      </c>
      <c r="J99" s="1323">
        <v>2.998148148148148</v>
      </c>
      <c r="K99" s="1323">
        <v>-4.9740740740740739</v>
      </c>
      <c r="U99" s="1323">
        <v>14</v>
      </c>
      <c r="V99" s="1323">
        <v>9.2142857142857135</v>
      </c>
      <c r="W99" s="1323">
        <v>4.4285714285714288</v>
      </c>
      <c r="X99" s="1323">
        <v>-1.0714285714285714</v>
      </c>
      <c r="Y99" s="1323">
        <v>-5.2142857142857144</v>
      </c>
    </row>
    <row r="100" spans="1:26">
      <c r="A100" t="s">
        <v>155</v>
      </c>
      <c r="B100" s="1323">
        <v>6</v>
      </c>
      <c r="U100" s="22" t="s">
        <v>995</v>
      </c>
      <c r="V100" t="s">
        <v>27</v>
      </c>
    </row>
    <row r="101" spans="1:26">
      <c r="A101" t="s">
        <v>340</v>
      </c>
      <c r="B101" s="1323">
        <v>5</v>
      </c>
      <c r="G101" s="22" t="s">
        <v>995</v>
      </c>
      <c r="H101" t="s">
        <v>27</v>
      </c>
      <c r="U101" s="22" t="s">
        <v>996</v>
      </c>
      <c r="V101" t="s">
        <v>1016</v>
      </c>
    </row>
    <row r="102" spans="1:26">
      <c r="A102" t="s">
        <v>1034</v>
      </c>
      <c r="B102" s="1323">
        <v>1</v>
      </c>
      <c r="G102" s="22" t="s">
        <v>996</v>
      </c>
      <c r="H102" t="s">
        <v>1016</v>
      </c>
      <c r="U102" s="22" t="s">
        <v>999</v>
      </c>
      <c r="V102" t="s">
        <v>1007</v>
      </c>
    </row>
    <row r="103" spans="1:26">
      <c r="A103" t="s">
        <v>350</v>
      </c>
      <c r="B103" s="1323">
        <v>5</v>
      </c>
    </row>
    <row r="104" spans="1:26">
      <c r="A104" t="s">
        <v>272</v>
      </c>
      <c r="B104" s="1323">
        <v>6</v>
      </c>
      <c r="G104" t="s">
        <v>1004</v>
      </c>
      <c r="H104" t="s">
        <v>1003</v>
      </c>
      <c r="I104" t="s">
        <v>1002</v>
      </c>
      <c r="J104" t="s">
        <v>1001</v>
      </c>
      <c r="K104" t="s">
        <v>1014</v>
      </c>
      <c r="U104" t="s">
        <v>1004</v>
      </c>
      <c r="V104" t="s">
        <v>1003</v>
      </c>
      <c r="W104" t="s">
        <v>1002</v>
      </c>
      <c r="X104" t="s">
        <v>1001</v>
      </c>
      <c r="Y104" t="s">
        <v>1014</v>
      </c>
    </row>
    <row r="105" spans="1:26">
      <c r="A105" t="s">
        <v>354</v>
      </c>
      <c r="B105" s="1323">
        <v>1</v>
      </c>
      <c r="G105" s="1323">
        <v>35</v>
      </c>
      <c r="H105" s="1323">
        <v>17</v>
      </c>
      <c r="I105" s="1323">
        <v>10.342857142857143</v>
      </c>
      <c r="J105" s="1323">
        <v>3.2285714285714286</v>
      </c>
      <c r="K105" s="1323">
        <v>-7.3142857142857141</v>
      </c>
      <c r="U105" s="1323">
        <v>26</v>
      </c>
      <c r="V105" s="1323">
        <v>15.846153846153847</v>
      </c>
      <c r="W105" s="1323">
        <v>7.8076923076923075</v>
      </c>
      <c r="X105" s="1323">
        <v>0.5</v>
      </c>
      <c r="Y105" s="1323">
        <v>-8.884615384615385</v>
      </c>
    </row>
    <row r="106" spans="1:26">
      <c r="A106" t="s">
        <v>1020</v>
      </c>
      <c r="B106" s="1323">
        <v>7</v>
      </c>
      <c r="U106" s="22" t="s">
        <v>995</v>
      </c>
      <c r="V106" t="s">
        <v>27</v>
      </c>
    </row>
    <row r="107" spans="1:26">
      <c r="A107" t="s">
        <v>277</v>
      </c>
      <c r="B107" s="1323">
        <v>2</v>
      </c>
      <c r="G107" s="22" t="s">
        <v>995</v>
      </c>
      <c r="H107" t="s">
        <v>27</v>
      </c>
      <c r="U107" s="22" t="s">
        <v>996</v>
      </c>
      <c r="V107" t="s">
        <v>994</v>
      </c>
    </row>
    <row r="108" spans="1:26">
      <c r="A108" t="s">
        <v>1035</v>
      </c>
      <c r="B108" s="1323">
        <v>4</v>
      </c>
      <c r="G108" s="22" t="s">
        <v>996</v>
      </c>
      <c r="H108" t="s">
        <v>994</v>
      </c>
      <c r="U108" s="22" t="s">
        <v>999</v>
      </c>
      <c r="V108" t="s">
        <v>1007</v>
      </c>
    </row>
    <row r="109" spans="1:26">
      <c r="A109" t="s">
        <v>491</v>
      </c>
      <c r="B109" s="1323">
        <v>17</v>
      </c>
    </row>
    <row r="110" spans="1:26">
      <c r="A110" t="s">
        <v>1036</v>
      </c>
      <c r="B110" s="1323">
        <v>1</v>
      </c>
      <c r="G110" t="s">
        <v>1004</v>
      </c>
      <c r="H110" t="s">
        <v>1003</v>
      </c>
      <c r="I110" t="s">
        <v>1002</v>
      </c>
      <c r="J110" t="s">
        <v>1001</v>
      </c>
      <c r="K110" t="s">
        <v>1014</v>
      </c>
      <c r="L110" t="s">
        <v>1037</v>
      </c>
      <c r="U110" t="s">
        <v>1004</v>
      </c>
      <c r="V110" t="s">
        <v>1003</v>
      </c>
      <c r="W110" t="s">
        <v>1002</v>
      </c>
      <c r="X110" t="s">
        <v>1001</v>
      </c>
      <c r="Y110" t="s">
        <v>1014</v>
      </c>
      <c r="Z110" t="s">
        <v>1037</v>
      </c>
    </row>
    <row r="111" spans="1:26">
      <c r="A111" t="s">
        <v>184</v>
      </c>
      <c r="B111" s="1323">
        <v>7</v>
      </c>
      <c r="G111" s="1323">
        <v>593</v>
      </c>
      <c r="H111" s="1323">
        <v>15.222596964586847</v>
      </c>
      <c r="I111" s="1323">
        <v>9.8600337268128158</v>
      </c>
      <c r="J111" s="1323">
        <v>3.0725126475548059</v>
      </c>
      <c r="K111" s="1323">
        <v>-5.126475548060708</v>
      </c>
      <c r="L111" s="1323">
        <v>6.7875210792580098</v>
      </c>
      <c r="U111" s="1323">
        <v>42</v>
      </c>
      <c r="V111" s="1323">
        <v>14.023809523809524</v>
      </c>
      <c r="W111" s="1323">
        <v>6.4761904761904763</v>
      </c>
      <c r="X111" s="1323">
        <v>-0.2857142857142857</v>
      </c>
      <c r="Y111" s="1323">
        <v>-8.2619047619047628</v>
      </c>
      <c r="Z111" s="1323">
        <v>6.7619047619047619</v>
      </c>
    </row>
    <row r="112" spans="1:26">
      <c r="A112" t="s">
        <v>176</v>
      </c>
      <c r="B112" s="1323">
        <v>1</v>
      </c>
      <c r="U112" s="22" t="s">
        <v>995</v>
      </c>
      <c r="V112" t="s">
        <v>40</v>
      </c>
    </row>
    <row r="113" spans="1:26">
      <c r="A113" t="s">
        <v>359</v>
      </c>
      <c r="B113" s="1323">
        <v>4</v>
      </c>
      <c r="G113" s="22" t="s">
        <v>995</v>
      </c>
      <c r="H113" t="s">
        <v>40</v>
      </c>
      <c r="U113" s="22" t="s">
        <v>996</v>
      </c>
      <c r="V113" t="s">
        <v>1011</v>
      </c>
    </row>
    <row r="114" spans="1:26">
      <c r="A114" t="s">
        <v>410</v>
      </c>
      <c r="B114" s="1323">
        <v>6</v>
      </c>
      <c r="G114" s="22" t="s">
        <v>996</v>
      </c>
      <c r="H114" t="s">
        <v>1011</v>
      </c>
      <c r="U114" s="22" t="s">
        <v>999</v>
      </c>
      <c r="V114" t="s">
        <v>1007</v>
      </c>
    </row>
    <row r="115" spans="1:26">
      <c r="A115" t="s">
        <v>613</v>
      </c>
      <c r="B115" s="1323">
        <v>7</v>
      </c>
    </row>
    <row r="116" spans="1:26">
      <c r="A116" t="s">
        <v>380</v>
      </c>
      <c r="B116" s="1323">
        <v>6</v>
      </c>
      <c r="G116" t="s">
        <v>1004</v>
      </c>
      <c r="H116" t="s">
        <v>1003</v>
      </c>
      <c r="I116" t="s">
        <v>1002</v>
      </c>
      <c r="J116" t="s">
        <v>1001</v>
      </c>
      <c r="K116" t="s">
        <v>1014</v>
      </c>
      <c r="L116" t="s">
        <v>1015</v>
      </c>
      <c r="U116" t="s">
        <v>1004</v>
      </c>
      <c r="V116" t="s">
        <v>1003</v>
      </c>
      <c r="W116" t="s">
        <v>1002</v>
      </c>
      <c r="X116" t="s">
        <v>1001</v>
      </c>
      <c r="Y116" t="s">
        <v>1014</v>
      </c>
      <c r="Z116" t="s">
        <v>1015</v>
      </c>
    </row>
    <row r="117" spans="1:26">
      <c r="A117" t="s">
        <v>1038</v>
      </c>
      <c r="B117" s="1323">
        <v>1</v>
      </c>
      <c r="G117" s="1323">
        <v>25</v>
      </c>
      <c r="H117" s="1323">
        <v>6.4</v>
      </c>
      <c r="I117" s="1323">
        <v>9</v>
      </c>
      <c r="J117" s="1323">
        <v>-0.04</v>
      </c>
      <c r="K117" s="1323">
        <v>1.84</v>
      </c>
      <c r="L117" s="86">
        <v>8.9411764705882343E-2</v>
      </c>
      <c r="U117" s="1323"/>
      <c r="V117" s="1323"/>
      <c r="W117" s="1323"/>
      <c r="X117" s="1323"/>
      <c r="Y117" s="1323"/>
      <c r="Z117" s="86"/>
    </row>
    <row r="118" spans="1:26">
      <c r="A118" t="s">
        <v>220</v>
      </c>
      <c r="B118" s="1323">
        <v>5</v>
      </c>
      <c r="U118" s="22" t="s">
        <v>995</v>
      </c>
      <c r="V118" t="s">
        <v>40</v>
      </c>
    </row>
    <row r="119" spans="1:26">
      <c r="A119" t="s">
        <v>419</v>
      </c>
      <c r="B119" s="1323">
        <v>2</v>
      </c>
      <c r="G119" s="22" t="s">
        <v>995</v>
      </c>
      <c r="H119" t="s">
        <v>40</v>
      </c>
      <c r="U119" s="22" t="s">
        <v>996</v>
      </c>
      <c r="V119" t="s">
        <v>29</v>
      </c>
    </row>
    <row r="120" spans="1:26">
      <c r="A120" t="s">
        <v>136</v>
      </c>
      <c r="B120" s="1323">
        <v>2</v>
      </c>
      <c r="G120" s="22" t="s">
        <v>996</v>
      </c>
      <c r="H120" t="s">
        <v>29</v>
      </c>
      <c r="U120" s="22" t="s">
        <v>999</v>
      </c>
      <c r="V120" t="s">
        <v>1007</v>
      </c>
    </row>
    <row r="121" spans="1:26">
      <c r="A121" t="s">
        <v>166</v>
      </c>
      <c r="B121" s="1323">
        <v>4</v>
      </c>
    </row>
    <row r="122" spans="1:26">
      <c r="A122" t="s">
        <v>424</v>
      </c>
      <c r="B122" s="1323">
        <v>2</v>
      </c>
      <c r="G122" t="s">
        <v>1004</v>
      </c>
      <c r="H122" t="s">
        <v>1003</v>
      </c>
      <c r="I122" t="s">
        <v>1002</v>
      </c>
      <c r="J122" t="s">
        <v>1001</v>
      </c>
      <c r="K122" t="s">
        <v>1014</v>
      </c>
      <c r="U122" t="s">
        <v>1004</v>
      </c>
      <c r="V122" t="s">
        <v>1003</v>
      </c>
      <c r="W122" t="s">
        <v>1002</v>
      </c>
      <c r="X122" t="s">
        <v>1001</v>
      </c>
      <c r="Y122" t="s">
        <v>1014</v>
      </c>
    </row>
    <row r="123" spans="1:26">
      <c r="A123" t="s">
        <v>1039</v>
      </c>
      <c r="B123" s="1323">
        <v>7</v>
      </c>
      <c r="G123" s="1323">
        <v>217</v>
      </c>
      <c r="H123" s="1323">
        <v>9.6497695852534555</v>
      </c>
      <c r="I123" s="1323">
        <v>9.5069124423963132</v>
      </c>
      <c r="J123" s="1323">
        <v>0.62211981566820274</v>
      </c>
      <c r="K123" s="1323">
        <v>0.11981566820276497</v>
      </c>
      <c r="U123" s="1323">
        <v>2</v>
      </c>
      <c r="V123" s="1323">
        <v>4</v>
      </c>
      <c r="W123" s="1323">
        <v>6.5</v>
      </c>
      <c r="X123" s="1323">
        <v>-3.5</v>
      </c>
      <c r="Y123" s="1323">
        <v>3.5</v>
      </c>
    </row>
    <row r="124" spans="1:26">
      <c r="A124" t="s">
        <v>210</v>
      </c>
      <c r="B124" s="1323">
        <v>1</v>
      </c>
      <c r="U124" s="22" t="s">
        <v>995</v>
      </c>
      <c r="V124" t="s">
        <v>40</v>
      </c>
    </row>
    <row r="125" spans="1:26">
      <c r="A125" t="s">
        <v>1040</v>
      </c>
      <c r="B125" s="1323">
        <v>3</v>
      </c>
      <c r="G125" s="22" t="s">
        <v>995</v>
      </c>
      <c r="H125" t="s">
        <v>40</v>
      </c>
      <c r="U125" s="22" t="s">
        <v>996</v>
      </c>
      <c r="V125" t="s">
        <v>1016</v>
      </c>
    </row>
    <row r="126" spans="1:26">
      <c r="A126" t="s">
        <v>474</v>
      </c>
      <c r="B126" s="1323">
        <v>4</v>
      </c>
      <c r="G126" s="22" t="s">
        <v>996</v>
      </c>
      <c r="H126" t="s">
        <v>1016</v>
      </c>
      <c r="U126" s="22" t="s">
        <v>999</v>
      </c>
      <c r="V126" t="s">
        <v>1007</v>
      </c>
    </row>
    <row r="127" spans="1:26">
      <c r="A127" t="s">
        <v>437</v>
      </c>
      <c r="B127" s="1323">
        <v>12</v>
      </c>
    </row>
    <row r="128" spans="1:26">
      <c r="A128" t="s">
        <v>22</v>
      </c>
      <c r="B128" s="1323">
        <v>3</v>
      </c>
      <c r="G128" t="s">
        <v>1004</v>
      </c>
      <c r="H128" t="s">
        <v>1003</v>
      </c>
      <c r="I128" t="s">
        <v>1002</v>
      </c>
      <c r="J128" t="s">
        <v>1001</v>
      </c>
      <c r="K128" t="s">
        <v>1014</v>
      </c>
      <c r="U128" t="s">
        <v>1004</v>
      </c>
      <c r="V128" t="s">
        <v>1003</v>
      </c>
      <c r="W128" t="s">
        <v>1002</v>
      </c>
      <c r="X128" t="s">
        <v>1001</v>
      </c>
      <c r="Y128" t="s">
        <v>1014</v>
      </c>
    </row>
    <row r="129" spans="1:26">
      <c r="A129" t="s">
        <v>1041</v>
      </c>
      <c r="B129" s="1323">
        <v>5</v>
      </c>
      <c r="G129" s="1323">
        <v>13</v>
      </c>
      <c r="H129" s="1323">
        <v>14</v>
      </c>
      <c r="I129" s="1323">
        <v>8.2307692307692299</v>
      </c>
      <c r="J129" s="1323">
        <v>-2.1538461538461537</v>
      </c>
      <c r="K129" s="1323">
        <v>-6.5384615384615383</v>
      </c>
      <c r="U129" s="1323">
        <v>13</v>
      </c>
      <c r="V129" s="1323">
        <v>14</v>
      </c>
      <c r="W129" s="1323">
        <v>8.2307692307692299</v>
      </c>
      <c r="X129" s="1323">
        <v>-2.1538461538461537</v>
      </c>
      <c r="Y129" s="1323">
        <v>-6.5384615384615383</v>
      </c>
    </row>
    <row r="130" spans="1:26">
      <c r="A130" t="s">
        <v>321</v>
      </c>
      <c r="B130" s="1323">
        <v>2</v>
      </c>
      <c r="U130" s="22" t="s">
        <v>995</v>
      </c>
      <c r="V130" t="s">
        <v>40</v>
      </c>
    </row>
    <row r="131" spans="1:26">
      <c r="A131" t="s">
        <v>116</v>
      </c>
      <c r="B131" s="1323">
        <v>8</v>
      </c>
      <c r="G131" s="22" t="s">
        <v>995</v>
      </c>
      <c r="H131" t="s">
        <v>40</v>
      </c>
      <c r="U131" s="22" t="s">
        <v>996</v>
      </c>
      <c r="V131" t="s">
        <v>994</v>
      </c>
    </row>
    <row r="132" spans="1:26">
      <c r="A132" t="s">
        <v>1042</v>
      </c>
      <c r="B132" s="1323">
        <v>1</v>
      </c>
      <c r="G132" s="22" t="s">
        <v>996</v>
      </c>
      <c r="H132" t="s">
        <v>994</v>
      </c>
      <c r="U132" s="22" t="s">
        <v>999</v>
      </c>
      <c r="V132" t="s">
        <v>1007</v>
      </c>
    </row>
    <row r="133" spans="1:26">
      <c r="A133" t="s">
        <v>142</v>
      </c>
      <c r="B133" s="1323">
        <v>4</v>
      </c>
    </row>
    <row r="134" spans="1:26">
      <c r="A134" t="s">
        <v>621</v>
      </c>
      <c r="B134" s="1323">
        <v>8</v>
      </c>
      <c r="G134" t="s">
        <v>1004</v>
      </c>
      <c r="H134" t="s">
        <v>1003</v>
      </c>
      <c r="I134" t="s">
        <v>1002</v>
      </c>
      <c r="J134" t="s">
        <v>1001</v>
      </c>
      <c r="K134" t="s">
        <v>1014</v>
      </c>
      <c r="L134" t="s">
        <v>1037</v>
      </c>
      <c r="U134" t="s">
        <v>1004</v>
      </c>
      <c r="V134" t="s">
        <v>1003</v>
      </c>
      <c r="W134" t="s">
        <v>1002</v>
      </c>
      <c r="X134" t="s">
        <v>1001</v>
      </c>
      <c r="Y134" t="s">
        <v>1014</v>
      </c>
      <c r="Z134" t="s">
        <v>1037</v>
      </c>
    </row>
    <row r="135" spans="1:26">
      <c r="A135" t="s">
        <v>1021</v>
      </c>
      <c r="B135" s="1323">
        <v>9</v>
      </c>
      <c r="G135" s="1323">
        <v>255</v>
      </c>
      <c r="H135" s="1323">
        <v>9.552941176470588</v>
      </c>
      <c r="I135" s="1323">
        <v>9.3921568627450984</v>
      </c>
      <c r="J135" s="1323">
        <v>0.41568627450980394</v>
      </c>
      <c r="K135" s="1323">
        <v>-5.0980392156862744E-2</v>
      </c>
      <c r="L135" s="1323">
        <v>8.9764705882352942</v>
      </c>
      <c r="U135" s="1323">
        <v>15</v>
      </c>
      <c r="V135" s="1323">
        <v>12.666666666666666</v>
      </c>
      <c r="W135" s="1323">
        <v>8</v>
      </c>
      <c r="X135" s="1323">
        <v>-2.3333333333333335</v>
      </c>
      <c r="Y135" s="1323">
        <v>-5.2</v>
      </c>
      <c r="Z135" s="1323">
        <v>10.333333333333334</v>
      </c>
    </row>
    <row r="136" spans="1:26">
      <c r="A136" t="s">
        <v>128</v>
      </c>
      <c r="B136" s="1323">
        <v>1</v>
      </c>
    </row>
    <row r="137" spans="1:26">
      <c r="A137" t="s">
        <v>236</v>
      </c>
      <c r="B137" s="1323">
        <v>4</v>
      </c>
      <c r="U137" s="22" t="s">
        <v>1043</v>
      </c>
      <c r="V137" t="s">
        <v>1044</v>
      </c>
    </row>
    <row r="138" spans="1:26">
      <c r="A138" t="s">
        <v>532</v>
      </c>
      <c r="B138" s="1323">
        <v>20</v>
      </c>
      <c r="G138" s="22" t="s">
        <v>1043</v>
      </c>
      <c r="H138" t="s">
        <v>1044</v>
      </c>
      <c r="U138" s="22" t="s">
        <v>999</v>
      </c>
      <c r="V138" t="s">
        <v>1007</v>
      </c>
    </row>
    <row r="139" spans="1:26">
      <c r="A139" t="s">
        <v>540</v>
      </c>
      <c r="B139" s="1323">
        <v>3</v>
      </c>
    </row>
    <row r="140" spans="1:26">
      <c r="A140" t="s">
        <v>1027</v>
      </c>
      <c r="B140" s="1323">
        <v>19</v>
      </c>
      <c r="G140" t="s">
        <v>1004</v>
      </c>
      <c r="H140" t="s">
        <v>1003</v>
      </c>
      <c r="I140" t="s">
        <v>1002</v>
      </c>
      <c r="J140" t="s">
        <v>1001</v>
      </c>
      <c r="K140" t="s">
        <v>1014</v>
      </c>
      <c r="L140" t="s">
        <v>1037</v>
      </c>
      <c r="U140" t="s">
        <v>1004</v>
      </c>
      <c r="V140" t="s">
        <v>1003</v>
      </c>
      <c r="W140" t="s">
        <v>1002</v>
      </c>
      <c r="X140" t="s">
        <v>1001</v>
      </c>
      <c r="Y140" t="s">
        <v>1014</v>
      </c>
      <c r="Z140" t="s">
        <v>1037</v>
      </c>
    </row>
    <row r="141" spans="1:26">
      <c r="A141" t="s">
        <v>652</v>
      </c>
      <c r="B141" s="1323">
        <v>4</v>
      </c>
      <c r="G141" s="1323">
        <v>174</v>
      </c>
      <c r="H141" s="1323">
        <v>-9.1551724137931032</v>
      </c>
      <c r="I141" s="1323">
        <v>7.7528735632183912</v>
      </c>
      <c r="J141" s="1323">
        <v>0.48275862068965519</v>
      </c>
      <c r="K141" s="1323">
        <v>16.270114942528735</v>
      </c>
      <c r="L141" s="1323">
        <v>7.2701149425287355</v>
      </c>
      <c r="U141" s="1323">
        <v>19</v>
      </c>
      <c r="V141" s="1323">
        <v>-0.47368421052631576</v>
      </c>
      <c r="W141" s="1323">
        <v>5.1578947368421053</v>
      </c>
      <c r="X141" s="1323">
        <v>-1.4210526315789473</v>
      </c>
      <c r="Y141" s="1323">
        <v>5.6315789473684212</v>
      </c>
      <c r="Z141" s="1323">
        <v>6.5789473684210522</v>
      </c>
    </row>
    <row r="142" spans="1:26">
      <c r="A142" t="s">
        <v>1022</v>
      </c>
      <c r="B142" s="1323">
        <v>4</v>
      </c>
      <c r="U142" s="22" t="s">
        <v>1043</v>
      </c>
      <c r="V142" t="s">
        <v>1045</v>
      </c>
    </row>
    <row r="143" spans="1:26">
      <c r="A143" t="s">
        <v>617</v>
      </c>
      <c r="B143" s="1323">
        <v>2</v>
      </c>
      <c r="G143" s="22" t="s">
        <v>1043</v>
      </c>
      <c r="H143" t="s">
        <v>1045</v>
      </c>
      <c r="U143" s="22" t="s">
        <v>999</v>
      </c>
      <c r="V143" t="s">
        <v>1007</v>
      </c>
    </row>
    <row r="144" spans="1:26">
      <c r="A144" t="s">
        <v>1046</v>
      </c>
      <c r="B144" s="1323">
        <v>1</v>
      </c>
    </row>
    <row r="145" spans="1:26">
      <c r="A145" t="s">
        <v>589</v>
      </c>
      <c r="B145" s="1323">
        <v>1</v>
      </c>
      <c r="G145" t="s">
        <v>1004</v>
      </c>
      <c r="H145" t="s">
        <v>1003</v>
      </c>
      <c r="I145" t="s">
        <v>1002</v>
      </c>
      <c r="J145" t="s">
        <v>1001</v>
      </c>
      <c r="K145" t="s">
        <v>1014</v>
      </c>
      <c r="L145" t="s">
        <v>1037</v>
      </c>
      <c r="U145" t="s">
        <v>1004</v>
      </c>
      <c r="V145" t="s">
        <v>1003</v>
      </c>
      <c r="W145" t="s">
        <v>1002</v>
      </c>
      <c r="X145" t="s">
        <v>1001</v>
      </c>
      <c r="Y145" t="s">
        <v>1014</v>
      </c>
      <c r="Z145" t="s">
        <v>1037</v>
      </c>
    </row>
    <row r="146" spans="1:26">
      <c r="A146" t="s">
        <v>1047</v>
      </c>
      <c r="B146" s="1323">
        <v>1</v>
      </c>
      <c r="G146" s="1323">
        <v>682</v>
      </c>
      <c r="H146" s="1323">
        <v>18.890029325513197</v>
      </c>
      <c r="I146" s="1323">
        <v>10.149560117302054</v>
      </c>
      <c r="J146" s="1323">
        <v>2.69208211143695</v>
      </c>
      <c r="K146" s="1323">
        <v>-8.3665689149560123</v>
      </c>
      <c r="L146" s="1323">
        <v>7.4574780058651022</v>
      </c>
      <c r="U146" s="1323">
        <v>39</v>
      </c>
      <c r="V146" s="1323">
        <v>19.487179487179485</v>
      </c>
      <c r="W146" s="1323">
        <v>7.615384615384615</v>
      </c>
      <c r="X146" s="1323">
        <v>-0.53846153846153844</v>
      </c>
      <c r="Y146" s="1323">
        <v>-12.871794871794872</v>
      </c>
      <c r="Z146" s="1323">
        <v>8.1538461538461533</v>
      </c>
    </row>
    <row r="147" spans="1:26">
      <c r="A147" t="s">
        <v>1048</v>
      </c>
      <c r="B147" s="1323">
        <v>7</v>
      </c>
    </row>
    <row r="148" spans="1:26">
      <c r="A148" t="s">
        <v>634</v>
      </c>
      <c r="B148" s="1323">
        <v>1</v>
      </c>
    </row>
    <row r="149" spans="1:26">
      <c r="A149" t="s">
        <v>648</v>
      </c>
      <c r="B149" s="1323">
        <v>1</v>
      </c>
    </row>
    <row r="150" spans="1:26">
      <c r="A150" t="s">
        <v>629</v>
      </c>
      <c r="B150" s="1323">
        <v>1</v>
      </c>
    </row>
    <row r="151" spans="1:26">
      <c r="A151" t="s">
        <v>1024</v>
      </c>
      <c r="B151" s="1323">
        <v>1</v>
      </c>
    </row>
    <row r="152" spans="1:26">
      <c r="A152" t="s">
        <v>1049</v>
      </c>
      <c r="B152" s="1323">
        <v>2</v>
      </c>
    </row>
    <row r="153" spans="1:26">
      <c r="A153" t="s">
        <v>1050</v>
      </c>
      <c r="B153" s="1323">
        <v>1</v>
      </c>
    </row>
    <row r="154" spans="1:26">
      <c r="A154" t="s">
        <v>708</v>
      </c>
      <c r="B154" s="1323">
        <v>1</v>
      </c>
    </row>
    <row r="155" spans="1:26">
      <c r="A155" t="s">
        <v>1051</v>
      </c>
      <c r="B155" s="1323">
        <v>6</v>
      </c>
    </row>
    <row r="156" spans="1:26">
      <c r="A156" t="s">
        <v>1052</v>
      </c>
      <c r="B156" s="1323">
        <v>13</v>
      </c>
    </row>
    <row r="157" spans="1:26">
      <c r="A157" t="s">
        <v>1053</v>
      </c>
      <c r="B157" s="1323">
        <v>2</v>
      </c>
    </row>
    <row r="158" spans="1:26">
      <c r="A158" t="s">
        <v>1054</v>
      </c>
      <c r="B158" s="1323">
        <v>2</v>
      </c>
    </row>
    <row r="159" spans="1:26">
      <c r="A159" t="s">
        <v>668</v>
      </c>
      <c r="B159" s="1323">
        <v>5</v>
      </c>
    </row>
    <row r="160" spans="1:26">
      <c r="A160" t="s">
        <v>700</v>
      </c>
      <c r="B160" s="1323">
        <v>5</v>
      </c>
    </row>
    <row r="161" spans="1:2">
      <c r="A161" t="s">
        <v>1055</v>
      </c>
      <c r="B161" s="1323">
        <v>1</v>
      </c>
    </row>
    <row r="162" spans="1:2">
      <c r="A162" t="s">
        <v>716</v>
      </c>
      <c r="B162" s="1323">
        <v>12</v>
      </c>
    </row>
    <row r="163" spans="1:2">
      <c r="A163" t="s">
        <v>675</v>
      </c>
      <c r="B163" s="1323">
        <v>6</v>
      </c>
    </row>
    <row r="164" spans="1:2">
      <c r="A164" t="s">
        <v>1056</v>
      </c>
      <c r="B164" s="1323">
        <v>1</v>
      </c>
    </row>
    <row r="165" spans="1:2">
      <c r="A165" t="s">
        <v>1025</v>
      </c>
      <c r="B165" s="1323">
        <v>1</v>
      </c>
    </row>
    <row r="166" spans="1:2">
      <c r="A166" t="s">
        <v>744</v>
      </c>
      <c r="B166" s="1323">
        <v>1</v>
      </c>
    </row>
    <row r="167" spans="1:2">
      <c r="A167" t="s">
        <v>756</v>
      </c>
      <c r="B167" s="1323">
        <v>6</v>
      </c>
    </row>
    <row r="168" spans="1:2">
      <c r="A168" t="s">
        <v>1057</v>
      </c>
      <c r="B168" s="1323">
        <v>1</v>
      </c>
    </row>
    <row r="169" spans="1:2">
      <c r="A169" t="s">
        <v>739</v>
      </c>
      <c r="B169" s="1323">
        <v>4</v>
      </c>
    </row>
    <row r="170" spans="1:2">
      <c r="A170" t="s">
        <v>792</v>
      </c>
      <c r="B170" s="1323">
        <v>6</v>
      </c>
    </row>
    <row r="171" spans="1:2">
      <c r="A171" t="s">
        <v>775</v>
      </c>
      <c r="B171" s="1323">
        <v>3</v>
      </c>
    </row>
    <row r="172" spans="1:2">
      <c r="A172" t="s">
        <v>770</v>
      </c>
      <c r="B172" s="1323">
        <v>3</v>
      </c>
    </row>
    <row r="173" spans="1:2">
      <c r="A173" t="s">
        <v>1058</v>
      </c>
      <c r="B173" s="1323">
        <v>8</v>
      </c>
    </row>
    <row r="174" spans="1:2">
      <c r="A174" t="s">
        <v>864</v>
      </c>
      <c r="B174" s="1323">
        <v>1</v>
      </c>
    </row>
    <row r="175" spans="1:2">
      <c r="A175" t="s">
        <v>903</v>
      </c>
      <c r="B175" s="1323">
        <v>6</v>
      </c>
    </row>
    <row r="176" spans="1:2">
      <c r="A176" t="s">
        <v>820</v>
      </c>
      <c r="B176" s="1323">
        <v>1</v>
      </c>
    </row>
    <row r="177" spans="1:2">
      <c r="A177" t="s">
        <v>779</v>
      </c>
      <c r="B177" s="1323">
        <v>5</v>
      </c>
    </row>
    <row r="178" spans="1:2">
      <c r="A178" t="s">
        <v>1059</v>
      </c>
      <c r="B178" s="1323">
        <v>1</v>
      </c>
    </row>
    <row r="179" spans="1:2">
      <c r="A179" t="s">
        <v>799</v>
      </c>
      <c r="B179" s="1323">
        <v>2</v>
      </c>
    </row>
    <row r="180" spans="1:2">
      <c r="A180" t="s">
        <v>784</v>
      </c>
      <c r="B180" s="1323">
        <v>3</v>
      </c>
    </row>
    <row r="181" spans="1:2">
      <c r="A181" t="s">
        <v>1060</v>
      </c>
      <c r="B181" s="1323">
        <v>3</v>
      </c>
    </row>
    <row r="182" spans="1:2">
      <c r="A182" t="s">
        <v>1061</v>
      </c>
      <c r="B182" s="1323">
        <v>1</v>
      </c>
    </row>
    <row r="183" spans="1:2">
      <c r="A183" t="s">
        <v>838</v>
      </c>
      <c r="B183" s="1323">
        <v>2</v>
      </c>
    </row>
    <row r="184" spans="1:2">
      <c r="A184" t="s">
        <v>1062</v>
      </c>
      <c r="B184" s="1323">
        <v>2</v>
      </c>
    </row>
    <row r="185" spans="1:2">
      <c r="A185" t="s">
        <v>1063</v>
      </c>
      <c r="B185" s="1323">
        <v>1</v>
      </c>
    </row>
    <row r="186" spans="1:2">
      <c r="A186" t="s">
        <v>1064</v>
      </c>
      <c r="B186" s="1323">
        <v>1</v>
      </c>
    </row>
    <row r="187" spans="1:2">
      <c r="A187" t="s">
        <v>888</v>
      </c>
      <c r="B187" s="1323">
        <v>13</v>
      </c>
    </row>
    <row r="188" spans="1:2">
      <c r="A188" t="s">
        <v>885</v>
      </c>
      <c r="B188" s="1323">
        <v>4</v>
      </c>
    </row>
    <row r="189" spans="1:2">
      <c r="A189" t="s">
        <v>1028</v>
      </c>
      <c r="B189" s="1323">
        <v>10</v>
      </c>
    </row>
    <row r="190" spans="1:2">
      <c r="A190" t="s">
        <v>1065</v>
      </c>
      <c r="B190" s="1323">
        <v>1</v>
      </c>
    </row>
    <row r="191" spans="1:2">
      <c r="A191" t="s">
        <v>940</v>
      </c>
      <c r="B191" s="1323">
        <v>5</v>
      </c>
    </row>
    <row r="192" spans="1:2">
      <c r="A192" t="s">
        <v>1029</v>
      </c>
      <c r="B192" s="1323">
        <v>1</v>
      </c>
    </row>
    <row r="193" spans="1:17">
      <c r="A193" t="s">
        <v>1031</v>
      </c>
      <c r="B193" s="1323">
        <v>4</v>
      </c>
    </row>
    <row r="194" spans="1:17">
      <c r="A194" t="s">
        <v>1032</v>
      </c>
      <c r="B194" s="1323">
        <v>3</v>
      </c>
    </row>
    <row r="195" spans="1:17">
      <c r="A195" t="s">
        <v>1033</v>
      </c>
      <c r="B195" s="1323">
        <v>2</v>
      </c>
      <c r="O195" s="22" t="s">
        <v>995</v>
      </c>
      <c r="P195" t="s">
        <v>994</v>
      </c>
    </row>
    <row r="196" spans="1:17">
      <c r="A196" t="s">
        <v>1013</v>
      </c>
      <c r="B196" s="1323">
        <v>461</v>
      </c>
      <c r="O196" s="22" t="s">
        <v>996</v>
      </c>
      <c r="P196" t="s">
        <v>1011</v>
      </c>
    </row>
    <row r="197" spans="1:17">
      <c r="O197" s="22" t="s">
        <v>997</v>
      </c>
      <c r="P197" t="s">
        <v>994</v>
      </c>
    </row>
    <row r="198" spans="1:17">
      <c r="O198" s="22" t="s">
        <v>999</v>
      </c>
      <c r="P198" t="s">
        <v>1007</v>
      </c>
    </row>
    <row r="200" spans="1:17">
      <c r="A200" s="22" t="s">
        <v>995</v>
      </c>
      <c r="B200" t="s">
        <v>994</v>
      </c>
      <c r="O200" s="22" t="s">
        <v>1005</v>
      </c>
      <c r="P200" t="s">
        <v>1004</v>
      </c>
      <c r="Q200" s="88">
        <f>COUNTA(O201:O219)-1</f>
        <v>2</v>
      </c>
    </row>
    <row r="201" spans="1:17">
      <c r="A201" s="22" t="s">
        <v>996</v>
      </c>
      <c r="B201" t="s">
        <v>1011</v>
      </c>
      <c r="O201" t="s">
        <v>1018</v>
      </c>
      <c r="P201" s="1323">
        <v>1</v>
      </c>
    </row>
    <row r="202" spans="1:17">
      <c r="A202" s="22" t="s">
        <v>997</v>
      </c>
      <c r="B202" t="s">
        <v>994</v>
      </c>
      <c r="O202" t="s">
        <v>1019</v>
      </c>
      <c r="P202" s="1323">
        <v>1</v>
      </c>
    </row>
    <row r="203" spans="1:17">
      <c r="O203" t="s">
        <v>1013</v>
      </c>
      <c r="P203" s="1323">
        <v>2</v>
      </c>
    </row>
    <row r="204" spans="1:17">
      <c r="A204" s="22" t="s">
        <v>1005</v>
      </c>
      <c r="B204" t="s">
        <v>1004</v>
      </c>
      <c r="C204" s="88">
        <f>COUNTA(A205:A256)-1</f>
        <v>28</v>
      </c>
    </row>
    <row r="205" spans="1:17">
      <c r="A205" t="s">
        <v>551</v>
      </c>
      <c r="B205" s="1323">
        <v>5</v>
      </c>
    </row>
    <row r="206" spans="1:17">
      <c r="A206" t="s">
        <v>35</v>
      </c>
      <c r="B206" s="1323">
        <v>2</v>
      </c>
    </row>
    <row r="207" spans="1:17">
      <c r="A207" t="s">
        <v>355</v>
      </c>
      <c r="B207" s="1323">
        <v>1</v>
      </c>
    </row>
    <row r="208" spans="1:17">
      <c r="A208" t="s">
        <v>1020</v>
      </c>
      <c r="B208" s="1323">
        <v>1</v>
      </c>
    </row>
    <row r="209" spans="1:2">
      <c r="A209" t="s">
        <v>410</v>
      </c>
      <c r="B209" s="1323">
        <v>1</v>
      </c>
    </row>
    <row r="210" spans="1:2">
      <c r="A210" t="s">
        <v>613</v>
      </c>
      <c r="B210" s="1323">
        <v>1</v>
      </c>
    </row>
    <row r="211" spans="1:2">
      <c r="A211" t="s">
        <v>419</v>
      </c>
      <c r="B211" s="1323">
        <v>2</v>
      </c>
    </row>
    <row r="212" spans="1:2">
      <c r="A212" t="s">
        <v>474</v>
      </c>
      <c r="B212" s="1323">
        <v>1</v>
      </c>
    </row>
    <row r="213" spans="1:2">
      <c r="A213" t="s">
        <v>116</v>
      </c>
      <c r="B213" s="1323">
        <v>1</v>
      </c>
    </row>
    <row r="214" spans="1:2">
      <c r="A214" t="s">
        <v>1021</v>
      </c>
      <c r="B214" s="1323">
        <v>2</v>
      </c>
    </row>
    <row r="215" spans="1:2">
      <c r="A215" t="s">
        <v>652</v>
      </c>
      <c r="B215" s="1323">
        <v>2</v>
      </c>
    </row>
    <row r="216" spans="1:2">
      <c r="A216" t="s">
        <v>1022</v>
      </c>
      <c r="B216" s="1323">
        <v>1</v>
      </c>
    </row>
    <row r="217" spans="1:2">
      <c r="A217" t="s">
        <v>589</v>
      </c>
      <c r="B217" s="1323">
        <v>1</v>
      </c>
    </row>
    <row r="218" spans="1:2">
      <c r="A218" t="s">
        <v>602</v>
      </c>
      <c r="B218" s="1323">
        <v>3</v>
      </c>
    </row>
    <row r="219" spans="1:2">
      <c r="A219" t="s">
        <v>634</v>
      </c>
      <c r="B219" s="1323">
        <v>1</v>
      </c>
    </row>
    <row r="220" spans="1:2">
      <c r="A220" t="s">
        <v>629</v>
      </c>
      <c r="B220" s="1323">
        <v>1</v>
      </c>
    </row>
    <row r="221" spans="1:2">
      <c r="A221" t="s">
        <v>1024</v>
      </c>
      <c r="B221" s="1323">
        <v>2</v>
      </c>
    </row>
    <row r="222" spans="1:2">
      <c r="A222" t="s">
        <v>668</v>
      </c>
      <c r="B222" s="1323">
        <v>2</v>
      </c>
    </row>
    <row r="223" spans="1:2">
      <c r="A223" t="s">
        <v>716</v>
      </c>
      <c r="B223" s="1323">
        <v>2</v>
      </c>
    </row>
    <row r="224" spans="1:2">
      <c r="A224" t="s">
        <v>675</v>
      </c>
      <c r="B224" s="1323">
        <v>3</v>
      </c>
    </row>
    <row r="225" spans="1:2">
      <c r="A225" t="s">
        <v>1025</v>
      </c>
      <c r="B225" s="1323">
        <v>2</v>
      </c>
    </row>
    <row r="226" spans="1:2">
      <c r="A226" t="s">
        <v>903</v>
      </c>
      <c r="B226" s="1323">
        <v>1</v>
      </c>
    </row>
    <row r="227" spans="1:2">
      <c r="A227" t="s">
        <v>820</v>
      </c>
      <c r="B227" s="1323">
        <v>1</v>
      </c>
    </row>
    <row r="228" spans="1:2">
      <c r="A228" t="s">
        <v>1026</v>
      </c>
      <c r="B228" s="1323">
        <v>1</v>
      </c>
    </row>
    <row r="229" spans="1:2">
      <c r="A229" t="s">
        <v>888</v>
      </c>
      <c r="B229" s="1323">
        <v>1</v>
      </c>
    </row>
    <row r="230" spans="1:2">
      <c r="A230" t="s">
        <v>885</v>
      </c>
      <c r="B230" s="1323">
        <v>1</v>
      </c>
    </row>
    <row r="231" spans="1:2">
      <c r="A231" t="s">
        <v>1018</v>
      </c>
      <c r="B231" s="1323">
        <v>1</v>
      </c>
    </row>
    <row r="232" spans="1:2">
      <c r="A232" t="s">
        <v>1019</v>
      </c>
      <c r="B232" s="1323">
        <v>1</v>
      </c>
    </row>
    <row r="233" spans="1:2">
      <c r="A233" t="s">
        <v>1013</v>
      </c>
      <c r="B233" s="1323">
        <v>44</v>
      </c>
    </row>
    <row r="261" spans="15:17">
      <c r="O261" s="22" t="s">
        <v>995</v>
      </c>
      <c r="P261" t="s">
        <v>994</v>
      </c>
    </row>
    <row r="262" spans="15:17">
      <c r="O262" s="22" t="s">
        <v>996</v>
      </c>
      <c r="P262" t="s">
        <v>1000</v>
      </c>
    </row>
    <row r="263" spans="15:17">
      <c r="O263" s="22" t="s">
        <v>997</v>
      </c>
      <c r="P263" t="s">
        <v>994</v>
      </c>
    </row>
    <row r="264" spans="15:17">
      <c r="O264" s="22" t="s">
        <v>999</v>
      </c>
      <c r="P264" t="s">
        <v>1007</v>
      </c>
    </row>
    <row r="265" spans="15:17">
      <c r="O265" s="22" t="s">
        <v>1066</v>
      </c>
      <c r="P265" t="s">
        <v>1067</v>
      </c>
    </row>
    <row r="266" spans="15:17">
      <c r="O266" s="22" t="s">
        <v>1043</v>
      </c>
      <c r="P266" t="s">
        <v>1045</v>
      </c>
    </row>
    <row r="268" spans="15:17">
      <c r="O268" s="22" t="s">
        <v>1005</v>
      </c>
      <c r="P268" t="s">
        <v>1004</v>
      </c>
      <c r="Q268" s="88">
        <f>COUNTA(O269:O400)</f>
        <v>0</v>
      </c>
    </row>
    <row r="401" spans="1:6">
      <c r="A401" s="22" t="s">
        <v>1005</v>
      </c>
      <c r="B401" t="s">
        <v>994</v>
      </c>
      <c r="C401" s="22" t="s">
        <v>1005</v>
      </c>
      <c r="D401" t="s">
        <v>994</v>
      </c>
    </row>
    <row r="402" spans="1:6">
      <c r="A402" s="22" t="s">
        <v>995</v>
      </c>
      <c r="B402" t="s">
        <v>994</v>
      </c>
      <c r="C402" s="22" t="s">
        <v>995</v>
      </c>
      <c r="D402" t="s">
        <v>994</v>
      </c>
    </row>
    <row r="403" spans="1:6">
      <c r="A403" s="22" t="s">
        <v>996</v>
      </c>
      <c r="B403" t="s">
        <v>994</v>
      </c>
      <c r="C403" s="22" t="s">
        <v>996</v>
      </c>
      <c r="D403" t="s">
        <v>994</v>
      </c>
    </row>
    <row r="404" spans="1:6">
      <c r="A404" s="22" t="s">
        <v>997</v>
      </c>
      <c r="B404" t="s">
        <v>994</v>
      </c>
      <c r="C404" s="22" t="s">
        <v>997</v>
      </c>
      <c r="D404" t="s">
        <v>994</v>
      </c>
    </row>
    <row r="406" spans="1:6">
      <c r="A406" s="22" t="s">
        <v>999</v>
      </c>
      <c r="B406" t="s">
        <v>1004</v>
      </c>
      <c r="C406" s="22" t="s">
        <v>999</v>
      </c>
      <c r="D406" t="s">
        <v>1001</v>
      </c>
      <c r="E406" t="s">
        <v>1014</v>
      </c>
      <c r="F406" t="s">
        <v>1003</v>
      </c>
    </row>
    <row r="407" spans="1:6">
      <c r="A407" s="1092" t="s">
        <v>1068</v>
      </c>
      <c r="B407" s="1323">
        <v>38</v>
      </c>
      <c r="C407" s="1092" t="s">
        <v>1068</v>
      </c>
      <c r="D407" s="1061">
        <v>-0.10526315789473684</v>
      </c>
      <c r="E407" s="1061">
        <v>-0.76315789473684215</v>
      </c>
      <c r="F407" s="1061">
        <v>10.210526315789474</v>
      </c>
    </row>
    <row r="408" spans="1:6">
      <c r="A408" s="1092" t="s">
        <v>1069</v>
      </c>
      <c r="B408" s="1323">
        <v>61</v>
      </c>
      <c r="C408" s="1092" t="s">
        <v>1069</v>
      </c>
      <c r="D408" s="1061">
        <v>1.7540983606557377</v>
      </c>
      <c r="E408" s="1061">
        <v>-7.1311475409836067</v>
      </c>
      <c r="F408" s="1061">
        <v>16.721311475409838</v>
      </c>
    </row>
    <row r="409" spans="1:6">
      <c r="A409" s="1092" t="s">
        <v>1070</v>
      </c>
      <c r="B409" s="1323">
        <v>78</v>
      </c>
      <c r="C409" s="1092" t="s">
        <v>1070</v>
      </c>
      <c r="D409" s="1061">
        <v>3.1153846153846154</v>
      </c>
      <c r="E409" s="1061">
        <v>1.3846153846153846</v>
      </c>
      <c r="F409" s="1061">
        <v>10</v>
      </c>
    </row>
    <row r="410" spans="1:6">
      <c r="A410" s="1092" t="s">
        <v>1071</v>
      </c>
      <c r="B410" s="1323">
        <v>92</v>
      </c>
      <c r="C410" s="1092" t="s">
        <v>1071</v>
      </c>
      <c r="D410" s="1061">
        <v>2.7934782608695654</v>
      </c>
      <c r="E410" s="1061">
        <v>-1.1630434782608696</v>
      </c>
      <c r="F410" s="1061">
        <v>10.184782608695652</v>
      </c>
    </row>
    <row r="411" spans="1:6">
      <c r="A411" s="1092" t="s">
        <v>1072</v>
      </c>
      <c r="B411" s="1323">
        <v>54</v>
      </c>
      <c r="C411" s="1092" t="s">
        <v>1072</v>
      </c>
      <c r="D411" s="1061">
        <v>2.0185185185185186</v>
      </c>
      <c r="E411" s="1061">
        <v>-2.7777777777777777</v>
      </c>
      <c r="F411" s="1061">
        <v>9.981481481481481</v>
      </c>
    </row>
    <row r="412" spans="1:6">
      <c r="A412" s="1092" t="s">
        <v>1073</v>
      </c>
      <c r="B412" s="1323">
        <v>50</v>
      </c>
      <c r="C412" s="1092" t="s">
        <v>1073</v>
      </c>
      <c r="D412" s="1061">
        <v>2.2599999999999998</v>
      </c>
      <c r="E412" s="1061">
        <v>-9.86</v>
      </c>
      <c r="F412" s="1061">
        <v>19.600000000000001</v>
      </c>
    </row>
    <row r="413" spans="1:6">
      <c r="A413" s="1092" t="s">
        <v>1074</v>
      </c>
      <c r="B413" s="1323">
        <v>49</v>
      </c>
      <c r="C413" s="1092" t="s">
        <v>1074</v>
      </c>
      <c r="D413" s="1061">
        <v>4.5102040816326534</v>
      </c>
      <c r="E413" s="1061">
        <v>-2.7551020408163267</v>
      </c>
      <c r="F413" s="1061">
        <v>13.530612244897959</v>
      </c>
    </row>
    <row r="414" spans="1:6">
      <c r="A414" s="1092" t="s">
        <v>1007</v>
      </c>
      <c r="B414" s="1323">
        <v>58</v>
      </c>
      <c r="C414" s="1092" t="s">
        <v>1007</v>
      </c>
      <c r="D414" s="1061">
        <v>-0.82758620689655171</v>
      </c>
      <c r="E414" s="1061">
        <v>-6.8103448275862073</v>
      </c>
      <c r="F414" s="1061">
        <v>12.948275862068966</v>
      </c>
    </row>
    <row r="415" spans="1:6">
      <c r="A415" s="1092" t="s">
        <v>1075</v>
      </c>
      <c r="B415" s="1323">
        <v>31</v>
      </c>
      <c r="C415" s="1092" t="s">
        <v>1075</v>
      </c>
      <c r="D415" s="1061">
        <v>1.2258064516129032</v>
      </c>
      <c r="E415" s="1061">
        <v>-0.61290322580645162</v>
      </c>
      <c r="F415" s="1061">
        <v>9.387096774193548</v>
      </c>
    </row>
    <row r="416" spans="1:6">
      <c r="A416" s="1092" t="s">
        <v>1076</v>
      </c>
      <c r="B416" s="1323">
        <v>77</v>
      </c>
      <c r="C416" s="1092" t="s">
        <v>1076</v>
      </c>
      <c r="D416" s="1061">
        <v>2.2467532467532467</v>
      </c>
      <c r="E416" s="1061">
        <v>-1.8701298701298701</v>
      </c>
      <c r="F416" s="1061">
        <v>14.571428571428571</v>
      </c>
    </row>
    <row r="417" spans="1:6">
      <c r="A417" s="1092" t="s">
        <v>1077</v>
      </c>
      <c r="B417" s="1323">
        <v>109</v>
      </c>
      <c r="C417" s="1092" t="s">
        <v>1077</v>
      </c>
      <c r="D417" s="1061">
        <v>1.4954128440366972</v>
      </c>
      <c r="E417" s="1061">
        <v>-2.3761467889908259</v>
      </c>
      <c r="F417" s="1061">
        <v>11.541284403669724</v>
      </c>
    </row>
    <row r="418" spans="1:6">
      <c r="A418" s="1092" t="s">
        <v>1078</v>
      </c>
      <c r="B418" s="1323">
        <v>99</v>
      </c>
      <c r="C418" s="1092" t="s">
        <v>1078</v>
      </c>
      <c r="D418" s="1061">
        <v>4.0909090909090908</v>
      </c>
      <c r="E418" s="1061">
        <v>-3.9191919191919191</v>
      </c>
      <c r="F418" s="1061">
        <v>15.555555555555555</v>
      </c>
    </row>
    <row r="419" spans="1:6">
      <c r="A419" t="s">
        <v>1013</v>
      </c>
      <c r="B419" s="1323">
        <v>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0413-26B3-4E7A-B264-D3D6B0E9E8CE}">
  <sheetPr>
    <tabColor rgb="FFFF0000"/>
  </sheetPr>
  <dimension ref="A1:O11"/>
  <sheetViews>
    <sheetView topLeftCell="A3" zoomScaleNormal="100" workbookViewId="0">
      <selection activeCell="K11" sqref="K11"/>
    </sheetView>
  </sheetViews>
  <sheetFormatPr defaultRowHeight="14.45"/>
  <cols>
    <col min="1" max="1" width="17.85546875" customWidth="1"/>
    <col min="2" max="2" width="32.140625" customWidth="1"/>
    <col min="3" max="3" width="20.85546875" customWidth="1"/>
    <col min="4" max="4" width="15.140625" customWidth="1"/>
    <col min="5" max="5" width="13.42578125" bestFit="1" customWidth="1"/>
    <col min="6" max="6" width="18.42578125" customWidth="1"/>
    <col min="7" max="7" width="25" customWidth="1"/>
    <col min="8" max="9" width="27.7109375" customWidth="1"/>
    <col min="10" max="10" width="27.42578125" customWidth="1"/>
    <col min="11" max="11" width="27" customWidth="1"/>
    <col min="12" max="12" width="18.7109375" customWidth="1"/>
  </cols>
  <sheetData>
    <row r="1" spans="1:15" ht="15" customHeight="1">
      <c r="A1" s="1310" t="s">
        <v>1079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87"/>
      <c r="N1" s="87"/>
      <c r="O1" s="87"/>
    </row>
    <row r="2" spans="1:15" ht="15" customHeight="1">
      <c r="A2" s="1310"/>
      <c r="B2" s="1311"/>
      <c r="C2" s="1311"/>
      <c r="D2" s="1311"/>
      <c r="E2" s="1311"/>
      <c r="F2" s="1311"/>
      <c r="G2" s="1311"/>
      <c r="H2" s="1311"/>
      <c r="I2" s="1311"/>
      <c r="J2" s="1311"/>
      <c r="K2" s="1311"/>
      <c r="L2" s="1311"/>
      <c r="M2" s="87"/>
      <c r="N2" s="87"/>
      <c r="O2" s="87"/>
    </row>
    <row r="3" spans="1:15" ht="15" customHeight="1">
      <c r="A3" s="1310"/>
      <c r="B3" s="1311"/>
      <c r="C3" s="1311"/>
      <c r="D3" s="1311"/>
      <c r="E3" s="1311"/>
      <c r="F3" s="1311"/>
      <c r="G3" s="1311"/>
      <c r="H3" s="1311"/>
      <c r="I3" s="1311"/>
      <c r="J3" s="1311"/>
      <c r="K3" s="1311"/>
      <c r="L3" s="1311"/>
      <c r="M3" s="87"/>
      <c r="N3" s="87"/>
      <c r="O3" s="87"/>
    </row>
    <row r="4" spans="1:15" ht="57" customHeight="1">
      <c r="A4" s="871" t="s">
        <v>1080</v>
      </c>
      <c r="B4" s="872" t="s">
        <v>1081</v>
      </c>
      <c r="C4" s="873" t="s">
        <v>1082</v>
      </c>
      <c r="D4" s="872" t="s">
        <v>1083</v>
      </c>
      <c r="E4" s="873" t="s">
        <v>1084</v>
      </c>
      <c r="F4" s="873" t="s">
        <v>1085</v>
      </c>
      <c r="G4" s="873" t="s">
        <v>1086</v>
      </c>
      <c r="H4" s="872" t="s">
        <v>1087</v>
      </c>
      <c r="I4" s="873" t="s">
        <v>1088</v>
      </c>
      <c r="J4" s="874" t="s">
        <v>1089</v>
      </c>
      <c r="K4" s="873" t="s">
        <v>1090</v>
      </c>
      <c r="L4" s="873" t="s">
        <v>1091</v>
      </c>
      <c r="M4" s="46"/>
      <c r="N4" s="46"/>
      <c r="O4" s="46"/>
    </row>
    <row r="5" spans="1:15" ht="39" customHeight="1">
      <c r="A5" s="913">
        <f>Filters!B9</f>
        <v>9.6623831775700939</v>
      </c>
      <c r="B5" s="914">
        <f>Filters!G19</f>
        <v>5.8822269807280518</v>
      </c>
      <c r="C5" s="914">
        <f>Filters!C9</f>
        <v>13.189252336448599</v>
      </c>
      <c r="D5" s="876">
        <f>Filters!B20</f>
        <v>0.45443925233644861</v>
      </c>
      <c r="E5" s="876">
        <f>Filters!B19</f>
        <v>0.52219626168224298</v>
      </c>
      <c r="F5" s="876">
        <f>Filters!B21</f>
        <v>2.336448598130841E-2</v>
      </c>
      <c r="G5" s="876">
        <f>Filters!G24/Filters!D9</f>
        <v>5.1401869158878503E-2</v>
      </c>
      <c r="H5" s="875">
        <f>Filters!C90</f>
        <v>103</v>
      </c>
      <c r="I5" s="875">
        <f>Filters!C204</f>
        <v>28</v>
      </c>
      <c r="J5" s="877">
        <f>Filters!C55</f>
        <v>26</v>
      </c>
      <c r="K5" s="875" t="s">
        <v>1092</v>
      </c>
      <c r="L5" s="878">
        <f>COUNTIF(WFTracker[Status],"i")</f>
        <v>45</v>
      </c>
    </row>
    <row r="10" spans="1:15" ht="28.9">
      <c r="A10" s="971" t="s">
        <v>1080</v>
      </c>
      <c r="B10" s="972" t="s">
        <v>1081</v>
      </c>
      <c r="C10" s="973" t="s">
        <v>1082</v>
      </c>
      <c r="D10" s="972" t="s">
        <v>1083</v>
      </c>
      <c r="E10" s="973" t="s">
        <v>1084</v>
      </c>
      <c r="F10" s="973" t="s">
        <v>1085</v>
      </c>
      <c r="G10" s="973" t="s">
        <v>1086</v>
      </c>
      <c r="H10" s="972" t="s">
        <v>1087</v>
      </c>
      <c r="I10" s="973" t="s">
        <v>1088</v>
      </c>
      <c r="J10" s="974" t="s">
        <v>1089</v>
      </c>
      <c r="K10" s="974" t="s">
        <v>1093</v>
      </c>
      <c r="L10" s="973" t="s">
        <v>1090</v>
      </c>
      <c r="M10" s="973" t="s">
        <v>1091</v>
      </c>
    </row>
    <row r="11" spans="1:15" ht="25.9">
      <c r="A11" s="975">
        <f>Filters!P9</f>
        <v>8.76</v>
      </c>
      <c r="B11" s="976">
        <f>Filters!U19</f>
        <v>5.5384615384615383</v>
      </c>
      <c r="C11" s="976">
        <f>Filters!Q9</f>
        <v>11.253333333333334</v>
      </c>
      <c r="D11" s="977">
        <f>Filters!P20</f>
        <v>0.77586206896551724</v>
      </c>
      <c r="E11" s="977">
        <f>Filters!P19</f>
        <v>0.22413793103448276</v>
      </c>
      <c r="F11" s="977">
        <f>Filters!B27</f>
        <v>0</v>
      </c>
      <c r="G11" s="977">
        <f>Filters!U24/Filters!R9</f>
        <v>1.3333333333333334E-2</v>
      </c>
      <c r="H11" s="978">
        <f>Filters!Q90</f>
        <v>7</v>
      </c>
      <c r="I11" s="978">
        <f>Filters!Q200</f>
        <v>2</v>
      </c>
      <c r="J11" s="979">
        <f>Filters!Q55</f>
        <v>2</v>
      </c>
      <c r="K11" s="979">
        <f>Filters!Q268</f>
        <v>0</v>
      </c>
      <c r="L11" s="978" t="s">
        <v>1092</v>
      </c>
      <c r="M11" s="980">
        <f>COUNTIF(WFTracker[Status],"i")</f>
        <v>45</v>
      </c>
    </row>
  </sheetData>
  <mergeCells count="1">
    <mergeCell ref="A1:L3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E66-BC22-42EB-AD68-A8CCA4541997}">
  <sheetPr>
    <tabColor theme="9" tint="0.39997558519241921"/>
  </sheetPr>
  <dimension ref="A1:AN857"/>
  <sheetViews>
    <sheetView tabSelected="1" zoomScale="90" zoomScaleNormal="120" workbookViewId="0">
      <selection sqref="A1:AM855"/>
    </sheetView>
  </sheetViews>
  <sheetFormatPr defaultColWidth="9.140625" defaultRowHeight="15" customHeight="1"/>
  <cols>
    <col min="1" max="1" width="9.140625" customWidth="1"/>
    <col min="2" max="2" width="16.5703125" customWidth="1"/>
    <col min="3" max="3" width="27.85546875" style="21" customWidth="1"/>
    <col min="4" max="4" width="36" bestFit="1" customWidth="1"/>
    <col min="5" max="5" width="48.140625" bestFit="1" customWidth="1"/>
    <col min="6" max="7" width="11.42578125" customWidth="1"/>
    <col min="8" max="8" width="5.85546875" customWidth="1"/>
    <col min="9" max="9" width="6.7109375" customWidth="1"/>
    <col min="10" max="10" width="12.140625" bestFit="1" customWidth="1"/>
    <col min="11" max="11" width="7.85546875" style="29" customWidth="1"/>
    <col min="12" max="12" width="9.140625" customWidth="1"/>
    <col min="13" max="15" width="11.42578125" customWidth="1"/>
    <col min="16" max="16" width="12.28515625" customWidth="1"/>
    <col min="17" max="17" width="11.5703125" customWidth="1"/>
    <col min="18" max="18" width="13.7109375" customWidth="1"/>
    <col min="19" max="19" width="11.42578125" customWidth="1"/>
    <col min="20" max="20" width="15.28515625" customWidth="1"/>
    <col min="21" max="21" width="17.28515625" customWidth="1"/>
    <col min="22" max="23" width="11.42578125" customWidth="1"/>
    <col min="24" max="24" width="13.28515625" customWidth="1"/>
    <col min="25" max="25" width="14.85546875" customWidth="1"/>
    <col min="26" max="26" width="13.42578125" customWidth="1"/>
    <col min="27" max="27" width="16.28515625" customWidth="1"/>
    <col min="28" max="28" width="52.5703125" customWidth="1"/>
    <col min="29" max="30" width="9.140625" customWidth="1"/>
    <col min="31" max="31" width="15.140625" customWidth="1"/>
    <col min="32" max="32" width="11.42578125" customWidth="1"/>
    <col min="33" max="33" width="25.28515625" customWidth="1"/>
    <col min="34" max="34" width="11.42578125" customWidth="1"/>
    <col min="35" max="35" width="16.5703125" customWidth="1"/>
    <col min="36" max="36" width="35.140625" bestFit="1" customWidth="1"/>
    <col min="37" max="38" width="11.42578125" customWidth="1"/>
    <col min="39" max="39" width="9.140625" customWidth="1"/>
    <col min="40" max="41" width="18.28515625" customWidth="1"/>
    <col min="42" max="42" width="10.7109375" customWidth="1"/>
    <col min="43" max="43" width="11.5703125" customWidth="1"/>
    <col min="44" max="75" width="9.140625" customWidth="1"/>
    <col min="78" max="79" width="0" hidden="1" customWidth="1"/>
  </cols>
  <sheetData>
    <row r="1" spans="1:40" ht="56.25" customHeight="1">
      <c r="A1" s="19" t="s">
        <v>998</v>
      </c>
      <c r="B1" s="863" t="s">
        <v>1094</v>
      </c>
      <c r="C1" s="863" t="s">
        <v>1095</v>
      </c>
      <c r="D1" s="19" t="s">
        <v>1096</v>
      </c>
      <c r="E1" s="864" t="s">
        <v>1005</v>
      </c>
      <c r="F1" s="863" t="s">
        <v>959</v>
      </c>
      <c r="G1" s="863" t="s">
        <v>6</v>
      </c>
      <c r="H1" s="863" t="s">
        <v>1097</v>
      </c>
      <c r="I1" s="863" t="s">
        <v>4</v>
      </c>
      <c r="J1" s="95" t="s">
        <v>955</v>
      </c>
      <c r="K1" s="95" t="s">
        <v>997</v>
      </c>
      <c r="L1" s="95" t="s">
        <v>995</v>
      </c>
      <c r="M1" s="865" t="s">
        <v>1098</v>
      </c>
      <c r="N1" s="865" t="s">
        <v>7</v>
      </c>
      <c r="O1" s="20" t="s">
        <v>1099</v>
      </c>
      <c r="P1" s="95" t="s">
        <v>1100</v>
      </c>
      <c r="Q1" s="95" t="s">
        <v>1101</v>
      </c>
      <c r="R1" s="128" t="s">
        <v>1102</v>
      </c>
      <c r="S1" s="20" t="s">
        <v>1103</v>
      </c>
      <c r="T1" s="20" t="s">
        <v>999</v>
      </c>
      <c r="U1" s="20" t="s">
        <v>1104</v>
      </c>
      <c r="V1" s="20" t="s">
        <v>1105</v>
      </c>
      <c r="W1" s="20" t="s">
        <v>1106</v>
      </c>
      <c r="X1" s="20" t="s">
        <v>1107</v>
      </c>
      <c r="Y1" s="20" t="s">
        <v>1108</v>
      </c>
      <c r="Z1" s="33" t="s">
        <v>1006</v>
      </c>
      <c r="AA1" s="33" t="s">
        <v>1043</v>
      </c>
      <c r="AB1" s="96" t="s">
        <v>1109</v>
      </c>
      <c r="AC1" s="128" t="s">
        <v>996</v>
      </c>
      <c r="AD1" s="20" t="s">
        <v>1110</v>
      </c>
      <c r="AE1" s="20" t="s">
        <v>1066</v>
      </c>
      <c r="AF1" s="20" t="s">
        <v>1111</v>
      </c>
      <c r="AG1" s="128" t="s">
        <v>1112</v>
      </c>
      <c r="AH1" s="20" t="s">
        <v>1113</v>
      </c>
      <c r="AI1" s="20" t="s">
        <v>1114</v>
      </c>
      <c r="AJ1" s="20" t="s">
        <v>1115</v>
      </c>
      <c r="AK1" s="128" t="s">
        <v>1116</v>
      </c>
      <c r="AL1" s="20" t="s">
        <v>1117</v>
      </c>
      <c r="AM1" s="20" t="s">
        <v>1118</v>
      </c>
      <c r="AN1" s="1090" t="s">
        <v>1119</v>
      </c>
    </row>
    <row r="2" spans="1:40" ht="15" customHeight="1">
      <c r="A2" t="str">
        <f>IF(WFTracker[[#This Row],[Order Number]]="SWBD", "QED2", "PZ4")</f>
        <v>PZ4</v>
      </c>
      <c r="B2" s="21" t="s">
        <v>96</v>
      </c>
      <c r="C2" s="21" t="s">
        <v>97</v>
      </c>
      <c r="D2" s="11" t="str">
        <f>WFTracker[[#This Row],[Order Number]]  &amp; "-" &amp; WFTracker[[#This Row],[Item]]</f>
        <v>0050535728-000130</v>
      </c>
      <c r="E2" s="23" t="s">
        <v>98</v>
      </c>
      <c r="F2" s="12">
        <v>45702</v>
      </c>
      <c r="G2" s="12"/>
      <c r="H2" s="11" t="s">
        <v>99</v>
      </c>
      <c r="I2" s="11" t="s">
        <v>24</v>
      </c>
      <c r="J2" s="13" t="s">
        <v>100</v>
      </c>
      <c r="K2" s="14" t="s">
        <v>1023</v>
      </c>
      <c r="L2" s="15" t="s">
        <v>27</v>
      </c>
      <c r="M2" s="15" t="s">
        <v>1120</v>
      </c>
      <c r="N2" s="56">
        <v>45824</v>
      </c>
      <c r="O2" s="15">
        <f>NETWORKDAYS.INTL(WFTracker[[#This Row],[Start date]],WFTracker[[#This Row],[RM]],1,Holidays!D619:D634)</f>
        <v>90</v>
      </c>
      <c r="P2" s="12">
        <v>45579</v>
      </c>
      <c r="Q2" s="12">
        <v>45586</v>
      </c>
      <c r="R2" s="12">
        <v>45600</v>
      </c>
      <c r="S2" s="12" t="b">
        <f>ISBLANK(WFTracker[[#This Row],[Completion Date]])</f>
        <v>0</v>
      </c>
      <c r="T2" s="27" t="str">
        <f>TEXT(WFTracker[[#This Row],[Start date]],"mmm-yyyy")</f>
        <v>Oct-2024</v>
      </c>
      <c r="U2" s="11">
        <v>5</v>
      </c>
      <c r="V2" s="11">
        <f>NETWORKDAYS.INTL(WFTracker[[#This Row],[Start date]],WFTracker[[#This Row],[Due date]],1,Holidays!D619:D634)</f>
        <v>6</v>
      </c>
      <c r="W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2" s="24">
        <f ca="1">WFTracker[[#This Row],[Active Time]]-WFTracker[[#This Row],[Completion Days Template]]</f>
        <v>10</v>
      </c>
      <c r="Y2" s="16" t="str">
        <f ca="1" xml:space="preserve"> IF(WFTracker[[#This Row],[Overdue Time '[Expected-Completion']]]&gt;0, "LATE","ON TIME")</f>
        <v>LATE</v>
      </c>
      <c r="Z2" s="16" t="str">
        <f ca="1">IF(WFTracker[[#This Row],[Overdue Time '[Expected-Completion']]] &gt;= 15, "SUPER LATE", Y2)</f>
        <v>LATE</v>
      </c>
      <c r="AA2" s="37" t="str">
        <f>IF(WFTracker[[#This Row],[Pre RM Opening Time]]&lt;WFTracker[[#This Row],[Old vs New Order Lead Time WF dead line]], "LATE BY ENG", "ON TIME BY ENG")</f>
        <v>ON TIME BY ENG</v>
      </c>
      <c r="AB2" s="37"/>
      <c r="AC2" s="15" t="s">
        <v>29</v>
      </c>
      <c r="AD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-73</v>
      </c>
      <c r="AE2" s="37" t="str">
        <f ca="1">IF(WFTracker[[#This Row],[Impact Time Post RM]]&gt;0, "IMPACTED", "NOT IMPACTED")</f>
        <v>NOT IMPACTED</v>
      </c>
      <c r="AF2" s="15"/>
      <c r="AG2" s="18"/>
      <c r="AH2" s="14" t="str">
        <f>IF(WFTracker[[#This Row],[Status]]="C", "Closed", IF(WFTracker[[#This Row],[Status]] = "x", "Cancelled", WFTracker[[#This Row],[Impact Time Post RM]]))</f>
        <v>Closed</v>
      </c>
      <c r="AI2" s="14" t="str">
        <f ca="1">IF(WFTracker[[#This Row],[Impact Time Post RM]]&lt;=0,"ON TIME","LATE")</f>
        <v>ON TIME</v>
      </c>
      <c r="AJ2" s="14" t="s">
        <v>984</v>
      </c>
      <c r="AK2" s="14">
        <v>18</v>
      </c>
      <c r="AL2" s="915">
        <f>IF(WFTracker[[#This Row],[Type]]="MAKE", WFTracker[[#This Row],[Due date]]+Filters!$J$111, WFTracker[[#This Row],[Due date]]+Filters!$J$135)</f>
        <v>45589.072512647552</v>
      </c>
      <c r="AM2" s="101" cm="1">
        <f t="array" ref="AM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" spans="1:40" ht="14.45">
      <c r="A3" t="str">
        <f>IF(WFTracker[[#This Row],[Order Number]]="SWBD", "QED2", "PZ4")</f>
        <v>PZ4</v>
      </c>
      <c r="B3" s="21" t="s">
        <v>114</v>
      </c>
      <c r="C3" s="21" t="s">
        <v>257</v>
      </c>
      <c r="D3" s="11" t="str">
        <f>WFTracker[[#This Row],[Order Number]]  &amp; "-" &amp; WFTracker[[#This Row],[Item]]</f>
        <v>0050754152-000090</v>
      </c>
      <c r="E3" s="23" t="s">
        <v>116</v>
      </c>
      <c r="F3" s="12">
        <v>45705</v>
      </c>
      <c r="G3" s="12"/>
      <c r="H3" s="11" t="s">
        <v>117</v>
      </c>
      <c r="I3" s="11" t="s">
        <v>186</v>
      </c>
      <c r="J3" s="13" t="s">
        <v>125</v>
      </c>
      <c r="K3" s="14" t="s">
        <v>1017</v>
      </c>
      <c r="L3" s="15" t="s">
        <v>27</v>
      </c>
      <c r="M3" s="15" t="s">
        <v>1120</v>
      </c>
      <c r="N3" s="56">
        <v>45922</v>
      </c>
      <c r="O3" s="15">
        <f>NETWORKDAYS.INTL(WFTracker[[#This Row],[Start date]],WFTracker[[#This Row],[RM]],1,Holidays!D465:D480)</f>
        <v>21</v>
      </c>
      <c r="P3" s="12">
        <v>45677</v>
      </c>
      <c r="Q3" s="12">
        <v>45686</v>
      </c>
      <c r="R3" s="12">
        <v>45693</v>
      </c>
      <c r="S3" s="12" t="b">
        <f>ISBLANK(WFTracker[[#This Row],[Completion Date]])</f>
        <v>0</v>
      </c>
      <c r="T3" s="12" t="str">
        <f>TEXT(WFTracker[[#This Row],[Start date]],"mmm-yyyy")</f>
        <v>Jan-2025</v>
      </c>
      <c r="U3" s="11">
        <v>5</v>
      </c>
      <c r="V3" s="11">
        <f>NETWORKDAYS.INTL(WFTracker[[#This Row],[Start date]],WFTracker[[#This Row],[Due date]],1,Holidays!D465:D480)</f>
        <v>8</v>
      </c>
      <c r="W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3" s="24">
        <f ca="1">WFTracker[[#This Row],[Active Time]]-WFTracker[[#This Row],[Completion Days Template]]</f>
        <v>4</v>
      </c>
      <c r="Y3" s="16" t="str">
        <f ca="1" xml:space="preserve"> IF(WFTracker[[#This Row],[Overdue Time '[Expected-Completion']]]&gt;0, "LATE","ON TIME")</f>
        <v>LATE</v>
      </c>
      <c r="Z3" s="16" t="str">
        <f ca="1">IF(WFTracker[[#This Row],[Overdue Time '[Expected-Completion']]] &gt;= 15, "SUPER LATE", Y3)</f>
        <v>LATE</v>
      </c>
      <c r="AA3" s="37" t="str">
        <f>IF(WFTracker[[#This Row],[Pre RM Opening Time]]&lt;WFTracker[[#This Row],[Old vs New Order Lead Time WF dead line]], "LATE BY ENG", "ON TIME BY ENG")</f>
        <v>ON TIME BY ENG</v>
      </c>
      <c r="AB3" s="37"/>
      <c r="AC3" s="15" t="s">
        <v>29</v>
      </c>
      <c r="AD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3" s="37" t="str">
        <f ca="1">IF(WFTracker[[#This Row],[Impact Time Post RM]]&gt;0, "IMPACTED", "NOT IMPACTED")</f>
        <v>NOT IMPACTED</v>
      </c>
      <c r="AF3" s="15"/>
      <c r="AG3" s="18"/>
      <c r="AH3" s="14" t="str">
        <f>IF(WFTracker[[#This Row],[Status]]="C", "Closed", IF(WFTracker[[#This Row],[Status]] = "x", "Cancelled", WFTracker[[#This Row],[Impact Time Post RM]]))</f>
        <v>Closed</v>
      </c>
      <c r="AI3" s="14" t="str">
        <f ca="1">IF(WFTracker[[#This Row],[Impact Time Post RM]]&lt;=0,"ON TIME","LATE")</f>
        <v>ON TIME</v>
      </c>
      <c r="AJ3" s="14" t="s">
        <v>984</v>
      </c>
      <c r="AK3" s="14">
        <v>18</v>
      </c>
      <c r="AL3" s="915">
        <f>IF(WFTracker[[#This Row],[Type]]="MAKE", WFTracker[[#This Row],[Due date]]+Filters!$J$111, WFTracker[[#This Row],[Due date]]+Filters!$J$135)</f>
        <v>45689.072512647552</v>
      </c>
      <c r="AM3" s="101" cm="1">
        <f t="array" ref="AM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" spans="1:40" ht="14.45">
      <c r="A4" t="str">
        <f>IF(WFTracker[[#This Row],[Order Number]]="SWBD", "QED2", "PZ4")</f>
        <v>PZ4</v>
      </c>
      <c r="B4" s="21" t="s">
        <v>114</v>
      </c>
      <c r="C4" s="21" t="s">
        <v>257</v>
      </c>
      <c r="D4" s="11" t="str">
        <f>WFTracker[[#This Row],[Order Number]]  &amp; "-" &amp; WFTracker[[#This Row],[Item]]</f>
        <v>0050754152-000090</v>
      </c>
      <c r="E4" s="23" t="s">
        <v>116</v>
      </c>
      <c r="F4" s="12">
        <v>45705</v>
      </c>
      <c r="G4" s="12"/>
      <c r="H4" s="11" t="s">
        <v>117</v>
      </c>
      <c r="I4" s="11" t="s">
        <v>186</v>
      </c>
      <c r="J4" s="13" t="s">
        <v>124</v>
      </c>
      <c r="K4" s="14" t="s">
        <v>1017</v>
      </c>
      <c r="L4" s="15" t="s">
        <v>27</v>
      </c>
      <c r="M4" s="15" t="s">
        <v>1120</v>
      </c>
      <c r="N4" s="56">
        <v>45922</v>
      </c>
      <c r="O4" s="15">
        <f>NETWORKDAYS.INTL(WFTracker[[#This Row],[Start date]],WFTracker[[#This Row],[RM]],1,Holidays!D466:D481)</f>
        <v>21</v>
      </c>
      <c r="P4" s="12">
        <v>45677</v>
      </c>
      <c r="Q4" s="12">
        <v>45686</v>
      </c>
      <c r="R4" s="12">
        <v>45693</v>
      </c>
      <c r="S4" s="12" t="b">
        <f>ISBLANK(WFTracker[[#This Row],[Completion Date]])</f>
        <v>0</v>
      </c>
      <c r="T4" s="12" t="str">
        <f>TEXT(WFTracker[[#This Row],[Start date]],"mmm-yyyy")</f>
        <v>Jan-2025</v>
      </c>
      <c r="U4" s="11">
        <v>5</v>
      </c>
      <c r="V4" s="11">
        <f>NETWORKDAYS.INTL(WFTracker[[#This Row],[Start date]],WFTracker[[#This Row],[Due date]],1,Holidays!D466:D481)</f>
        <v>8</v>
      </c>
      <c r="W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4" s="24">
        <f ca="1">WFTracker[[#This Row],[Active Time]]-WFTracker[[#This Row],[Completion Days Template]]</f>
        <v>4</v>
      </c>
      <c r="Y4" s="16" t="str">
        <f ca="1" xml:space="preserve"> IF(WFTracker[[#This Row],[Overdue Time '[Expected-Completion']]]&gt;0, "LATE","ON TIME")</f>
        <v>LATE</v>
      </c>
      <c r="Z4" s="16" t="str">
        <f ca="1">IF(WFTracker[[#This Row],[Overdue Time '[Expected-Completion']]] &gt;= 15, "SUPER LATE", Y4)</f>
        <v>LATE</v>
      </c>
      <c r="AA4" s="37" t="str">
        <f>IF(WFTracker[[#This Row],[Pre RM Opening Time]]&lt;WFTracker[[#This Row],[Old vs New Order Lead Time WF dead line]], "LATE BY ENG", "ON TIME BY ENG")</f>
        <v>ON TIME BY ENG</v>
      </c>
      <c r="AB4" s="37"/>
      <c r="AC4" s="15" t="s">
        <v>29</v>
      </c>
      <c r="AD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" s="37" t="str">
        <f ca="1">IF(WFTracker[[#This Row],[Impact Time Post RM]]&gt;0, "IMPACTED", "NOT IMPACTED")</f>
        <v>NOT IMPACTED</v>
      </c>
      <c r="AF4" s="15"/>
      <c r="AG4" s="18"/>
      <c r="AH4" s="14" t="str">
        <f>IF(WFTracker[[#This Row],[Status]]="C", "Closed", IF(WFTracker[[#This Row],[Status]] = "x", "Cancelled", WFTracker[[#This Row],[Impact Time Post RM]]))</f>
        <v>Closed</v>
      </c>
      <c r="AI4" s="14" t="str">
        <f ca="1">IF(WFTracker[[#This Row],[Impact Time Post RM]]&lt;=0,"ON TIME","LATE")</f>
        <v>ON TIME</v>
      </c>
      <c r="AJ4" s="14" t="s">
        <v>984</v>
      </c>
      <c r="AK4" s="14">
        <v>18</v>
      </c>
      <c r="AL4" s="915">
        <f>IF(WFTracker[[#This Row],[Type]]="MAKE", WFTracker[[#This Row],[Due date]]+Filters!$J$111, WFTracker[[#This Row],[Due date]]+Filters!$J$135)</f>
        <v>45689.072512647552</v>
      </c>
      <c r="AM4" s="101" cm="1">
        <f t="array" ref="AM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" spans="1:40" ht="15" customHeight="1">
      <c r="A5" t="str">
        <f>IF(WFTracker[[#This Row],[Order Number]]="SWBD", "QED2", "PZ4")</f>
        <v>PZ4</v>
      </c>
      <c r="B5" s="21" t="s">
        <v>114</v>
      </c>
      <c r="C5" s="21" t="s">
        <v>257</v>
      </c>
      <c r="D5" s="11" t="str">
        <f>WFTracker[[#This Row],[Order Number]]  &amp; "-" &amp; WFTracker[[#This Row],[Item]]</f>
        <v>0050754152-000090</v>
      </c>
      <c r="E5" s="23" t="s">
        <v>116</v>
      </c>
      <c r="F5" s="12">
        <v>45705</v>
      </c>
      <c r="G5" s="12"/>
      <c r="H5" s="11" t="s">
        <v>117</v>
      </c>
      <c r="I5" s="11" t="s">
        <v>186</v>
      </c>
      <c r="J5" s="13" t="s">
        <v>123</v>
      </c>
      <c r="K5" s="14" t="s">
        <v>1017</v>
      </c>
      <c r="L5" s="15" t="s">
        <v>27</v>
      </c>
      <c r="M5" s="15" t="s">
        <v>1120</v>
      </c>
      <c r="N5" s="56">
        <v>45922</v>
      </c>
      <c r="O5" s="15">
        <f>NETWORKDAYS.INTL(WFTracker[[#This Row],[Start date]],WFTracker[[#This Row],[RM]],1,Holidays!D467:D482)</f>
        <v>21</v>
      </c>
      <c r="P5" s="12">
        <v>45677</v>
      </c>
      <c r="Q5" s="12">
        <v>45686</v>
      </c>
      <c r="R5" s="12">
        <v>45693</v>
      </c>
      <c r="S5" s="12" t="b">
        <f>ISBLANK(WFTracker[[#This Row],[Completion Date]])</f>
        <v>0</v>
      </c>
      <c r="T5" s="12" t="str">
        <f>TEXT(WFTracker[[#This Row],[Start date]],"mmm-yyyy")</f>
        <v>Jan-2025</v>
      </c>
      <c r="U5" s="11">
        <v>5</v>
      </c>
      <c r="V5" s="11">
        <f>NETWORKDAYS.INTL(WFTracker[[#This Row],[Start date]],WFTracker[[#This Row],[Due date]],1,Holidays!D467:D482)</f>
        <v>8</v>
      </c>
      <c r="W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5" s="24">
        <f ca="1">WFTracker[[#This Row],[Active Time]]-WFTracker[[#This Row],[Completion Days Template]]</f>
        <v>4</v>
      </c>
      <c r="Y5" s="16" t="str">
        <f ca="1" xml:space="preserve"> IF(WFTracker[[#This Row],[Overdue Time '[Expected-Completion']]]&gt;0, "LATE","ON TIME")</f>
        <v>LATE</v>
      </c>
      <c r="Z5" s="16" t="str">
        <f ca="1">IF(WFTracker[[#This Row],[Overdue Time '[Expected-Completion']]] &gt;= 15, "SUPER LATE", Y5)</f>
        <v>LATE</v>
      </c>
      <c r="AA5" s="37" t="str">
        <f>IF(WFTracker[[#This Row],[Pre RM Opening Time]]&lt;WFTracker[[#This Row],[Old vs New Order Lead Time WF dead line]], "LATE BY ENG", "ON TIME BY ENG")</f>
        <v>ON TIME BY ENG</v>
      </c>
      <c r="AB5" s="37"/>
      <c r="AC5" s="15" t="s">
        <v>29</v>
      </c>
      <c r="AD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5" s="37" t="str">
        <f ca="1">IF(WFTracker[[#This Row],[Impact Time Post RM]]&gt;0, "IMPACTED", "NOT IMPACTED")</f>
        <v>NOT IMPACTED</v>
      </c>
      <c r="AF5" s="15"/>
      <c r="AG5" s="18"/>
      <c r="AH5" s="14" t="str">
        <f>IF(WFTracker[[#This Row],[Status]]="C", "Closed", IF(WFTracker[[#This Row],[Status]] = "x", "Cancelled", WFTracker[[#This Row],[Impact Time Post RM]]))</f>
        <v>Closed</v>
      </c>
      <c r="AI5" s="14" t="str">
        <f ca="1">IF(WFTracker[[#This Row],[Impact Time Post RM]]&lt;=0,"ON TIME","LATE")</f>
        <v>ON TIME</v>
      </c>
      <c r="AJ5" s="14" t="s">
        <v>984</v>
      </c>
      <c r="AK5" s="14">
        <v>18</v>
      </c>
      <c r="AL5" s="915">
        <f>IF(WFTracker[[#This Row],[Type]]="MAKE", WFTracker[[#This Row],[Due date]]+Filters!$J$111, WFTracker[[#This Row],[Due date]]+Filters!$J$135)</f>
        <v>45689.072512647552</v>
      </c>
      <c r="AM5" s="101" cm="1">
        <f t="array" ref="AM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" spans="1:40" ht="14.45">
      <c r="A6" t="str">
        <f>IF(WFTracker[[#This Row],[Order Number]]="SWBD", "QED2", "PZ4")</f>
        <v>PZ4</v>
      </c>
      <c r="B6" s="21" t="s">
        <v>126</v>
      </c>
      <c r="C6" s="21" t="s">
        <v>131</v>
      </c>
      <c r="D6" s="11" t="str">
        <f>WFTracker[[#This Row],[Order Number]]  &amp; "-" &amp; WFTracker[[#This Row],[Item]]</f>
        <v>0050529183-000460</v>
      </c>
      <c r="E6" s="23" t="s">
        <v>128</v>
      </c>
      <c r="F6" s="12">
        <v>45713</v>
      </c>
      <c r="G6" s="12"/>
      <c r="H6" s="11" t="s">
        <v>99</v>
      </c>
      <c r="I6" s="11" t="s">
        <v>132</v>
      </c>
      <c r="J6" s="13" t="s">
        <v>133</v>
      </c>
      <c r="K6" s="14" t="s">
        <v>1023</v>
      </c>
      <c r="L6" s="15" t="s">
        <v>40</v>
      </c>
      <c r="M6" s="15" t="s">
        <v>130</v>
      </c>
      <c r="N6" s="56">
        <v>45915</v>
      </c>
      <c r="O6" s="15">
        <f>NETWORKDAYS.INTL(WFTracker[[#This Row],[Start date]],WFTracker[[#This Row],[RM]],1,Holidays!D518:D533)</f>
        <v>27</v>
      </c>
      <c r="P6" s="12">
        <v>45677</v>
      </c>
      <c r="Q6" s="12">
        <v>45687</v>
      </c>
      <c r="R6" s="12">
        <v>45727</v>
      </c>
      <c r="S6" s="12" t="b">
        <f>ISBLANK(WFTracker[[#This Row],[Completion Date]])</f>
        <v>0</v>
      </c>
      <c r="T6" s="12" t="str">
        <f>TEXT(WFTracker[[#This Row],[Start date]],"mmm-yyyy")</f>
        <v>Jan-2025</v>
      </c>
      <c r="U6" s="11">
        <v>5</v>
      </c>
      <c r="V6" s="11">
        <f>NETWORKDAYS.INTL(WFTracker[[#This Row],[Start date]],WFTracker[[#This Row],[Due date]],1,Holidays!D518:D533)</f>
        <v>9</v>
      </c>
      <c r="W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36</v>
      </c>
      <c r="X6" s="24">
        <f ca="1">WFTracker[[#This Row],[Active Time]]-WFTracker[[#This Row],[Completion Days Template]]</f>
        <v>27</v>
      </c>
      <c r="Y6" s="16" t="str">
        <f ca="1" xml:space="preserve"> IF(WFTracker[[#This Row],[Overdue Time '[Expected-Completion']]]&gt;0, "LATE","ON TIME")</f>
        <v>LATE</v>
      </c>
      <c r="Z6" s="16" t="str">
        <f ca="1">IF(WFTracker[[#This Row],[Overdue Time '[Expected-Completion']]] &gt;= 15, "SUPER LATE", Y6)</f>
        <v>SUPER LATE</v>
      </c>
      <c r="AA6" s="37" t="str">
        <f>IF(WFTracker[[#This Row],[Pre RM Opening Time]]&lt;WFTracker[[#This Row],[Old vs New Order Lead Time WF dead line]], "LATE BY ENG", "ON TIME BY ENG")</f>
        <v>ON TIME BY ENG</v>
      </c>
      <c r="AB6" s="37"/>
      <c r="AC6" s="15" t="s">
        <v>29</v>
      </c>
      <c r="AD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" s="37" t="str">
        <f ca="1">IF(WFTracker[[#This Row],[Impact Time Post RM]]&gt;0, "IMPACTED", "NOT IMPACTED")</f>
        <v>IMPACTED</v>
      </c>
      <c r="AF6" s="15"/>
      <c r="AG6" s="18"/>
      <c r="AH6" s="14" t="str">
        <f>IF(WFTracker[[#This Row],[Status]]="C", "Closed", IF(WFTracker[[#This Row],[Status]] = "x", "Cancelled", WFTracker[[#This Row],[Impact Time Post RM]]))</f>
        <v>Closed</v>
      </c>
      <c r="AI6" s="14" t="str">
        <f ca="1">IF(WFTracker[[#This Row],[Impact Time Post RM]]&lt;=0,"ON TIME","LATE")</f>
        <v>LATE</v>
      </c>
      <c r="AJ6" s="14" t="s">
        <v>984</v>
      </c>
      <c r="AK6" s="14">
        <v>17</v>
      </c>
      <c r="AL6" s="915">
        <f>IF(WFTracker[[#This Row],[Type]]="MAKE", WFTracker[[#This Row],[Due date]]+Filters!$J$111, WFTracker[[#This Row],[Due date]]+Filters!$J$135)</f>
        <v>45687.415686274508</v>
      </c>
      <c r="AM6" s="101" cm="1">
        <f t="array" ref="AM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" spans="1:40" ht="14.45">
      <c r="A7" t="str">
        <f>IF(WFTracker[[#This Row],[Order Number]]="SWBD", "QED2", "PZ4")</f>
        <v>PZ4</v>
      </c>
      <c r="B7" s="21" t="s">
        <v>114</v>
      </c>
      <c r="C7" s="26" t="s">
        <v>257</v>
      </c>
      <c r="D7" s="11" t="str">
        <f>WFTracker[[#This Row],[Order Number]]  &amp; "-" &amp; WFTracker[[#This Row],[Item]]</f>
        <v>0050754152-000090</v>
      </c>
      <c r="E7" s="23" t="s">
        <v>116</v>
      </c>
      <c r="F7" s="12">
        <v>45705</v>
      </c>
      <c r="G7" s="12"/>
      <c r="H7" s="11" t="s">
        <v>117</v>
      </c>
      <c r="I7" s="11" t="s">
        <v>186</v>
      </c>
      <c r="J7" s="13" t="s">
        <v>121</v>
      </c>
      <c r="K7" s="14" t="s">
        <v>1017</v>
      </c>
      <c r="L7" s="15" t="s">
        <v>27</v>
      </c>
      <c r="M7" s="15" t="s">
        <v>1120</v>
      </c>
      <c r="N7" s="56">
        <v>45922</v>
      </c>
      <c r="O7" s="15">
        <f>NETWORKDAYS.INTL(WFTracker[[#This Row],[Start date]],WFTracker[[#This Row],[RM]],1,Holidays!D445:D460)</f>
        <v>20</v>
      </c>
      <c r="P7" s="12">
        <v>45678</v>
      </c>
      <c r="Q7" s="12">
        <v>45685</v>
      </c>
      <c r="R7" s="12">
        <v>45693</v>
      </c>
      <c r="S7" s="12" t="b">
        <f>ISBLANK(WFTracker[[#This Row],[Completion Date]])</f>
        <v>0</v>
      </c>
      <c r="T7" s="12" t="str">
        <f>TEXT(WFTracker[[#This Row],[Start date]],"mmm-yyyy")</f>
        <v>Jan-2025</v>
      </c>
      <c r="U7" s="11">
        <v>5</v>
      </c>
      <c r="V7" s="11">
        <f>NETWORKDAYS.INTL(WFTracker[[#This Row],[Start date]],WFTracker[[#This Row],[Due date]],1,Holidays!D445:D460)</f>
        <v>6</v>
      </c>
      <c r="W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" s="24">
        <f ca="1">WFTracker[[#This Row],[Active Time]]-WFTracker[[#This Row],[Completion Days Template]]</f>
        <v>5</v>
      </c>
      <c r="Y7" s="16" t="str">
        <f ca="1" xml:space="preserve"> IF(WFTracker[[#This Row],[Overdue Time '[Expected-Completion']]]&gt;0, "LATE","ON TIME")</f>
        <v>LATE</v>
      </c>
      <c r="Z7" s="16" t="str">
        <f ca="1">IF(WFTracker[[#This Row],[Overdue Time '[Expected-Completion']]] &gt;= 15, "SUPER LATE", Y7)</f>
        <v>LATE</v>
      </c>
      <c r="AA7" s="37" t="str">
        <f>IF(WFTracker[[#This Row],[Pre RM Opening Time]]&lt;WFTracker[[#This Row],[Old vs New Order Lead Time WF dead line]], "LATE BY ENG", "ON TIME BY ENG")</f>
        <v>ON TIME BY ENG</v>
      </c>
      <c r="AB7" s="37"/>
      <c r="AC7" s="15" t="s">
        <v>29</v>
      </c>
      <c r="AD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" s="37" t="str">
        <f ca="1">IF(WFTracker[[#This Row],[Impact Time Post RM]]&gt;0, "IMPACTED", "NOT IMPACTED")</f>
        <v>NOT IMPACTED</v>
      </c>
      <c r="AF7" s="15"/>
      <c r="AG7" s="18"/>
      <c r="AH7" s="14" t="str">
        <f>IF(WFTracker[[#This Row],[Status]]="C", "Closed", IF(WFTracker[[#This Row],[Status]] = "x", "Cancelled", WFTracker[[#This Row],[Impact Time Post RM]]))</f>
        <v>Closed</v>
      </c>
      <c r="AI7" s="14" t="str">
        <f ca="1">IF(WFTracker[[#This Row],[Impact Time Post RM]]&lt;=0,"ON TIME","LATE")</f>
        <v>ON TIME</v>
      </c>
      <c r="AJ7" s="14" t="s">
        <v>984</v>
      </c>
      <c r="AK7" s="14">
        <v>18</v>
      </c>
      <c r="AL7" s="915">
        <f>IF(WFTracker[[#This Row],[Type]]="MAKE", WFTracker[[#This Row],[Due date]]+Filters!$J$111, WFTracker[[#This Row],[Due date]]+Filters!$J$135)</f>
        <v>45688.072512647552</v>
      </c>
      <c r="AM7" s="101" cm="1">
        <f t="array" ref="AM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" spans="1:40" ht="14.45">
      <c r="A8" t="str">
        <f>IF(WFTracker[[#This Row],[Order Number]]="SWBD", "QED2", "PZ4")</f>
        <v>PZ4</v>
      </c>
      <c r="B8" s="21" t="s">
        <v>114</v>
      </c>
      <c r="C8" s="21" t="s">
        <v>257</v>
      </c>
      <c r="D8" s="11" t="str">
        <f>WFTracker[[#This Row],[Order Number]]  &amp; "-" &amp; WFTracker[[#This Row],[Item]]</f>
        <v>0050754152-000090</v>
      </c>
      <c r="E8" s="23" t="s">
        <v>116</v>
      </c>
      <c r="F8" s="12">
        <v>45705</v>
      </c>
      <c r="G8" s="12"/>
      <c r="H8" s="11" t="s">
        <v>117</v>
      </c>
      <c r="I8" s="11" t="s">
        <v>186</v>
      </c>
      <c r="J8" s="13" t="s">
        <v>120</v>
      </c>
      <c r="K8" s="14" t="s">
        <v>1017</v>
      </c>
      <c r="L8" s="15" t="s">
        <v>27</v>
      </c>
      <c r="M8" s="15" t="s">
        <v>1120</v>
      </c>
      <c r="N8" s="56">
        <v>45922</v>
      </c>
      <c r="O8" s="15">
        <f>NETWORKDAYS.INTL(WFTracker[[#This Row],[Start date]],WFTracker[[#This Row],[RM]],1,Holidays!D446:D461)</f>
        <v>20</v>
      </c>
      <c r="P8" s="12">
        <v>45678</v>
      </c>
      <c r="Q8" s="12">
        <v>45685</v>
      </c>
      <c r="R8" s="12">
        <v>45688</v>
      </c>
      <c r="S8" s="12" t="b">
        <f>ISBLANK(WFTracker[[#This Row],[Completion Date]])</f>
        <v>0</v>
      </c>
      <c r="T8" s="12" t="str">
        <f>TEXT(WFTracker[[#This Row],[Start date]],"mmm-yyyy")</f>
        <v>Jan-2025</v>
      </c>
      <c r="U8" s="11">
        <v>5</v>
      </c>
      <c r="V8" s="11">
        <f>NETWORKDAYS.INTL(WFTracker[[#This Row],[Start date]],WFTracker[[#This Row],[Due date]],1,Holidays!D446:D461)</f>
        <v>6</v>
      </c>
      <c r="W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" s="24">
        <f ca="1">WFTracker[[#This Row],[Active Time]]-WFTracker[[#This Row],[Completion Days Template]]</f>
        <v>3</v>
      </c>
      <c r="Y8" s="16" t="str">
        <f ca="1" xml:space="preserve"> IF(WFTracker[[#This Row],[Overdue Time '[Expected-Completion']]]&gt;0, "LATE","ON TIME")</f>
        <v>LATE</v>
      </c>
      <c r="Z8" s="16" t="str">
        <f ca="1">IF(WFTracker[[#This Row],[Overdue Time '[Expected-Completion']]] &gt;= 15, "SUPER LATE", Y8)</f>
        <v>LATE</v>
      </c>
      <c r="AA8" s="37" t="str">
        <f>IF(WFTracker[[#This Row],[Pre RM Opening Time]]&lt;WFTracker[[#This Row],[Old vs New Order Lead Time WF dead line]], "LATE BY ENG", "ON TIME BY ENG")</f>
        <v>ON TIME BY ENG</v>
      </c>
      <c r="AB8" s="37"/>
      <c r="AC8" s="15" t="s">
        <v>29</v>
      </c>
      <c r="AD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8" s="37" t="str">
        <f ca="1">IF(WFTracker[[#This Row],[Impact Time Post RM]]&gt;0, "IMPACTED", "NOT IMPACTED")</f>
        <v>NOT IMPACTED</v>
      </c>
      <c r="AF8" s="15"/>
      <c r="AG8" s="18"/>
      <c r="AH8" s="14" t="str">
        <f>IF(WFTracker[[#This Row],[Status]]="C", "Closed", IF(WFTracker[[#This Row],[Status]] = "x", "Cancelled", WFTracker[[#This Row],[Impact Time Post RM]]))</f>
        <v>Closed</v>
      </c>
      <c r="AI8" s="14" t="str">
        <f ca="1">IF(WFTracker[[#This Row],[Impact Time Post RM]]&lt;=0,"ON TIME","LATE")</f>
        <v>ON TIME</v>
      </c>
      <c r="AJ8" s="14" t="s">
        <v>984</v>
      </c>
      <c r="AK8" s="14">
        <v>18</v>
      </c>
      <c r="AL8" s="915">
        <f>IF(WFTracker[[#This Row],[Type]]="MAKE", WFTracker[[#This Row],[Due date]]+Filters!$J$111, WFTracker[[#This Row],[Due date]]+Filters!$J$135)</f>
        <v>45688.072512647552</v>
      </c>
      <c r="AM8" s="101" cm="1">
        <f t="array" ref="AM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" spans="1:40" ht="14.45">
      <c r="A9" t="str">
        <f>IF(WFTracker[[#This Row],[Order Number]]="SWBD", "QED2", "PZ4")</f>
        <v>PZ4</v>
      </c>
      <c r="B9" s="21" t="s">
        <v>114</v>
      </c>
      <c r="C9" s="21" t="s">
        <v>257</v>
      </c>
      <c r="D9" s="11" t="str">
        <f>WFTracker[[#This Row],[Order Number]]  &amp; "-" &amp; WFTracker[[#This Row],[Item]]</f>
        <v>0050754152-000090</v>
      </c>
      <c r="E9" s="23" t="s">
        <v>116</v>
      </c>
      <c r="F9" s="12">
        <v>45705</v>
      </c>
      <c r="G9" s="12"/>
      <c r="H9" s="11" t="s">
        <v>117</v>
      </c>
      <c r="I9" s="11" t="s">
        <v>186</v>
      </c>
      <c r="J9" s="13" t="s">
        <v>122</v>
      </c>
      <c r="K9" s="14" t="s">
        <v>1017</v>
      </c>
      <c r="L9" s="15" t="s">
        <v>40</v>
      </c>
      <c r="M9" s="15" t="s">
        <v>1120</v>
      </c>
      <c r="N9" s="56">
        <v>45922</v>
      </c>
      <c r="O9" s="15">
        <f>NETWORKDAYS.INTL(WFTracker[[#This Row],[Start date]],WFTracker[[#This Row],[RM]],1,Holidays!D447:D462)</f>
        <v>20</v>
      </c>
      <c r="P9" s="12">
        <v>45678</v>
      </c>
      <c r="Q9" s="12">
        <v>45688</v>
      </c>
      <c r="R9" s="12">
        <v>45686</v>
      </c>
      <c r="S9" s="12" t="b">
        <f>ISBLANK(WFTracker[[#This Row],[Completion Date]])</f>
        <v>0</v>
      </c>
      <c r="T9" s="12" t="str">
        <f>TEXT(WFTracker[[#This Row],[Start date]],"mmm-yyyy")</f>
        <v>Jan-2025</v>
      </c>
      <c r="U9" s="11">
        <v>5</v>
      </c>
      <c r="V9" s="11">
        <f>NETWORKDAYS.INTL(WFTracker[[#This Row],[Start date]],WFTracker[[#This Row],[Due date]],1,Holidays!D447:D462)</f>
        <v>9</v>
      </c>
      <c r="W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9" s="24">
        <f ca="1">WFTracker[[#This Row],[Active Time]]-WFTracker[[#This Row],[Completion Days Template]]</f>
        <v>-2</v>
      </c>
      <c r="Y9" s="16" t="str">
        <f ca="1" xml:space="preserve"> IF(WFTracker[[#This Row],[Overdue Time '[Expected-Completion']]]&gt;0, "LATE","ON TIME")</f>
        <v>ON TIME</v>
      </c>
      <c r="Z9" s="16" t="str">
        <f ca="1">IF(WFTracker[[#This Row],[Overdue Time '[Expected-Completion']]] &gt;= 15, "SUPER LATE", Y9)</f>
        <v>ON TIME</v>
      </c>
      <c r="AA9" s="37" t="str">
        <f>IF(WFTracker[[#This Row],[Pre RM Opening Time]]&lt;WFTracker[[#This Row],[Old vs New Order Lead Time WF dead line]], "LATE BY ENG", "ON TIME BY ENG")</f>
        <v>ON TIME BY ENG</v>
      </c>
      <c r="AB9" s="37"/>
      <c r="AC9" s="15" t="s">
        <v>29</v>
      </c>
      <c r="AD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9" s="25" t="str">
        <f ca="1">IF(WFTracker[[#This Row],[Impact Time Post RM]]&gt;0, "IMPACTED", "NOT IMPACTED")</f>
        <v>NOT IMPACTED</v>
      </c>
      <c r="AF9" s="15"/>
      <c r="AG9" s="18"/>
      <c r="AH9" s="14" t="str">
        <f>IF(WFTracker[[#This Row],[Status]]="C", "Closed", IF(WFTracker[[#This Row],[Status]] = "x", "Cancelled", WFTracker[[#This Row],[Impact Time Post RM]]))</f>
        <v>Closed</v>
      </c>
      <c r="AI9" s="14" t="str">
        <f ca="1">IF(WFTracker[[#This Row],[Impact Time Post RM]]&lt;=0,"ON TIME","LATE")</f>
        <v>ON TIME</v>
      </c>
      <c r="AJ9" s="14" t="s">
        <v>984</v>
      </c>
      <c r="AK9" s="14">
        <v>17</v>
      </c>
      <c r="AL9" s="915">
        <f>IF(WFTracker[[#This Row],[Type]]="MAKE", WFTracker[[#This Row],[Due date]]+Filters!$J$111, WFTracker[[#This Row],[Due date]]+Filters!$J$135)</f>
        <v>45688.415686274508</v>
      </c>
      <c r="AM9" s="101" cm="1">
        <f t="array" ref="AM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" spans="1:40" ht="14.45">
      <c r="A10" t="str">
        <f>IF(WFTracker[[#This Row],[Order Number]]="SWBD", "QED2", "PZ4")</f>
        <v>PZ4</v>
      </c>
      <c r="B10" s="21" t="s">
        <v>114</v>
      </c>
      <c r="C10" s="21" t="s">
        <v>257</v>
      </c>
      <c r="D10" s="11" t="str">
        <f>WFTracker[[#This Row],[Order Number]]  &amp; "-" &amp; WFTracker[[#This Row],[Item]]</f>
        <v>0050754152-000090</v>
      </c>
      <c r="E10" s="23" t="s">
        <v>116</v>
      </c>
      <c r="F10" s="12">
        <v>45705</v>
      </c>
      <c r="G10" s="12"/>
      <c r="H10" s="11" t="s">
        <v>117</v>
      </c>
      <c r="I10" s="11" t="s">
        <v>186</v>
      </c>
      <c r="J10" s="13" t="s">
        <v>119</v>
      </c>
      <c r="K10" s="14" t="s">
        <v>1023</v>
      </c>
      <c r="L10" s="15" t="s">
        <v>40</v>
      </c>
      <c r="M10" s="15" t="s">
        <v>1120</v>
      </c>
      <c r="N10" s="56">
        <v>45922</v>
      </c>
      <c r="O10" s="15">
        <f>NETWORKDAYS.INTL(WFTracker[[#This Row],[Start date]],WFTracker[[#This Row],[RM]],1,Holidays!D425:D440)</f>
        <v>19</v>
      </c>
      <c r="P10" s="12">
        <v>45679</v>
      </c>
      <c r="Q10" s="12">
        <v>45691</v>
      </c>
      <c r="R10" s="12">
        <v>45693</v>
      </c>
      <c r="S10" s="12" t="b">
        <f>ISBLANK(WFTracker[[#This Row],[Completion Date]])</f>
        <v>0</v>
      </c>
      <c r="T10" s="12" t="str">
        <f>TEXT(WFTracker[[#This Row],[Start date]],"mmm-yyyy")</f>
        <v>Jan-2025</v>
      </c>
      <c r="U10" s="11">
        <v>5</v>
      </c>
      <c r="V10" s="11">
        <f>NETWORKDAYS.INTL(WFTracker[[#This Row],[Start date]],WFTracker[[#This Row],[Due date]],1,Holidays!D425:D440)</f>
        <v>9</v>
      </c>
      <c r="W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0" s="24">
        <f ca="1">WFTracker[[#This Row],[Active Time]]-WFTracker[[#This Row],[Completion Days Template]]</f>
        <v>1</v>
      </c>
      <c r="Y10" s="16" t="str">
        <f ca="1" xml:space="preserve"> IF(WFTracker[[#This Row],[Overdue Time '[Expected-Completion']]]&gt;0, "LATE","ON TIME")</f>
        <v>LATE</v>
      </c>
      <c r="Z10" s="16" t="str">
        <f ca="1">IF(WFTracker[[#This Row],[Overdue Time '[Expected-Completion']]] &gt;= 15, "SUPER LATE", Y10)</f>
        <v>LATE</v>
      </c>
      <c r="AA10" s="37" t="str">
        <f>IF(WFTracker[[#This Row],[Pre RM Opening Time]]&lt;WFTracker[[#This Row],[Old vs New Order Lead Time WF dead line]], "LATE BY ENG", "ON TIME BY ENG")</f>
        <v>ON TIME BY ENG</v>
      </c>
      <c r="AB10" s="37"/>
      <c r="AC10" s="15" t="s">
        <v>29</v>
      </c>
      <c r="AD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10" s="37" t="str">
        <f ca="1">IF(WFTracker[[#This Row],[Impact Time Post RM]]&gt;0, "IMPACTED", "NOT IMPACTED")</f>
        <v>NOT IMPACTED</v>
      </c>
      <c r="AF10" s="15"/>
      <c r="AG10" s="18"/>
      <c r="AH10" s="14" t="str">
        <f>IF(WFTracker[[#This Row],[Status]]="C", "Closed", IF(WFTracker[[#This Row],[Status]] = "x", "Cancelled", WFTracker[[#This Row],[Impact Time Post RM]]))</f>
        <v>Closed</v>
      </c>
      <c r="AI10" s="14" t="str">
        <f ca="1">IF(WFTracker[[#This Row],[Impact Time Post RM]]&lt;=0,"ON TIME","LATE")</f>
        <v>ON TIME</v>
      </c>
      <c r="AJ10" s="14" t="s">
        <v>984</v>
      </c>
      <c r="AK10" s="14">
        <v>17</v>
      </c>
      <c r="AL10" s="915">
        <f>IF(WFTracker[[#This Row],[Type]]="MAKE", WFTracker[[#This Row],[Due date]]+Filters!$J$111, WFTracker[[#This Row],[Due date]]+Filters!$J$135)</f>
        <v>45691.415686274508</v>
      </c>
      <c r="AM10" s="101" cm="1">
        <f t="array" ref="AM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" spans="1:40" ht="14.45">
      <c r="A11" t="str">
        <f>IF(WFTracker[[#This Row],[Order Number]]="SWBD", "QED2", "PZ4")</f>
        <v>PZ4</v>
      </c>
      <c r="B11" s="21" t="s">
        <v>21</v>
      </c>
      <c r="C11" s="21" t="s">
        <v>1121</v>
      </c>
      <c r="D11" s="11" t="str">
        <f>WFTracker[[#This Row],[Order Number]]  &amp; "-" &amp; WFTracker[[#This Row],[Item]]</f>
        <v>0051035283-0000010&amp;0000050</v>
      </c>
      <c r="E11" s="23" t="s">
        <v>22</v>
      </c>
      <c r="F11" s="12">
        <v>45709</v>
      </c>
      <c r="G11" s="12"/>
      <c r="H11" s="11" t="s">
        <v>23</v>
      </c>
      <c r="I11" s="11" t="s">
        <v>24</v>
      </c>
      <c r="J11" s="13" t="s">
        <v>30</v>
      </c>
      <c r="K11" s="14" t="s">
        <v>1023</v>
      </c>
      <c r="L11" s="15" t="s">
        <v>27</v>
      </c>
      <c r="M11" s="15" t="s">
        <v>1120</v>
      </c>
      <c r="N11" s="56">
        <v>45835</v>
      </c>
      <c r="O11" s="15">
        <f>NETWORKDAYS.INTL(WFTracker[[#This Row],[Start date]],WFTracker[[#This Row],[RM]],1,Holidays!D152:D167)</f>
        <v>8</v>
      </c>
      <c r="P11" s="12">
        <v>45700</v>
      </c>
      <c r="Q11" s="12">
        <v>45708</v>
      </c>
      <c r="R11" s="12">
        <v>45720</v>
      </c>
      <c r="S11" s="12" t="b">
        <f>ISBLANK(WFTracker[[#This Row],[Completion Date]])</f>
        <v>0</v>
      </c>
      <c r="T11" s="12" t="str">
        <f>TEXT(WFTracker[[#This Row],[Start date]],"mmm-yyyy")</f>
        <v>Feb-2025</v>
      </c>
      <c r="U11" s="11">
        <v>5</v>
      </c>
      <c r="V11" s="11">
        <f>NETWORKDAYS.INTL(WFTracker[[#This Row],[Start date]],WFTracker[[#This Row],[Due date]],1,Holidays!D152:D167)</f>
        <v>7</v>
      </c>
      <c r="W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11" s="24">
        <f ca="1">WFTracker[[#This Row],[Active Time]]-WFTracker[[#This Row],[Completion Days Template]]</f>
        <v>8</v>
      </c>
      <c r="Y11" s="16" t="str">
        <f ca="1" xml:space="preserve"> IF(WFTracker[[#This Row],[Overdue Time '[Expected-Completion']]]&gt;0, "LATE","ON TIME")</f>
        <v>LATE</v>
      </c>
      <c r="Z11" s="16" t="str">
        <f ca="1">IF(WFTracker[[#This Row],[Overdue Time '[Expected-Completion']]] &gt;= 15, "SUPER LATE", Y11)</f>
        <v>LATE</v>
      </c>
      <c r="AA11" s="37" t="str">
        <f>IF(WFTracker[[#This Row],[Pre RM Opening Time]]&lt;WFTracker[[#This Row],[Old vs New Order Lead Time WF dead line]], "LATE BY ENG", "ON TIME BY ENG")</f>
        <v>ON TIME BY ENG</v>
      </c>
      <c r="AB11" s="37"/>
      <c r="AC11" s="15" t="str">
        <f>IF(WFTracker[[#This Row],[Competion Date Content]] = FALSE, "C", "I")</f>
        <v>C</v>
      </c>
      <c r="AD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11" s="37" t="str">
        <f ca="1">IF(WFTracker[[#This Row],[Impact Time Post RM]]&gt;0, "IMPACTED", "NOT IMPACTED")</f>
        <v>IMPACTED</v>
      </c>
      <c r="AF11" s="15"/>
      <c r="AG11" s="18"/>
      <c r="AH11" s="14" t="str">
        <f>IF(WFTracker[[#This Row],[Status]]="C", "Closed", IF(WFTracker[[#This Row],[Status]] = "x", "Cancelled", WFTracker[[#This Row],[Impact Time Post RM]]))</f>
        <v>Closed</v>
      </c>
      <c r="AI11" s="14" t="str">
        <f ca="1">IF(WFTracker[[#This Row],[Impact Time Post RM]]&lt;=0,"ON TIME","LATE")</f>
        <v>LATE</v>
      </c>
      <c r="AJ11" s="14" t="s">
        <v>984</v>
      </c>
      <c r="AK11" s="14">
        <v>18</v>
      </c>
      <c r="AL11" s="915">
        <f>IF(WFTracker[[#This Row],[Type]]="MAKE", WFTracker[[#This Row],[Due date]]+Filters!$J$111, WFTracker[[#This Row],[Due date]]+Filters!$J$135)</f>
        <v>45711.072512647552</v>
      </c>
      <c r="AM11" s="101" cm="1">
        <f t="array" ref="AM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" spans="1:40" ht="14.45">
      <c r="A12" t="str">
        <f>IF(WFTracker[[#This Row],[Order Number]]="SWBD", "QED2", "PZ4")</f>
        <v>PZ4</v>
      </c>
      <c r="B12" s="21" t="s">
        <v>21</v>
      </c>
      <c r="C12" s="21" t="s">
        <v>1121</v>
      </c>
      <c r="D12" s="11" t="str">
        <f>WFTracker[[#This Row],[Order Number]]  &amp; "-" &amp; WFTracker[[#This Row],[Item]]</f>
        <v>0051035283-0000010&amp;0000050</v>
      </c>
      <c r="E12" s="23" t="s">
        <v>22</v>
      </c>
      <c r="F12" s="12">
        <v>45709</v>
      </c>
      <c r="G12" s="12"/>
      <c r="H12" s="11" t="s">
        <v>23</v>
      </c>
      <c r="I12" s="11" t="s">
        <v>24</v>
      </c>
      <c r="J12" s="13" t="s">
        <v>31</v>
      </c>
      <c r="K12" s="14" t="s">
        <v>1023</v>
      </c>
      <c r="L12" s="15" t="s">
        <v>27</v>
      </c>
      <c r="M12" s="15" t="s">
        <v>1120</v>
      </c>
      <c r="N12" s="56">
        <v>45835</v>
      </c>
      <c r="O12" s="15">
        <f>NETWORKDAYS.INTL(WFTracker[[#This Row],[Start date]],WFTracker[[#This Row],[RM]],1,Holidays!D87:D102)</f>
        <v>5</v>
      </c>
      <c r="P12" s="12">
        <v>45705</v>
      </c>
      <c r="Q12" s="12">
        <v>45712</v>
      </c>
      <c r="R12" s="12">
        <v>45720</v>
      </c>
      <c r="S12" s="12" t="b">
        <f>ISBLANK(WFTracker[[#This Row],[Completion Date]])</f>
        <v>0</v>
      </c>
      <c r="T12" s="12" t="str">
        <f>TEXT(WFTracker[[#This Row],[Start date]],"mmm-yyyy")</f>
        <v>Feb-2025</v>
      </c>
      <c r="U12" s="11">
        <v>5</v>
      </c>
      <c r="V12" s="11">
        <f>NETWORKDAYS.INTL(WFTracker[[#This Row],[Start date]],WFTracker[[#This Row],[Due date]],1,Holidays!D87:D102)</f>
        <v>6</v>
      </c>
      <c r="W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2" s="24">
        <f ca="1">WFTracker[[#This Row],[Active Time]]-WFTracker[[#This Row],[Completion Days Template]]</f>
        <v>6</v>
      </c>
      <c r="Y12" s="16" t="str">
        <f ca="1" xml:space="preserve"> IF(WFTracker[[#This Row],[Overdue Time '[Expected-Completion']]]&gt;0, "LATE","ON TIME")</f>
        <v>LATE</v>
      </c>
      <c r="Z12" s="16" t="str">
        <f ca="1">IF(WFTracker[[#This Row],[Overdue Time '[Expected-Completion']]] &gt;= 15, "SUPER LATE", Y12)</f>
        <v>LATE</v>
      </c>
      <c r="AA12" s="37" t="str">
        <f>IF(WFTracker[[#This Row],[Pre RM Opening Time]]&lt;WFTracker[[#This Row],[Old vs New Order Lead Time WF dead line]], "LATE BY ENG", "ON TIME BY ENG")</f>
        <v>ON TIME BY ENG</v>
      </c>
      <c r="AB12" s="37"/>
      <c r="AC12" s="15" t="str">
        <f>IF(WFTracker[[#This Row],[Competion Date Content]] = FALSE, "C", "I")</f>
        <v>C</v>
      </c>
      <c r="AD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12" s="37" t="str">
        <f ca="1">IF(WFTracker[[#This Row],[Impact Time Post RM]]&gt;0, "IMPACTED", "NOT IMPACTED")</f>
        <v>IMPACTED</v>
      </c>
      <c r="AF12" s="15"/>
      <c r="AG12" s="18"/>
      <c r="AH12" s="14" t="str">
        <f>IF(WFTracker[[#This Row],[Status]]="C", "Closed", IF(WFTracker[[#This Row],[Status]] = "x", "Cancelled", WFTracker[[#This Row],[Impact Time Post RM]]))</f>
        <v>Closed</v>
      </c>
      <c r="AI12" s="14" t="str">
        <f ca="1">IF(WFTracker[[#This Row],[Impact Time Post RM]]&lt;=0,"ON TIME","LATE")</f>
        <v>LATE</v>
      </c>
      <c r="AJ12" s="14" t="s">
        <v>984</v>
      </c>
      <c r="AK12" s="14">
        <v>18</v>
      </c>
      <c r="AL12" s="915">
        <f>IF(WFTracker[[#This Row],[Type]]="MAKE", WFTracker[[#This Row],[Due date]]+Filters!$J$111, WFTracker[[#This Row],[Due date]]+Filters!$J$135)</f>
        <v>45715.072512647552</v>
      </c>
      <c r="AM12" s="101" cm="1">
        <f t="array" ref="AM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" spans="1:40" ht="14.45">
      <c r="A13" t="str">
        <f>IF(WFTracker[[#This Row],[Order Number]]="SWBD", "QED2", "PZ4")</f>
        <v>PZ4</v>
      </c>
      <c r="B13" s="21" t="s">
        <v>153</v>
      </c>
      <c r="C13" s="21" t="s">
        <v>154</v>
      </c>
      <c r="D13" s="11" t="str">
        <f>WFTracker[[#This Row],[Order Number]]  &amp; "-" &amp; WFTracker[[#This Row],[Item]]</f>
        <v>0050255139-000780</v>
      </c>
      <c r="E13" s="23" t="s">
        <v>155</v>
      </c>
      <c r="F13" s="12">
        <v>45730</v>
      </c>
      <c r="G13" s="12"/>
      <c r="H13" s="11" t="s">
        <v>156</v>
      </c>
      <c r="I13" s="11" t="s">
        <v>111</v>
      </c>
      <c r="J13" s="13" t="s">
        <v>158</v>
      </c>
      <c r="K13" s="14" t="s">
        <v>1023</v>
      </c>
      <c r="L13" s="15" t="s">
        <v>27</v>
      </c>
      <c r="M13" s="15" t="s">
        <v>1120</v>
      </c>
      <c r="N13" s="56">
        <v>45960</v>
      </c>
      <c r="O13" s="15">
        <f>NETWORKDAYS.INTL(WFTracker[[#This Row],[Start date]],WFTracker[[#This Row],[RM]],1,Holidays!D468:D483)</f>
        <v>20</v>
      </c>
      <c r="P13" s="12">
        <v>45705</v>
      </c>
      <c r="Q13" s="12">
        <v>45712</v>
      </c>
      <c r="R13" s="12">
        <v>45720</v>
      </c>
      <c r="S13" s="12" t="b">
        <f>ISBLANK(WFTracker[[#This Row],[Completion Date]])</f>
        <v>0</v>
      </c>
      <c r="T13" s="12" t="str">
        <f>TEXT(WFTracker[[#This Row],[Start date]],"mmm-yyyy")</f>
        <v>Feb-2025</v>
      </c>
      <c r="U13" s="11">
        <v>5</v>
      </c>
      <c r="V13" s="11">
        <f>NETWORKDAYS.INTL(WFTracker[[#This Row],[Start date]],WFTracker[[#This Row],[Due date]],1,Holidays!D468:D483)</f>
        <v>6</v>
      </c>
      <c r="W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3" s="24">
        <f ca="1">WFTracker[[#This Row],[Active Time]]-WFTracker[[#This Row],[Completion Days Template]]</f>
        <v>6</v>
      </c>
      <c r="Y13" s="16" t="str">
        <f ca="1" xml:space="preserve"> IF(WFTracker[[#This Row],[Overdue Time '[Expected-Completion']]]&gt;0, "LATE","ON TIME")</f>
        <v>LATE</v>
      </c>
      <c r="Z13" s="16" t="str">
        <f ca="1">IF(WFTracker[[#This Row],[Overdue Time '[Expected-Completion']]] &gt;= 15, "SUPER LATE", Y13)</f>
        <v>LATE</v>
      </c>
      <c r="AA13" s="37" t="str">
        <f>IF(WFTracker[[#This Row],[Pre RM Opening Time]]&lt;WFTracker[[#This Row],[Old vs New Order Lead Time WF dead line]], "LATE BY ENG", "ON TIME BY ENG")</f>
        <v>ON TIME BY ENG</v>
      </c>
      <c r="AB13" s="37"/>
      <c r="AC13" s="15" t="str">
        <f>IF(WFTracker[[#This Row],[Competion Date Content]] = FALSE, "C", "i")</f>
        <v>C</v>
      </c>
      <c r="AD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13" s="37" t="str">
        <f ca="1">IF(WFTracker[[#This Row],[Impact Time Post RM]]&gt;0, "IMPACTED", "NOT IMPACTED")</f>
        <v>NOT IMPACTED</v>
      </c>
      <c r="AF13" s="15"/>
      <c r="AG13" s="18"/>
      <c r="AH13" s="14" t="str">
        <f>IF(WFTracker[[#This Row],[Status]]="C", "Closed", IF(WFTracker[[#This Row],[Status]] = "x", "Cancelled", WFTracker[[#This Row],[Impact Time Post RM]]))</f>
        <v>Closed</v>
      </c>
      <c r="AI13" s="14" t="str">
        <f ca="1">IF(WFTracker[[#This Row],[Impact Time Post RM]]&lt;=0,"ON TIME","LATE")</f>
        <v>ON TIME</v>
      </c>
      <c r="AJ13" s="14" t="s">
        <v>984</v>
      </c>
      <c r="AK13" s="14">
        <v>18</v>
      </c>
      <c r="AL13" s="915">
        <f>IF(WFTracker[[#This Row],[Type]]="MAKE", WFTracker[[#This Row],[Due date]]+Filters!$J$111, WFTracker[[#This Row],[Due date]]+Filters!$J$135)</f>
        <v>45715.072512647552</v>
      </c>
      <c r="AM13" s="101" cm="1">
        <f t="array" ref="AM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" spans="1:40" ht="14.45">
      <c r="A14" t="str">
        <f>IF(WFTracker[[#This Row],[Order Number]]="SWBD", "QED2", "PZ4")</f>
        <v>PZ4</v>
      </c>
      <c r="B14" s="21" t="s">
        <v>21</v>
      </c>
      <c r="C14" s="21" t="s">
        <v>1121</v>
      </c>
      <c r="D14" s="11" t="str">
        <f>WFTracker[[#This Row],[Order Number]]  &amp; "-" &amp; WFTracker[[#This Row],[Item]]</f>
        <v>0051035283-0000010&amp;0000050</v>
      </c>
      <c r="E14" s="23" t="s">
        <v>22</v>
      </c>
      <c r="F14" s="12">
        <v>45709</v>
      </c>
      <c r="G14" s="12"/>
      <c r="H14" s="11" t="s">
        <v>23</v>
      </c>
      <c r="I14" s="11" t="s">
        <v>24</v>
      </c>
      <c r="J14" s="13" t="s">
        <v>28</v>
      </c>
      <c r="K14" s="14" t="s">
        <v>1023</v>
      </c>
      <c r="L14" s="15" t="s">
        <v>27</v>
      </c>
      <c r="M14" s="15" t="s">
        <v>1120</v>
      </c>
      <c r="N14" s="56">
        <v>45835</v>
      </c>
      <c r="O14" s="15">
        <f>NETWORKDAYS.INTL(WFTracker[[#This Row],[Start date]],WFTracker[[#This Row],[RM]],1,Holidays!D74:D89)</f>
        <v>3</v>
      </c>
      <c r="P14" s="12">
        <v>45707</v>
      </c>
      <c r="Q14" s="12">
        <v>45714</v>
      </c>
      <c r="R14" s="12">
        <v>45715</v>
      </c>
      <c r="S14" s="12" t="b">
        <f>ISBLANK(WFTracker[[#This Row],[Completion Date]])</f>
        <v>0</v>
      </c>
      <c r="T14" s="12" t="str">
        <f>TEXT(WFTracker[[#This Row],[Start date]],"mmm-yyyy")</f>
        <v>Feb-2025</v>
      </c>
      <c r="U14" s="11">
        <v>5</v>
      </c>
      <c r="V14" s="11">
        <f>NETWORKDAYS.INTL(WFTracker[[#This Row],[Start date]],WFTracker[[#This Row],[Due date]],1,Holidays!D74:D89)</f>
        <v>6</v>
      </c>
      <c r="W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4" s="24">
        <f ca="1">WFTracker[[#This Row],[Active Time]]-WFTracker[[#This Row],[Completion Days Template]]</f>
        <v>1</v>
      </c>
      <c r="Y14" s="16" t="str">
        <f ca="1" xml:space="preserve"> IF(WFTracker[[#This Row],[Overdue Time '[Expected-Completion']]]&gt;0, "LATE","ON TIME")</f>
        <v>LATE</v>
      </c>
      <c r="Z14" s="16" t="str">
        <f ca="1">IF(WFTracker[[#This Row],[Overdue Time '[Expected-Completion']]] &gt;= 15, "SUPER LATE", Y14)</f>
        <v>LATE</v>
      </c>
      <c r="AA14" s="37" t="str">
        <f>IF(WFTracker[[#This Row],[Pre RM Opening Time]]&lt;WFTracker[[#This Row],[Old vs New Order Lead Time WF dead line]], "LATE BY ENG", "ON TIME BY ENG")</f>
        <v>LATE BY ENG</v>
      </c>
      <c r="AB14" s="37"/>
      <c r="AC14" s="15" t="str">
        <f>IF(WFTracker[[#This Row],[Competion Date Content]] = FALSE, "C", "I")</f>
        <v>C</v>
      </c>
      <c r="AD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4" s="37" t="str">
        <f ca="1">IF(WFTracker[[#This Row],[Impact Time Post RM]]&gt;0, "IMPACTED", "NOT IMPACTED")</f>
        <v>IMPACTED</v>
      </c>
      <c r="AF14" s="15"/>
      <c r="AG14" s="18"/>
      <c r="AH14" s="14" t="str">
        <f>IF(WFTracker[[#This Row],[Status]]="C", "Closed", IF(WFTracker[[#This Row],[Status]] = "x", "Cancelled", WFTracker[[#This Row],[Impact Time Post RM]]))</f>
        <v>Closed</v>
      </c>
      <c r="AI14" s="14" t="str">
        <f ca="1">IF(WFTracker[[#This Row],[Impact Time Post RM]]&lt;=0,"ON TIME","LATE")</f>
        <v>LATE</v>
      </c>
      <c r="AJ14" s="14" t="s">
        <v>984</v>
      </c>
      <c r="AK14" s="14">
        <v>18</v>
      </c>
      <c r="AL14" s="915">
        <f>IF(WFTracker[[#This Row],[Type]]="MAKE", WFTracker[[#This Row],[Due date]]+Filters!$J$111, WFTracker[[#This Row],[Due date]]+Filters!$J$135)</f>
        <v>45717.072512647552</v>
      </c>
      <c r="AM14" s="101" cm="1">
        <f t="array" ref="AM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" spans="1:40" ht="14.45">
      <c r="A15" t="str">
        <f>IF(WFTracker[[#This Row],[Order Number]]="SWBD", "QED2", "PZ4")</f>
        <v>PZ4</v>
      </c>
      <c r="B15" s="21" t="s">
        <v>33</v>
      </c>
      <c r="C15" s="21" t="s">
        <v>79</v>
      </c>
      <c r="D15" s="11" t="str">
        <f>WFTracker[[#This Row],[Order Number]]  &amp; "-" &amp; WFTracker[[#This Row],[Item]]</f>
        <v>0050206201-000160</v>
      </c>
      <c r="E15" s="23" t="s">
        <v>35</v>
      </c>
      <c r="F15" s="12">
        <v>45769</v>
      </c>
      <c r="G15" s="12"/>
      <c r="H15" s="11" t="s">
        <v>80</v>
      </c>
      <c r="I15" s="11" t="s">
        <v>81</v>
      </c>
      <c r="J15" s="13" t="s">
        <v>95</v>
      </c>
      <c r="K15" s="14" t="s">
        <v>1023</v>
      </c>
      <c r="L15" s="15" t="s">
        <v>27</v>
      </c>
      <c r="M15" s="15" t="s">
        <v>1120</v>
      </c>
      <c r="N15" s="56">
        <v>45868</v>
      </c>
      <c r="O15" s="15">
        <f>NETWORKDAYS.INTL(WFTracker[[#This Row],[Start date]],WFTracker[[#This Row],[RM]],1,Holidays!D614:D629)</f>
        <v>45</v>
      </c>
      <c r="P15" s="12">
        <v>45707</v>
      </c>
      <c r="Q15" s="12">
        <v>45715</v>
      </c>
      <c r="R15" s="12">
        <v>45715</v>
      </c>
      <c r="S15" s="12" t="b">
        <f>ISBLANK(WFTracker[[#This Row],[Completion Date]])</f>
        <v>0</v>
      </c>
      <c r="T15" s="12" t="str">
        <f>TEXT(WFTracker[[#This Row],[Start date]],"mmm-yyyy")</f>
        <v>Feb-2025</v>
      </c>
      <c r="U15" s="11">
        <v>5</v>
      </c>
      <c r="V15" s="11">
        <f>NETWORKDAYS.INTL(WFTracker[[#This Row],[Start date]],WFTracker[[#This Row],[Due date]],1,Holidays!D614:D629)</f>
        <v>7</v>
      </c>
      <c r="W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5" s="24">
        <f ca="1">WFTracker[[#This Row],[Active Time]]-WFTracker[[#This Row],[Completion Days Template]]</f>
        <v>0</v>
      </c>
      <c r="Y15" s="16" t="str">
        <f ca="1" xml:space="preserve"> IF(WFTracker[[#This Row],[Overdue Time '[Expected-Completion']]]&gt;0, "LATE","ON TIME")</f>
        <v>ON TIME</v>
      </c>
      <c r="Z15" s="16" t="str">
        <f ca="1">IF(WFTracker[[#This Row],[Overdue Time '[Expected-Completion']]] &gt;= 15, "SUPER LATE", Y15)</f>
        <v>ON TIME</v>
      </c>
      <c r="AA15" s="37" t="str">
        <f>IF(WFTracker[[#This Row],[Pre RM Opening Time]]&lt;WFTracker[[#This Row],[Old vs New Order Lead Time WF dead line]], "LATE BY ENG", "ON TIME BY ENG")</f>
        <v>ON TIME BY ENG</v>
      </c>
      <c r="AB15" s="37"/>
      <c r="AC15" s="15" t="s">
        <v>29</v>
      </c>
      <c r="AD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-36</v>
      </c>
      <c r="AE15" s="37" t="str">
        <f ca="1">IF(WFTracker[[#This Row],[Impact Time Post RM]]&gt;0, "IMPACTED", "NOT IMPACTED")</f>
        <v>NOT IMPACTED</v>
      </c>
      <c r="AF15" s="15"/>
      <c r="AG15" s="18"/>
      <c r="AH15" s="14" t="str">
        <f>IF(WFTracker[[#This Row],[Status]]="C", "Closed", IF(WFTracker[[#This Row],[Status]] = "x", "Cancelled", WFTracker[[#This Row],[Impact Time Post RM]]))</f>
        <v>Closed</v>
      </c>
      <c r="AI15" s="14" t="str">
        <f ca="1">IF(WFTracker[[#This Row],[Impact Time Post RM]]&lt;=0,"ON TIME","LATE")</f>
        <v>ON TIME</v>
      </c>
      <c r="AJ15" s="14" t="s">
        <v>984</v>
      </c>
      <c r="AK15" s="14">
        <v>18</v>
      </c>
      <c r="AL15" s="915">
        <f>IF(WFTracker[[#This Row],[Type]]="MAKE", WFTracker[[#This Row],[Due date]]+Filters!$J$111, WFTracker[[#This Row],[Due date]]+Filters!$J$135)</f>
        <v>45718.072512647552</v>
      </c>
      <c r="AM15" s="101" cm="1">
        <f t="array" ref="AM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" spans="1:40" ht="14.45">
      <c r="A16" t="str">
        <f>IF(WFTracker[[#This Row],[Order Number]]="SWBD", "QED2", "PZ4")</f>
        <v>PZ4</v>
      </c>
      <c r="B16" s="21" t="s">
        <v>153</v>
      </c>
      <c r="C16" s="21" t="s">
        <v>154</v>
      </c>
      <c r="D16" s="11" t="str">
        <f>WFTracker[[#This Row],[Order Number]]  &amp; "-" &amp; WFTracker[[#This Row],[Item]]</f>
        <v>0050255139-000780</v>
      </c>
      <c r="E16" s="23" t="s">
        <v>155</v>
      </c>
      <c r="F16" s="12">
        <v>45730</v>
      </c>
      <c r="G16" s="12"/>
      <c r="H16" s="11" t="s">
        <v>156</v>
      </c>
      <c r="I16" s="11" t="s">
        <v>111</v>
      </c>
      <c r="J16" s="13" t="s">
        <v>157</v>
      </c>
      <c r="K16" s="14" t="s">
        <v>1017</v>
      </c>
      <c r="L16" s="15" t="s">
        <v>27</v>
      </c>
      <c r="M16" s="15" t="s">
        <v>1120</v>
      </c>
      <c r="N16" s="56">
        <v>45960</v>
      </c>
      <c r="O16" s="15">
        <f>NETWORKDAYS.INTL(WFTracker[[#This Row],[Start date]],WFTracker[[#This Row],[RM]],1,Holidays!D356:D371)</f>
        <v>15</v>
      </c>
      <c r="P16" s="12">
        <v>45712</v>
      </c>
      <c r="Q16" s="12">
        <v>45719</v>
      </c>
      <c r="R16" s="12">
        <v>45727</v>
      </c>
      <c r="S16" s="12" t="b">
        <f>ISBLANK(WFTracker[[#This Row],[Completion Date]])</f>
        <v>0</v>
      </c>
      <c r="T16" s="12" t="str">
        <f>TEXT(WFTracker[[#This Row],[Start date]],"mmm-yyyy")</f>
        <v>Feb-2025</v>
      </c>
      <c r="U16" s="11">
        <v>5</v>
      </c>
      <c r="V16" s="11">
        <f>NETWORKDAYS.INTL(WFTracker[[#This Row],[Start date]],WFTracker[[#This Row],[Due date]],1,Holidays!D356:D371)</f>
        <v>6</v>
      </c>
      <c r="W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6" s="24">
        <f ca="1">WFTracker[[#This Row],[Active Time]]-WFTracker[[#This Row],[Completion Days Template]]</f>
        <v>6</v>
      </c>
      <c r="Y16" s="16" t="str">
        <f ca="1" xml:space="preserve"> IF(WFTracker[[#This Row],[Overdue Time '[Expected-Completion']]]&gt;0, "LATE","ON TIME")</f>
        <v>LATE</v>
      </c>
      <c r="Z16" s="16" t="str">
        <f ca="1">IF(WFTracker[[#This Row],[Overdue Time '[Expected-Completion']]] &gt;= 15, "SUPER LATE", Y16)</f>
        <v>LATE</v>
      </c>
      <c r="AA16" s="37" t="str">
        <f>IF(WFTracker[[#This Row],[Pre RM Opening Time]]&lt;WFTracker[[#This Row],[Old vs New Order Lead Time WF dead line]], "LATE BY ENG", "ON TIME BY ENG")</f>
        <v>ON TIME BY ENG</v>
      </c>
      <c r="AB16" s="37"/>
      <c r="AC16" s="15" t="str">
        <f>IF(WFTracker[[#This Row],[Competion Date Content]] = FALSE, "C", "i")</f>
        <v>C</v>
      </c>
      <c r="AD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6" s="37" t="str">
        <f ca="1">IF(WFTracker[[#This Row],[Impact Time Post RM]]&gt;0, "IMPACTED", "NOT IMPACTED")</f>
        <v>NOT IMPACTED</v>
      </c>
      <c r="AF16" s="15"/>
      <c r="AG16" s="18"/>
      <c r="AH16" s="14" t="str">
        <f>IF(WFTracker[[#This Row],[Status]]="C", "Closed", IF(WFTracker[[#This Row],[Status]] = "x", "Cancelled", WFTracker[[#This Row],[Impact Time Post RM]]))</f>
        <v>Closed</v>
      </c>
      <c r="AI16" s="14" t="str">
        <f ca="1">IF(WFTracker[[#This Row],[Impact Time Post RM]]&lt;=0,"ON TIME","LATE")</f>
        <v>ON TIME</v>
      </c>
      <c r="AJ16" s="14" t="s">
        <v>984</v>
      </c>
      <c r="AK16" s="14">
        <v>18</v>
      </c>
      <c r="AL16" s="915">
        <f>IF(WFTracker[[#This Row],[Type]]="MAKE", WFTracker[[#This Row],[Due date]]+Filters!$J$111, WFTracker[[#This Row],[Due date]]+Filters!$J$135)</f>
        <v>45722.072512647552</v>
      </c>
      <c r="AM16" s="101" cm="1">
        <f t="array" ref="AM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" spans="1:39" ht="14.45">
      <c r="A17" t="str">
        <f>IF(WFTracker[[#This Row],[Order Number]]="SWBD", "QED2", "PZ4")</f>
        <v>PZ4</v>
      </c>
      <c r="B17" s="21" t="s">
        <v>33</v>
      </c>
      <c r="C17" s="21" t="s">
        <v>34</v>
      </c>
      <c r="D17" s="11" t="str">
        <f>WFTracker[[#This Row],[Order Number]]  &amp; "-" &amp; WFTracker[[#This Row],[Item]]</f>
        <v>0050206201-000180</v>
      </c>
      <c r="E17" s="23" t="s">
        <v>35</v>
      </c>
      <c r="F17" s="12">
        <v>45762</v>
      </c>
      <c r="G17" s="12"/>
      <c r="H17" s="11" t="s">
        <v>36</v>
      </c>
      <c r="I17" s="11" t="s">
        <v>37</v>
      </c>
      <c r="J17" s="13" t="s">
        <v>39</v>
      </c>
      <c r="K17" s="14" t="s">
        <v>1023</v>
      </c>
      <c r="L17" s="15" t="s">
        <v>27</v>
      </c>
      <c r="M17" s="15" t="s">
        <v>1120</v>
      </c>
      <c r="N17" s="56">
        <v>45888</v>
      </c>
      <c r="O17" s="15">
        <f>NETWORKDAYS.INTL(WFTracker[[#This Row],[Start date]],WFTracker[[#This Row],[RM]],1,Holidays!D596:D611)</f>
        <v>37</v>
      </c>
      <c r="P17" s="12">
        <v>45712</v>
      </c>
      <c r="Q17" s="12">
        <v>45719</v>
      </c>
      <c r="R17" s="12">
        <v>45715</v>
      </c>
      <c r="S17" s="12" t="b">
        <f>ISBLANK(WFTracker[[#This Row],[Completion Date]])</f>
        <v>0</v>
      </c>
      <c r="T17" s="12" t="str">
        <f>TEXT(WFTracker[[#This Row],[Start date]],"mmm-yyyy")</f>
        <v>Feb-2025</v>
      </c>
      <c r="U17" s="11">
        <v>5</v>
      </c>
      <c r="V17" s="11">
        <f>NETWORKDAYS.INTL(WFTracker[[#This Row],[Start date]],WFTracker[[#This Row],[Due date]],1,Holidays!D596:D611)</f>
        <v>6</v>
      </c>
      <c r="W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17" s="24">
        <f ca="1">WFTracker[[#This Row],[Active Time]]-WFTracker[[#This Row],[Completion Days Template]]</f>
        <v>-2</v>
      </c>
      <c r="Y17" s="16" t="str">
        <f ca="1" xml:space="preserve"> IF(WFTracker[[#This Row],[Overdue Time '[Expected-Completion']]]&gt;0, "LATE","ON TIME")</f>
        <v>ON TIME</v>
      </c>
      <c r="Z17" s="16" t="str">
        <f ca="1">IF(WFTracker[[#This Row],[Overdue Time '[Expected-Completion']]] &gt;= 15, "SUPER LATE", Y17)</f>
        <v>ON TIME</v>
      </c>
      <c r="AA17" s="37" t="str">
        <f>IF(WFTracker[[#This Row],[Pre RM Opening Time]]&lt;WFTracker[[#This Row],[Old vs New Order Lead Time WF dead line]], "LATE BY ENG", "ON TIME BY ENG")</f>
        <v>ON TIME BY ENG</v>
      </c>
      <c r="AB17" s="37"/>
      <c r="AC17" s="15" t="str">
        <f>IF(WFTracker[[#This Row],[Competion Date Content]] = FALSE, "C", "I")</f>
        <v>C</v>
      </c>
      <c r="AD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-33</v>
      </c>
      <c r="AE17" s="37" t="str">
        <f ca="1">IF(WFTracker[[#This Row],[Impact Time Post RM]]&gt;0, "IMPACTED", "NOT IMPACTED")</f>
        <v>NOT IMPACTED</v>
      </c>
      <c r="AF17" s="15"/>
      <c r="AG17" s="18"/>
      <c r="AH17" s="14" t="str">
        <f>IF(WFTracker[[#This Row],[Status]]="C", "Closed", IF(WFTracker[[#This Row],[Status]] = "x", "Cancelled", WFTracker[[#This Row],[Impact Time Post RM]]))</f>
        <v>Closed</v>
      </c>
      <c r="AI17" s="14" t="str">
        <f ca="1">IF(WFTracker[[#This Row],[Impact Time Post RM]]&lt;=0,"ON TIME","LATE")</f>
        <v>ON TIME</v>
      </c>
      <c r="AJ17" s="14" t="s">
        <v>984</v>
      </c>
      <c r="AK17" s="14">
        <v>18</v>
      </c>
      <c r="AL17" s="915">
        <f>IF(WFTracker[[#This Row],[Type]]="MAKE", WFTracker[[#This Row],[Due date]]+Filters!$J$111, WFTracker[[#This Row],[Due date]]+Filters!$J$135)</f>
        <v>45722.072512647552</v>
      </c>
      <c r="AM17" s="101" cm="1">
        <f t="array" ref="AM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" spans="1:39" ht="14.45">
      <c r="A18" t="str">
        <f>IF(WFTracker[[#This Row],[Order Number]]="SWBD", "QED2", "PZ4")</f>
        <v>PZ4</v>
      </c>
      <c r="B18" s="21" t="s">
        <v>33</v>
      </c>
      <c r="C18" s="21" t="s">
        <v>34</v>
      </c>
      <c r="D18" s="11" t="str">
        <f>WFTracker[[#This Row],[Order Number]]  &amp; "-" &amp; WFTracker[[#This Row],[Item]]</f>
        <v>0050206201-000180</v>
      </c>
      <c r="E18" s="23" t="s">
        <v>35</v>
      </c>
      <c r="F18" s="12">
        <v>45762</v>
      </c>
      <c r="G18" s="12"/>
      <c r="H18" s="11" t="s">
        <v>36</v>
      </c>
      <c r="I18" s="11" t="s">
        <v>37</v>
      </c>
      <c r="J18" s="13" t="s">
        <v>42</v>
      </c>
      <c r="K18" s="14" t="s">
        <v>1023</v>
      </c>
      <c r="L18" s="15" t="s">
        <v>27</v>
      </c>
      <c r="M18" s="15" t="s">
        <v>1120</v>
      </c>
      <c r="N18" s="56">
        <v>45888</v>
      </c>
      <c r="O18" s="15">
        <f>NETWORKDAYS.INTL(WFTracker[[#This Row],[Start date]],WFTracker[[#This Row],[RM]],1,Holidays!D597:D612)</f>
        <v>37</v>
      </c>
      <c r="P18" s="12">
        <v>45712</v>
      </c>
      <c r="Q18" s="12">
        <v>45719</v>
      </c>
      <c r="R18" s="12">
        <v>45727</v>
      </c>
      <c r="S18" s="12" t="b">
        <f>ISBLANK(WFTracker[[#This Row],[Completion Date]])</f>
        <v>0</v>
      </c>
      <c r="T18" s="12" t="str">
        <f>TEXT(WFTracker[[#This Row],[Start date]],"mmm-yyyy")</f>
        <v>Feb-2025</v>
      </c>
      <c r="U18" s="11">
        <v>5</v>
      </c>
      <c r="V18" s="11">
        <f>NETWORKDAYS.INTL(WFTracker[[#This Row],[Start date]],WFTracker[[#This Row],[Due date]],1,Holidays!D597:D612)</f>
        <v>6</v>
      </c>
      <c r="W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8" s="24">
        <f ca="1">WFTracker[[#This Row],[Active Time]]-WFTracker[[#This Row],[Completion Days Template]]</f>
        <v>6</v>
      </c>
      <c r="Y18" s="16" t="str">
        <f ca="1" xml:space="preserve"> IF(WFTracker[[#This Row],[Overdue Time '[Expected-Completion']]]&gt;0, "LATE","ON TIME")</f>
        <v>LATE</v>
      </c>
      <c r="Z18" s="16" t="str">
        <f ca="1">IF(WFTracker[[#This Row],[Overdue Time '[Expected-Completion']]] &gt;= 15, "SUPER LATE", Y18)</f>
        <v>LATE</v>
      </c>
      <c r="AA18" s="37" t="str">
        <f>IF(WFTracker[[#This Row],[Pre RM Opening Time]]&lt;WFTracker[[#This Row],[Old vs New Order Lead Time WF dead line]], "LATE BY ENG", "ON TIME BY ENG")</f>
        <v>ON TIME BY ENG</v>
      </c>
      <c r="AB18" s="37"/>
      <c r="AC18" s="15" t="str">
        <f>IF(WFTracker[[#This Row],[Competion Date Content]] = FALSE, "C", "I")</f>
        <v>C</v>
      </c>
      <c r="AD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-25</v>
      </c>
      <c r="AE18" s="37" t="str">
        <f ca="1">IF(WFTracker[[#This Row],[Impact Time Post RM]]&gt;0, "IMPACTED", "NOT IMPACTED")</f>
        <v>NOT IMPACTED</v>
      </c>
      <c r="AF18" s="15"/>
      <c r="AG18" s="18"/>
      <c r="AH18" s="14" t="str">
        <f>IF(WFTracker[[#This Row],[Status]]="C", "Closed", IF(WFTracker[[#This Row],[Status]] = "x", "Cancelled", WFTracker[[#This Row],[Impact Time Post RM]]))</f>
        <v>Closed</v>
      </c>
      <c r="AI18" s="14" t="str">
        <f ca="1">IF(WFTracker[[#This Row],[Impact Time Post RM]]&lt;=0,"ON TIME","LATE")</f>
        <v>ON TIME</v>
      </c>
      <c r="AJ18" s="14" t="s">
        <v>984</v>
      </c>
      <c r="AK18" s="14">
        <v>18</v>
      </c>
      <c r="AL18" s="915">
        <f>IF(WFTracker[[#This Row],[Type]]="MAKE", WFTracker[[#This Row],[Due date]]+Filters!$J$111, WFTracker[[#This Row],[Due date]]+Filters!$J$135)</f>
        <v>45722.072512647552</v>
      </c>
      <c r="AM18" s="101" cm="1">
        <f t="array" ref="AM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" spans="1:39" ht="14.45">
      <c r="A19" t="str">
        <f>IF(WFTracker[[#This Row],[Order Number]]="SWBD", "QED2", "PZ4")</f>
        <v>PZ4</v>
      </c>
      <c r="B19" s="21" t="s">
        <v>33</v>
      </c>
      <c r="C19" s="21" t="s">
        <v>34</v>
      </c>
      <c r="D19" s="11" t="str">
        <f>WFTracker[[#This Row],[Order Number]]  &amp; "-" &amp; WFTracker[[#This Row],[Item]]</f>
        <v>0050206201-000180</v>
      </c>
      <c r="E19" s="23" t="s">
        <v>35</v>
      </c>
      <c r="F19" s="12">
        <v>45762</v>
      </c>
      <c r="G19" s="12"/>
      <c r="H19" s="11" t="s">
        <v>36</v>
      </c>
      <c r="I19" s="11" t="s">
        <v>37</v>
      </c>
      <c r="J19" s="13" t="s">
        <v>48</v>
      </c>
      <c r="K19" s="14" t="s">
        <v>1023</v>
      </c>
      <c r="L19" s="15" t="s">
        <v>27</v>
      </c>
      <c r="M19" s="15" t="s">
        <v>1120</v>
      </c>
      <c r="N19" s="56">
        <v>45888</v>
      </c>
      <c r="O19" s="15">
        <f>NETWORKDAYS.INTL(WFTracker[[#This Row],[Start date]],WFTracker[[#This Row],[RM]],1,Holidays!D598:D613)</f>
        <v>37</v>
      </c>
      <c r="P19" s="12">
        <v>45712</v>
      </c>
      <c r="Q19" s="12">
        <v>45719</v>
      </c>
      <c r="R19" s="12">
        <v>45727</v>
      </c>
      <c r="S19" s="12" t="b">
        <f>ISBLANK(WFTracker[[#This Row],[Completion Date]])</f>
        <v>0</v>
      </c>
      <c r="T19" s="12" t="str">
        <f>TEXT(WFTracker[[#This Row],[Start date]],"mmm-yyyy")</f>
        <v>Feb-2025</v>
      </c>
      <c r="U19" s="11">
        <v>5</v>
      </c>
      <c r="V19" s="11">
        <f>NETWORKDAYS.INTL(WFTracker[[#This Row],[Start date]],WFTracker[[#This Row],[Due date]],1,Holidays!D598:D613)</f>
        <v>6</v>
      </c>
      <c r="W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9" s="24">
        <f ca="1">WFTracker[[#This Row],[Active Time]]-WFTracker[[#This Row],[Completion Days Template]]</f>
        <v>6</v>
      </c>
      <c r="Y19" s="16" t="str">
        <f ca="1" xml:space="preserve"> IF(WFTracker[[#This Row],[Overdue Time '[Expected-Completion']]]&gt;0, "LATE","ON TIME")</f>
        <v>LATE</v>
      </c>
      <c r="Z19" s="16" t="str">
        <f ca="1">IF(WFTracker[[#This Row],[Overdue Time '[Expected-Completion']]] &gt;= 15, "SUPER LATE", Y19)</f>
        <v>LATE</v>
      </c>
      <c r="AA19" s="37" t="str">
        <f>IF(WFTracker[[#This Row],[Pre RM Opening Time]]&lt;WFTracker[[#This Row],[Old vs New Order Lead Time WF dead line]], "LATE BY ENG", "ON TIME BY ENG")</f>
        <v>ON TIME BY ENG</v>
      </c>
      <c r="AB19" s="37"/>
      <c r="AC19" s="15" t="s">
        <v>29</v>
      </c>
      <c r="AD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-25</v>
      </c>
      <c r="AE19" s="37" t="str">
        <f ca="1">IF(WFTracker[[#This Row],[Impact Time Post RM]]&gt;0, "IMPACTED", "NOT IMPACTED")</f>
        <v>NOT IMPACTED</v>
      </c>
      <c r="AF19" s="15"/>
      <c r="AG19" s="18"/>
      <c r="AH19" s="14" t="str">
        <f>IF(WFTracker[[#This Row],[Status]]="C", "Closed", IF(WFTracker[[#This Row],[Status]] = "x", "Cancelled", WFTracker[[#This Row],[Impact Time Post RM]]))</f>
        <v>Closed</v>
      </c>
      <c r="AI19" s="14" t="str">
        <f ca="1">IF(WFTracker[[#This Row],[Impact Time Post RM]]&lt;=0,"ON TIME","LATE")</f>
        <v>ON TIME</v>
      </c>
      <c r="AJ19" s="14" t="s">
        <v>984</v>
      </c>
      <c r="AK19" s="14">
        <v>18</v>
      </c>
      <c r="AL19" s="915">
        <f>IF(WFTracker[[#This Row],[Type]]="MAKE", WFTracker[[#This Row],[Due date]]+Filters!$J$111, WFTracker[[#This Row],[Due date]]+Filters!$J$135)</f>
        <v>45722.072512647552</v>
      </c>
      <c r="AM19" s="101" cm="1">
        <f t="array" ref="AM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" spans="1:39" ht="14.45">
      <c r="A20" t="str">
        <f>IF(WFTracker[[#This Row],[Order Number]]="SWBD", "QED2", "PZ4")</f>
        <v>PZ4</v>
      </c>
      <c r="B20" s="21" t="s">
        <v>33</v>
      </c>
      <c r="C20" s="21" t="s">
        <v>34</v>
      </c>
      <c r="D20" s="11" t="str">
        <f>WFTracker[[#This Row],[Order Number]]  &amp; "-" &amp; WFTracker[[#This Row],[Item]]</f>
        <v>0050206201-000180</v>
      </c>
      <c r="E20" s="23" t="s">
        <v>35</v>
      </c>
      <c r="F20" s="12">
        <v>45762</v>
      </c>
      <c r="G20" s="12"/>
      <c r="H20" s="11" t="s">
        <v>36</v>
      </c>
      <c r="I20" s="11" t="s">
        <v>37</v>
      </c>
      <c r="J20" s="13" t="s">
        <v>1122</v>
      </c>
      <c r="K20" s="14" t="s">
        <v>1023</v>
      </c>
      <c r="L20" s="15" t="s">
        <v>27</v>
      </c>
      <c r="M20" s="15" t="s">
        <v>1120</v>
      </c>
      <c r="N20" s="56">
        <v>45888</v>
      </c>
      <c r="O20" s="15">
        <f>NETWORKDAYS.INTL(WFTracker[[#This Row],[Start date]],WFTracker[[#This Row],[RM]],1,Holidays!D599:D614)</f>
        <v>37</v>
      </c>
      <c r="P20" s="12">
        <v>45712</v>
      </c>
      <c r="Q20" s="12">
        <v>45720</v>
      </c>
      <c r="R20" s="12">
        <v>45720</v>
      </c>
      <c r="S20" s="12" t="b">
        <f>ISBLANK(WFTracker[[#This Row],[Completion Date]])</f>
        <v>0</v>
      </c>
      <c r="T20" s="12" t="str">
        <f>TEXT(WFTracker[[#This Row],[Start date]],"mmm-yyyy")</f>
        <v>Feb-2025</v>
      </c>
      <c r="U20" s="11">
        <v>5</v>
      </c>
      <c r="V20" s="11">
        <f>NETWORKDAYS.INTL(WFTracker[[#This Row],[Start date]],WFTracker[[#This Row],[Due date]],1,Holidays!D599:D614)</f>
        <v>7</v>
      </c>
      <c r="W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0" s="24">
        <f ca="1">WFTracker[[#This Row],[Active Time]]-WFTracker[[#This Row],[Completion Days Template]]</f>
        <v>0</v>
      </c>
      <c r="Y20" s="16" t="str">
        <f ca="1" xml:space="preserve"> IF(WFTracker[[#This Row],[Overdue Time '[Expected-Completion']]]&gt;0, "LATE","ON TIME")</f>
        <v>ON TIME</v>
      </c>
      <c r="Z20" s="16" t="str">
        <f ca="1">IF(WFTracker[[#This Row],[Overdue Time '[Expected-Completion']]] &gt;= 15, "SUPER LATE", Y20)</f>
        <v>ON TIME</v>
      </c>
      <c r="AA20" s="37" t="str">
        <f>IF(WFTracker[[#This Row],[Pre RM Opening Time]]&lt;WFTracker[[#This Row],[Old vs New Order Lead Time WF dead line]], "LATE BY ENG", "ON TIME BY ENG")</f>
        <v>ON TIME BY ENG</v>
      </c>
      <c r="AB20" s="37"/>
      <c r="AC20" s="15" t="s">
        <v>29</v>
      </c>
      <c r="AD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-30</v>
      </c>
      <c r="AE20" s="37" t="str">
        <f ca="1">IF(WFTracker[[#This Row],[Impact Time Post RM]]&gt;0, "IMPACTED", "NOT IMPACTED")</f>
        <v>NOT IMPACTED</v>
      </c>
      <c r="AF20" s="15"/>
      <c r="AG20" s="18"/>
      <c r="AH20" s="14" t="str">
        <f>IF(WFTracker[[#This Row],[Status]]="C", "Closed", IF(WFTracker[[#This Row],[Status]] = "x", "Cancelled", WFTracker[[#This Row],[Impact Time Post RM]]))</f>
        <v>Closed</v>
      </c>
      <c r="AI20" s="14" t="str">
        <f ca="1">IF(WFTracker[[#This Row],[Impact Time Post RM]]&lt;=0,"ON TIME","LATE")</f>
        <v>ON TIME</v>
      </c>
      <c r="AJ20" s="14" t="s">
        <v>984</v>
      </c>
      <c r="AK20" s="14">
        <v>18</v>
      </c>
      <c r="AL20" s="915">
        <f>IF(WFTracker[[#This Row],[Type]]="MAKE", WFTracker[[#This Row],[Due date]]+Filters!$J$111, WFTracker[[#This Row],[Due date]]+Filters!$J$135)</f>
        <v>45723.072512647552</v>
      </c>
      <c r="AM20" s="101" cm="1">
        <f t="array" ref="AM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" spans="1:39" ht="14.45">
      <c r="A21" t="str">
        <f>IF(WFTracker[[#This Row],[Order Number]]="SWBD", "QED2", "PZ4")</f>
        <v>PZ4</v>
      </c>
      <c r="B21" s="21" t="s">
        <v>33</v>
      </c>
      <c r="C21" s="21" t="s">
        <v>34</v>
      </c>
      <c r="D21" s="11" t="str">
        <f>WFTracker[[#This Row],[Order Number]]  &amp; "-" &amp; WFTracker[[#This Row],[Item]]</f>
        <v>0050206201-000180</v>
      </c>
      <c r="E21" s="23" t="s">
        <v>35</v>
      </c>
      <c r="F21" s="12">
        <v>45762</v>
      </c>
      <c r="G21" s="12"/>
      <c r="H21" s="11" t="s">
        <v>36</v>
      </c>
      <c r="I21" s="11" t="s">
        <v>37</v>
      </c>
      <c r="J21" s="13" t="s">
        <v>45</v>
      </c>
      <c r="K21" s="14" t="s">
        <v>1023</v>
      </c>
      <c r="L21" s="15" t="s">
        <v>27</v>
      </c>
      <c r="M21" s="15" t="s">
        <v>1120</v>
      </c>
      <c r="N21" s="56">
        <v>45888</v>
      </c>
      <c r="O21" s="15">
        <f>NETWORKDAYS.INTL(WFTracker[[#This Row],[Start date]],WFTracker[[#This Row],[RM]],1,Holidays!D600:D615)</f>
        <v>37</v>
      </c>
      <c r="P21" s="12">
        <v>45712</v>
      </c>
      <c r="Q21" s="12">
        <v>45722</v>
      </c>
      <c r="R21" s="12">
        <v>45712</v>
      </c>
      <c r="S21" s="12" t="b">
        <f>ISBLANK(WFTracker[[#This Row],[Completion Date]])</f>
        <v>0</v>
      </c>
      <c r="T21" s="12" t="str">
        <f>TEXT(WFTracker[[#This Row],[Start date]],"mmm-yyyy")</f>
        <v>Feb-2025</v>
      </c>
      <c r="U21" s="11">
        <v>5</v>
      </c>
      <c r="V21" s="11">
        <f>NETWORKDAYS.INTL(WFTracker[[#This Row],[Start date]],WFTracker[[#This Row],[Due date]],1,Holidays!D600:D615)</f>
        <v>9</v>
      </c>
      <c r="W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</v>
      </c>
      <c r="X21" s="24">
        <f ca="1">WFTracker[[#This Row],[Active Time]]-WFTracker[[#This Row],[Completion Days Template]]</f>
        <v>-8</v>
      </c>
      <c r="Y21" s="16" t="str">
        <f ca="1" xml:space="preserve"> IF(WFTracker[[#This Row],[Overdue Time '[Expected-Completion']]]&gt;0, "LATE","ON TIME")</f>
        <v>ON TIME</v>
      </c>
      <c r="Z21" s="16" t="str">
        <f ca="1">IF(WFTracker[[#This Row],[Overdue Time '[Expected-Completion']]] &gt;= 15, "SUPER LATE", Y21)</f>
        <v>ON TIME</v>
      </c>
      <c r="AA21" s="37" t="str">
        <f>IF(WFTracker[[#This Row],[Pre RM Opening Time]]&lt;WFTracker[[#This Row],[Old vs New Order Lead Time WF dead line]], "LATE BY ENG", "ON TIME BY ENG")</f>
        <v>ON TIME BY ENG</v>
      </c>
      <c r="AB21" s="37"/>
      <c r="AC21" s="15" t="s">
        <v>1011</v>
      </c>
      <c r="AD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-36</v>
      </c>
      <c r="AE21" s="37" t="str">
        <f ca="1">IF(WFTracker[[#This Row],[Impact Time Post RM]]&gt;0, "IMPACTED", "NOT IMPACTED")</f>
        <v>NOT IMPACTED</v>
      </c>
      <c r="AF21" s="15"/>
      <c r="AG21" s="18"/>
      <c r="AH21" s="14" t="str">
        <f>IF(WFTracker[[#This Row],[Status]]="C", "Closed", IF(WFTracker[[#This Row],[Status]] = "x", "Cancelled", WFTracker[[#This Row],[Impact Time Post RM]]))</f>
        <v>Cancelled</v>
      </c>
      <c r="AI21" s="14" t="str">
        <f ca="1">IF(WFTracker[[#This Row],[Impact Time Post RM]]&lt;=0,"ON TIME","LATE")</f>
        <v>ON TIME</v>
      </c>
      <c r="AJ21" s="14" t="s">
        <v>984</v>
      </c>
      <c r="AK21" s="14">
        <v>0</v>
      </c>
      <c r="AL21" s="915">
        <f>IF(WFTracker[[#This Row],[Type]]="MAKE", WFTracker[[#This Row],[Due date]]+Filters!$J$111, WFTracker[[#This Row],[Due date]]+Filters!$J$135)</f>
        <v>45725.072512647552</v>
      </c>
      <c r="AM21" s="101" cm="1">
        <f t="array" ref="AM21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2" spans="1:39" ht="14.45">
      <c r="A22" t="str">
        <f>IF(WFTracker[[#This Row],[Order Number]]="SWBD", "QED2", "PZ4")</f>
        <v>PZ4</v>
      </c>
      <c r="B22" s="21" t="s">
        <v>33</v>
      </c>
      <c r="C22" s="21" t="s">
        <v>34</v>
      </c>
      <c r="D22" s="11" t="str">
        <f>WFTracker[[#This Row],[Order Number]]  &amp; "-" &amp; WFTracker[[#This Row],[Item]]</f>
        <v>0050206201-000180</v>
      </c>
      <c r="E22" s="23" t="s">
        <v>35</v>
      </c>
      <c r="F22" s="12">
        <v>45762</v>
      </c>
      <c r="G22" s="12"/>
      <c r="H22" s="11" t="s">
        <v>36</v>
      </c>
      <c r="I22" s="11" t="s">
        <v>37</v>
      </c>
      <c r="J22" s="13" t="s">
        <v>51</v>
      </c>
      <c r="K22" s="14" t="s">
        <v>1023</v>
      </c>
      <c r="L22" s="15" t="s">
        <v>40</v>
      </c>
      <c r="M22" s="15" t="s">
        <v>1120</v>
      </c>
      <c r="N22" s="56">
        <v>45888</v>
      </c>
      <c r="O22" s="15">
        <f>NETWORKDAYS.INTL(WFTracker[[#This Row],[Start date]],WFTracker[[#This Row],[RM]],1,Holidays!D593:D608)</f>
        <v>36</v>
      </c>
      <c r="P22" s="12">
        <v>45713</v>
      </c>
      <c r="Q22" s="12">
        <v>45723</v>
      </c>
      <c r="R22" s="12">
        <v>45722</v>
      </c>
      <c r="S22" s="12" t="b">
        <f>ISBLANK(WFTracker[[#This Row],[Completion Date]])</f>
        <v>0</v>
      </c>
      <c r="T22" s="12" t="str">
        <f>TEXT(WFTracker[[#This Row],[Start date]],"mmm-yyyy")</f>
        <v>Feb-2025</v>
      </c>
      <c r="U22" s="11">
        <v>5</v>
      </c>
      <c r="V22" s="11">
        <f>NETWORKDAYS.INTL(WFTracker[[#This Row],[Start date]],WFTracker[[#This Row],[Due date]],1,Holidays!D593:D608)</f>
        <v>9</v>
      </c>
      <c r="W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2" s="24">
        <f ca="1">WFTracker[[#This Row],[Active Time]]-WFTracker[[#This Row],[Completion Days Template]]</f>
        <v>-1</v>
      </c>
      <c r="Y22" s="16" t="str">
        <f ca="1" xml:space="preserve"> IF(WFTracker[[#This Row],[Overdue Time '[Expected-Completion']]]&gt;0, "LATE","ON TIME")</f>
        <v>ON TIME</v>
      </c>
      <c r="Z22" s="16" t="str">
        <f ca="1">IF(WFTracker[[#This Row],[Overdue Time '[Expected-Completion']]] &gt;= 15, "SUPER LATE", Y22)</f>
        <v>ON TIME</v>
      </c>
      <c r="AA22" s="37" t="str">
        <f>IF(WFTracker[[#This Row],[Pre RM Opening Time]]&lt;WFTracker[[#This Row],[Old vs New Order Lead Time WF dead line]], "LATE BY ENG", "ON TIME BY ENG")</f>
        <v>ON TIME BY ENG</v>
      </c>
      <c r="AB22" s="37"/>
      <c r="AC22" s="15" t="s">
        <v>29</v>
      </c>
      <c r="AD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22" s="25" t="str">
        <f ca="1">IF(WFTracker[[#This Row],[Impact Time Post RM]]&gt;0, "IMPACTED", "NOT IMPACTED")</f>
        <v>NOT IMPACTED</v>
      </c>
      <c r="AF22" s="15"/>
      <c r="AG22" s="18"/>
      <c r="AH22" s="14" t="str">
        <f>IF(WFTracker[[#This Row],[Status]]="C", "Closed", IF(WFTracker[[#This Row],[Status]] = "x", "Cancelled", WFTracker[[#This Row],[Impact Time Post RM]]))</f>
        <v>Closed</v>
      </c>
      <c r="AI22" s="14" t="str">
        <f ca="1">IF(WFTracker[[#This Row],[Impact Time Post RM]]&lt;=0,"ON TIME","LATE")</f>
        <v>ON TIME</v>
      </c>
      <c r="AJ22" s="14" t="s">
        <v>984</v>
      </c>
      <c r="AK22" s="14">
        <v>17</v>
      </c>
      <c r="AL22" s="915">
        <f>IF(WFTracker[[#This Row],[Type]]="MAKE", WFTracker[[#This Row],[Due date]]+Filters!$J$111, WFTracker[[#This Row],[Due date]]+Filters!$J$135)</f>
        <v>45723.415686274508</v>
      </c>
      <c r="AM22" s="101" cm="1">
        <f t="array" ref="AM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" spans="1:39" ht="14.45">
      <c r="A23" t="str">
        <f>IF(WFTracker[[#This Row],[Order Number]]="SWBD", "QED2", "PZ4")</f>
        <v>PZ4</v>
      </c>
      <c r="B23" s="21" t="s">
        <v>21</v>
      </c>
      <c r="C23" s="21" t="s">
        <v>1121</v>
      </c>
      <c r="D23" s="11" t="str">
        <f>WFTracker[[#This Row],[Order Number]]  &amp; "-" &amp; WFTracker[[#This Row],[Item]]</f>
        <v>0051035283-0000010&amp;0000050</v>
      </c>
      <c r="E23" s="23" t="s">
        <v>22</v>
      </c>
      <c r="F23" s="12">
        <v>45709</v>
      </c>
      <c r="G23" s="12"/>
      <c r="H23" s="11" t="s">
        <v>23</v>
      </c>
      <c r="I23" s="11" t="s">
        <v>24</v>
      </c>
      <c r="J23" s="13" t="s">
        <v>32</v>
      </c>
      <c r="K23" s="14" t="s">
        <v>1023</v>
      </c>
      <c r="L23" s="15" t="s">
        <v>27</v>
      </c>
      <c r="M23" s="15" t="s">
        <v>1120</v>
      </c>
      <c r="N23" s="56">
        <v>45835</v>
      </c>
      <c r="O23" s="15">
        <f>NETWORKDAYS.INTL(WFTracker[[#This Row],[Start date]],WFTracker[[#This Row],[RM]],1,Holidays!D53:D68)</f>
        <v>-4</v>
      </c>
      <c r="P23" s="12">
        <v>45714</v>
      </c>
      <c r="Q23" s="12">
        <v>45722</v>
      </c>
      <c r="R23" s="12">
        <v>45722</v>
      </c>
      <c r="S23" s="12" t="b">
        <f>ISBLANK(WFTracker[[#This Row],[Completion Date]])</f>
        <v>0</v>
      </c>
      <c r="T23" s="12" t="str">
        <f>TEXT(WFTracker[[#This Row],[Start date]],"mmm-yyyy")</f>
        <v>Feb-2025</v>
      </c>
      <c r="U23" s="11">
        <v>5</v>
      </c>
      <c r="V23" s="11">
        <f>NETWORKDAYS.INTL(WFTracker[[#This Row],[Start date]],WFTracker[[#This Row],[Due date]],1,Holidays!D53:D68)</f>
        <v>7</v>
      </c>
      <c r="W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3" s="24">
        <f ca="1">WFTracker[[#This Row],[Active Time]]-WFTracker[[#This Row],[Completion Days Template]]</f>
        <v>0</v>
      </c>
      <c r="Y23" s="16" t="str">
        <f ca="1" xml:space="preserve"> IF(WFTracker[[#This Row],[Overdue Time '[Expected-Completion']]]&gt;0, "LATE","ON TIME")</f>
        <v>ON TIME</v>
      </c>
      <c r="Z23" s="16" t="str">
        <f ca="1">IF(WFTracker[[#This Row],[Overdue Time '[Expected-Completion']]] &gt;= 15, "SUPER LATE", Y23)</f>
        <v>ON TIME</v>
      </c>
      <c r="AA23" s="37" t="str">
        <f>IF(WFTracker[[#This Row],[Pre RM Opening Time]]&lt;WFTracker[[#This Row],[Old vs New Order Lead Time WF dead line]], "LATE BY ENG", "ON TIME BY ENG")</f>
        <v>LATE BY ENG</v>
      </c>
      <c r="AB23" s="37"/>
      <c r="AC23" s="15" t="str">
        <f>IF(WFTracker[[#This Row],[Competion Date Content]] = FALSE, "C", "I")</f>
        <v>C</v>
      </c>
      <c r="AD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23" s="37" t="str">
        <f ca="1">IF(WFTracker[[#This Row],[Impact Time Post RM]]&gt;0, "IMPACTED", "NOT IMPACTED")</f>
        <v>IMPACTED</v>
      </c>
      <c r="AF23" s="15"/>
      <c r="AG23" s="18"/>
      <c r="AH23" s="14" t="str">
        <f>IF(WFTracker[[#This Row],[Status]]="C", "Closed", IF(WFTracker[[#This Row],[Status]] = "x", "Cancelled", WFTracker[[#This Row],[Impact Time Post RM]]))</f>
        <v>Closed</v>
      </c>
      <c r="AI23" s="14" t="str">
        <f ca="1">IF(WFTracker[[#This Row],[Impact Time Post RM]]&lt;=0,"ON TIME","LATE")</f>
        <v>LATE</v>
      </c>
      <c r="AJ23" s="14" t="s">
        <v>984</v>
      </c>
      <c r="AK23" s="14">
        <v>18</v>
      </c>
      <c r="AL23" s="915">
        <f>IF(WFTracker[[#This Row],[Type]]="MAKE", WFTracker[[#This Row],[Due date]]+Filters!$J$111, WFTracker[[#This Row],[Due date]]+Filters!$J$135)</f>
        <v>45725.072512647552</v>
      </c>
      <c r="AM23" s="101" cm="1">
        <f t="array" ref="AM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" spans="1:39" ht="14.45">
      <c r="A24" t="str">
        <f>IF(WFTracker[[#This Row],[Order Number]]="SWBD", "QED2", "PZ4")</f>
        <v>PZ4</v>
      </c>
      <c r="B24" s="21" t="s">
        <v>153</v>
      </c>
      <c r="C24" s="21" t="s">
        <v>154</v>
      </c>
      <c r="D24" s="11" t="str">
        <f>WFTracker[[#This Row],[Order Number]]  &amp; "-" &amp; WFTracker[[#This Row],[Item]]</f>
        <v>0050255139-000780</v>
      </c>
      <c r="E24" s="23" t="s">
        <v>155</v>
      </c>
      <c r="F24" s="12">
        <v>45730</v>
      </c>
      <c r="G24" s="12"/>
      <c r="H24" s="11" t="s">
        <v>156</v>
      </c>
      <c r="I24" s="11" t="s">
        <v>111</v>
      </c>
      <c r="J24" s="13" t="s">
        <v>160</v>
      </c>
      <c r="K24" s="14" t="s">
        <v>1017</v>
      </c>
      <c r="L24" s="15" t="s">
        <v>27</v>
      </c>
      <c r="M24" s="15" t="s">
        <v>1120</v>
      </c>
      <c r="N24" s="56">
        <v>45960</v>
      </c>
      <c r="O24" s="15">
        <f>NETWORKDAYS.INTL(WFTracker[[#This Row],[Start date]],WFTracker[[#This Row],[RM]],1,Holidays!D304:D319)</f>
        <v>13</v>
      </c>
      <c r="P24" s="12">
        <v>45714</v>
      </c>
      <c r="Q24" s="12">
        <v>45721</v>
      </c>
      <c r="R24" s="12">
        <v>45722</v>
      </c>
      <c r="S24" s="12" t="b">
        <f>ISBLANK(WFTracker[[#This Row],[Completion Date]])</f>
        <v>0</v>
      </c>
      <c r="T24" s="12" t="str">
        <f>TEXT(WFTracker[[#This Row],[Start date]],"mmm-yyyy")</f>
        <v>Feb-2025</v>
      </c>
      <c r="U24" s="11">
        <v>5</v>
      </c>
      <c r="V24" s="11">
        <f>NETWORKDAYS.INTL(WFTracker[[#This Row],[Start date]],WFTracker[[#This Row],[Due date]],1,Holidays!D304:D319)</f>
        <v>6</v>
      </c>
      <c r="W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4" s="24">
        <f ca="1">WFTracker[[#This Row],[Active Time]]-WFTracker[[#This Row],[Completion Days Template]]</f>
        <v>1</v>
      </c>
      <c r="Y24" s="16" t="str">
        <f ca="1" xml:space="preserve"> IF(WFTracker[[#This Row],[Overdue Time '[Expected-Completion']]]&gt;0, "LATE","ON TIME")</f>
        <v>LATE</v>
      </c>
      <c r="Z24" s="16" t="str">
        <f ca="1">IF(WFTracker[[#This Row],[Overdue Time '[Expected-Completion']]] &gt;= 15, "SUPER LATE", Y24)</f>
        <v>LATE</v>
      </c>
      <c r="AA24" s="37" t="str">
        <f>IF(WFTracker[[#This Row],[Pre RM Opening Time]]&lt;WFTracker[[#This Row],[Old vs New Order Lead Time WF dead line]], "LATE BY ENG", "ON TIME BY ENG")</f>
        <v>ON TIME BY ENG</v>
      </c>
      <c r="AB24" s="37"/>
      <c r="AC24" s="15" t="str">
        <f>IF(WFTracker[[#This Row],[Competion Date Content]] = FALSE, "C", "i")</f>
        <v>C</v>
      </c>
      <c r="AD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24" s="37" t="str">
        <f ca="1">IF(WFTracker[[#This Row],[Impact Time Post RM]]&gt;0, "IMPACTED", "NOT IMPACTED")</f>
        <v>NOT IMPACTED</v>
      </c>
      <c r="AF24" s="15"/>
      <c r="AG24" s="18"/>
      <c r="AH24" s="14" t="str">
        <f>IF(WFTracker[[#This Row],[Status]]="C", "Closed", IF(WFTracker[[#This Row],[Status]] = "x", "Cancelled", WFTracker[[#This Row],[Impact Time Post RM]]))</f>
        <v>Closed</v>
      </c>
      <c r="AI24" s="14" t="str">
        <f ca="1">IF(WFTracker[[#This Row],[Impact Time Post RM]]&lt;=0,"ON TIME","LATE")</f>
        <v>ON TIME</v>
      </c>
      <c r="AJ24" s="14" t="s">
        <v>984</v>
      </c>
      <c r="AK24" s="14">
        <v>18</v>
      </c>
      <c r="AL24" s="915">
        <f>IF(WFTracker[[#This Row],[Type]]="MAKE", WFTracker[[#This Row],[Due date]]+Filters!$J$111, WFTracker[[#This Row],[Due date]]+Filters!$J$135)</f>
        <v>45724.072512647552</v>
      </c>
      <c r="AM24" s="101" cm="1">
        <f t="array" ref="AM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" spans="1:39" ht="14.45">
      <c r="A25" t="str">
        <f>IF(WFTracker[[#This Row],[Order Number]]="SWBD", "QED2", "PZ4")</f>
        <v>PZ4</v>
      </c>
      <c r="B25" s="21" t="s">
        <v>134</v>
      </c>
      <c r="C25" s="21" t="s">
        <v>135</v>
      </c>
      <c r="D25" s="11" t="str">
        <f>WFTracker[[#This Row],[Order Number]]  &amp; "-" &amp; WFTracker[[#This Row],[Item]]</f>
        <v>0050959328-000010</v>
      </c>
      <c r="E25" s="23" t="s">
        <v>136</v>
      </c>
      <c r="F25" s="12">
        <v>45726</v>
      </c>
      <c r="G25" s="12"/>
      <c r="H25" s="11" t="s">
        <v>137</v>
      </c>
      <c r="I25" s="11" t="s">
        <v>24</v>
      </c>
      <c r="J25" s="13" t="s">
        <v>138</v>
      </c>
      <c r="K25" s="14" t="s">
        <v>1023</v>
      </c>
      <c r="L25" s="15" t="s">
        <v>40</v>
      </c>
      <c r="M25" s="15" t="s">
        <v>1120</v>
      </c>
      <c r="N25" s="56">
        <v>45835</v>
      </c>
      <c r="O25" s="15">
        <f>NETWORKDAYS.INTL(WFTracker[[#This Row],[Start date]],WFTracker[[#This Row],[RM]],1,Holidays!D102:D117)</f>
        <v>6</v>
      </c>
      <c r="P25" s="12">
        <v>45719</v>
      </c>
      <c r="Q25" s="12">
        <v>45719</v>
      </c>
      <c r="R25" s="12">
        <v>45727</v>
      </c>
      <c r="S25" s="12" t="b">
        <f>ISBLANK(WFTracker[[#This Row],[Completion Date]])</f>
        <v>0</v>
      </c>
      <c r="T25" s="12" t="str">
        <f>TEXT(WFTracker[[#This Row],[Start date]],"mmm-yyyy")</f>
        <v>Mar-2025</v>
      </c>
      <c r="U25" s="11">
        <v>5</v>
      </c>
      <c r="V25" s="11">
        <f>NETWORKDAYS.INTL(WFTracker[[#This Row],[Start date]],WFTracker[[#This Row],[Due date]],1,Holidays!D102:D117)</f>
        <v>1</v>
      </c>
      <c r="W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5" s="24">
        <f ca="1">WFTracker[[#This Row],[Active Time]]-WFTracker[[#This Row],[Completion Days Template]]</f>
        <v>6</v>
      </c>
      <c r="Y25" s="16" t="str">
        <f ca="1" xml:space="preserve"> IF(WFTracker[[#This Row],[Overdue Time '[Expected-Completion']]]&gt;0, "LATE","ON TIME")</f>
        <v>LATE</v>
      </c>
      <c r="Z25" s="16" t="str">
        <f ca="1">IF(WFTracker[[#This Row],[Overdue Time '[Expected-Completion']]] &gt;= 15, "SUPER LATE", Y25)</f>
        <v>LATE</v>
      </c>
      <c r="AA25" s="37" t="str">
        <f>IF(WFTracker[[#This Row],[Pre RM Opening Time]]&lt;WFTracker[[#This Row],[Old vs New Order Lead Time WF dead line]], "LATE BY ENG", "ON TIME BY ENG")</f>
        <v>ON TIME BY ENG</v>
      </c>
      <c r="AB25" s="37"/>
      <c r="AC25" s="15" t="str">
        <f>IF(WFTracker[[#This Row],[Competion Date Content]] = FALSE, "C", "i")</f>
        <v>C</v>
      </c>
      <c r="AD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5" s="37" t="str">
        <f ca="1">IF(WFTracker[[#This Row],[Impact Time Post RM]]&gt;0, "IMPACTED", "NOT IMPACTED")</f>
        <v>IMPACTED</v>
      </c>
      <c r="AF25" s="15"/>
      <c r="AG25" s="18"/>
      <c r="AH25" s="14" t="str">
        <f>IF(WFTracker[[#This Row],[Status]]="C", "Closed", IF(WFTracker[[#This Row],[Status]] = "x", "Cancelled", WFTracker[[#This Row],[Impact Time Post RM]]))</f>
        <v>Closed</v>
      </c>
      <c r="AI25" s="14" t="str">
        <f ca="1">IF(WFTracker[[#This Row],[Impact Time Post RM]]&lt;=0,"ON TIME","LATE")</f>
        <v>LATE</v>
      </c>
      <c r="AJ25" s="14" t="s">
        <v>984</v>
      </c>
      <c r="AK25" s="14">
        <v>17</v>
      </c>
      <c r="AL25" s="915">
        <f>IF(WFTracker[[#This Row],[Type]]="MAKE", WFTracker[[#This Row],[Due date]]+Filters!$J$111, WFTracker[[#This Row],[Due date]]+Filters!$J$135)</f>
        <v>45719.415686274508</v>
      </c>
      <c r="AM25" s="101" cm="1">
        <f t="array" ref="AM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" spans="1:39" ht="14.45">
      <c r="A26" t="str">
        <f>IF(WFTracker[[#This Row],[Order Number]]="SWBD", "QED2", "PZ4")</f>
        <v>PZ4</v>
      </c>
      <c r="B26" s="21" t="s">
        <v>134</v>
      </c>
      <c r="C26" s="21" t="s">
        <v>135</v>
      </c>
      <c r="D26" s="11" t="str">
        <f>WFTracker[[#This Row],[Order Number]]  &amp; "-" &amp; WFTracker[[#This Row],[Item]]</f>
        <v>0050959328-000010</v>
      </c>
      <c r="E26" s="23" t="s">
        <v>136</v>
      </c>
      <c r="F26" s="12">
        <v>45726</v>
      </c>
      <c r="G26" s="12"/>
      <c r="H26" s="11" t="s">
        <v>137</v>
      </c>
      <c r="I26" s="11" t="s">
        <v>24</v>
      </c>
      <c r="J26" s="13" t="s">
        <v>139</v>
      </c>
      <c r="K26" s="14" t="s">
        <v>1023</v>
      </c>
      <c r="L26" s="15" t="s">
        <v>27</v>
      </c>
      <c r="M26" s="15" t="s">
        <v>1120</v>
      </c>
      <c r="N26" s="56">
        <v>45835</v>
      </c>
      <c r="O26" s="15">
        <f>NETWORKDAYS.INTL(WFTracker[[#This Row],[Start date]],WFTracker[[#This Row],[RM]],1,Holidays!D103:D118)</f>
        <v>6</v>
      </c>
      <c r="P26" s="12">
        <v>45719</v>
      </c>
      <c r="Q26" s="12">
        <v>45727</v>
      </c>
      <c r="R26" s="12">
        <v>45735</v>
      </c>
      <c r="S26" s="12" t="b">
        <f>ISBLANK(WFTracker[[#This Row],[Completion Date]])</f>
        <v>0</v>
      </c>
      <c r="T26" s="12" t="str">
        <f>TEXT(WFTracker[[#This Row],[Start date]],"mmm-yyyy")</f>
        <v>Mar-2025</v>
      </c>
      <c r="U26" s="11">
        <v>5</v>
      </c>
      <c r="V26" s="11">
        <f>NETWORKDAYS.INTL(WFTracker[[#This Row],[Start date]],WFTracker[[#This Row],[Due date]],1,Holidays!D103:D118)</f>
        <v>7</v>
      </c>
      <c r="W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6" s="24">
        <f ca="1">WFTracker[[#This Row],[Active Time]]-WFTracker[[#This Row],[Completion Days Template]]</f>
        <v>5</v>
      </c>
      <c r="Y26" s="16" t="str">
        <f ca="1" xml:space="preserve"> IF(WFTracker[[#This Row],[Overdue Time '[Expected-Completion']]]&gt;0, "LATE","ON TIME")</f>
        <v>LATE</v>
      </c>
      <c r="Z26" s="16" t="str">
        <f ca="1">IF(WFTracker[[#This Row],[Overdue Time '[Expected-Completion']]] &gt;= 15, "SUPER LATE", Y26)</f>
        <v>LATE</v>
      </c>
      <c r="AA26" s="37" t="str">
        <f>IF(WFTracker[[#This Row],[Pre RM Opening Time]]&lt;WFTracker[[#This Row],[Old vs New Order Lead Time WF dead line]], "LATE BY ENG", "ON TIME BY ENG")</f>
        <v>ON TIME BY ENG</v>
      </c>
      <c r="AB26" s="37"/>
      <c r="AC26" s="15" t="str">
        <f>IF(WFTracker[[#This Row],[Competion Date Content]] = FALSE, "C", "i")</f>
        <v>C</v>
      </c>
      <c r="AD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26" s="37" t="str">
        <f ca="1">IF(WFTracker[[#This Row],[Impact Time Post RM]]&gt;0, "IMPACTED", "NOT IMPACTED")</f>
        <v>IMPACTED</v>
      </c>
      <c r="AF26" s="15"/>
      <c r="AG26" s="18"/>
      <c r="AH26" s="14" t="str">
        <f>IF(WFTracker[[#This Row],[Status]]="C", "Closed", IF(WFTracker[[#This Row],[Status]] = "x", "Cancelled", WFTracker[[#This Row],[Impact Time Post RM]]))</f>
        <v>Closed</v>
      </c>
      <c r="AI26" s="14" t="str">
        <f ca="1">IF(WFTracker[[#This Row],[Impact Time Post RM]]&lt;=0,"ON TIME","LATE")</f>
        <v>LATE</v>
      </c>
      <c r="AJ26" s="14" t="s">
        <v>984</v>
      </c>
      <c r="AK26" s="14">
        <v>18</v>
      </c>
      <c r="AL26" s="915">
        <f>IF(WFTracker[[#This Row],[Type]]="MAKE", WFTracker[[#This Row],[Due date]]+Filters!$J$111, WFTracker[[#This Row],[Due date]]+Filters!$J$135)</f>
        <v>45730.072512647552</v>
      </c>
      <c r="AM26" s="101" cm="1">
        <f t="array" ref="AM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" spans="1:39" ht="14.45">
      <c r="A27" t="str">
        <f>IF(WFTracker[[#This Row],[Order Number]]="SWBD", "QED2", "PZ4")</f>
        <v>PZ4</v>
      </c>
      <c r="B27" s="21" t="s">
        <v>153</v>
      </c>
      <c r="C27" s="21" t="s">
        <v>154</v>
      </c>
      <c r="D27" s="11" t="str">
        <f>WFTracker[[#This Row],[Order Number]]  &amp; "-" &amp; WFTracker[[#This Row],[Item]]</f>
        <v>0050255139-000780</v>
      </c>
      <c r="E27" s="23" t="s">
        <v>155</v>
      </c>
      <c r="F27" s="12">
        <v>45730</v>
      </c>
      <c r="G27" s="12"/>
      <c r="H27" s="11" t="s">
        <v>156</v>
      </c>
      <c r="I27" s="11" t="s">
        <v>111</v>
      </c>
      <c r="J27" s="13" t="s">
        <v>161</v>
      </c>
      <c r="K27" s="14" t="s">
        <v>1017</v>
      </c>
      <c r="L27" s="15" t="s">
        <v>27</v>
      </c>
      <c r="M27" s="15" t="s">
        <v>1120</v>
      </c>
      <c r="N27" s="56">
        <v>45960</v>
      </c>
      <c r="O27" s="15">
        <f>NETWORKDAYS.INTL(WFTracker[[#This Row],[Start date]],WFTracker[[#This Row],[RM]],1,Holidays!D209:D224)</f>
        <v>10</v>
      </c>
      <c r="P27" s="12">
        <v>45719</v>
      </c>
      <c r="Q27" s="12">
        <v>45726</v>
      </c>
      <c r="R27" s="12">
        <v>45728</v>
      </c>
      <c r="S27" s="12" t="b">
        <f>ISBLANK(WFTracker[[#This Row],[Completion Date]])</f>
        <v>0</v>
      </c>
      <c r="T27" s="12" t="str">
        <f>TEXT(WFTracker[[#This Row],[Start date]],"mmm-yyyy")</f>
        <v>Mar-2025</v>
      </c>
      <c r="U27" s="11">
        <v>5</v>
      </c>
      <c r="V27" s="11">
        <f>NETWORKDAYS.INTL(WFTracker[[#This Row],[Start date]],WFTracker[[#This Row],[Due date]],1,Holidays!D209:D224)</f>
        <v>6</v>
      </c>
      <c r="W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7" s="24">
        <f ca="1">WFTracker[[#This Row],[Active Time]]-WFTracker[[#This Row],[Completion Days Template]]</f>
        <v>2</v>
      </c>
      <c r="Y27" s="16" t="str">
        <f ca="1" xml:space="preserve"> IF(WFTracker[[#This Row],[Overdue Time '[Expected-Completion']]]&gt;0, "LATE","ON TIME")</f>
        <v>LATE</v>
      </c>
      <c r="Z27" s="16" t="str">
        <f ca="1">IF(WFTracker[[#This Row],[Overdue Time '[Expected-Completion']]] &gt;= 15, "SUPER LATE", Y27)</f>
        <v>LATE</v>
      </c>
      <c r="AA27" s="37" t="str">
        <f>IF(WFTracker[[#This Row],[Pre RM Opening Time]]&lt;WFTracker[[#This Row],[Old vs New Order Lead Time WF dead line]], "LATE BY ENG", "ON TIME BY ENG")</f>
        <v>ON TIME BY ENG</v>
      </c>
      <c r="AB27" s="37"/>
      <c r="AC27" s="15" t="str">
        <f>IF(WFTracker[[#This Row],[Competion Date Content]] = FALSE, "C", "i")</f>
        <v>C</v>
      </c>
      <c r="AD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27" s="37" t="str">
        <f ca="1">IF(WFTracker[[#This Row],[Impact Time Post RM]]&gt;0, "IMPACTED", "NOT IMPACTED")</f>
        <v>NOT IMPACTED</v>
      </c>
      <c r="AF27" s="15"/>
      <c r="AG27" s="18"/>
      <c r="AH27" s="14" t="str">
        <f>IF(WFTracker[[#This Row],[Status]]="C", "Closed", IF(WFTracker[[#This Row],[Status]] = "x", "Cancelled", WFTracker[[#This Row],[Impact Time Post RM]]))</f>
        <v>Closed</v>
      </c>
      <c r="AI27" s="14" t="str">
        <f ca="1">IF(WFTracker[[#This Row],[Impact Time Post RM]]&lt;=0,"ON TIME","LATE")</f>
        <v>ON TIME</v>
      </c>
      <c r="AJ27" s="14" t="s">
        <v>984</v>
      </c>
      <c r="AK27" s="14">
        <v>18</v>
      </c>
      <c r="AL27" s="915">
        <f>IF(WFTracker[[#This Row],[Type]]="MAKE", WFTracker[[#This Row],[Due date]]+Filters!$J$111, WFTracker[[#This Row],[Due date]]+Filters!$J$135)</f>
        <v>45729.072512647552</v>
      </c>
      <c r="AM27" s="101" cm="1">
        <f t="array" ref="AM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" spans="1:39" ht="14.45">
      <c r="A28" t="str">
        <f>IF(WFTracker[[#This Row],[Order Number]]="SWBD", "QED2", "PZ4")</f>
        <v>PZ4</v>
      </c>
      <c r="B28" s="21" t="s">
        <v>153</v>
      </c>
      <c r="C28" s="21" t="s">
        <v>154</v>
      </c>
      <c r="D28" s="11" t="str">
        <f>WFTracker[[#This Row],[Order Number]]  &amp; "-" &amp; WFTracker[[#This Row],[Item]]</f>
        <v>0050255139-000780</v>
      </c>
      <c r="E28" s="23" t="s">
        <v>155</v>
      </c>
      <c r="F28" s="12">
        <v>45730</v>
      </c>
      <c r="G28" s="12"/>
      <c r="H28" s="11" t="s">
        <v>156</v>
      </c>
      <c r="I28" s="11" t="s">
        <v>111</v>
      </c>
      <c r="J28" s="13" t="s">
        <v>159</v>
      </c>
      <c r="K28" s="14" t="s">
        <v>1017</v>
      </c>
      <c r="L28" s="15" t="s">
        <v>27</v>
      </c>
      <c r="M28" s="15" t="s">
        <v>1120</v>
      </c>
      <c r="N28" s="56">
        <v>45960</v>
      </c>
      <c r="O28" s="15">
        <f>NETWORKDAYS.INTL(WFTracker[[#This Row],[Start date]],WFTracker[[#This Row],[RM]],1,Holidays!D210:D225)</f>
        <v>10</v>
      </c>
      <c r="P28" s="12">
        <v>45719</v>
      </c>
      <c r="Q28" s="12">
        <v>45727</v>
      </c>
      <c r="R28" s="12">
        <v>45728</v>
      </c>
      <c r="S28" s="12" t="b">
        <f>ISBLANK(WFTracker[[#This Row],[Completion Date]])</f>
        <v>0</v>
      </c>
      <c r="T28" s="12" t="str">
        <f>TEXT(WFTracker[[#This Row],[Start date]],"mmm-yyyy")</f>
        <v>Mar-2025</v>
      </c>
      <c r="U28" s="11">
        <v>5</v>
      </c>
      <c r="V28" s="11">
        <f>NETWORKDAYS.INTL(WFTracker[[#This Row],[Start date]],WFTracker[[#This Row],[Due date]],1,Holidays!D210:D225)</f>
        <v>7</v>
      </c>
      <c r="W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8" s="24">
        <f ca="1">WFTracker[[#This Row],[Active Time]]-WFTracker[[#This Row],[Completion Days Template]]</f>
        <v>1</v>
      </c>
      <c r="Y28" s="16" t="str">
        <f ca="1" xml:space="preserve"> IF(WFTracker[[#This Row],[Overdue Time '[Expected-Completion']]]&gt;0, "LATE","ON TIME")</f>
        <v>LATE</v>
      </c>
      <c r="Z28" s="16" t="str">
        <f ca="1">IF(WFTracker[[#This Row],[Overdue Time '[Expected-Completion']]] &gt;= 15, "SUPER LATE", Y28)</f>
        <v>LATE</v>
      </c>
      <c r="AA28" s="37" t="str">
        <f>IF(WFTracker[[#This Row],[Pre RM Opening Time]]&lt;WFTracker[[#This Row],[Old vs New Order Lead Time WF dead line]], "LATE BY ENG", "ON TIME BY ENG")</f>
        <v>ON TIME BY ENG</v>
      </c>
      <c r="AB28" s="37"/>
      <c r="AC28" s="15" t="str">
        <f>IF(WFTracker[[#This Row],[Competion Date Content]] = FALSE, "C", "i")</f>
        <v>C</v>
      </c>
      <c r="AD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28" s="37" t="str">
        <f ca="1">IF(WFTracker[[#This Row],[Impact Time Post RM]]&gt;0, "IMPACTED", "NOT IMPACTED")</f>
        <v>NOT IMPACTED</v>
      </c>
      <c r="AF28" s="15"/>
      <c r="AG28" s="18"/>
      <c r="AH28" s="14" t="str">
        <f>IF(WFTracker[[#This Row],[Status]]="C", "Closed", IF(WFTracker[[#This Row],[Status]] = "x", "Cancelled", WFTracker[[#This Row],[Impact Time Post RM]]))</f>
        <v>Closed</v>
      </c>
      <c r="AI28" s="14" t="str">
        <f ca="1">IF(WFTracker[[#This Row],[Impact Time Post RM]]&lt;=0,"ON TIME","LATE")</f>
        <v>ON TIME</v>
      </c>
      <c r="AJ28" s="14" t="s">
        <v>984</v>
      </c>
      <c r="AK28" s="14">
        <v>18</v>
      </c>
      <c r="AL28" s="915">
        <f>IF(WFTracker[[#This Row],[Type]]="MAKE", WFTracker[[#This Row],[Due date]]+Filters!$J$111, WFTracker[[#This Row],[Due date]]+Filters!$J$135)</f>
        <v>45730.072512647552</v>
      </c>
      <c r="AM28" s="101" cm="1">
        <f t="array" ref="AM2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" spans="1:39" ht="14.45">
      <c r="A29" t="str">
        <f>IF(WFTracker[[#This Row],[Order Number]]="SWBD", "QED2", "PZ4")</f>
        <v>PZ4</v>
      </c>
      <c r="B29" s="21" t="s">
        <v>140</v>
      </c>
      <c r="C29" s="21" t="s">
        <v>141</v>
      </c>
      <c r="D29" s="11" t="str">
        <f>WFTracker[[#This Row],[Order Number]]  &amp; "-" &amp; WFTracker[[#This Row],[Item]]</f>
        <v>0050780333-000110</v>
      </c>
      <c r="E29" s="23" t="s">
        <v>142</v>
      </c>
      <c r="F29" s="12">
        <v>45730</v>
      </c>
      <c r="G29" s="12"/>
      <c r="H29" s="11" t="s">
        <v>143</v>
      </c>
      <c r="I29" s="11" t="s">
        <v>81</v>
      </c>
      <c r="J29" s="13" t="s">
        <v>145</v>
      </c>
      <c r="K29" s="14" t="s">
        <v>1017</v>
      </c>
      <c r="L29" s="15" t="s">
        <v>27</v>
      </c>
      <c r="M29" s="15" t="s">
        <v>1123</v>
      </c>
      <c r="N29" s="56">
        <v>45896</v>
      </c>
      <c r="O29" s="15">
        <f>NETWORKDAYS.INTL(WFTracker[[#This Row],[Start date]],WFTracker[[#This Row],[RM]],1,Holidays!D211:D226)</f>
        <v>10</v>
      </c>
      <c r="P29" s="12">
        <v>45719</v>
      </c>
      <c r="Q29" s="12">
        <v>45728</v>
      </c>
      <c r="R29" s="12">
        <v>45740</v>
      </c>
      <c r="S29" s="12" t="b">
        <f>ISBLANK(WFTracker[[#This Row],[Completion Date]])</f>
        <v>0</v>
      </c>
      <c r="T29" s="12" t="str">
        <f>TEXT(WFTracker[[#This Row],[Start date]],"mmm-yyyy")</f>
        <v>Mar-2025</v>
      </c>
      <c r="U29" s="11">
        <v>5</v>
      </c>
      <c r="V29" s="11">
        <f>NETWORKDAYS.INTL(WFTracker[[#This Row],[Start date]],WFTracker[[#This Row],[Due date]],1,Holidays!D211:D226)</f>
        <v>8</v>
      </c>
      <c r="W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29" s="24">
        <f ca="1">WFTracker[[#This Row],[Active Time]]-WFTracker[[#This Row],[Completion Days Template]]</f>
        <v>7</v>
      </c>
      <c r="Y29" s="16" t="str">
        <f ca="1" xml:space="preserve"> IF(WFTracker[[#This Row],[Overdue Time '[Expected-Completion']]]&gt;0, "LATE","ON TIME")</f>
        <v>LATE</v>
      </c>
      <c r="Z29" s="16" t="str">
        <f ca="1">IF(WFTracker[[#This Row],[Overdue Time '[Expected-Completion']]] &gt;= 15, "SUPER LATE", Y29)</f>
        <v>LATE</v>
      </c>
      <c r="AA29" s="37" t="str">
        <f>IF(WFTracker[[#This Row],[Pre RM Opening Time]]&lt;WFTracker[[#This Row],[Old vs New Order Lead Time WF dead line]], "LATE BY ENG", "ON TIME BY ENG")</f>
        <v>ON TIME BY ENG</v>
      </c>
      <c r="AB29" s="37"/>
      <c r="AC29" s="15" t="str">
        <f>IF(WFTracker[[#This Row],[Competion Date Content]] = FALSE, "C", "i")</f>
        <v>C</v>
      </c>
      <c r="AD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29" s="37" t="str">
        <f ca="1">IF(WFTracker[[#This Row],[Impact Time Post RM]]&gt;0, "IMPACTED", "NOT IMPACTED")</f>
        <v>IMPACTED</v>
      </c>
      <c r="AF29" s="15"/>
      <c r="AG29" s="18"/>
      <c r="AH29" s="14" t="str">
        <f>IF(WFTracker[[#This Row],[Status]]="C", "Closed", IF(WFTracker[[#This Row],[Status]] = "x", "Cancelled", WFTracker[[#This Row],[Impact Time Post RM]]))</f>
        <v>Closed</v>
      </c>
      <c r="AI29" s="14" t="str">
        <f ca="1">IF(WFTracker[[#This Row],[Impact Time Post RM]]&lt;=0,"ON TIME","LATE")</f>
        <v>LATE</v>
      </c>
      <c r="AJ29" s="14" t="s">
        <v>984</v>
      </c>
      <c r="AK29" s="14">
        <v>18</v>
      </c>
      <c r="AL29" s="915">
        <f>IF(WFTracker[[#This Row],[Type]]="MAKE", WFTracker[[#This Row],[Due date]]+Filters!$J$111, WFTracker[[#This Row],[Due date]]+Filters!$J$135)</f>
        <v>45731.072512647552</v>
      </c>
      <c r="AM29" s="101" cm="1">
        <f t="array" ref="AM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" spans="1:39" ht="14.45">
      <c r="A30" t="str">
        <f>IF(WFTracker[[#This Row],[Order Number]]="SWBD", "QED2", "PZ4")</f>
        <v>PZ4</v>
      </c>
      <c r="B30" s="21" t="s">
        <v>140</v>
      </c>
      <c r="C30" s="21" t="s">
        <v>141</v>
      </c>
      <c r="D30" s="11" t="str">
        <f>WFTracker[[#This Row],[Order Number]]  &amp; "-" &amp; WFTracker[[#This Row],[Item]]</f>
        <v>0050780333-000110</v>
      </c>
      <c r="E30" s="23" t="s">
        <v>142</v>
      </c>
      <c r="F30" s="12">
        <v>45730</v>
      </c>
      <c r="G30" s="12"/>
      <c r="H30" s="11" t="s">
        <v>143</v>
      </c>
      <c r="I30" s="11" t="s">
        <v>81</v>
      </c>
      <c r="J30" s="13" t="s">
        <v>147</v>
      </c>
      <c r="K30" s="14" t="s">
        <v>1017</v>
      </c>
      <c r="L30" s="15" t="s">
        <v>27</v>
      </c>
      <c r="M30" s="15" t="s">
        <v>1123</v>
      </c>
      <c r="N30" s="56">
        <v>45896</v>
      </c>
      <c r="O30" s="15">
        <f>NETWORKDAYS.INTL(WFTracker[[#This Row],[Start date]],WFTracker[[#This Row],[RM]],1,Holidays!D212:D227)</f>
        <v>10</v>
      </c>
      <c r="P30" s="12">
        <v>45719</v>
      </c>
      <c r="Q30" s="12">
        <v>45728</v>
      </c>
      <c r="R30" s="12">
        <v>45736</v>
      </c>
      <c r="S30" s="12" t="b">
        <f>ISBLANK(WFTracker[[#This Row],[Completion Date]])</f>
        <v>0</v>
      </c>
      <c r="T30" s="12" t="str">
        <f>TEXT(WFTracker[[#This Row],[Start date]],"mmm-yyyy")</f>
        <v>Mar-2025</v>
      </c>
      <c r="U30" s="11">
        <v>5</v>
      </c>
      <c r="V30" s="11">
        <f>NETWORKDAYS.INTL(WFTracker[[#This Row],[Start date]],WFTracker[[#This Row],[Due date]],1,Holidays!D212:D227)</f>
        <v>8</v>
      </c>
      <c r="W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0" s="24">
        <f ca="1">WFTracker[[#This Row],[Active Time]]-WFTracker[[#This Row],[Completion Days Template]]</f>
        <v>5</v>
      </c>
      <c r="Y30" s="16" t="str">
        <f ca="1" xml:space="preserve"> IF(WFTracker[[#This Row],[Overdue Time '[Expected-Completion']]]&gt;0, "LATE","ON TIME")</f>
        <v>LATE</v>
      </c>
      <c r="Z30" s="16" t="str">
        <f ca="1">IF(WFTracker[[#This Row],[Overdue Time '[Expected-Completion']]] &gt;= 15, "SUPER LATE", Y30)</f>
        <v>LATE</v>
      </c>
      <c r="AA30" s="37" t="str">
        <f>IF(WFTracker[[#This Row],[Pre RM Opening Time]]&lt;WFTracker[[#This Row],[Old vs New Order Lead Time WF dead line]], "LATE BY ENG", "ON TIME BY ENG")</f>
        <v>ON TIME BY ENG</v>
      </c>
      <c r="AB30" s="37"/>
      <c r="AC30" s="15" t="str">
        <f>IF(WFTracker[[#This Row],[Competion Date Content]] = FALSE, "C", "i")</f>
        <v>C</v>
      </c>
      <c r="AD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30" s="37" t="str">
        <f ca="1">IF(WFTracker[[#This Row],[Impact Time Post RM]]&gt;0, "IMPACTED", "NOT IMPACTED")</f>
        <v>IMPACTED</v>
      </c>
      <c r="AF30" s="15"/>
      <c r="AG30" s="18"/>
      <c r="AH30" s="14" t="str">
        <f>IF(WFTracker[[#This Row],[Status]]="C", "Closed", IF(WFTracker[[#This Row],[Status]] = "x", "Cancelled", WFTracker[[#This Row],[Impact Time Post RM]]))</f>
        <v>Closed</v>
      </c>
      <c r="AI30" s="14" t="str">
        <f ca="1">IF(WFTracker[[#This Row],[Impact Time Post RM]]&lt;=0,"ON TIME","LATE")</f>
        <v>LATE</v>
      </c>
      <c r="AJ30" s="14" t="s">
        <v>984</v>
      </c>
      <c r="AK30" s="14">
        <v>18</v>
      </c>
      <c r="AL30" s="915">
        <f>IF(WFTracker[[#This Row],[Type]]="MAKE", WFTracker[[#This Row],[Due date]]+Filters!$J$111, WFTracker[[#This Row],[Due date]]+Filters!$J$135)</f>
        <v>45731.072512647552</v>
      </c>
      <c r="AM30" s="101" cm="1">
        <f t="array" ref="AM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" spans="1:39" ht="14.45">
      <c r="A31" t="str">
        <f>IF(WFTracker[[#This Row],[Order Number]]="SWBD", "QED2", "PZ4")</f>
        <v>PZ4</v>
      </c>
      <c r="B31" s="21" t="s">
        <v>140</v>
      </c>
      <c r="C31" s="21" t="s">
        <v>141</v>
      </c>
      <c r="D31" s="11" t="str">
        <f>WFTracker[[#This Row],[Order Number]]  &amp; "-" &amp; WFTracker[[#This Row],[Item]]</f>
        <v>0050780333-000110</v>
      </c>
      <c r="E31" s="23" t="s">
        <v>142</v>
      </c>
      <c r="F31" s="12">
        <v>45730</v>
      </c>
      <c r="G31" s="12"/>
      <c r="H31" s="11" t="s">
        <v>143</v>
      </c>
      <c r="I31" s="11" t="s">
        <v>81</v>
      </c>
      <c r="J31" s="13" t="s">
        <v>152</v>
      </c>
      <c r="K31" s="14" t="s">
        <v>1017</v>
      </c>
      <c r="L31" s="15" t="s">
        <v>27</v>
      </c>
      <c r="M31" s="15" t="s">
        <v>1123</v>
      </c>
      <c r="N31" s="56">
        <v>45896</v>
      </c>
      <c r="O31" s="15">
        <f>NETWORKDAYS.INTL(WFTracker[[#This Row],[Start date]],WFTracker[[#This Row],[RM]],1,Holidays!D213:D228)</f>
        <v>10</v>
      </c>
      <c r="P31" s="12">
        <v>45719</v>
      </c>
      <c r="Q31" s="12">
        <v>45728</v>
      </c>
      <c r="R31" s="12">
        <v>45740</v>
      </c>
      <c r="S31" s="12" t="b">
        <f>ISBLANK(WFTracker[[#This Row],[Completion Date]])</f>
        <v>0</v>
      </c>
      <c r="T31" s="12" t="str">
        <f>TEXT(WFTracker[[#This Row],[Start date]],"mmm-yyyy")</f>
        <v>Mar-2025</v>
      </c>
      <c r="U31" s="11">
        <v>5</v>
      </c>
      <c r="V31" s="11">
        <f>NETWORKDAYS.INTL(WFTracker[[#This Row],[Start date]],WFTracker[[#This Row],[Due date]],1,Holidays!D213:D228)</f>
        <v>8</v>
      </c>
      <c r="W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31" s="24">
        <f ca="1">WFTracker[[#This Row],[Active Time]]-WFTracker[[#This Row],[Completion Days Template]]</f>
        <v>7</v>
      </c>
      <c r="Y31" s="16" t="str">
        <f ca="1" xml:space="preserve"> IF(WFTracker[[#This Row],[Overdue Time '[Expected-Completion']]]&gt;0, "LATE","ON TIME")</f>
        <v>LATE</v>
      </c>
      <c r="Z31" s="16" t="str">
        <f ca="1">IF(WFTracker[[#This Row],[Overdue Time '[Expected-Completion']]] &gt;= 15, "SUPER LATE", Y31)</f>
        <v>LATE</v>
      </c>
      <c r="AA31" s="37" t="str">
        <f>IF(WFTracker[[#This Row],[Pre RM Opening Time]]&lt;WFTracker[[#This Row],[Old vs New Order Lead Time WF dead line]], "LATE BY ENG", "ON TIME BY ENG")</f>
        <v>ON TIME BY ENG</v>
      </c>
      <c r="AB31" s="37"/>
      <c r="AC31" s="15" t="str">
        <f>IF(WFTracker[[#This Row],[Competion Date Content]] = FALSE, "C", "i")</f>
        <v>C</v>
      </c>
      <c r="AD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31" s="37" t="str">
        <f ca="1">IF(WFTracker[[#This Row],[Impact Time Post RM]]&gt;0, "IMPACTED", "NOT IMPACTED")</f>
        <v>IMPACTED</v>
      </c>
      <c r="AF31" s="15"/>
      <c r="AG31" s="18"/>
      <c r="AH31" s="14" t="str">
        <f>IF(WFTracker[[#This Row],[Status]]="C", "Closed", IF(WFTracker[[#This Row],[Status]] = "x", "Cancelled", WFTracker[[#This Row],[Impact Time Post RM]]))</f>
        <v>Closed</v>
      </c>
      <c r="AI31" s="14" t="str">
        <f ca="1">IF(WFTracker[[#This Row],[Impact Time Post RM]]&lt;=0,"ON TIME","LATE")</f>
        <v>LATE</v>
      </c>
      <c r="AJ31" s="14" t="s">
        <v>984</v>
      </c>
      <c r="AK31" s="14">
        <v>18</v>
      </c>
      <c r="AL31" s="915">
        <f>IF(WFTracker[[#This Row],[Type]]="MAKE", WFTracker[[#This Row],[Due date]]+Filters!$J$111, WFTracker[[#This Row],[Due date]]+Filters!$J$135)</f>
        <v>45731.072512647552</v>
      </c>
      <c r="AM31" s="101" cm="1">
        <f t="array" ref="AM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" spans="1:39" ht="14.45">
      <c r="A32" t="str">
        <f>IF(WFTracker[[#This Row],[Order Number]]="SWBD", "QED2", "PZ4")</f>
        <v>PZ4</v>
      </c>
      <c r="B32" s="21" t="s">
        <v>140</v>
      </c>
      <c r="C32" s="21" t="s">
        <v>141</v>
      </c>
      <c r="D32" s="11" t="str">
        <f>WFTracker[[#This Row],[Order Number]]  &amp; "-" &amp; WFTracker[[#This Row],[Item]]</f>
        <v>0050780333-000110</v>
      </c>
      <c r="E32" s="23" t="s">
        <v>142</v>
      </c>
      <c r="F32" s="12">
        <v>45730</v>
      </c>
      <c r="G32" s="12"/>
      <c r="H32" s="11" t="s">
        <v>143</v>
      </c>
      <c r="I32" s="11" t="s">
        <v>81</v>
      </c>
      <c r="J32" s="13" t="s">
        <v>146</v>
      </c>
      <c r="K32" s="14" t="s">
        <v>1017</v>
      </c>
      <c r="L32" s="15" t="s">
        <v>40</v>
      </c>
      <c r="M32" s="15" t="s">
        <v>1123</v>
      </c>
      <c r="N32" s="56">
        <v>45896</v>
      </c>
      <c r="O32" s="15">
        <f>NETWORKDAYS.INTL(WFTracker[[#This Row],[Start date]],WFTracker[[#This Row],[RM]],1,Holidays!D214:D229)</f>
        <v>10</v>
      </c>
      <c r="P32" s="12">
        <v>45719</v>
      </c>
      <c r="Q32" s="12">
        <v>45733</v>
      </c>
      <c r="R32" s="12">
        <v>45729</v>
      </c>
      <c r="S32" s="12" t="b">
        <f>ISBLANK(WFTracker[[#This Row],[Completion Date]])</f>
        <v>0</v>
      </c>
      <c r="T32" s="12" t="str">
        <f>TEXT(WFTracker[[#This Row],[Start date]],"mmm-yyyy")</f>
        <v>Mar-2025</v>
      </c>
      <c r="U32" s="11">
        <v>5</v>
      </c>
      <c r="V32" s="11">
        <f>NETWORKDAYS.INTL(WFTracker[[#This Row],[Start date]],WFTracker[[#This Row],[Due date]],1,Holidays!D214:D229)</f>
        <v>11</v>
      </c>
      <c r="W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32" s="24">
        <f ca="1">WFTracker[[#This Row],[Active Time]]-WFTracker[[#This Row],[Completion Days Template]]</f>
        <v>-2</v>
      </c>
      <c r="Y32" s="16" t="str">
        <f ca="1" xml:space="preserve"> IF(WFTracker[[#This Row],[Overdue Time '[Expected-Completion']]]&gt;0, "LATE","ON TIME")</f>
        <v>ON TIME</v>
      </c>
      <c r="Z32" s="16" t="str">
        <f ca="1">IF(WFTracker[[#This Row],[Overdue Time '[Expected-Completion']]] &gt;= 15, "SUPER LATE", Y32)</f>
        <v>ON TIME</v>
      </c>
      <c r="AA32" s="37" t="str">
        <f>IF(WFTracker[[#This Row],[Pre RM Opening Time]]&lt;WFTracker[[#This Row],[Old vs New Order Lead Time WF dead line]], "LATE BY ENG", "ON TIME BY ENG")</f>
        <v>ON TIME BY ENG</v>
      </c>
      <c r="AB32" s="37"/>
      <c r="AC32" s="15" t="str">
        <f>IF(WFTracker[[#This Row],[Competion Date Content]] = FALSE, "C", "i")</f>
        <v>C</v>
      </c>
      <c r="AD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2" s="25" t="str">
        <f ca="1">IF(WFTracker[[#This Row],[Impact Time Post RM]]&gt;0, "IMPACTED", "NOT IMPACTED")</f>
        <v>NOT IMPACTED</v>
      </c>
      <c r="AF32" s="15"/>
      <c r="AG32" s="18"/>
      <c r="AH32" s="14" t="str">
        <f>IF(WFTracker[[#This Row],[Status]]="C", "Closed", IF(WFTracker[[#This Row],[Status]] = "x", "Cancelled", WFTracker[[#This Row],[Impact Time Post RM]]))</f>
        <v>Closed</v>
      </c>
      <c r="AI32" s="14" t="str">
        <f ca="1">IF(WFTracker[[#This Row],[Impact Time Post RM]]&lt;=0,"ON TIME","LATE")</f>
        <v>ON TIME</v>
      </c>
      <c r="AJ32" s="14" t="s">
        <v>984</v>
      </c>
      <c r="AK32" s="14">
        <v>17</v>
      </c>
      <c r="AL32" s="915">
        <f>IF(WFTracker[[#This Row],[Type]]="MAKE", WFTracker[[#This Row],[Due date]]+Filters!$J$111, WFTracker[[#This Row],[Due date]]+Filters!$J$135)</f>
        <v>45733.415686274508</v>
      </c>
      <c r="AM32" s="101" cm="1">
        <f t="array" ref="AM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" spans="1:39" ht="14.45">
      <c r="A33" t="str">
        <f>IF(WFTracker[[#This Row],[Order Number]]="SWBD", "QED2", "PZ4")</f>
        <v>PZ4</v>
      </c>
      <c r="B33" s="21" t="s">
        <v>153</v>
      </c>
      <c r="C33" s="21" t="s">
        <v>154</v>
      </c>
      <c r="D33" s="11" t="str">
        <f>WFTracker[[#This Row],[Order Number]]  &amp; "-" &amp; WFTracker[[#This Row],[Item]]</f>
        <v>0050255139-000780</v>
      </c>
      <c r="E33" s="23" t="s">
        <v>155</v>
      </c>
      <c r="F33" s="12">
        <v>45730</v>
      </c>
      <c r="G33" s="12"/>
      <c r="H33" s="11" t="s">
        <v>156</v>
      </c>
      <c r="I33" s="11" t="s">
        <v>111</v>
      </c>
      <c r="J33" s="13" t="s">
        <v>162</v>
      </c>
      <c r="K33" s="14" t="s">
        <v>1017</v>
      </c>
      <c r="L33" s="15" t="s">
        <v>27</v>
      </c>
      <c r="M33" s="15" t="s">
        <v>1120</v>
      </c>
      <c r="N33" s="56">
        <v>45960</v>
      </c>
      <c r="O33" s="15">
        <f>NETWORKDAYS.INTL(WFTracker[[#This Row],[Start date]],WFTracker[[#This Row],[RM]],1,Holidays!D183:D198)</f>
        <v>9</v>
      </c>
      <c r="P33" s="12">
        <v>45720</v>
      </c>
      <c r="Q33" s="12">
        <v>45727</v>
      </c>
      <c r="R33" s="12">
        <v>45735</v>
      </c>
      <c r="S33" s="12" t="b">
        <f>ISBLANK(WFTracker[[#This Row],[Completion Date]])</f>
        <v>0</v>
      </c>
      <c r="T33" s="12" t="str">
        <f>TEXT(WFTracker[[#This Row],[Start date]],"mmm-yyyy")</f>
        <v>Mar-2025</v>
      </c>
      <c r="U33" s="11">
        <v>5</v>
      </c>
      <c r="V33" s="11">
        <f>NETWORKDAYS.INTL(WFTracker[[#This Row],[Start date]],WFTracker[[#This Row],[Due date]],1,Holidays!D183:D198)</f>
        <v>6</v>
      </c>
      <c r="W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3" s="24">
        <f ca="1">WFTracker[[#This Row],[Active Time]]-WFTracker[[#This Row],[Completion Days Template]]</f>
        <v>5</v>
      </c>
      <c r="Y33" s="16" t="str">
        <f ca="1" xml:space="preserve"> IF(WFTracker[[#This Row],[Overdue Time '[Expected-Completion']]]&gt;0, "LATE","ON TIME")</f>
        <v>LATE</v>
      </c>
      <c r="Z33" s="16" t="str">
        <f ca="1">IF(WFTracker[[#This Row],[Overdue Time '[Expected-Completion']]] &gt;= 15, "SUPER LATE", Y33)</f>
        <v>LATE</v>
      </c>
      <c r="AA33" s="37" t="str">
        <f>IF(WFTracker[[#This Row],[Pre RM Opening Time]]&lt;WFTracker[[#This Row],[Old vs New Order Lead Time WF dead line]], "LATE BY ENG", "ON TIME BY ENG")</f>
        <v>ON TIME BY ENG</v>
      </c>
      <c r="AB33" s="37"/>
      <c r="AC33" s="15" t="str">
        <f>IF(WFTracker[[#This Row],[Competion Date Content]] = FALSE, "C", "i")</f>
        <v>C</v>
      </c>
      <c r="AD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33" s="37" t="str">
        <f ca="1">IF(WFTracker[[#This Row],[Impact Time Post RM]]&gt;0, "IMPACTED", "NOT IMPACTED")</f>
        <v>IMPACTED</v>
      </c>
      <c r="AF33" s="15"/>
      <c r="AG33" s="18"/>
      <c r="AH33" s="14" t="str">
        <f>IF(WFTracker[[#This Row],[Status]]="C", "Closed", IF(WFTracker[[#This Row],[Status]] = "x", "Cancelled", WFTracker[[#This Row],[Impact Time Post RM]]))</f>
        <v>Closed</v>
      </c>
      <c r="AI33" s="14" t="str">
        <f ca="1">IF(WFTracker[[#This Row],[Impact Time Post RM]]&lt;=0,"ON TIME","LATE")</f>
        <v>LATE</v>
      </c>
      <c r="AJ33" s="14" t="s">
        <v>984</v>
      </c>
      <c r="AK33" s="14">
        <v>18</v>
      </c>
      <c r="AL33" s="915">
        <f>IF(WFTracker[[#This Row],[Type]]="MAKE", WFTracker[[#This Row],[Due date]]+Filters!$J$111, WFTracker[[#This Row],[Due date]]+Filters!$J$135)</f>
        <v>45730.072512647552</v>
      </c>
      <c r="AM33" s="101" cm="1">
        <f t="array" ref="AM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" spans="1:39" ht="14.45">
      <c r="A34" t="str">
        <f>IF(WFTracker[[#This Row],[Order Number]]="SWBD", "QED2", "PZ4")</f>
        <v>PZ4</v>
      </c>
      <c r="B34" s="21" t="s">
        <v>153</v>
      </c>
      <c r="C34" s="21" t="s">
        <v>154</v>
      </c>
      <c r="D34" s="11" t="str">
        <f>WFTracker[[#This Row],[Order Number]]  &amp; "-" &amp; WFTracker[[#This Row],[Item]]</f>
        <v>0050255139-000780</v>
      </c>
      <c r="E34" s="23" t="s">
        <v>155</v>
      </c>
      <c r="F34" s="12">
        <v>45730</v>
      </c>
      <c r="G34" s="12"/>
      <c r="H34" s="11" t="s">
        <v>156</v>
      </c>
      <c r="I34" s="11" t="s">
        <v>111</v>
      </c>
      <c r="J34" s="13" t="s">
        <v>163</v>
      </c>
      <c r="K34" s="14" t="s">
        <v>1017</v>
      </c>
      <c r="L34" s="15" t="s">
        <v>40</v>
      </c>
      <c r="M34" s="15" t="s">
        <v>1120</v>
      </c>
      <c r="N34" s="56">
        <v>45960</v>
      </c>
      <c r="O34" s="15">
        <f>NETWORKDAYS.INTL(WFTracker[[#This Row],[Start date]],WFTracker[[#This Row],[RM]],1,Holidays!D184:D199)</f>
        <v>9</v>
      </c>
      <c r="P34" s="12">
        <v>45720</v>
      </c>
      <c r="Q34" s="12">
        <v>45730</v>
      </c>
      <c r="R34" s="12">
        <v>45729</v>
      </c>
      <c r="S34" s="12" t="b">
        <f>ISBLANK(WFTracker[[#This Row],[Completion Date]])</f>
        <v>0</v>
      </c>
      <c r="T34" s="12" t="str">
        <f>TEXT(WFTracker[[#This Row],[Start date]],"mmm-yyyy")</f>
        <v>Mar-2025</v>
      </c>
      <c r="U34" s="11">
        <v>5</v>
      </c>
      <c r="V34" s="11">
        <f>NETWORKDAYS.INTL(WFTracker[[#This Row],[Start date]],WFTracker[[#This Row],[Due date]],1,Holidays!D184:D199)</f>
        <v>9</v>
      </c>
      <c r="W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4" s="24">
        <f ca="1">WFTracker[[#This Row],[Active Time]]-WFTracker[[#This Row],[Completion Days Template]]</f>
        <v>-1</v>
      </c>
      <c r="Y34" s="16" t="str">
        <f ca="1" xml:space="preserve"> IF(WFTracker[[#This Row],[Overdue Time '[Expected-Completion']]]&gt;0, "LATE","ON TIME")</f>
        <v>ON TIME</v>
      </c>
      <c r="Z34" s="16" t="str">
        <f ca="1">IF(WFTracker[[#This Row],[Overdue Time '[Expected-Completion']]] &gt;= 15, "SUPER LATE", Y34)</f>
        <v>ON TIME</v>
      </c>
      <c r="AA34" s="37" t="str">
        <f>IF(WFTracker[[#This Row],[Pre RM Opening Time]]&lt;WFTracker[[#This Row],[Old vs New Order Lead Time WF dead line]], "LATE BY ENG", "ON TIME BY ENG")</f>
        <v>ON TIME BY ENG</v>
      </c>
      <c r="AB34" s="37"/>
      <c r="AC34" s="15" t="str">
        <f>IF(WFTracker[[#This Row],[Competion Date Content]] = FALSE, "C", "i")</f>
        <v>C</v>
      </c>
      <c r="AD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4" s="25" t="str">
        <f ca="1">IF(WFTracker[[#This Row],[Impact Time Post RM]]&gt;0, "IMPACTED", "NOT IMPACTED")</f>
        <v>NOT IMPACTED</v>
      </c>
      <c r="AF34" s="15"/>
      <c r="AG34" s="18"/>
      <c r="AH34" s="14" t="str">
        <f>IF(WFTracker[[#This Row],[Status]]="C", "Closed", IF(WFTracker[[#This Row],[Status]] = "x", "Cancelled", WFTracker[[#This Row],[Impact Time Post RM]]))</f>
        <v>Closed</v>
      </c>
      <c r="AI34" s="14" t="str">
        <f ca="1">IF(WFTracker[[#This Row],[Impact Time Post RM]]&lt;=0,"ON TIME","LATE")</f>
        <v>ON TIME</v>
      </c>
      <c r="AJ34" s="14" t="s">
        <v>984</v>
      </c>
      <c r="AK34" s="14">
        <v>17</v>
      </c>
      <c r="AL34" s="915">
        <f>IF(WFTracker[[#This Row],[Type]]="MAKE", WFTracker[[#This Row],[Due date]]+Filters!$J$111, WFTracker[[#This Row],[Due date]]+Filters!$J$135)</f>
        <v>45730.415686274508</v>
      </c>
      <c r="AM34" s="101" cm="1">
        <f t="array" ref="AM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" spans="1:39" ht="14.45">
      <c r="A35" t="str">
        <f>IF(WFTracker[[#This Row],[Order Number]]="SWBD", "QED2", "PZ4")</f>
        <v>PZ4</v>
      </c>
      <c r="B35" s="21" t="s">
        <v>33</v>
      </c>
      <c r="C35" s="21" t="s">
        <v>34</v>
      </c>
      <c r="D35" s="11" t="str">
        <f>WFTracker[[#This Row],[Order Number]]  &amp; "-" &amp; WFTracker[[#This Row],[Item]]</f>
        <v>0050206201-000180</v>
      </c>
      <c r="E35" s="23" t="s">
        <v>35</v>
      </c>
      <c r="F35" s="12">
        <v>45762</v>
      </c>
      <c r="G35" s="12"/>
      <c r="H35" s="11" t="s">
        <v>36</v>
      </c>
      <c r="I35" s="11" t="s">
        <v>37</v>
      </c>
      <c r="J35" s="13" t="s">
        <v>59</v>
      </c>
      <c r="K35" s="14" t="s">
        <v>1023</v>
      </c>
      <c r="L35" s="15" t="s">
        <v>27</v>
      </c>
      <c r="M35" s="15" t="s">
        <v>1120</v>
      </c>
      <c r="N35" s="56">
        <v>45888</v>
      </c>
      <c r="O35" s="15">
        <f>NETWORKDAYS.INTL(WFTracker[[#This Row],[Start date]],WFTracker[[#This Row],[RM]],1,Holidays!D564:D579)</f>
        <v>31</v>
      </c>
      <c r="P35" s="12">
        <v>45720</v>
      </c>
      <c r="Q35" s="12">
        <v>45728</v>
      </c>
      <c r="R35" s="12">
        <v>45740</v>
      </c>
      <c r="S35" s="12" t="b">
        <f>ISBLANK(WFTracker[[#This Row],[Completion Date]])</f>
        <v>0</v>
      </c>
      <c r="T35" s="12" t="str">
        <f>TEXT(WFTracker[[#This Row],[Start date]],"mmm-yyyy")</f>
        <v>Mar-2025</v>
      </c>
      <c r="U35" s="11">
        <v>5</v>
      </c>
      <c r="V35" s="11">
        <f>NETWORKDAYS.INTL(WFTracker[[#This Row],[Start date]],WFTracker[[#This Row],[Due date]],1,Holidays!D564:D579)</f>
        <v>7</v>
      </c>
      <c r="W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5" s="24">
        <f ca="1">WFTracker[[#This Row],[Active Time]]-WFTracker[[#This Row],[Completion Days Template]]</f>
        <v>7</v>
      </c>
      <c r="Y35" s="16" t="str">
        <f ca="1" xml:space="preserve"> IF(WFTracker[[#This Row],[Overdue Time '[Expected-Completion']]]&gt;0, "LATE","ON TIME")</f>
        <v>LATE</v>
      </c>
      <c r="Z35" s="16" t="str">
        <f ca="1">IF(WFTracker[[#This Row],[Overdue Time '[Expected-Completion']]] &gt;= 15, "SUPER LATE", Y35)</f>
        <v>LATE</v>
      </c>
      <c r="AA35" s="37" t="str">
        <f>IF(WFTracker[[#This Row],[Pre RM Opening Time]]&lt;WFTracker[[#This Row],[Old vs New Order Lead Time WF dead line]], "LATE BY ENG", "ON TIME BY ENG")</f>
        <v>ON TIME BY ENG</v>
      </c>
      <c r="AB35" s="37"/>
      <c r="AC35" s="15" t="s">
        <v>29</v>
      </c>
      <c r="AD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35" s="37" t="str">
        <f ca="1">IF(WFTracker[[#This Row],[Impact Time Post RM]]&gt;0, "IMPACTED", "NOT IMPACTED")</f>
        <v>NOT IMPACTED</v>
      </c>
      <c r="AF35" s="15"/>
      <c r="AG35" s="18"/>
      <c r="AH35" s="14" t="str">
        <f>IF(WFTracker[[#This Row],[Status]]="C", "Closed", IF(WFTracker[[#This Row],[Status]] = "x", "Cancelled", WFTracker[[#This Row],[Impact Time Post RM]]))</f>
        <v>Closed</v>
      </c>
      <c r="AI35" s="14" t="str">
        <f ca="1">IF(WFTracker[[#This Row],[Impact Time Post RM]]&lt;=0,"ON TIME","LATE")</f>
        <v>ON TIME</v>
      </c>
      <c r="AJ35" s="14" t="s">
        <v>984</v>
      </c>
      <c r="AK35" s="14">
        <v>18</v>
      </c>
      <c r="AL35" s="915">
        <f>IF(WFTracker[[#This Row],[Type]]="MAKE", WFTracker[[#This Row],[Due date]]+Filters!$J$111, WFTracker[[#This Row],[Due date]]+Filters!$J$135)</f>
        <v>45731.072512647552</v>
      </c>
      <c r="AM35" s="101" cm="1">
        <f t="array" ref="AM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" spans="1:39" ht="14.45">
      <c r="A36" t="str">
        <f>IF(WFTracker[[#This Row],[Order Number]]="SWBD", "QED2", "PZ4")</f>
        <v>PZ4</v>
      </c>
      <c r="B36" s="21" t="s">
        <v>33</v>
      </c>
      <c r="C36" s="21" t="s">
        <v>34</v>
      </c>
      <c r="D36" s="11" t="str">
        <f>WFTracker[[#This Row],[Order Number]]  &amp; "-" &amp; WFTracker[[#This Row],[Item]]</f>
        <v>0050206201-000180</v>
      </c>
      <c r="E36" s="23" t="s">
        <v>35</v>
      </c>
      <c r="F36" s="12">
        <v>45762</v>
      </c>
      <c r="G36" s="12"/>
      <c r="H36" s="11" t="s">
        <v>36</v>
      </c>
      <c r="I36" s="11" t="s">
        <v>37</v>
      </c>
      <c r="J36" s="13" t="s">
        <v>55</v>
      </c>
      <c r="K36" s="14" t="s">
        <v>1023</v>
      </c>
      <c r="L36" s="15" t="s">
        <v>27</v>
      </c>
      <c r="M36" s="15" t="s">
        <v>1120</v>
      </c>
      <c r="N36" s="56">
        <v>45888</v>
      </c>
      <c r="O36" s="15">
        <f>NETWORKDAYS.INTL(WFTracker[[#This Row],[Start date]],WFTracker[[#This Row],[RM]],1,Holidays!D565:D580)</f>
        <v>31</v>
      </c>
      <c r="P36" s="12">
        <v>45720</v>
      </c>
      <c r="Q36" s="12">
        <v>45728</v>
      </c>
      <c r="R36" s="12">
        <v>45728</v>
      </c>
      <c r="S36" s="12" t="b">
        <f>ISBLANK(WFTracker[[#This Row],[Completion Date]])</f>
        <v>0</v>
      </c>
      <c r="T36" s="12" t="str">
        <f>TEXT(WFTracker[[#This Row],[Start date]],"mmm-yyyy")</f>
        <v>Mar-2025</v>
      </c>
      <c r="U36" s="11">
        <v>5</v>
      </c>
      <c r="V36" s="11">
        <f>NETWORKDAYS.INTL(WFTracker[[#This Row],[Start date]],WFTracker[[#This Row],[Due date]],1,Holidays!D565:D580)</f>
        <v>7</v>
      </c>
      <c r="W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6" s="24">
        <f ca="1">WFTracker[[#This Row],[Active Time]]-WFTracker[[#This Row],[Completion Days Template]]</f>
        <v>0</v>
      </c>
      <c r="Y36" s="16" t="str">
        <f ca="1" xml:space="preserve"> IF(WFTracker[[#This Row],[Overdue Time '[Expected-Completion']]]&gt;0, "LATE","ON TIME")</f>
        <v>ON TIME</v>
      </c>
      <c r="Z36" s="16" t="str">
        <f ca="1">IF(WFTracker[[#This Row],[Overdue Time '[Expected-Completion']]] &gt;= 15, "SUPER LATE", Y36)</f>
        <v>ON TIME</v>
      </c>
      <c r="AA36" s="37" t="str">
        <f>IF(WFTracker[[#This Row],[Pre RM Opening Time]]&lt;WFTracker[[#This Row],[Old vs New Order Lead Time WF dead line]], "LATE BY ENG", "ON TIME BY ENG")</f>
        <v>ON TIME BY ENG</v>
      </c>
      <c r="AB36" s="37"/>
      <c r="AC36" s="15" t="s">
        <v>29</v>
      </c>
      <c r="AD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36" s="37" t="str">
        <f ca="1">IF(WFTracker[[#This Row],[Impact Time Post RM]]&gt;0, "IMPACTED", "NOT IMPACTED")</f>
        <v>NOT IMPACTED</v>
      </c>
      <c r="AF36" s="15"/>
      <c r="AG36" s="18"/>
      <c r="AH36" s="14" t="str">
        <f>IF(WFTracker[[#This Row],[Status]]="C", "Closed", IF(WFTracker[[#This Row],[Status]] = "x", "Cancelled", WFTracker[[#This Row],[Impact Time Post RM]]))</f>
        <v>Closed</v>
      </c>
      <c r="AI36" s="14" t="str">
        <f ca="1">IF(WFTracker[[#This Row],[Impact Time Post RM]]&lt;=0,"ON TIME","LATE")</f>
        <v>ON TIME</v>
      </c>
      <c r="AJ36" s="14" t="s">
        <v>984</v>
      </c>
      <c r="AK36" s="14">
        <v>18</v>
      </c>
      <c r="AL36" s="915">
        <f>IF(WFTracker[[#This Row],[Type]]="MAKE", WFTracker[[#This Row],[Due date]]+Filters!$J$111, WFTracker[[#This Row],[Due date]]+Filters!$J$135)</f>
        <v>45731.072512647552</v>
      </c>
      <c r="AM36" s="101" cm="1">
        <f t="array" ref="AM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" spans="1:39" ht="14.45">
      <c r="A37" t="str">
        <f>IF(WFTracker[[#This Row],[Order Number]]="SWBD", "QED2", "PZ4")</f>
        <v>PZ4</v>
      </c>
      <c r="B37" s="21" t="s">
        <v>140</v>
      </c>
      <c r="C37" s="21" t="s">
        <v>141</v>
      </c>
      <c r="D37" s="11" t="str">
        <f>WFTracker[[#This Row],[Order Number]]  &amp; "-" &amp; WFTracker[[#This Row],[Item]]</f>
        <v>0050780333-000110</v>
      </c>
      <c r="E37" s="23" t="s">
        <v>142</v>
      </c>
      <c r="F37" s="12">
        <v>45730</v>
      </c>
      <c r="G37" s="12"/>
      <c r="H37" s="11" t="s">
        <v>143</v>
      </c>
      <c r="I37" s="11" t="s">
        <v>81</v>
      </c>
      <c r="J37" s="13" t="s">
        <v>148</v>
      </c>
      <c r="K37" s="14" t="s">
        <v>1017</v>
      </c>
      <c r="L37" s="15" t="s">
        <v>27</v>
      </c>
      <c r="M37" s="15" t="s">
        <v>1123</v>
      </c>
      <c r="N37" s="56">
        <v>45896</v>
      </c>
      <c r="O37" s="15">
        <f>NETWORKDAYS.INTL(WFTracker[[#This Row],[Start date]],WFTracker[[#This Row],[RM]],1,Holidays!D153:D168)</f>
        <v>8</v>
      </c>
      <c r="P37" s="12">
        <v>45721</v>
      </c>
      <c r="Q37" s="12">
        <v>45730</v>
      </c>
      <c r="R37" s="12">
        <v>45740</v>
      </c>
      <c r="S37" s="12" t="b">
        <f>ISBLANK(WFTracker[[#This Row],[Completion Date]])</f>
        <v>0</v>
      </c>
      <c r="T37" s="12" t="str">
        <f>TEXT(WFTracker[[#This Row],[Start date]],"mmm-yyyy")</f>
        <v>Mar-2025</v>
      </c>
      <c r="U37" s="11">
        <v>5</v>
      </c>
      <c r="V37" s="11">
        <f>NETWORKDAYS.INTL(WFTracker[[#This Row],[Start date]],WFTracker[[#This Row],[Due date]],1,Holidays!D153:D168)</f>
        <v>8</v>
      </c>
      <c r="W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7" s="24">
        <f ca="1">WFTracker[[#This Row],[Active Time]]-WFTracker[[#This Row],[Completion Days Template]]</f>
        <v>5</v>
      </c>
      <c r="Y37" s="16" t="str">
        <f ca="1" xml:space="preserve"> IF(WFTracker[[#This Row],[Overdue Time '[Expected-Completion']]]&gt;0, "LATE","ON TIME")</f>
        <v>LATE</v>
      </c>
      <c r="Z37" s="16" t="str">
        <f ca="1">IF(WFTracker[[#This Row],[Overdue Time '[Expected-Completion']]] &gt;= 15, "SUPER LATE", Y37)</f>
        <v>LATE</v>
      </c>
      <c r="AA37" s="37" t="str">
        <f>IF(WFTracker[[#This Row],[Pre RM Opening Time]]&lt;WFTracker[[#This Row],[Old vs New Order Lead Time WF dead line]], "LATE BY ENG", "ON TIME BY ENG")</f>
        <v>ON TIME BY ENG</v>
      </c>
      <c r="AB37" s="37"/>
      <c r="AC37" s="15" t="str">
        <f>IF(WFTracker[[#This Row],[Competion Date Content]] = FALSE, "C", "i")</f>
        <v>C</v>
      </c>
      <c r="AD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37" s="37" t="str">
        <f ca="1">IF(WFTracker[[#This Row],[Impact Time Post RM]]&gt;0, "IMPACTED", "NOT IMPACTED")</f>
        <v>IMPACTED</v>
      </c>
      <c r="AF37" s="15"/>
      <c r="AG37" s="18"/>
      <c r="AH37" s="14" t="str">
        <f>IF(WFTracker[[#This Row],[Status]]="C", "Closed", IF(WFTracker[[#This Row],[Status]] = "x", "Cancelled", WFTracker[[#This Row],[Impact Time Post RM]]))</f>
        <v>Closed</v>
      </c>
      <c r="AI37" s="14" t="str">
        <f ca="1">IF(WFTracker[[#This Row],[Impact Time Post RM]]&lt;=0,"ON TIME","LATE")</f>
        <v>LATE</v>
      </c>
      <c r="AJ37" s="14" t="s">
        <v>984</v>
      </c>
      <c r="AK37" s="14">
        <v>18</v>
      </c>
      <c r="AL37" s="915">
        <f>IF(WFTracker[[#This Row],[Type]]="MAKE", WFTracker[[#This Row],[Due date]]+Filters!$J$111, WFTracker[[#This Row],[Due date]]+Filters!$J$135)</f>
        <v>45733.072512647552</v>
      </c>
      <c r="AM37" s="101" cm="1">
        <f t="array" ref="AM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" spans="1:39" ht="14.45">
      <c r="A38" t="str">
        <f>IF(WFTracker[[#This Row],[Order Number]]="SWBD", "QED2", "PZ4")</f>
        <v>PZ4</v>
      </c>
      <c r="B38" s="21" t="s">
        <v>140</v>
      </c>
      <c r="C38" s="21" t="s">
        <v>141</v>
      </c>
      <c r="D38" s="11" t="str">
        <f>WFTracker[[#This Row],[Order Number]]  &amp; "-" &amp; WFTracker[[#This Row],[Item]]</f>
        <v>0050780333-000110</v>
      </c>
      <c r="E38" s="23" t="s">
        <v>142</v>
      </c>
      <c r="F38" s="12">
        <v>45730</v>
      </c>
      <c r="G38" s="12"/>
      <c r="H38" s="11" t="s">
        <v>143</v>
      </c>
      <c r="I38" s="11" t="s">
        <v>81</v>
      </c>
      <c r="J38" s="13" t="s">
        <v>149</v>
      </c>
      <c r="K38" s="14" t="s">
        <v>1017</v>
      </c>
      <c r="L38" s="15" t="s">
        <v>40</v>
      </c>
      <c r="M38" s="15" t="s">
        <v>1123</v>
      </c>
      <c r="N38" s="56">
        <v>45896</v>
      </c>
      <c r="O38" s="15">
        <f>NETWORKDAYS.INTL(WFTracker[[#This Row],[Start date]],WFTracker[[#This Row],[RM]],1,Holidays!D154:D169)</f>
        <v>8</v>
      </c>
      <c r="P38" s="12">
        <v>45721</v>
      </c>
      <c r="Q38" s="12">
        <v>45735</v>
      </c>
      <c r="R38" s="12">
        <v>45729</v>
      </c>
      <c r="S38" s="12" t="b">
        <f>ISBLANK(WFTracker[[#This Row],[Completion Date]])</f>
        <v>0</v>
      </c>
      <c r="T38" s="12" t="str">
        <f>TEXT(WFTracker[[#This Row],[Start date]],"mmm-yyyy")</f>
        <v>Mar-2025</v>
      </c>
      <c r="U38" s="11">
        <v>5</v>
      </c>
      <c r="V38" s="11">
        <f>NETWORKDAYS.INTL(WFTracker[[#This Row],[Start date]],WFTracker[[#This Row],[Due date]],1,Holidays!D154:D169)</f>
        <v>11</v>
      </c>
      <c r="W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8" s="24">
        <f ca="1">WFTracker[[#This Row],[Active Time]]-WFTracker[[#This Row],[Completion Days Template]]</f>
        <v>-4</v>
      </c>
      <c r="Y38" s="16" t="str">
        <f ca="1" xml:space="preserve"> IF(WFTracker[[#This Row],[Overdue Time '[Expected-Completion']]]&gt;0, "LATE","ON TIME")</f>
        <v>ON TIME</v>
      </c>
      <c r="Z38" s="16" t="str">
        <f ca="1">IF(WFTracker[[#This Row],[Overdue Time '[Expected-Completion']]] &gt;= 15, "SUPER LATE", Y38)</f>
        <v>ON TIME</v>
      </c>
      <c r="AA38" s="37" t="str">
        <f>IF(WFTracker[[#This Row],[Pre RM Opening Time]]&lt;WFTracker[[#This Row],[Old vs New Order Lead Time WF dead line]], "LATE BY ENG", "ON TIME BY ENG")</f>
        <v>ON TIME BY ENG</v>
      </c>
      <c r="AB38" s="37"/>
      <c r="AC38" s="15" t="str">
        <f>IF(WFTracker[[#This Row],[Competion Date Content]] = FALSE, "C", "i")</f>
        <v>C</v>
      </c>
      <c r="AD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8" s="25" t="str">
        <f ca="1">IF(WFTracker[[#This Row],[Impact Time Post RM]]&gt;0, "IMPACTED", "NOT IMPACTED")</f>
        <v>NOT IMPACTED</v>
      </c>
      <c r="AF38" s="15"/>
      <c r="AG38" s="18"/>
      <c r="AH38" s="14" t="str">
        <f>IF(WFTracker[[#This Row],[Status]]="C", "Closed", IF(WFTracker[[#This Row],[Status]] = "x", "Cancelled", WFTracker[[#This Row],[Impact Time Post RM]]))</f>
        <v>Closed</v>
      </c>
      <c r="AI38" s="14" t="str">
        <f ca="1">IF(WFTracker[[#This Row],[Impact Time Post RM]]&lt;=0,"ON TIME","LATE")</f>
        <v>ON TIME</v>
      </c>
      <c r="AJ38" s="14" t="s">
        <v>984</v>
      </c>
      <c r="AK38" s="14">
        <v>17</v>
      </c>
      <c r="AL38" s="915">
        <f>IF(WFTracker[[#This Row],[Type]]="MAKE", WFTracker[[#This Row],[Due date]]+Filters!$J$111, WFTracker[[#This Row],[Due date]]+Filters!$J$135)</f>
        <v>45735.415686274508</v>
      </c>
      <c r="AM38" s="101" cm="1">
        <f t="array" ref="AM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" spans="1:39" ht="14.45">
      <c r="A39" t="str">
        <f>IF(WFTracker[[#This Row],[Order Number]]="SWBD", "QED2", "PZ4")</f>
        <v>PZ4</v>
      </c>
      <c r="B39" s="21" t="s">
        <v>33</v>
      </c>
      <c r="C39" s="21" t="s">
        <v>79</v>
      </c>
      <c r="D39" s="11" t="str">
        <f>WFTracker[[#This Row],[Order Number]]  &amp; "-" &amp; WFTracker[[#This Row],[Item]]</f>
        <v>0050206201-000160</v>
      </c>
      <c r="E39" s="23" t="s">
        <v>35</v>
      </c>
      <c r="F39" s="12">
        <v>45769</v>
      </c>
      <c r="G39" s="12"/>
      <c r="H39" s="11" t="s">
        <v>80</v>
      </c>
      <c r="I39" s="11" t="s">
        <v>81</v>
      </c>
      <c r="J39" s="13" t="s">
        <v>83</v>
      </c>
      <c r="K39" s="14" t="s">
        <v>1023</v>
      </c>
      <c r="L39" s="15" t="s">
        <v>27</v>
      </c>
      <c r="M39" s="15" t="s">
        <v>1120</v>
      </c>
      <c r="N39" s="56">
        <v>45868</v>
      </c>
      <c r="O39" s="15">
        <f>NETWORKDAYS.INTL(WFTracker[[#This Row],[Start date]],WFTracker[[#This Row],[RM]],1,Holidays!D579:D594)</f>
        <v>35</v>
      </c>
      <c r="P39" s="12">
        <v>45721</v>
      </c>
      <c r="Q39" s="12">
        <v>45729</v>
      </c>
      <c r="R39" s="12">
        <v>45735</v>
      </c>
      <c r="S39" s="12" t="b">
        <f>ISBLANK(WFTracker[[#This Row],[Completion Date]])</f>
        <v>0</v>
      </c>
      <c r="T39" s="12" t="str">
        <f>TEXT(WFTracker[[#This Row],[Start date]],"mmm-yyyy")</f>
        <v>Mar-2025</v>
      </c>
      <c r="U39" s="11">
        <v>5</v>
      </c>
      <c r="V39" s="11">
        <f>NETWORKDAYS.INTL(WFTracker[[#This Row],[Start date]],WFTracker[[#This Row],[Due date]],1,Holidays!D579:D594)</f>
        <v>7</v>
      </c>
      <c r="W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9" s="24">
        <f ca="1">WFTracker[[#This Row],[Active Time]]-WFTracker[[#This Row],[Completion Days Template]]</f>
        <v>3</v>
      </c>
      <c r="Y39" s="16" t="str">
        <f ca="1" xml:space="preserve"> IF(WFTracker[[#This Row],[Overdue Time '[Expected-Completion']]]&gt;0, "LATE","ON TIME")</f>
        <v>LATE</v>
      </c>
      <c r="Z39" s="16" t="str">
        <f ca="1">IF(WFTracker[[#This Row],[Overdue Time '[Expected-Completion']]] &gt;= 15, "SUPER LATE", Y39)</f>
        <v>LATE</v>
      </c>
      <c r="AA39" s="37" t="str">
        <f>IF(WFTracker[[#This Row],[Pre RM Opening Time]]&lt;WFTracker[[#This Row],[Old vs New Order Lead Time WF dead line]], "LATE BY ENG", "ON TIME BY ENG")</f>
        <v>ON TIME BY ENG</v>
      </c>
      <c r="AB39" s="37"/>
      <c r="AC39" s="15" t="s">
        <v>29</v>
      </c>
      <c r="AD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39" s="37" t="str">
        <f ca="1">IF(WFTracker[[#This Row],[Impact Time Post RM]]&gt;0, "IMPACTED", "NOT IMPACTED")</f>
        <v>NOT IMPACTED</v>
      </c>
      <c r="AF39" s="15"/>
      <c r="AG39" s="18"/>
      <c r="AH39" s="14" t="str">
        <f>IF(WFTracker[[#This Row],[Status]]="C", "Closed", IF(WFTracker[[#This Row],[Status]] = "x", "Cancelled", WFTracker[[#This Row],[Impact Time Post RM]]))</f>
        <v>Closed</v>
      </c>
      <c r="AI39" s="14" t="str">
        <f ca="1">IF(WFTracker[[#This Row],[Impact Time Post RM]]&lt;=0,"ON TIME","LATE")</f>
        <v>ON TIME</v>
      </c>
      <c r="AJ39" s="14" t="s">
        <v>984</v>
      </c>
      <c r="AK39" s="14">
        <v>18</v>
      </c>
      <c r="AL39" s="915">
        <f>IF(WFTracker[[#This Row],[Type]]="MAKE", WFTracker[[#This Row],[Due date]]+Filters!$J$111, WFTracker[[#This Row],[Due date]]+Filters!$J$135)</f>
        <v>45732.072512647552</v>
      </c>
      <c r="AM39" s="101" cm="1">
        <f t="array" ref="AM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" spans="1:39" ht="14.45">
      <c r="A40" t="str">
        <f>IF(WFTracker[[#This Row],[Order Number]]="SWBD", "QED2", "PZ4")</f>
        <v>PZ4</v>
      </c>
      <c r="B40" s="21" t="s">
        <v>164</v>
      </c>
      <c r="C40" s="21" t="s">
        <v>165</v>
      </c>
      <c r="D40" s="11" t="str">
        <f>WFTracker[[#This Row],[Order Number]]  &amp; "-" &amp; WFTracker[[#This Row],[Item]]</f>
        <v>0050746660-000030</v>
      </c>
      <c r="E40" s="23" t="s">
        <v>166</v>
      </c>
      <c r="F40" s="12">
        <v>45730</v>
      </c>
      <c r="G40" s="12"/>
      <c r="H40" s="11" t="s">
        <v>117</v>
      </c>
      <c r="I40" s="11" t="s">
        <v>37</v>
      </c>
      <c r="J40" s="13" t="s">
        <v>171</v>
      </c>
      <c r="K40" s="14" t="s">
        <v>1017</v>
      </c>
      <c r="L40" s="15" t="s">
        <v>27</v>
      </c>
      <c r="M40" s="15" t="s">
        <v>1120</v>
      </c>
      <c r="N40" s="56">
        <v>45869</v>
      </c>
      <c r="O40" s="15">
        <f>NETWORKDAYS.INTL(WFTracker[[#This Row],[Start date]],WFTracker[[#This Row],[RM]],1,Holidays!D114:D129)</f>
        <v>7</v>
      </c>
      <c r="P40" s="12">
        <v>45722</v>
      </c>
      <c r="Q40" s="12">
        <v>45729</v>
      </c>
      <c r="R40" s="12">
        <v>45741</v>
      </c>
      <c r="S40" s="12" t="b">
        <f>ISBLANK(WFTracker[[#This Row],[Completion Date]])</f>
        <v>0</v>
      </c>
      <c r="T40" s="12" t="str">
        <f>TEXT(WFTracker[[#This Row],[Start date]],"mmm-yyyy")</f>
        <v>Mar-2025</v>
      </c>
      <c r="U40" s="11">
        <v>5</v>
      </c>
      <c r="V40" s="11">
        <f>NETWORKDAYS.INTL(WFTracker[[#This Row],[Start date]],WFTracker[[#This Row],[Due date]],1,Holidays!D114:D129)</f>
        <v>6</v>
      </c>
      <c r="W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0" s="24">
        <f ca="1">WFTracker[[#This Row],[Active Time]]-WFTracker[[#This Row],[Completion Days Template]]</f>
        <v>7</v>
      </c>
      <c r="Y40" s="16" t="str">
        <f ca="1" xml:space="preserve"> IF(WFTracker[[#This Row],[Overdue Time '[Expected-Completion']]]&gt;0, "LATE","ON TIME")</f>
        <v>LATE</v>
      </c>
      <c r="Z40" s="16" t="str">
        <f ca="1">IF(WFTracker[[#This Row],[Overdue Time '[Expected-Completion']]] &gt;= 15, "SUPER LATE", Y40)</f>
        <v>LATE</v>
      </c>
      <c r="AA40" s="37" t="str">
        <f>IF(WFTracker[[#This Row],[Pre RM Opening Time]]&lt;WFTracker[[#This Row],[Old vs New Order Lead Time WF dead line]], "LATE BY ENG", "ON TIME BY ENG")</f>
        <v>ON TIME BY ENG</v>
      </c>
      <c r="AB40" s="37"/>
      <c r="AC40" s="15" t="str">
        <f>IF(WFTracker[[#This Row],[Competion Date Content]] = FALSE, "C", "i")</f>
        <v>C</v>
      </c>
      <c r="AD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40" s="37" t="str">
        <f ca="1">IF(WFTracker[[#This Row],[Impact Time Post RM]]&gt;0, "IMPACTED", "NOT IMPACTED")</f>
        <v>IMPACTED</v>
      </c>
      <c r="AF40" s="15"/>
      <c r="AG40" s="18"/>
      <c r="AH40" s="14" t="str">
        <f>IF(WFTracker[[#This Row],[Status]]="C", "Closed", IF(WFTracker[[#This Row],[Status]] = "x", "Cancelled", WFTracker[[#This Row],[Impact Time Post RM]]))</f>
        <v>Closed</v>
      </c>
      <c r="AI40" s="14" t="str">
        <f ca="1">IF(WFTracker[[#This Row],[Impact Time Post RM]]&lt;=0,"ON TIME","LATE")</f>
        <v>LATE</v>
      </c>
      <c r="AJ40" s="14" t="s">
        <v>984</v>
      </c>
      <c r="AK40" s="14">
        <v>18</v>
      </c>
      <c r="AL40" s="915">
        <f>IF(WFTracker[[#This Row],[Type]]="MAKE", WFTracker[[#This Row],[Due date]]+Filters!$J$111, WFTracker[[#This Row],[Due date]]+Filters!$J$135)</f>
        <v>45732.072512647552</v>
      </c>
      <c r="AM40" s="101" cm="1">
        <f t="array" ref="AM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" spans="1:39" ht="14.45">
      <c r="A41" t="str">
        <f>IF(WFTracker[[#This Row],[Order Number]]="SWBD", "QED2", "PZ4")</f>
        <v>PZ4</v>
      </c>
      <c r="B41" s="21" t="s">
        <v>164</v>
      </c>
      <c r="C41" s="21" t="s">
        <v>165</v>
      </c>
      <c r="D41" s="11" t="str">
        <f>WFTracker[[#This Row],[Order Number]]  &amp; "-" &amp; WFTracker[[#This Row],[Item]]</f>
        <v>0050746660-000030</v>
      </c>
      <c r="E41" s="23" t="s">
        <v>166</v>
      </c>
      <c r="F41" s="12">
        <v>45730</v>
      </c>
      <c r="G41" s="12"/>
      <c r="H41" s="11" t="s">
        <v>117</v>
      </c>
      <c r="I41" s="11" t="s">
        <v>37</v>
      </c>
      <c r="J41" s="13" t="s">
        <v>169</v>
      </c>
      <c r="K41" s="14" t="s">
        <v>1017</v>
      </c>
      <c r="L41" s="15" t="s">
        <v>27</v>
      </c>
      <c r="M41" s="15" t="s">
        <v>1120</v>
      </c>
      <c r="N41" s="56">
        <v>45869</v>
      </c>
      <c r="O41" s="15">
        <f>NETWORKDAYS.INTL(WFTracker[[#This Row],[Start date]],WFTracker[[#This Row],[RM]],1,Holidays!D115:D130)</f>
        <v>7</v>
      </c>
      <c r="P41" s="12">
        <v>45722</v>
      </c>
      <c r="Q41" s="12">
        <v>45729</v>
      </c>
      <c r="R41" s="12">
        <v>45735</v>
      </c>
      <c r="S41" s="12" t="b">
        <f>ISBLANK(WFTracker[[#This Row],[Completion Date]])</f>
        <v>0</v>
      </c>
      <c r="T41" s="12" t="str">
        <f>TEXT(WFTracker[[#This Row],[Start date]],"mmm-yyyy")</f>
        <v>Mar-2025</v>
      </c>
      <c r="U41" s="11">
        <v>5</v>
      </c>
      <c r="V41" s="11">
        <f>NETWORKDAYS.INTL(WFTracker[[#This Row],[Start date]],WFTracker[[#This Row],[Due date]],1,Holidays!D115:D130)</f>
        <v>6</v>
      </c>
      <c r="W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1" s="24">
        <f ca="1">WFTracker[[#This Row],[Active Time]]-WFTracker[[#This Row],[Completion Days Template]]</f>
        <v>3</v>
      </c>
      <c r="Y41" s="16" t="str">
        <f ca="1" xml:space="preserve"> IF(WFTracker[[#This Row],[Overdue Time '[Expected-Completion']]]&gt;0, "LATE","ON TIME")</f>
        <v>LATE</v>
      </c>
      <c r="Z41" s="16" t="str">
        <f ca="1">IF(WFTracker[[#This Row],[Overdue Time '[Expected-Completion']]] &gt;= 15, "SUPER LATE", Y41)</f>
        <v>LATE</v>
      </c>
      <c r="AA41" s="37" t="str">
        <f>IF(WFTracker[[#This Row],[Pre RM Opening Time]]&lt;WFTracker[[#This Row],[Old vs New Order Lead Time WF dead line]], "LATE BY ENG", "ON TIME BY ENG")</f>
        <v>ON TIME BY ENG</v>
      </c>
      <c r="AB41" s="37"/>
      <c r="AC41" s="15" t="str">
        <f>IF(WFTracker[[#This Row],[Competion Date Content]] = FALSE, "C", "i")</f>
        <v>C</v>
      </c>
      <c r="AD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41" s="37" t="str">
        <f ca="1">IF(WFTracker[[#This Row],[Impact Time Post RM]]&gt;0, "IMPACTED", "NOT IMPACTED")</f>
        <v>IMPACTED</v>
      </c>
      <c r="AF41" s="15"/>
      <c r="AG41" s="18"/>
      <c r="AH41" s="14" t="str">
        <f>IF(WFTracker[[#This Row],[Status]]="C", "Closed", IF(WFTracker[[#This Row],[Status]] = "x", "Cancelled", WFTracker[[#This Row],[Impact Time Post RM]]))</f>
        <v>Closed</v>
      </c>
      <c r="AI41" s="14" t="str">
        <f ca="1">IF(WFTracker[[#This Row],[Impact Time Post RM]]&lt;=0,"ON TIME","LATE")</f>
        <v>LATE</v>
      </c>
      <c r="AJ41" s="14" t="s">
        <v>984</v>
      </c>
      <c r="AK41" s="14">
        <v>18</v>
      </c>
      <c r="AL41" s="915">
        <f>IF(WFTracker[[#This Row],[Type]]="MAKE", WFTracker[[#This Row],[Due date]]+Filters!$J$111, WFTracker[[#This Row],[Due date]]+Filters!$J$135)</f>
        <v>45732.072512647552</v>
      </c>
      <c r="AM41" s="101" cm="1">
        <f t="array" ref="AM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" spans="1:39" ht="14.45">
      <c r="A42" t="str">
        <f>IF(WFTracker[[#This Row],[Order Number]]="SWBD", "QED2", "PZ4")</f>
        <v>PZ4</v>
      </c>
      <c r="B42" s="21" t="s">
        <v>164</v>
      </c>
      <c r="C42" s="21" t="s">
        <v>165</v>
      </c>
      <c r="D42" s="11" t="str">
        <f>WFTracker[[#This Row],[Order Number]]  &amp; "-" &amp; WFTracker[[#This Row],[Item]]</f>
        <v>0050746660-000030</v>
      </c>
      <c r="E42" s="23" t="s">
        <v>166</v>
      </c>
      <c r="F42" s="12">
        <v>45730</v>
      </c>
      <c r="G42" s="12"/>
      <c r="H42" s="11" t="s">
        <v>117</v>
      </c>
      <c r="I42" s="11" t="s">
        <v>37</v>
      </c>
      <c r="J42" s="13" t="s">
        <v>170</v>
      </c>
      <c r="K42" s="14" t="s">
        <v>1017</v>
      </c>
      <c r="L42" s="15" t="s">
        <v>40</v>
      </c>
      <c r="M42" s="15" t="s">
        <v>1120</v>
      </c>
      <c r="N42" s="56">
        <v>45869</v>
      </c>
      <c r="O42" s="15">
        <f>NETWORKDAYS.INTL(WFTracker[[#This Row],[Start date]],WFTracker[[#This Row],[RM]],1,Holidays!D116:D131)</f>
        <v>7</v>
      </c>
      <c r="P42" s="12">
        <v>45722</v>
      </c>
      <c r="Q42" s="12">
        <v>45734</v>
      </c>
      <c r="R42" s="12">
        <v>45741</v>
      </c>
      <c r="S42" s="12" t="b">
        <f>ISBLANK(WFTracker[[#This Row],[Completion Date]])</f>
        <v>0</v>
      </c>
      <c r="T42" s="12" t="str">
        <f>TEXT(WFTracker[[#This Row],[Start date]],"mmm-yyyy")</f>
        <v>Mar-2025</v>
      </c>
      <c r="U42" s="11">
        <v>5</v>
      </c>
      <c r="V42" s="11">
        <f>NETWORKDAYS.INTL(WFTracker[[#This Row],[Start date]],WFTracker[[#This Row],[Due date]],1,Holidays!D116:D131)</f>
        <v>9</v>
      </c>
      <c r="W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2" s="24">
        <f ca="1">WFTracker[[#This Row],[Active Time]]-WFTracker[[#This Row],[Completion Days Template]]</f>
        <v>4</v>
      </c>
      <c r="Y42" s="16" t="str">
        <f ca="1" xml:space="preserve"> IF(WFTracker[[#This Row],[Overdue Time '[Expected-Completion']]]&gt;0, "LATE","ON TIME")</f>
        <v>LATE</v>
      </c>
      <c r="Z42" s="16" t="str">
        <f ca="1">IF(WFTracker[[#This Row],[Overdue Time '[Expected-Completion']]] &gt;= 15, "SUPER LATE", Y42)</f>
        <v>LATE</v>
      </c>
      <c r="AA42" s="37" t="str">
        <f>IF(WFTracker[[#This Row],[Pre RM Opening Time]]&lt;WFTracker[[#This Row],[Old vs New Order Lead Time WF dead line]], "LATE BY ENG", "ON TIME BY ENG")</f>
        <v>ON TIME BY ENG</v>
      </c>
      <c r="AB42" s="37"/>
      <c r="AC42" s="15" t="str">
        <f>IF(WFTracker[[#This Row],[Competion Date Content]] = FALSE, "C", "i")</f>
        <v>C</v>
      </c>
      <c r="AD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42" s="37" t="str">
        <f ca="1">IF(WFTracker[[#This Row],[Impact Time Post RM]]&gt;0, "IMPACTED", "NOT IMPACTED")</f>
        <v>IMPACTED</v>
      </c>
      <c r="AF42" s="15"/>
      <c r="AG42" s="18"/>
      <c r="AH42" s="14" t="str">
        <f>IF(WFTracker[[#This Row],[Status]]="C", "Closed", IF(WFTracker[[#This Row],[Status]] = "x", "Cancelled", WFTracker[[#This Row],[Impact Time Post RM]]))</f>
        <v>Closed</v>
      </c>
      <c r="AI42" s="14" t="str">
        <f ca="1">IF(WFTracker[[#This Row],[Impact Time Post RM]]&lt;=0,"ON TIME","LATE")</f>
        <v>LATE</v>
      </c>
      <c r="AJ42" s="14" t="s">
        <v>984</v>
      </c>
      <c r="AK42" s="14">
        <v>17</v>
      </c>
      <c r="AL42" s="915">
        <f>IF(WFTracker[[#This Row],[Type]]="MAKE", WFTracker[[#This Row],[Due date]]+Filters!$J$111, WFTracker[[#This Row],[Due date]]+Filters!$J$135)</f>
        <v>45734.415686274508</v>
      </c>
      <c r="AM42" s="101" cm="1">
        <f t="array" ref="AM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" spans="1:39" ht="14.45">
      <c r="A43" t="str">
        <f>IF(WFTracker[[#This Row],[Order Number]]="SWBD", "QED2", "PZ4")</f>
        <v>PZ4</v>
      </c>
      <c r="B43" s="21" t="s">
        <v>164</v>
      </c>
      <c r="C43" s="26" t="s">
        <v>165</v>
      </c>
      <c r="D43" s="11" t="str">
        <f>WFTracker[[#This Row],[Order Number]]  &amp; "-" &amp; WFTracker[[#This Row],[Item]]</f>
        <v>0050746660-000030</v>
      </c>
      <c r="E43" s="23" t="s">
        <v>166</v>
      </c>
      <c r="F43" s="12">
        <v>45730</v>
      </c>
      <c r="G43" s="12"/>
      <c r="H43" s="11" t="s">
        <v>117</v>
      </c>
      <c r="I43" s="11" t="s">
        <v>37</v>
      </c>
      <c r="J43" s="13" t="s">
        <v>167</v>
      </c>
      <c r="K43" s="14" t="s">
        <v>1017</v>
      </c>
      <c r="L43" s="15" t="s">
        <v>40</v>
      </c>
      <c r="M43" s="15" t="s">
        <v>1120</v>
      </c>
      <c r="N43" s="56">
        <v>45869</v>
      </c>
      <c r="O43" s="15">
        <f>NETWORKDAYS.INTL(WFTracker[[#This Row],[Start date]],WFTracker[[#This Row],[RM]],1,Holidays!D117:D132)</f>
        <v>7</v>
      </c>
      <c r="P43" s="12">
        <v>45722</v>
      </c>
      <c r="Q43" s="12">
        <v>45734</v>
      </c>
      <c r="R43" s="12">
        <v>45735</v>
      </c>
      <c r="S43" s="12" t="b">
        <f>ISBLANK(WFTracker[[#This Row],[Completion Date]])</f>
        <v>0</v>
      </c>
      <c r="T43" s="12" t="str">
        <f>TEXT(WFTracker[[#This Row],[Start date]],"mmm-yyyy")</f>
        <v>Mar-2025</v>
      </c>
      <c r="U43" s="11">
        <v>5</v>
      </c>
      <c r="V43" s="11">
        <f>NETWORKDAYS.INTL(WFTracker[[#This Row],[Start date]],WFTracker[[#This Row],[Due date]],1,Holidays!D117:D132)</f>
        <v>9</v>
      </c>
      <c r="W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3" s="24">
        <f ca="1">WFTracker[[#This Row],[Active Time]]-WFTracker[[#This Row],[Completion Days Template]]</f>
        <v>0</v>
      </c>
      <c r="Y43" s="16" t="str">
        <f ca="1" xml:space="preserve"> IF(WFTracker[[#This Row],[Overdue Time '[Expected-Completion']]]&gt;0, "LATE","ON TIME")</f>
        <v>ON TIME</v>
      </c>
      <c r="Z43" s="16" t="str">
        <f ca="1">IF(WFTracker[[#This Row],[Overdue Time '[Expected-Completion']]] &gt;= 15, "SUPER LATE", Y43)</f>
        <v>ON TIME</v>
      </c>
      <c r="AA43" s="37" t="str">
        <f>IF(WFTracker[[#This Row],[Pre RM Opening Time]]&lt;WFTracker[[#This Row],[Old vs New Order Lead Time WF dead line]], "LATE BY ENG", "ON TIME BY ENG")</f>
        <v>ON TIME BY ENG</v>
      </c>
      <c r="AB43" s="37"/>
      <c r="AC43" s="15" t="str">
        <f>IF(WFTracker[[#This Row],[Competion Date Content]] = FALSE, "C", "i")</f>
        <v>C</v>
      </c>
      <c r="AD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43" s="37" t="str">
        <f ca="1">IF(WFTracker[[#This Row],[Impact Time Post RM]]&gt;0, "IMPACTED", "NOT IMPACTED")</f>
        <v>IMPACTED</v>
      </c>
      <c r="AF43" s="15"/>
      <c r="AG43" s="18"/>
      <c r="AH43" s="14" t="str">
        <f>IF(WFTracker[[#This Row],[Status]]="C", "Closed", IF(WFTracker[[#This Row],[Status]] = "x", "Cancelled", WFTracker[[#This Row],[Impact Time Post RM]]))</f>
        <v>Closed</v>
      </c>
      <c r="AI43" s="14" t="str">
        <f ca="1">IF(WFTracker[[#This Row],[Impact Time Post RM]]&lt;=0,"ON TIME","LATE")</f>
        <v>LATE</v>
      </c>
      <c r="AJ43" s="14" t="s">
        <v>984</v>
      </c>
      <c r="AK43" s="14">
        <v>17</v>
      </c>
      <c r="AL43" s="915">
        <f>IF(WFTracker[[#This Row],[Type]]="MAKE", WFTracker[[#This Row],[Due date]]+Filters!$J$111, WFTracker[[#This Row],[Due date]]+Filters!$J$135)</f>
        <v>45734.415686274508</v>
      </c>
      <c r="AM43" s="101" cm="1">
        <f t="array" ref="AM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" spans="1:39" ht="14.45">
      <c r="A44" t="str">
        <f>IF(WFTracker[[#This Row],[Order Number]]="SWBD", "QED2", "PZ4")</f>
        <v>PZ4</v>
      </c>
      <c r="B44" s="21" t="s">
        <v>164</v>
      </c>
      <c r="C44" s="26" t="s">
        <v>165</v>
      </c>
      <c r="D44" s="11" t="str">
        <f>WFTracker[[#This Row],[Order Number]]  &amp; "-" &amp; WFTracker[[#This Row],[Item]]</f>
        <v>0050746660-000030</v>
      </c>
      <c r="E44" s="23" t="s">
        <v>166</v>
      </c>
      <c r="F44" s="12">
        <v>45730</v>
      </c>
      <c r="G44" s="12"/>
      <c r="H44" s="11" t="s">
        <v>117</v>
      </c>
      <c r="I44" s="11" t="s">
        <v>37</v>
      </c>
      <c r="J44" s="13" t="s">
        <v>174</v>
      </c>
      <c r="K44" s="14" t="s">
        <v>1017</v>
      </c>
      <c r="L44" s="15" t="s">
        <v>27</v>
      </c>
      <c r="M44" s="15" t="s">
        <v>1120</v>
      </c>
      <c r="N44" s="56">
        <v>45869</v>
      </c>
      <c r="O44" s="15">
        <f>NETWORKDAYS.INTL(WFTracker[[#This Row],[Start date]],WFTracker[[#This Row],[RM]],1,Holidays!D104:D119)</f>
        <v>6</v>
      </c>
      <c r="P44" s="27">
        <v>45723</v>
      </c>
      <c r="Q44" s="27">
        <v>45733</v>
      </c>
      <c r="R44" s="12">
        <v>45729</v>
      </c>
      <c r="S44" s="27" t="b">
        <f>ISBLANK(WFTracker[[#This Row],[Completion Date]])</f>
        <v>0</v>
      </c>
      <c r="T44" s="27" t="str">
        <f>TEXT(WFTracker[[#This Row],[Start date]],"mmm-yyyy")</f>
        <v>Mar-2025</v>
      </c>
      <c r="U44" s="11">
        <v>5</v>
      </c>
      <c r="V44" s="11">
        <f>NETWORKDAYS.INTL(WFTracker[[#This Row],[Start date]],WFTracker[[#This Row],[Due date]],1,Holidays!D104:D119)</f>
        <v>7</v>
      </c>
      <c r="W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44" s="24">
        <f ca="1">WFTracker[[#This Row],[Active Time]]-WFTracker[[#This Row],[Completion Days Template]]</f>
        <v>-2</v>
      </c>
      <c r="Y44" s="16" t="str">
        <f ca="1" xml:space="preserve"> IF(WFTracker[[#This Row],[Overdue Time '[Expected-Completion']]]&gt;0, "LATE","ON TIME")</f>
        <v>ON TIME</v>
      </c>
      <c r="Z44" s="16" t="str">
        <f ca="1">IF(WFTracker[[#This Row],[Overdue Time '[Expected-Completion']]] &gt;= 15, "SUPER LATE", Y44)</f>
        <v>ON TIME</v>
      </c>
      <c r="AA44" s="37" t="str">
        <f>IF(WFTracker[[#This Row],[Pre RM Opening Time]]&lt;WFTracker[[#This Row],[Old vs New Order Lead Time WF dead line]], "LATE BY ENG", "ON TIME BY ENG")</f>
        <v>ON TIME BY ENG</v>
      </c>
      <c r="AB44" s="37"/>
      <c r="AC44" s="15" t="str">
        <f>IF(WFTracker[[#This Row],[Competion Date Content]] = FALSE, "C", "i")</f>
        <v>C</v>
      </c>
      <c r="AD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4" s="105" t="str">
        <f ca="1">IF(WFTracker[[#This Row],[Impact Time Post RM]]&gt;0, "IMPACTED", "NOT IMPACTED")</f>
        <v>NOT IMPACTED</v>
      </c>
      <c r="AF44" s="15"/>
      <c r="AG44" s="18"/>
      <c r="AH44" s="14" t="str">
        <f>IF(WFTracker[[#This Row],[Status]]="C", "Closed", IF(WFTracker[[#This Row],[Status]] = "x", "Cancelled", WFTracker[[#This Row],[Impact Time Post RM]]))</f>
        <v>Closed</v>
      </c>
      <c r="AI44" s="14" t="str">
        <f ca="1">IF(WFTracker[[#This Row],[Impact Time Post RM]]&lt;=0,"ON TIME","LATE")</f>
        <v>ON TIME</v>
      </c>
      <c r="AJ44" s="14" t="s">
        <v>984</v>
      </c>
      <c r="AK44" s="14">
        <v>18</v>
      </c>
      <c r="AL44" s="915">
        <f>IF(WFTracker[[#This Row],[Type]]="MAKE", WFTracker[[#This Row],[Due date]]+Filters!$J$111, WFTracker[[#This Row],[Due date]]+Filters!$J$135)</f>
        <v>45736.072512647552</v>
      </c>
      <c r="AM44" s="101" cm="1">
        <f t="array" ref="AM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" spans="1:39" ht="14.45">
      <c r="A45" t="str">
        <f>IF(WFTracker[[#This Row],[Order Number]]="SWBD", "QED2", "PZ4")</f>
        <v>PZ4</v>
      </c>
      <c r="B45" s="21" t="s">
        <v>164</v>
      </c>
      <c r="C45" s="21" t="s">
        <v>165</v>
      </c>
      <c r="D45" s="11" t="str">
        <f>WFTracker[[#This Row],[Order Number]]  &amp; "-" &amp; WFTracker[[#This Row],[Item]]</f>
        <v>0050746660-000030</v>
      </c>
      <c r="E45" s="23" t="s">
        <v>166</v>
      </c>
      <c r="F45" s="12">
        <v>45730</v>
      </c>
      <c r="G45" s="12"/>
      <c r="H45" s="11" t="s">
        <v>117</v>
      </c>
      <c r="I45" s="11" t="s">
        <v>37</v>
      </c>
      <c r="J45" s="13" t="s">
        <v>172</v>
      </c>
      <c r="K45" s="14" t="s">
        <v>1017</v>
      </c>
      <c r="L45" s="15" t="s">
        <v>40</v>
      </c>
      <c r="M45" s="15" t="s">
        <v>1120</v>
      </c>
      <c r="N45" s="56">
        <v>45869</v>
      </c>
      <c r="O45" s="15">
        <f>NETWORKDAYS.INTL(WFTracker[[#This Row],[Start date]],WFTracker[[#This Row],[RM]],1,Holidays!D105:D120)</f>
        <v>6</v>
      </c>
      <c r="P45" s="27">
        <v>45723</v>
      </c>
      <c r="Q45" s="27">
        <v>45735</v>
      </c>
      <c r="R45" s="12">
        <v>45735</v>
      </c>
      <c r="S45" s="27" t="b">
        <f>ISBLANK(WFTracker[[#This Row],[Completion Date]])</f>
        <v>0</v>
      </c>
      <c r="T45" s="27" t="str">
        <f>TEXT(WFTracker[[#This Row],[Start date]],"mmm-yyyy")</f>
        <v>Mar-2025</v>
      </c>
      <c r="U45" s="11">
        <v>5</v>
      </c>
      <c r="V45" s="11">
        <f>NETWORKDAYS.INTL(WFTracker[[#This Row],[Start date]],WFTracker[[#This Row],[Due date]],1,Holidays!D105:D120)</f>
        <v>9</v>
      </c>
      <c r="W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5" s="24">
        <f ca="1">WFTracker[[#This Row],[Active Time]]-WFTracker[[#This Row],[Completion Days Template]]</f>
        <v>-1</v>
      </c>
      <c r="Y45" s="16" t="str">
        <f ca="1" xml:space="preserve"> IF(WFTracker[[#This Row],[Overdue Time '[Expected-Completion']]]&gt;0, "LATE","ON TIME")</f>
        <v>ON TIME</v>
      </c>
      <c r="Z45" s="16" t="str">
        <f ca="1">IF(WFTracker[[#This Row],[Overdue Time '[Expected-Completion']]] &gt;= 15, "SUPER LATE", Y45)</f>
        <v>ON TIME</v>
      </c>
      <c r="AA45" s="37" t="str">
        <f>IF(WFTracker[[#This Row],[Pre RM Opening Time]]&lt;WFTracker[[#This Row],[Old vs New Order Lead Time WF dead line]], "LATE BY ENG", "ON TIME BY ENG")</f>
        <v>ON TIME BY ENG</v>
      </c>
      <c r="AB45" s="37"/>
      <c r="AC45" s="15" t="str">
        <f>IF(WFTracker[[#This Row],[Competion Date Content]] = FALSE, "C", "i")</f>
        <v>C</v>
      </c>
      <c r="AD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45" s="105" t="str">
        <f ca="1">IF(WFTracker[[#This Row],[Impact Time Post RM]]&gt;0, "IMPACTED", "NOT IMPACTED")</f>
        <v>IMPACTED</v>
      </c>
      <c r="AF45" s="15"/>
      <c r="AG45" s="18"/>
      <c r="AH45" s="14" t="str">
        <f>IF(WFTracker[[#This Row],[Status]]="C", "Closed", IF(WFTracker[[#This Row],[Status]] = "x", "Cancelled", WFTracker[[#This Row],[Impact Time Post RM]]))</f>
        <v>Closed</v>
      </c>
      <c r="AI45" s="14" t="str">
        <f ca="1">IF(WFTracker[[#This Row],[Impact Time Post RM]]&lt;=0,"ON TIME","LATE")</f>
        <v>LATE</v>
      </c>
      <c r="AJ45" s="14" t="s">
        <v>984</v>
      </c>
      <c r="AK45" s="14">
        <v>17</v>
      </c>
      <c r="AL45" s="915">
        <f>IF(WFTracker[[#This Row],[Type]]="MAKE", WFTracker[[#This Row],[Due date]]+Filters!$J$111, WFTracker[[#This Row],[Due date]]+Filters!$J$135)</f>
        <v>45735.415686274508</v>
      </c>
      <c r="AM45" s="101" cm="1">
        <f t="array" ref="AM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" spans="1:39" ht="14.45">
      <c r="A46" t="str">
        <f>IF(WFTracker[[#This Row],[Order Number]]="SWBD", "QED2", "PZ4")</f>
        <v>PZ4</v>
      </c>
      <c r="B46" s="21" t="s">
        <v>33</v>
      </c>
      <c r="C46" s="21" t="s">
        <v>34</v>
      </c>
      <c r="D46" s="11" t="str">
        <f>WFTracker[[#This Row],[Order Number]]  &amp; "-" &amp; WFTracker[[#This Row],[Item]]</f>
        <v>0050206201-000180</v>
      </c>
      <c r="E46" s="23" t="s">
        <v>35</v>
      </c>
      <c r="F46" s="12">
        <v>45762</v>
      </c>
      <c r="G46" s="12"/>
      <c r="H46" s="11" t="s">
        <v>36</v>
      </c>
      <c r="I46" s="11" t="s">
        <v>37</v>
      </c>
      <c r="J46" s="13" t="s">
        <v>1124</v>
      </c>
      <c r="K46" s="14" t="s">
        <v>1023</v>
      </c>
      <c r="L46" s="15" t="s">
        <v>27</v>
      </c>
      <c r="M46" s="15" t="s">
        <v>1120</v>
      </c>
      <c r="N46" s="56">
        <v>45888</v>
      </c>
      <c r="O46" s="15">
        <f>NETWORKDAYS.INTL(WFTracker[[#This Row],[Start date]],WFTracker[[#This Row],[RM]],1,Holidays!D535:D550)</f>
        <v>28</v>
      </c>
      <c r="P46" s="27">
        <v>45723</v>
      </c>
      <c r="Q46" s="27">
        <v>45730</v>
      </c>
      <c r="R46" s="12">
        <v>45737</v>
      </c>
      <c r="S46" s="27" t="b">
        <f>ISBLANK(WFTracker[[#This Row],[Completion Date]])</f>
        <v>0</v>
      </c>
      <c r="T46" s="27" t="str">
        <f>TEXT(WFTracker[[#This Row],[Start date]],"mmm-yyyy")</f>
        <v>Mar-2025</v>
      </c>
      <c r="U46" s="11">
        <v>5</v>
      </c>
      <c r="V46" s="11">
        <f>NETWORKDAYS.INTL(WFTracker[[#This Row],[Start date]],WFTracker[[#This Row],[Due date]],1,Holidays!D535:D550)</f>
        <v>6</v>
      </c>
      <c r="W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46" s="24">
        <f ca="1">WFTracker[[#This Row],[Active Time]]-WFTracker[[#This Row],[Completion Days Template]]</f>
        <v>4</v>
      </c>
      <c r="Y46" s="16" t="str">
        <f ca="1" xml:space="preserve"> IF(WFTracker[[#This Row],[Overdue Time '[Expected-Completion']]]&gt;0, "LATE","ON TIME")</f>
        <v>LATE</v>
      </c>
      <c r="Z46" s="16" t="str">
        <f ca="1">IF(WFTracker[[#This Row],[Overdue Time '[Expected-Completion']]] &gt;= 15, "SUPER LATE", Y46)</f>
        <v>LATE</v>
      </c>
      <c r="AA46" s="37" t="str">
        <f>IF(WFTracker[[#This Row],[Pre RM Opening Time]]&lt;WFTracker[[#This Row],[Old vs New Order Lead Time WF dead line]], "LATE BY ENG", "ON TIME BY ENG")</f>
        <v>ON TIME BY ENG</v>
      </c>
      <c r="AB46" s="37"/>
      <c r="AC46" s="15" t="s">
        <v>29</v>
      </c>
      <c r="AD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46" s="105" t="str">
        <f ca="1">IF(WFTracker[[#This Row],[Impact Time Post RM]]&gt;0, "IMPACTED", "NOT IMPACTED")</f>
        <v>NOT IMPACTED</v>
      </c>
      <c r="AF46" s="15"/>
      <c r="AG46" s="18"/>
      <c r="AH46" s="14" t="str">
        <f>IF(WFTracker[[#This Row],[Status]]="C", "Closed", IF(WFTracker[[#This Row],[Status]] = "x", "Cancelled", WFTracker[[#This Row],[Impact Time Post RM]]))</f>
        <v>Closed</v>
      </c>
      <c r="AI46" s="14" t="str">
        <f ca="1">IF(WFTracker[[#This Row],[Impact Time Post RM]]&lt;=0,"ON TIME","LATE")</f>
        <v>ON TIME</v>
      </c>
      <c r="AJ46" s="14" t="s">
        <v>984</v>
      </c>
      <c r="AK46" s="14">
        <v>18</v>
      </c>
      <c r="AL46" s="915">
        <f>IF(WFTracker[[#This Row],[Type]]="MAKE", WFTracker[[#This Row],[Due date]]+Filters!$J$111, WFTracker[[#This Row],[Due date]]+Filters!$J$135)</f>
        <v>45733.072512647552</v>
      </c>
      <c r="AM46" s="101" cm="1">
        <f t="array" ref="AM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" spans="1:39" ht="14.45">
      <c r="A47" t="str">
        <f>IF(WFTracker[[#This Row],[Order Number]]="SWBD", "QED2", "PZ4")</f>
        <v>PZ4</v>
      </c>
      <c r="B47" s="21" t="s">
        <v>33</v>
      </c>
      <c r="C47" s="21" t="s">
        <v>34</v>
      </c>
      <c r="D47" s="11" t="str">
        <f>WFTracker[[#This Row],[Order Number]]  &amp; "-" &amp; WFTracker[[#This Row],[Item]]</f>
        <v>0050206201-000180</v>
      </c>
      <c r="E47" s="23" t="s">
        <v>35</v>
      </c>
      <c r="F47" s="12">
        <v>45762</v>
      </c>
      <c r="G47" s="12"/>
      <c r="H47" s="11" t="s">
        <v>36</v>
      </c>
      <c r="I47" s="11" t="s">
        <v>37</v>
      </c>
      <c r="J47" s="13" t="s">
        <v>65</v>
      </c>
      <c r="K47" s="14" t="s">
        <v>1023</v>
      </c>
      <c r="L47" s="15" t="s">
        <v>27</v>
      </c>
      <c r="M47" s="15" t="s">
        <v>1120</v>
      </c>
      <c r="N47" s="56">
        <v>45888</v>
      </c>
      <c r="O47" s="15">
        <f>NETWORKDAYS.INTL(WFTracker[[#This Row],[Start date]],WFTracker[[#This Row],[RM]],1,Holidays!D519:D534)</f>
        <v>27</v>
      </c>
      <c r="P47" s="12">
        <v>45726</v>
      </c>
      <c r="Q47" s="12">
        <v>45736</v>
      </c>
      <c r="R47" s="12">
        <v>45735</v>
      </c>
      <c r="S47" s="12" t="b">
        <f>ISBLANK(WFTracker[[#This Row],[Completion Date]])</f>
        <v>0</v>
      </c>
      <c r="T47" s="12" t="str">
        <f>TEXT(WFTracker[[#This Row],[Start date]],"mmm-yyyy")</f>
        <v>Mar-2025</v>
      </c>
      <c r="U47" s="11">
        <v>5</v>
      </c>
      <c r="V47" s="11">
        <f>NETWORKDAYS.INTL(WFTracker[[#This Row],[Start date]],WFTracker[[#This Row],[Due date]],1,Holidays!D519:D534)</f>
        <v>9</v>
      </c>
      <c r="W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47" s="24">
        <f ca="1">WFTracker[[#This Row],[Active Time]]-WFTracker[[#This Row],[Completion Days Template]]</f>
        <v>-2</v>
      </c>
      <c r="Y47" s="16" t="str">
        <f ca="1" xml:space="preserve"> IF(WFTracker[[#This Row],[Overdue Time '[Expected-Completion']]]&gt;0, "LATE","ON TIME")</f>
        <v>ON TIME</v>
      </c>
      <c r="Z47" s="16" t="str">
        <f ca="1">IF(WFTracker[[#This Row],[Overdue Time '[Expected-Completion']]] &gt;= 15, "SUPER LATE", Y47)</f>
        <v>ON TIME</v>
      </c>
      <c r="AA47" s="37" t="str">
        <f>IF(WFTracker[[#This Row],[Pre RM Opening Time]]&lt;WFTracker[[#This Row],[Old vs New Order Lead Time WF dead line]], "LATE BY ENG", "ON TIME BY ENG")</f>
        <v>ON TIME BY ENG</v>
      </c>
      <c r="AB47" s="37"/>
      <c r="AC47" s="15" t="s">
        <v>29</v>
      </c>
      <c r="AD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47" s="37" t="str">
        <f ca="1">IF(WFTracker[[#This Row],[Impact Time Post RM]]&gt;0, "IMPACTED", "NOT IMPACTED")</f>
        <v>NOT IMPACTED</v>
      </c>
      <c r="AF47" s="15"/>
      <c r="AG47" s="18"/>
      <c r="AH47" s="14" t="str">
        <f>IF(WFTracker[[#This Row],[Status]]="C", "Closed", IF(WFTracker[[#This Row],[Status]] = "x", "Cancelled", WFTracker[[#This Row],[Impact Time Post RM]]))</f>
        <v>Closed</v>
      </c>
      <c r="AI47" s="14" t="str">
        <f ca="1">IF(WFTracker[[#This Row],[Impact Time Post RM]]&lt;=0,"ON TIME","LATE")</f>
        <v>ON TIME</v>
      </c>
      <c r="AJ47" s="14" t="s">
        <v>984</v>
      </c>
      <c r="AK47" s="14">
        <v>18</v>
      </c>
      <c r="AL47" s="915">
        <f>IF(WFTracker[[#This Row],[Type]]="MAKE", WFTracker[[#This Row],[Due date]]+Filters!$J$111, WFTracker[[#This Row],[Due date]]+Filters!$J$135)</f>
        <v>45739.072512647552</v>
      </c>
      <c r="AM47" s="101" cm="1">
        <f t="array" ref="AM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" spans="1:39" ht="15" customHeight="1">
      <c r="A48" t="str">
        <f>IF(WFTracker[[#This Row],[Order Number]]="SWBD", "QED2", "PZ4")</f>
        <v>PZ4</v>
      </c>
      <c r="B48" s="21" t="s">
        <v>164</v>
      </c>
      <c r="C48" s="21" t="s">
        <v>165</v>
      </c>
      <c r="D48" s="11" t="str">
        <f>WFTracker[[#This Row],[Order Number]]  &amp; "-" &amp; WFTracker[[#This Row],[Item]]</f>
        <v>0050746660-000030</v>
      </c>
      <c r="E48" s="23" t="s">
        <v>166</v>
      </c>
      <c r="F48" s="12">
        <v>45730</v>
      </c>
      <c r="G48" s="12"/>
      <c r="H48" s="11" t="s">
        <v>117</v>
      </c>
      <c r="I48" s="11" t="s">
        <v>37</v>
      </c>
      <c r="J48" s="13" t="s">
        <v>168</v>
      </c>
      <c r="K48" s="14" t="s">
        <v>1023</v>
      </c>
      <c r="L48" s="15" t="s">
        <v>27</v>
      </c>
      <c r="M48" s="15" t="s">
        <v>1120</v>
      </c>
      <c r="N48" s="56">
        <v>45869</v>
      </c>
      <c r="O48" s="15">
        <f>NETWORKDAYS.INTL(WFTracker[[#This Row],[Start date]],WFTracker[[#This Row],[RM]],1,Holidays!D80:D95)</f>
        <v>4</v>
      </c>
      <c r="P48" s="12">
        <v>45727</v>
      </c>
      <c r="Q48" s="12">
        <v>45736</v>
      </c>
      <c r="R48" s="12">
        <v>45740</v>
      </c>
      <c r="S48" s="12" t="b">
        <f>ISBLANK(WFTracker[[#This Row],[Completion Date]])</f>
        <v>0</v>
      </c>
      <c r="T48" s="12" t="str">
        <f>TEXT(WFTracker[[#This Row],[Start date]],"mmm-yyyy")</f>
        <v>Mar-2025</v>
      </c>
      <c r="U48" s="11">
        <v>5</v>
      </c>
      <c r="V48" s="11">
        <f>NETWORKDAYS.INTL(WFTracker[[#This Row],[Start date]],WFTracker[[#This Row],[Due date]],1,Holidays!D80:D95)</f>
        <v>8</v>
      </c>
      <c r="W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8" s="24">
        <f ca="1">WFTracker[[#This Row],[Active Time]]-WFTracker[[#This Row],[Completion Days Template]]</f>
        <v>1</v>
      </c>
      <c r="Y48" s="16" t="str">
        <f ca="1" xml:space="preserve"> IF(WFTracker[[#This Row],[Overdue Time '[Expected-Completion']]]&gt;0, "LATE","ON TIME")</f>
        <v>LATE</v>
      </c>
      <c r="Z48" s="16" t="str">
        <f ca="1">IF(WFTracker[[#This Row],[Overdue Time '[Expected-Completion']]] &gt;= 15, "SUPER LATE", Y48)</f>
        <v>LATE</v>
      </c>
      <c r="AA48" s="37" t="str">
        <f>IF(WFTracker[[#This Row],[Pre RM Opening Time]]&lt;WFTracker[[#This Row],[Old vs New Order Lead Time WF dead line]], "LATE BY ENG", "ON TIME BY ENG")</f>
        <v>LATE BY ENG</v>
      </c>
      <c r="AB48" s="37"/>
      <c r="AC48" s="15" t="s">
        <v>29</v>
      </c>
      <c r="AD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48" s="37" t="str">
        <f ca="1">IF(WFTracker[[#This Row],[Impact Time Post RM]]&gt;0, "IMPACTED", "NOT IMPACTED")</f>
        <v>IMPACTED</v>
      </c>
      <c r="AF48" s="15"/>
      <c r="AG48" s="18"/>
      <c r="AH48" s="14" t="str">
        <f>IF(WFTracker[[#This Row],[Status]]="C", "Closed", IF(WFTracker[[#This Row],[Status]] = "x", "Cancelled", WFTracker[[#This Row],[Impact Time Post RM]]))</f>
        <v>Closed</v>
      </c>
      <c r="AI48" s="14" t="str">
        <f ca="1">IF(WFTracker[[#This Row],[Impact Time Post RM]]&lt;=0,"ON TIME","LATE")</f>
        <v>LATE</v>
      </c>
      <c r="AJ48" s="14" t="s">
        <v>984</v>
      </c>
      <c r="AK48" s="14">
        <v>18</v>
      </c>
      <c r="AL48" s="915">
        <f>IF(WFTracker[[#This Row],[Type]]="MAKE", WFTracker[[#This Row],[Due date]]+Filters!$J$111, WFTracker[[#This Row],[Due date]]+Filters!$J$135)</f>
        <v>45739.072512647552</v>
      </c>
      <c r="AM48" s="101" cm="1">
        <f t="array" ref="AM4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" spans="1:39" ht="14.45">
      <c r="A49" t="str">
        <f>IF(WFTracker[[#This Row],[Order Number]]="SWBD", "QED2", "PZ4")</f>
        <v>PZ4</v>
      </c>
      <c r="B49" s="21" t="s">
        <v>33</v>
      </c>
      <c r="C49" s="26" t="s">
        <v>79</v>
      </c>
      <c r="D49" s="11" t="str">
        <f>WFTracker[[#This Row],[Order Number]]  &amp; "-" &amp; WFTracker[[#This Row],[Item]]</f>
        <v>0050206201-000160</v>
      </c>
      <c r="E49" s="23" t="s">
        <v>35</v>
      </c>
      <c r="F49" s="12">
        <v>45769</v>
      </c>
      <c r="G49" s="12"/>
      <c r="H49" s="11" t="s">
        <v>80</v>
      </c>
      <c r="I49" s="11" t="s">
        <v>81</v>
      </c>
      <c r="J49" s="13" t="s">
        <v>89</v>
      </c>
      <c r="K49" s="14" t="s">
        <v>1023</v>
      </c>
      <c r="L49" s="15" t="s">
        <v>40</v>
      </c>
      <c r="M49" s="15" t="s">
        <v>1120</v>
      </c>
      <c r="N49" s="56">
        <v>45868</v>
      </c>
      <c r="O49" s="15">
        <f>NETWORKDAYS.INTL(WFTracker[[#This Row],[Start date]],WFTracker[[#This Row],[RM]],1,Holidays!D545:D560)</f>
        <v>31</v>
      </c>
      <c r="P49" s="12">
        <v>45727</v>
      </c>
      <c r="Q49" s="12">
        <v>45740</v>
      </c>
      <c r="R49" s="12">
        <v>45727</v>
      </c>
      <c r="S49" s="12" t="b">
        <f>ISBLANK(WFTracker[[#This Row],[Completion Date]])</f>
        <v>0</v>
      </c>
      <c r="T49" s="12" t="str">
        <f>TEXT(WFTracker[[#This Row],[Start date]],"mmm-yyyy")</f>
        <v>Mar-2025</v>
      </c>
      <c r="U49" s="11">
        <v>5</v>
      </c>
      <c r="V49" s="11">
        <f>NETWORKDAYS.INTL(WFTracker[[#This Row],[Start date]],WFTracker[[#This Row],[Due date]],1,Holidays!D545:D560)</f>
        <v>10</v>
      </c>
      <c r="W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</v>
      </c>
      <c r="X49" s="24">
        <f ca="1">WFTracker[[#This Row],[Active Time]]-WFTracker[[#This Row],[Completion Days Template]]</f>
        <v>-9</v>
      </c>
      <c r="Y49" s="16" t="str">
        <f ca="1" xml:space="preserve"> IF(WFTracker[[#This Row],[Overdue Time '[Expected-Completion']]]&gt;0, "LATE","ON TIME")</f>
        <v>ON TIME</v>
      </c>
      <c r="Z49" s="16" t="str">
        <f ca="1">IF(WFTracker[[#This Row],[Overdue Time '[Expected-Completion']]] &gt;= 15, "SUPER LATE", Y49)</f>
        <v>ON TIME</v>
      </c>
      <c r="AA49" s="37" t="str">
        <f>IF(WFTracker[[#This Row],[Pre RM Opening Time]]&lt;WFTracker[[#This Row],[Old vs New Order Lead Time WF dead line]], "LATE BY ENG", "ON TIME BY ENG")</f>
        <v>ON TIME BY ENG</v>
      </c>
      <c r="AB49" s="37"/>
      <c r="AC49" s="15" t="s">
        <v>1011</v>
      </c>
      <c r="AD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49" s="25" t="str">
        <f ca="1">IF(WFTracker[[#This Row],[Impact Time Post RM]]&gt;0, "IMPACTED", "NOT IMPACTED")</f>
        <v>NOT IMPACTED</v>
      </c>
      <c r="AF49" s="15"/>
      <c r="AG49" s="18"/>
      <c r="AH49" s="14" t="str">
        <f>IF(WFTracker[[#This Row],[Status]]="C", "Closed", IF(WFTracker[[#This Row],[Status]] = "x", "Cancelled", WFTracker[[#This Row],[Impact Time Post RM]]))</f>
        <v>Cancelled</v>
      </c>
      <c r="AI49" s="14" t="str">
        <f ca="1">IF(WFTracker[[#This Row],[Impact Time Post RM]]&lt;=0,"ON TIME","LATE")</f>
        <v>ON TIME</v>
      </c>
      <c r="AJ49" s="14" t="s">
        <v>984</v>
      </c>
      <c r="AK49" s="14">
        <v>0</v>
      </c>
      <c r="AL49" s="915">
        <f>IF(WFTracker[[#This Row],[Type]]="MAKE", WFTracker[[#This Row],[Due date]]+Filters!$J$111, WFTracker[[#This Row],[Due date]]+Filters!$J$135)</f>
        <v>45740.415686274508</v>
      </c>
      <c r="AM49" s="101" cm="1">
        <f t="array" ref="AM49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0" spans="1:39" ht="14.45">
      <c r="A50" t="str">
        <f>IF(WFTracker[[#This Row],[Order Number]]="SWBD", "QED2", "PZ4")</f>
        <v>PZ4</v>
      </c>
      <c r="B50" s="21" t="s">
        <v>175</v>
      </c>
      <c r="C50" s="26" t="s">
        <v>135</v>
      </c>
      <c r="D50" s="11" t="str">
        <f>WFTracker[[#This Row],[Order Number]]  &amp; "-" &amp; WFTracker[[#This Row],[Item]]</f>
        <v>0051150882-000010</v>
      </c>
      <c r="E50" s="23" t="s">
        <v>176</v>
      </c>
      <c r="F50" s="12">
        <v>45744</v>
      </c>
      <c r="G50" s="12"/>
      <c r="H50" s="11" t="s">
        <v>177</v>
      </c>
      <c r="I50" s="11" t="s">
        <v>24</v>
      </c>
      <c r="J50" s="13" t="s">
        <v>179</v>
      </c>
      <c r="K50" s="14" t="s">
        <v>1017</v>
      </c>
      <c r="L50" s="15" t="s">
        <v>27</v>
      </c>
      <c r="M50" s="15" t="s">
        <v>1120</v>
      </c>
      <c r="N50" s="56">
        <v>45869</v>
      </c>
      <c r="O50" s="15">
        <f>NETWORKDAYS.INTL(WFTracker[[#This Row],[Start date]],WFTracker[[#This Row],[RM]],1,Holidays!D215:D230)</f>
        <v>11</v>
      </c>
      <c r="P50" s="12">
        <v>45730</v>
      </c>
      <c r="Q50" s="12">
        <v>45740</v>
      </c>
      <c r="R50" s="12">
        <v>45740</v>
      </c>
      <c r="S50" s="12" t="b">
        <f>ISBLANK(WFTracker[[#This Row],[Completion Date]])</f>
        <v>0</v>
      </c>
      <c r="T50" s="12" t="str">
        <f>TEXT(WFTracker[[#This Row],[Start date]],"mmm-yyyy")</f>
        <v>Mar-2025</v>
      </c>
      <c r="U50" s="11">
        <v>5</v>
      </c>
      <c r="V50" s="11">
        <f>NETWORKDAYS.INTL(WFTracker[[#This Row],[Start date]],WFTracker[[#This Row],[Due date]],1,Holidays!D215:D230)</f>
        <v>7</v>
      </c>
      <c r="W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0" s="24">
        <f ca="1">WFTracker[[#This Row],[Active Time]]-WFTracker[[#This Row],[Completion Days Template]]</f>
        <v>-1</v>
      </c>
      <c r="Y50" s="16" t="str">
        <f ca="1" xml:space="preserve"> IF(WFTracker[[#This Row],[Overdue Time '[Expected-Completion']]]&gt;0, "LATE","ON TIME")</f>
        <v>ON TIME</v>
      </c>
      <c r="Z50" s="16" t="str">
        <f ca="1">IF(WFTracker[[#This Row],[Overdue Time '[Expected-Completion']]] &gt;= 15, "SUPER LATE", Y50)</f>
        <v>ON TIME</v>
      </c>
      <c r="AA50" s="37" t="str">
        <f>IF(WFTracker[[#This Row],[Pre RM Opening Time]]&lt;WFTracker[[#This Row],[Old vs New Order Lead Time WF dead line]], "LATE BY ENG", "ON TIME BY ENG")</f>
        <v>ON TIME BY ENG</v>
      </c>
      <c r="AB50" s="37"/>
      <c r="AC50" s="15" t="str">
        <f>IF(WFTracker[[#This Row],[Competion Date Content]] = FALSE, "C", "i")</f>
        <v>C</v>
      </c>
      <c r="AD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0" s="37" t="str">
        <f ca="1">IF(WFTracker[[#This Row],[Impact Time Post RM]]&gt;0, "IMPACTED", "NOT IMPACTED")</f>
        <v>NOT IMPACTED</v>
      </c>
      <c r="AF50" s="15"/>
      <c r="AG50" s="18"/>
      <c r="AH50" s="14" t="str">
        <f>IF(WFTracker[[#This Row],[Status]]="C", "Closed", IF(WFTracker[[#This Row],[Status]] = "x", "Cancelled", WFTracker[[#This Row],[Impact Time Post RM]]))</f>
        <v>Closed</v>
      </c>
      <c r="AI50" s="14" t="str">
        <f ca="1">IF(WFTracker[[#This Row],[Impact Time Post RM]]&lt;=0,"ON TIME","LATE")</f>
        <v>ON TIME</v>
      </c>
      <c r="AJ50" s="14" t="s">
        <v>984</v>
      </c>
      <c r="AK50" s="14">
        <v>18</v>
      </c>
      <c r="AL50" s="915">
        <f>IF(WFTracker[[#This Row],[Type]]="MAKE", WFTracker[[#This Row],[Due date]]+Filters!$J$111, WFTracker[[#This Row],[Due date]]+Filters!$J$135)</f>
        <v>45743.072512647552</v>
      </c>
      <c r="AM50" s="101" cm="1">
        <f t="array" ref="AM5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" spans="1:39" ht="14.45">
      <c r="A51" t="str">
        <f>IF(WFTracker[[#This Row],[Order Number]]="SWBD", "QED2", "PZ4")</f>
        <v>PZ4</v>
      </c>
      <c r="B51" s="21" t="s">
        <v>175</v>
      </c>
      <c r="C51" s="26" t="s">
        <v>135</v>
      </c>
      <c r="D51" s="11" t="str">
        <f>WFTracker[[#This Row],[Order Number]]  &amp; "-" &amp; WFTracker[[#This Row],[Item]]</f>
        <v>0051150882-000010</v>
      </c>
      <c r="E51" s="23" t="s">
        <v>176</v>
      </c>
      <c r="F51" s="12">
        <v>45744</v>
      </c>
      <c r="G51" s="12"/>
      <c r="H51" s="11" t="s">
        <v>177</v>
      </c>
      <c r="I51" s="11" t="s">
        <v>24</v>
      </c>
      <c r="J51" s="13" t="s">
        <v>180</v>
      </c>
      <c r="K51" s="14" t="s">
        <v>1017</v>
      </c>
      <c r="L51" s="15" t="s">
        <v>27</v>
      </c>
      <c r="M51" s="15" t="s">
        <v>1120</v>
      </c>
      <c r="N51" s="56">
        <v>45869</v>
      </c>
      <c r="O51" s="15">
        <f>NETWORKDAYS.INTL(WFTracker[[#This Row],[Start date]],WFTracker[[#This Row],[RM]],1,Holidays!D216:D231)</f>
        <v>11</v>
      </c>
      <c r="P51" s="12">
        <v>45730</v>
      </c>
      <c r="Q51" s="12">
        <v>45740</v>
      </c>
      <c r="R51" s="12">
        <v>45742</v>
      </c>
      <c r="S51" s="12" t="b">
        <f>ISBLANK(WFTracker[[#This Row],[Completion Date]])</f>
        <v>0</v>
      </c>
      <c r="T51" s="12" t="str">
        <f>TEXT(WFTracker[[#This Row],[Start date]],"mmm-yyyy")</f>
        <v>Mar-2025</v>
      </c>
      <c r="U51" s="11">
        <v>5</v>
      </c>
      <c r="V51" s="11">
        <f>NETWORKDAYS.INTL(WFTracker[[#This Row],[Start date]],WFTracker[[#This Row],[Due date]],1,Holidays!D216:D231)</f>
        <v>7</v>
      </c>
      <c r="W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1" s="24">
        <f ca="1">WFTracker[[#This Row],[Active Time]]-WFTracker[[#This Row],[Completion Days Template]]</f>
        <v>1</v>
      </c>
      <c r="Y51" s="16" t="str">
        <f ca="1" xml:space="preserve"> IF(WFTracker[[#This Row],[Overdue Time '[Expected-Completion']]]&gt;0, "LATE","ON TIME")</f>
        <v>LATE</v>
      </c>
      <c r="Z51" s="16" t="str">
        <f ca="1">IF(WFTracker[[#This Row],[Overdue Time '[Expected-Completion']]] &gt;= 15, "SUPER LATE", Y51)</f>
        <v>LATE</v>
      </c>
      <c r="AA51" s="37" t="str">
        <f>IF(WFTracker[[#This Row],[Pre RM Opening Time]]&lt;WFTracker[[#This Row],[Old vs New Order Lead Time WF dead line]], "LATE BY ENG", "ON TIME BY ENG")</f>
        <v>ON TIME BY ENG</v>
      </c>
      <c r="AB51" s="37"/>
      <c r="AC51" s="15" t="str">
        <f>IF(WFTracker[[#This Row],[Competion Date Content]] = FALSE, "C", "i")</f>
        <v>C</v>
      </c>
      <c r="AD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51" s="37" t="str">
        <f ca="1">IF(WFTracker[[#This Row],[Impact Time Post RM]]&gt;0, "IMPACTED", "NOT IMPACTED")</f>
        <v>NOT IMPACTED</v>
      </c>
      <c r="AF51" s="15"/>
      <c r="AG51" s="18"/>
      <c r="AH51" s="14" t="str">
        <f>IF(WFTracker[[#This Row],[Status]]="C", "Closed", IF(WFTracker[[#This Row],[Status]] = "x", "Cancelled", WFTracker[[#This Row],[Impact Time Post RM]]))</f>
        <v>Closed</v>
      </c>
      <c r="AI51" s="14" t="str">
        <f ca="1">IF(WFTracker[[#This Row],[Impact Time Post RM]]&lt;=0,"ON TIME","LATE")</f>
        <v>ON TIME</v>
      </c>
      <c r="AJ51" s="14" t="s">
        <v>984</v>
      </c>
      <c r="AK51" s="14">
        <v>18</v>
      </c>
      <c r="AL51" s="915">
        <f>IF(WFTracker[[#This Row],[Type]]="MAKE", WFTracker[[#This Row],[Due date]]+Filters!$J$111, WFTracker[[#This Row],[Due date]]+Filters!$J$135)</f>
        <v>45743.072512647552</v>
      </c>
      <c r="AM51" s="101" cm="1">
        <f t="array" ref="AM5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" spans="1:39" ht="14.45">
      <c r="A52" t="str">
        <f>IF(WFTracker[[#This Row],[Order Number]]="SWBD", "QED2", "PZ4")</f>
        <v>PZ4</v>
      </c>
      <c r="B52" s="21" t="s">
        <v>175</v>
      </c>
      <c r="C52" s="26" t="s">
        <v>135</v>
      </c>
      <c r="D52" s="11" t="str">
        <f>WFTracker[[#This Row],[Order Number]]  &amp; "-" &amp; WFTracker[[#This Row],[Item]]</f>
        <v>0051150882-000010</v>
      </c>
      <c r="E52" s="23" t="s">
        <v>176</v>
      </c>
      <c r="F52" s="12">
        <v>45744</v>
      </c>
      <c r="G52" s="12"/>
      <c r="H52" s="11" t="s">
        <v>177</v>
      </c>
      <c r="I52" s="11" t="s">
        <v>24</v>
      </c>
      <c r="J52" s="13" t="s">
        <v>181</v>
      </c>
      <c r="K52" s="14" t="s">
        <v>1017</v>
      </c>
      <c r="L52" s="15" t="s">
        <v>27</v>
      </c>
      <c r="M52" s="15" t="s">
        <v>1120</v>
      </c>
      <c r="N52" s="56">
        <v>45869</v>
      </c>
      <c r="O52" s="15">
        <f>NETWORKDAYS.INTL(WFTracker[[#This Row],[Start date]],WFTracker[[#This Row],[RM]],1,Holidays!D217:D232)</f>
        <v>11</v>
      </c>
      <c r="P52" s="12">
        <v>45730</v>
      </c>
      <c r="Q52" s="12">
        <v>45741</v>
      </c>
      <c r="R52" s="12">
        <v>45742</v>
      </c>
      <c r="S52" s="12" t="b">
        <f>ISBLANK(WFTracker[[#This Row],[Completion Date]])</f>
        <v>0</v>
      </c>
      <c r="T52" s="12" t="str">
        <f>TEXT(WFTracker[[#This Row],[Start date]],"mmm-yyyy")</f>
        <v>Mar-2025</v>
      </c>
      <c r="U52" s="11">
        <v>5</v>
      </c>
      <c r="V52" s="11">
        <f>NETWORKDAYS.INTL(WFTracker[[#This Row],[Start date]],WFTracker[[#This Row],[Due date]],1,Holidays!D217:D232)</f>
        <v>8</v>
      </c>
      <c r="W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2" s="24">
        <f ca="1">WFTracker[[#This Row],[Active Time]]-WFTracker[[#This Row],[Completion Days Template]]</f>
        <v>0</v>
      </c>
      <c r="Y52" s="16" t="str">
        <f ca="1" xml:space="preserve"> IF(WFTracker[[#This Row],[Overdue Time '[Expected-Completion']]]&gt;0, "LATE","ON TIME")</f>
        <v>ON TIME</v>
      </c>
      <c r="Z52" s="16" t="str">
        <f ca="1">IF(WFTracker[[#This Row],[Overdue Time '[Expected-Completion']]] &gt;= 15, "SUPER LATE", Y52)</f>
        <v>ON TIME</v>
      </c>
      <c r="AA52" s="37" t="str">
        <f>IF(WFTracker[[#This Row],[Pre RM Opening Time]]&lt;WFTracker[[#This Row],[Old vs New Order Lead Time WF dead line]], "LATE BY ENG", "ON TIME BY ENG")</f>
        <v>ON TIME BY ENG</v>
      </c>
      <c r="AB52" s="37"/>
      <c r="AC52" s="15" t="str">
        <f>IF(WFTracker[[#This Row],[Competion Date Content]] = FALSE, "C", "i")</f>
        <v>C</v>
      </c>
      <c r="AD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52" s="37" t="str">
        <f ca="1">IF(WFTracker[[#This Row],[Impact Time Post RM]]&gt;0, "IMPACTED", "NOT IMPACTED")</f>
        <v>NOT IMPACTED</v>
      </c>
      <c r="AF52" s="15"/>
      <c r="AG52" s="18"/>
      <c r="AH52" s="14" t="str">
        <f>IF(WFTracker[[#This Row],[Status]]="C", "Closed", IF(WFTracker[[#This Row],[Status]] = "x", "Cancelled", WFTracker[[#This Row],[Impact Time Post RM]]))</f>
        <v>Closed</v>
      </c>
      <c r="AI52" s="14" t="str">
        <f ca="1">IF(WFTracker[[#This Row],[Impact Time Post RM]]&lt;=0,"ON TIME","LATE")</f>
        <v>ON TIME</v>
      </c>
      <c r="AJ52" s="14" t="s">
        <v>984</v>
      </c>
      <c r="AK52" s="14">
        <v>18</v>
      </c>
      <c r="AL52" s="915">
        <f>IF(WFTracker[[#This Row],[Type]]="MAKE", WFTracker[[#This Row],[Due date]]+Filters!$J$111, WFTracker[[#This Row],[Due date]]+Filters!$J$135)</f>
        <v>45744.072512647552</v>
      </c>
      <c r="AM52" s="101" cm="1">
        <f t="array" ref="AM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" spans="1:39" ht="14.45">
      <c r="A53" t="str">
        <f>IF(WFTracker[[#This Row],[Order Number]]="SWBD", "QED2", "PZ4")</f>
        <v>PZ4</v>
      </c>
      <c r="B53" s="21" t="s">
        <v>175</v>
      </c>
      <c r="C53" s="26" t="s">
        <v>135</v>
      </c>
      <c r="D53" s="11" t="str">
        <f>WFTracker[[#This Row],[Order Number]]  &amp; "-" &amp; WFTracker[[#This Row],[Item]]</f>
        <v>0051150882-000010</v>
      </c>
      <c r="E53" s="23" t="s">
        <v>176</v>
      </c>
      <c r="F53" s="12">
        <v>45744</v>
      </c>
      <c r="G53" s="12"/>
      <c r="H53" s="11" t="s">
        <v>177</v>
      </c>
      <c r="I53" s="11" t="s">
        <v>24</v>
      </c>
      <c r="J53" s="13" t="s">
        <v>178</v>
      </c>
      <c r="K53" s="14" t="s">
        <v>1017</v>
      </c>
      <c r="L53" s="15" t="s">
        <v>40</v>
      </c>
      <c r="M53" s="15" t="s">
        <v>1120</v>
      </c>
      <c r="N53" s="56">
        <v>45869</v>
      </c>
      <c r="O53" s="15">
        <f>NETWORKDAYS.INTL(WFTracker[[#This Row],[Start date]],WFTracker[[#This Row],[RM]],1,Holidays!D218:D233)</f>
        <v>11</v>
      </c>
      <c r="P53" s="12">
        <v>45730</v>
      </c>
      <c r="Q53" s="12">
        <v>45743</v>
      </c>
      <c r="R53" s="12">
        <v>45741</v>
      </c>
      <c r="S53" s="27" t="b">
        <f>ISBLANK(WFTracker[[#This Row],[Completion Date]])</f>
        <v>0</v>
      </c>
      <c r="T53" s="27" t="str">
        <f>TEXT(WFTracker[[#This Row],[Start date]],"mmm-yyyy")</f>
        <v>Mar-2025</v>
      </c>
      <c r="U53" s="11">
        <v>5</v>
      </c>
      <c r="V53" s="11">
        <f>NETWORKDAYS.INTL(WFTracker[[#This Row],[Start date]],WFTracker[[#This Row],[Due date]],1,Holidays!D218:D233)</f>
        <v>10</v>
      </c>
      <c r="W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53" s="24">
        <f ca="1">WFTracker[[#This Row],[Active Time]]-WFTracker[[#This Row],[Completion Days Template]]</f>
        <v>-3</v>
      </c>
      <c r="Y53" s="16" t="str">
        <f ca="1" xml:space="preserve"> IF(WFTracker[[#This Row],[Overdue Time '[Expected-Completion']]]&gt;0, "LATE","ON TIME")</f>
        <v>ON TIME</v>
      </c>
      <c r="Z53" s="16" t="str">
        <f ca="1">IF(WFTracker[[#This Row],[Overdue Time '[Expected-Completion']]] &gt;= 15, "SUPER LATE", Y53)</f>
        <v>ON TIME</v>
      </c>
      <c r="AA53" s="37" t="str">
        <f>IF(WFTracker[[#This Row],[Pre RM Opening Time]]&lt;WFTracker[[#This Row],[Old vs New Order Lead Time WF dead line]], "LATE BY ENG", "ON TIME BY ENG")</f>
        <v>ON TIME BY ENG</v>
      </c>
      <c r="AB53" s="37"/>
      <c r="AC53" s="15" t="str">
        <f>IF(WFTracker[[#This Row],[Competion Date Content]] = FALSE, "C", "i")</f>
        <v>C</v>
      </c>
      <c r="AD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3" s="31" t="str">
        <f ca="1">IF(WFTracker[[#This Row],[Impact Time Post RM]]&gt;0, "IMPACTED", "NOT IMPACTED")</f>
        <v>NOT IMPACTED</v>
      </c>
      <c r="AF53" s="15"/>
      <c r="AG53" s="18"/>
      <c r="AH53" s="14" t="str">
        <f>IF(WFTracker[[#This Row],[Status]]="C", "Closed", IF(WFTracker[[#This Row],[Status]] = "x", "Cancelled", WFTracker[[#This Row],[Impact Time Post RM]]))</f>
        <v>Closed</v>
      </c>
      <c r="AI53" s="14" t="str">
        <f ca="1">IF(WFTracker[[#This Row],[Impact Time Post RM]]&lt;=0,"ON TIME","LATE")</f>
        <v>ON TIME</v>
      </c>
      <c r="AJ53" s="14" t="s">
        <v>984</v>
      </c>
      <c r="AK53" s="14">
        <v>17</v>
      </c>
      <c r="AL53" s="915">
        <f>IF(WFTracker[[#This Row],[Type]]="MAKE", WFTracker[[#This Row],[Due date]]+Filters!$J$111, WFTracker[[#This Row],[Due date]]+Filters!$J$135)</f>
        <v>45743.415686274508</v>
      </c>
      <c r="AM53" s="101" cm="1">
        <f t="array" ref="AM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" spans="1:39" ht="14.45">
      <c r="A54" t="str">
        <f>IF(WFTracker[[#This Row],[Order Number]]="SWBD", "QED2", "PZ4")</f>
        <v>PZ4</v>
      </c>
      <c r="B54" s="21" t="s">
        <v>33</v>
      </c>
      <c r="C54" s="26" t="s">
        <v>79</v>
      </c>
      <c r="D54" s="11" t="str">
        <f>WFTracker[[#This Row],[Order Number]]  &amp; "-" &amp; WFTracker[[#This Row],[Item]]</f>
        <v>0050206201-000160</v>
      </c>
      <c r="E54" s="23" t="s">
        <v>35</v>
      </c>
      <c r="F54" s="12">
        <v>45769</v>
      </c>
      <c r="G54" s="12"/>
      <c r="H54" s="11" t="s">
        <v>80</v>
      </c>
      <c r="I54" s="11" t="s">
        <v>81</v>
      </c>
      <c r="J54" s="13" t="s">
        <v>87</v>
      </c>
      <c r="K54" s="14" t="s">
        <v>1023</v>
      </c>
      <c r="L54" s="15" t="s">
        <v>27</v>
      </c>
      <c r="M54" s="15" t="s">
        <v>1120</v>
      </c>
      <c r="N54" s="56">
        <v>45868</v>
      </c>
      <c r="O54" s="15">
        <f>NETWORKDAYS.INTL(WFTracker[[#This Row],[Start date]],WFTracker[[#This Row],[RM]],1,Holidays!D512:D527)</f>
        <v>28</v>
      </c>
      <c r="P54" s="12">
        <v>45730</v>
      </c>
      <c r="Q54" s="12">
        <v>45740</v>
      </c>
      <c r="R54" s="12">
        <v>45740</v>
      </c>
      <c r="S54" s="27" t="b">
        <f>ISBLANK(WFTracker[[#This Row],[Completion Date]])</f>
        <v>0</v>
      </c>
      <c r="T54" s="27" t="str">
        <f>TEXT(WFTracker[[#This Row],[Start date]],"mmm-yyyy")</f>
        <v>Mar-2025</v>
      </c>
      <c r="U54" s="11">
        <v>5</v>
      </c>
      <c r="V54" s="11">
        <f>NETWORKDAYS.INTL(WFTracker[[#This Row],[Start date]],WFTracker[[#This Row],[Due date]],1,Holidays!D512:D527)</f>
        <v>7</v>
      </c>
      <c r="W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4" s="24">
        <f ca="1">WFTracker[[#This Row],[Active Time]]-WFTracker[[#This Row],[Completion Days Template]]</f>
        <v>-1</v>
      </c>
      <c r="Y54" s="16" t="str">
        <f ca="1" xml:space="preserve"> IF(WFTracker[[#This Row],[Overdue Time '[Expected-Completion']]]&gt;0, "LATE","ON TIME")</f>
        <v>ON TIME</v>
      </c>
      <c r="Z54" s="16" t="str">
        <f ca="1">IF(WFTracker[[#This Row],[Overdue Time '[Expected-Completion']]] &gt;= 15, "SUPER LATE", Y54)</f>
        <v>ON TIME</v>
      </c>
      <c r="AA54" s="37" t="str">
        <f>IF(WFTracker[[#This Row],[Pre RM Opening Time]]&lt;WFTracker[[#This Row],[Old vs New Order Lead Time WF dead line]], "LATE BY ENG", "ON TIME BY ENG")</f>
        <v>ON TIME BY ENG</v>
      </c>
      <c r="AB54" s="37"/>
      <c r="AC54" s="15" t="s">
        <v>29</v>
      </c>
      <c r="AD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54" s="105" t="str">
        <f ca="1">IF(WFTracker[[#This Row],[Impact Time Post RM]]&gt;0, "IMPACTED", "NOT IMPACTED")</f>
        <v>NOT IMPACTED</v>
      </c>
      <c r="AF54" s="15"/>
      <c r="AG54" s="18"/>
      <c r="AH54" s="14" t="str">
        <f>IF(WFTracker[[#This Row],[Status]]="C", "Closed", IF(WFTracker[[#This Row],[Status]] = "x", "Cancelled", WFTracker[[#This Row],[Impact Time Post RM]]))</f>
        <v>Closed</v>
      </c>
      <c r="AI54" s="14" t="str">
        <f ca="1">IF(WFTracker[[#This Row],[Impact Time Post RM]]&lt;=0,"ON TIME","LATE")</f>
        <v>ON TIME</v>
      </c>
      <c r="AJ54" s="14" t="s">
        <v>984</v>
      </c>
      <c r="AK54" s="14">
        <v>18</v>
      </c>
      <c r="AL54" s="915">
        <f>IF(WFTracker[[#This Row],[Type]]="MAKE", WFTracker[[#This Row],[Due date]]+Filters!$J$111, WFTracker[[#This Row],[Due date]]+Filters!$J$135)</f>
        <v>45743.072512647552</v>
      </c>
      <c r="AM54" s="101" cm="1">
        <f t="array" ref="AM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" spans="1:39" ht="14.45">
      <c r="A55" t="str">
        <f>IF(WFTracker[[#This Row],[Order Number]]="SWBD", "QED2", "PZ4")</f>
        <v>PZ4</v>
      </c>
      <c r="B55" s="23" t="s">
        <v>164</v>
      </c>
      <c r="C55" s="23" t="s">
        <v>165</v>
      </c>
      <c r="D55" s="11" t="str">
        <f>WFTracker[[#This Row],[Order Number]]  &amp; "-" &amp; WFTracker[[#This Row],[Item]]</f>
        <v>0050746660-000030</v>
      </c>
      <c r="E55" s="23" t="s">
        <v>166</v>
      </c>
      <c r="F55" s="12">
        <v>45730</v>
      </c>
      <c r="G55" s="12"/>
      <c r="H55" s="11" t="s">
        <v>117</v>
      </c>
      <c r="I55" s="11" t="s">
        <v>37</v>
      </c>
      <c r="J55" s="13" t="s">
        <v>173</v>
      </c>
      <c r="K55" s="14" t="s">
        <v>1017</v>
      </c>
      <c r="L55" s="15" t="s">
        <v>27</v>
      </c>
      <c r="M55" s="15" t="s">
        <v>1120</v>
      </c>
      <c r="N55" s="56">
        <v>45869</v>
      </c>
      <c r="O55" s="15">
        <f>NETWORKDAYS.INTL(WFTracker[[#This Row],[Start date]],WFTracker[[#This Row],[RM]],1,Holidays!D54:D69)</f>
        <v>-5</v>
      </c>
      <c r="P55" s="12">
        <v>45736</v>
      </c>
      <c r="Q55" s="12">
        <v>45743</v>
      </c>
      <c r="R55" s="12">
        <v>45743</v>
      </c>
      <c r="S55" s="27" t="b">
        <f>ISBLANK(WFTracker[[#This Row],[Completion Date]])</f>
        <v>0</v>
      </c>
      <c r="T55" s="27" t="str">
        <f>TEXT(WFTracker[[#This Row],[Start date]],"mmm-yyyy")</f>
        <v>Mar-2025</v>
      </c>
      <c r="U55" s="11">
        <v>5</v>
      </c>
      <c r="V55" s="11">
        <f>NETWORKDAYS.INTL(WFTracker[[#This Row],[Start date]],WFTracker[[#This Row],[Due date]],1,Holidays!D54:D69)</f>
        <v>6</v>
      </c>
      <c r="W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5" s="24">
        <f ca="1">WFTracker[[#This Row],[Active Time]]-WFTracker[[#This Row],[Completion Days Template]]</f>
        <v>0</v>
      </c>
      <c r="Y55" s="16" t="str">
        <f ca="1" xml:space="preserve"> IF(WFTracker[[#This Row],[Overdue Time '[Expected-Completion']]]&gt;0, "LATE","ON TIME")</f>
        <v>ON TIME</v>
      </c>
      <c r="Z55" s="16" t="str">
        <f ca="1">IF(WFTracker[[#This Row],[Overdue Time '[Expected-Completion']]] &gt;= 15, "SUPER LATE", Y55)</f>
        <v>ON TIME</v>
      </c>
      <c r="AA55" s="37" t="str">
        <f>IF(WFTracker[[#This Row],[Pre RM Opening Time]]&lt;WFTracker[[#This Row],[Old vs New Order Lead Time WF dead line]], "LATE BY ENG", "ON TIME BY ENG")</f>
        <v>LATE BY ENG</v>
      </c>
      <c r="AB55" s="37"/>
      <c r="AC55" s="15" t="str">
        <f>IF(WFTracker[[#This Row],[Competion Date Content]] = FALSE, "C", "i")</f>
        <v>C</v>
      </c>
      <c r="AD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55" s="105" t="str">
        <f ca="1">IF(WFTracker[[#This Row],[Impact Time Post RM]]&gt;0, "IMPACTED", "NOT IMPACTED")</f>
        <v>IMPACTED</v>
      </c>
      <c r="AF55" s="15"/>
      <c r="AG55" s="18"/>
      <c r="AH55" s="14" t="str">
        <f>IF(WFTracker[[#This Row],[Status]]="C", "Closed", IF(WFTracker[[#This Row],[Status]] = "x", "Cancelled", WFTracker[[#This Row],[Impact Time Post RM]]))</f>
        <v>Closed</v>
      </c>
      <c r="AI55" s="14" t="str">
        <f ca="1">IF(WFTracker[[#This Row],[Impact Time Post RM]]&lt;=0,"ON TIME","LATE")</f>
        <v>LATE</v>
      </c>
      <c r="AJ55" s="14" t="s">
        <v>984</v>
      </c>
      <c r="AK55" s="14">
        <v>18</v>
      </c>
      <c r="AL55" s="915">
        <f>IF(WFTracker[[#This Row],[Type]]="MAKE", WFTracker[[#This Row],[Due date]]+Filters!$J$111, WFTracker[[#This Row],[Due date]]+Filters!$J$135)</f>
        <v>45746.072512647552</v>
      </c>
      <c r="AM55" s="101" cm="1">
        <f t="array" ref="AM5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" spans="1:39" ht="14.45">
      <c r="A56" t="str">
        <f>IF(WFTracker[[#This Row],[Order Number]]="SWBD", "QED2", "PZ4")</f>
        <v>PZ4</v>
      </c>
      <c r="B56" s="23" t="s">
        <v>140</v>
      </c>
      <c r="C56" s="23" t="s">
        <v>141</v>
      </c>
      <c r="D56" s="11" t="str">
        <f>WFTracker[[#This Row],[Order Number]]  &amp; "-" &amp; WFTracker[[#This Row],[Item]]</f>
        <v>0050780333-000110</v>
      </c>
      <c r="E56" s="23" t="s">
        <v>142</v>
      </c>
      <c r="F56" s="12">
        <v>45730</v>
      </c>
      <c r="G56" s="12"/>
      <c r="H56" s="11" t="s">
        <v>143</v>
      </c>
      <c r="I56" s="11" t="s">
        <v>81</v>
      </c>
      <c r="J56" s="13" t="s">
        <v>150</v>
      </c>
      <c r="K56" s="14" t="s">
        <v>1017</v>
      </c>
      <c r="L56" s="15" t="s">
        <v>27</v>
      </c>
      <c r="M56" s="15" t="s">
        <v>1123</v>
      </c>
      <c r="N56" s="56">
        <v>45896</v>
      </c>
      <c r="O56" s="15">
        <f>NETWORKDAYS.INTL(WFTracker[[#This Row],[Start date]],WFTracker[[#This Row],[RM]],1,Holidays!D44:D59)</f>
        <v>-7</v>
      </c>
      <c r="P56" s="12">
        <v>45740</v>
      </c>
      <c r="Q56" s="12">
        <v>45747</v>
      </c>
      <c r="R56" s="12">
        <v>45744</v>
      </c>
      <c r="S56" s="12" t="b">
        <f>ISBLANK(WFTracker[[#This Row],[Completion Date]])</f>
        <v>0</v>
      </c>
      <c r="T56" s="12" t="str">
        <f>TEXT(WFTracker[[#This Row],[Start date]],"mmm-yyyy")</f>
        <v>Mar-2025</v>
      </c>
      <c r="U56" s="11">
        <v>5</v>
      </c>
      <c r="V56" s="11">
        <f>NETWORKDAYS.INTL(WFTracker[[#This Row],[Start date]],WFTracker[[#This Row],[Due date]],1,Holidays!D44:D59)</f>
        <v>6</v>
      </c>
      <c r="W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6" s="24">
        <f ca="1">WFTracker[[#This Row],[Active Time]]-WFTracker[[#This Row],[Completion Days Template]]</f>
        <v>-1</v>
      </c>
      <c r="Y56" s="16" t="str">
        <f ca="1" xml:space="preserve"> IF(WFTracker[[#This Row],[Overdue Time '[Expected-Completion']]]&gt;0, "LATE","ON TIME")</f>
        <v>ON TIME</v>
      </c>
      <c r="Z56" s="16" t="str">
        <f ca="1">IF(WFTracker[[#This Row],[Overdue Time '[Expected-Completion']]] &gt;= 15, "SUPER LATE", Y56)</f>
        <v>ON TIME</v>
      </c>
      <c r="AA56" s="37" t="str">
        <f>IF(WFTracker[[#This Row],[Pre RM Opening Time]]&lt;WFTracker[[#This Row],[Old vs New Order Lead Time WF dead line]], "LATE BY ENG", "ON TIME BY ENG")</f>
        <v>LATE BY ENG</v>
      </c>
      <c r="AB56" s="37"/>
      <c r="AC56" s="15" t="str">
        <f>IF(WFTracker[[#This Row],[Competion Date Content]] = FALSE, "C", "i")</f>
        <v>C</v>
      </c>
      <c r="AD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56" s="37" t="str">
        <f ca="1">IF(WFTracker[[#This Row],[Impact Time Post RM]]&gt;0, "IMPACTED", "NOT IMPACTED")</f>
        <v>IMPACTED</v>
      </c>
      <c r="AF56" s="15"/>
      <c r="AG56" s="18"/>
      <c r="AH56" s="14" t="str">
        <f>IF(WFTracker[[#This Row],[Status]]="C", "Closed", IF(WFTracker[[#This Row],[Status]] = "x", "Cancelled", WFTracker[[#This Row],[Impact Time Post RM]]))</f>
        <v>Closed</v>
      </c>
      <c r="AI56" s="14" t="str">
        <f ca="1">IF(WFTracker[[#This Row],[Impact Time Post RM]]&lt;=0,"ON TIME","LATE")</f>
        <v>LATE</v>
      </c>
      <c r="AJ56" s="14" t="s">
        <v>984</v>
      </c>
      <c r="AK56" s="14">
        <v>18</v>
      </c>
      <c r="AL56" s="915">
        <f>IF(WFTracker[[#This Row],[Type]]="MAKE", WFTracker[[#This Row],[Due date]]+Filters!$J$111, WFTracker[[#This Row],[Due date]]+Filters!$J$135)</f>
        <v>45750.072512647552</v>
      </c>
      <c r="AM56" s="101" cm="1">
        <f t="array" ref="AM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" spans="1:39" ht="14.45">
      <c r="A57" t="str">
        <f>IF(WFTracker[[#This Row],[Order Number]]="SWBD", "QED2", "PZ4")</f>
        <v>PZ4</v>
      </c>
      <c r="B57" s="23" t="s">
        <v>140</v>
      </c>
      <c r="C57" s="23" t="s">
        <v>141</v>
      </c>
      <c r="D57" s="11" t="str">
        <f>WFTracker[[#This Row],[Order Number]]  &amp; "-" &amp; WFTracker[[#This Row],[Item]]</f>
        <v>0050780333-000110</v>
      </c>
      <c r="E57" s="23" t="s">
        <v>142</v>
      </c>
      <c r="F57" s="12">
        <v>45730</v>
      </c>
      <c r="G57" s="12"/>
      <c r="H57" s="11" t="s">
        <v>143</v>
      </c>
      <c r="I57" s="11" t="s">
        <v>81</v>
      </c>
      <c r="J57" s="13" t="s">
        <v>151</v>
      </c>
      <c r="K57" s="14" t="s">
        <v>1017</v>
      </c>
      <c r="L57" s="15" t="s">
        <v>27</v>
      </c>
      <c r="M57" s="15" t="s">
        <v>1123</v>
      </c>
      <c r="N57" s="56">
        <v>45896</v>
      </c>
      <c r="O57" s="15">
        <f>NETWORKDAYS.INTL(WFTracker[[#This Row],[Start date]],WFTracker[[#This Row],[RM]],1,Holidays!D45:D60)</f>
        <v>-7</v>
      </c>
      <c r="P57" s="12">
        <v>45740</v>
      </c>
      <c r="Q57" s="12">
        <v>45747</v>
      </c>
      <c r="R57" s="12">
        <v>45744</v>
      </c>
      <c r="S57" s="12" t="b">
        <f>ISBLANK(WFTracker[[#This Row],[Completion Date]])</f>
        <v>0</v>
      </c>
      <c r="T57" s="12" t="str">
        <f>TEXT(WFTracker[[#This Row],[Start date]],"mmm-yyyy")</f>
        <v>Mar-2025</v>
      </c>
      <c r="U57" s="11">
        <v>5</v>
      </c>
      <c r="V57" s="11">
        <f>NETWORKDAYS.INTL(WFTracker[[#This Row],[Start date]],WFTracker[[#This Row],[Due date]],1,Holidays!D45:D60)</f>
        <v>6</v>
      </c>
      <c r="W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7" s="24">
        <f ca="1">WFTracker[[#This Row],[Active Time]]-WFTracker[[#This Row],[Completion Days Template]]</f>
        <v>-1</v>
      </c>
      <c r="Y57" s="16" t="str">
        <f ca="1" xml:space="preserve"> IF(WFTracker[[#This Row],[Overdue Time '[Expected-Completion']]]&gt;0, "LATE","ON TIME")</f>
        <v>ON TIME</v>
      </c>
      <c r="Z57" s="16" t="str">
        <f ca="1">IF(WFTracker[[#This Row],[Overdue Time '[Expected-Completion']]] &gt;= 15, "SUPER LATE", Y57)</f>
        <v>ON TIME</v>
      </c>
      <c r="AA57" s="37" t="str">
        <f>IF(WFTracker[[#This Row],[Pre RM Opening Time]]&lt;WFTracker[[#This Row],[Old vs New Order Lead Time WF dead line]], "LATE BY ENG", "ON TIME BY ENG")</f>
        <v>LATE BY ENG</v>
      </c>
      <c r="AB57" s="37"/>
      <c r="AC57" s="15" t="str">
        <f>IF(WFTracker[[#This Row],[Competion Date Content]] = FALSE, "C", "i")</f>
        <v>C</v>
      </c>
      <c r="AD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57" s="37" t="str">
        <f ca="1">IF(WFTracker[[#This Row],[Impact Time Post RM]]&gt;0, "IMPACTED", "NOT IMPACTED")</f>
        <v>IMPACTED</v>
      </c>
      <c r="AF57" s="15"/>
      <c r="AG57" s="18"/>
      <c r="AH57" s="14" t="str">
        <f>IF(WFTracker[[#This Row],[Status]]="C", "Closed", IF(WFTracker[[#This Row],[Status]] = "x", "Cancelled", WFTracker[[#This Row],[Impact Time Post RM]]))</f>
        <v>Closed</v>
      </c>
      <c r="AI57" s="14" t="str">
        <f ca="1">IF(WFTracker[[#This Row],[Impact Time Post RM]]&lt;=0,"ON TIME","LATE")</f>
        <v>LATE</v>
      </c>
      <c r="AJ57" s="14" t="s">
        <v>984</v>
      </c>
      <c r="AK57" s="14">
        <v>18</v>
      </c>
      <c r="AL57" s="915">
        <f>IF(WFTracker[[#This Row],[Type]]="MAKE", WFTracker[[#This Row],[Due date]]+Filters!$J$111, WFTracker[[#This Row],[Due date]]+Filters!$J$135)</f>
        <v>45750.072512647552</v>
      </c>
      <c r="AM57" s="101" cm="1">
        <f t="array" ref="AM5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" spans="1:39" ht="14.45">
      <c r="A58" t="str">
        <f>IF(WFTracker[[#This Row],[Order Number]]="SWBD", "QED2", "PZ4")</f>
        <v>PZ4</v>
      </c>
      <c r="B58" s="23" t="s">
        <v>33</v>
      </c>
      <c r="C58" s="23" t="s">
        <v>68</v>
      </c>
      <c r="D58" s="11" t="str">
        <f>WFTracker[[#This Row],[Order Number]]  &amp; "-" &amp; WFTracker[[#This Row],[Item]]</f>
        <v>0050206201-000170</v>
      </c>
      <c r="E58" s="23" t="s">
        <v>35</v>
      </c>
      <c r="F58" s="12">
        <v>45762</v>
      </c>
      <c r="G58" s="12"/>
      <c r="H58" s="11" t="s">
        <v>69</v>
      </c>
      <c r="I58" s="11" t="s">
        <v>24</v>
      </c>
      <c r="J58" s="13" t="s">
        <v>70</v>
      </c>
      <c r="K58" s="14" t="s">
        <v>1017</v>
      </c>
      <c r="L58" s="15" t="s">
        <v>27</v>
      </c>
      <c r="M58" s="15" t="s">
        <v>1120</v>
      </c>
      <c r="N58" s="56">
        <v>45888</v>
      </c>
      <c r="O58" s="15">
        <f>NETWORKDAYS.INTL(WFTracker[[#This Row],[Start date]],WFTracker[[#This Row],[RM]],1,Holidays!D337:D352)</f>
        <v>14</v>
      </c>
      <c r="P58" s="12">
        <v>45743</v>
      </c>
      <c r="Q58" s="12">
        <v>45750</v>
      </c>
      <c r="R58" s="12">
        <v>45759</v>
      </c>
      <c r="S58" s="12" t="b">
        <f>ISBLANK(WFTracker[[#This Row],[Completion Date]])</f>
        <v>0</v>
      </c>
      <c r="T58" s="12" t="str">
        <f>TEXT(WFTracker[[#This Row],[Start date]],"mmm-yyyy")</f>
        <v>Mar-2025</v>
      </c>
      <c r="U58" s="11">
        <v>5</v>
      </c>
      <c r="V58" s="11">
        <f>NETWORKDAYS.INTL(WFTracker[[#This Row],[Start date]],WFTracker[[#This Row],[Due date]],1,Holidays!D337:D352)</f>
        <v>6</v>
      </c>
      <c r="W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58" s="24">
        <f ca="1">WFTracker[[#This Row],[Active Time]]-WFTracker[[#This Row],[Completion Days Template]]</f>
        <v>6</v>
      </c>
      <c r="Y58" s="16" t="str">
        <f ca="1" xml:space="preserve"> IF(WFTracker[[#This Row],[Overdue Time '[Expected-Completion']]]&gt;0, "LATE","ON TIME")</f>
        <v>LATE</v>
      </c>
      <c r="Z58" s="16" t="str">
        <f ca="1">IF(WFTracker[[#This Row],[Overdue Time '[Expected-Completion']]] &gt;= 15, "SUPER LATE", Y58)</f>
        <v>LATE</v>
      </c>
      <c r="AA58" s="37" t="str">
        <f>IF(WFTracker[[#This Row],[Pre RM Opening Time]]&lt;WFTracker[[#This Row],[Old vs New Order Lead Time WF dead line]], "LATE BY ENG", "ON TIME BY ENG")</f>
        <v>ON TIME BY ENG</v>
      </c>
      <c r="AB58" s="37"/>
      <c r="AC58" s="15" t="str">
        <f>IF(WFTracker[[#This Row],[Competion Date Content]] = FALSE, "C", "i")</f>
        <v>C</v>
      </c>
      <c r="AD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58" s="37" t="str">
        <f ca="1">IF(WFTracker[[#This Row],[Impact Time Post RM]]&gt;0, "IMPACTED", "NOT IMPACTED")</f>
        <v>NOT IMPACTED</v>
      </c>
      <c r="AF58" s="15"/>
      <c r="AG58" s="18"/>
      <c r="AH58" s="14" t="str">
        <f>IF(WFTracker[[#This Row],[Status]]="C", "Closed", IF(WFTracker[[#This Row],[Status]] = "x", "Cancelled", WFTracker[[#This Row],[Impact Time Post RM]]))</f>
        <v>Closed</v>
      </c>
      <c r="AI58" s="14" t="str">
        <f ca="1">IF(WFTracker[[#This Row],[Impact Time Post RM]]&lt;=0,"ON TIME","LATE")</f>
        <v>ON TIME</v>
      </c>
      <c r="AJ58" s="14" t="s">
        <v>984</v>
      </c>
      <c r="AK58" s="14">
        <v>18</v>
      </c>
      <c r="AL58" s="915">
        <f>IF(WFTracker[[#This Row],[Type]]="MAKE", WFTracker[[#This Row],[Due date]]+Filters!$J$111, WFTracker[[#This Row],[Due date]]+Filters!$J$135)</f>
        <v>45753.072512647552</v>
      </c>
      <c r="AM58" s="101" cm="1">
        <f t="array" ref="AM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" spans="1:39" ht="14.45">
      <c r="A59" t="str">
        <f>IF(WFTracker[[#This Row],[Order Number]]="SWBD", "QED2", "PZ4")</f>
        <v>PZ4</v>
      </c>
      <c r="B59" s="23" t="s">
        <v>33</v>
      </c>
      <c r="C59" s="23" t="s">
        <v>34</v>
      </c>
      <c r="D59" s="11" t="str">
        <f>WFTracker[[#This Row],[Order Number]]  &amp; "-" &amp; WFTracker[[#This Row],[Item]]</f>
        <v>0050206201-000180</v>
      </c>
      <c r="E59" s="21" t="s">
        <v>35</v>
      </c>
      <c r="F59" s="27">
        <v>45762</v>
      </c>
      <c r="G59" s="27"/>
      <c r="H59" s="11" t="s">
        <v>36</v>
      </c>
      <c r="I59" s="11" t="s">
        <v>37</v>
      </c>
      <c r="J59" s="13" t="s">
        <v>47</v>
      </c>
      <c r="K59" s="14" t="s">
        <v>1017</v>
      </c>
      <c r="L59" s="15" t="s">
        <v>27</v>
      </c>
      <c r="M59" s="15" t="s">
        <v>1120</v>
      </c>
      <c r="N59" s="56">
        <v>45888</v>
      </c>
      <c r="O59" s="15">
        <f>NETWORKDAYS.INTL(WFTracker[[#This Row],[Start date]],WFTracker[[#This Row],[RM]],1,Holidays!D277:D292)</f>
        <v>12</v>
      </c>
      <c r="P59" s="12">
        <v>45747</v>
      </c>
      <c r="Q59" s="12">
        <v>45755</v>
      </c>
      <c r="R59" s="12">
        <v>45759</v>
      </c>
      <c r="S59" s="12" t="b">
        <f>ISBLANK(WFTracker[[#This Row],[Completion Date]])</f>
        <v>0</v>
      </c>
      <c r="T59" s="12" t="str">
        <f>TEXT(WFTracker[[#This Row],[Start date]],"mmm-yyyy")</f>
        <v>Mar-2025</v>
      </c>
      <c r="U59" s="11">
        <v>5</v>
      </c>
      <c r="V59" s="11">
        <f>NETWORKDAYS.INTL(WFTracker[[#This Row],[Start date]],WFTracker[[#This Row],[Due date]],1,Holidays!D277:D292)</f>
        <v>7</v>
      </c>
      <c r="W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59" s="24">
        <f ca="1">WFTracker[[#This Row],[Active Time]]-WFTracker[[#This Row],[Completion Days Template]]</f>
        <v>3</v>
      </c>
      <c r="Y59" s="16" t="str">
        <f ca="1" xml:space="preserve"> IF(WFTracker[[#This Row],[Overdue Time '[Expected-Completion']]]&gt;0, "LATE","ON TIME")</f>
        <v>LATE</v>
      </c>
      <c r="Z59" s="16" t="str">
        <f ca="1">IF(WFTracker[[#This Row],[Overdue Time '[Expected-Completion']]] &gt;= 15, "SUPER LATE", Y59)</f>
        <v>LATE</v>
      </c>
      <c r="AA59" s="37" t="str">
        <f>IF(WFTracker[[#This Row],[Pre RM Opening Time]]&lt;WFTracker[[#This Row],[Old vs New Order Lead Time WF dead line]], "LATE BY ENG", "ON TIME BY ENG")</f>
        <v>ON TIME BY ENG</v>
      </c>
      <c r="AB59" s="37"/>
      <c r="AC59" s="15" t="str">
        <f>IF(WFTracker[[#This Row],[Competion Date Content]] = FALSE, "C", "I")</f>
        <v>C</v>
      </c>
      <c r="AD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59" s="37" t="str">
        <f ca="1">IF(WFTracker[[#This Row],[Impact Time Post RM]]&gt;0, "IMPACTED", "NOT IMPACTED")</f>
        <v>NOT IMPACTED</v>
      </c>
      <c r="AF59" s="15"/>
      <c r="AG59" s="18"/>
      <c r="AH59" s="14" t="str">
        <f>IF(WFTracker[[#This Row],[Status]]="C", "Closed", IF(WFTracker[[#This Row],[Status]] = "x", "Cancelled", WFTracker[[#This Row],[Impact Time Post RM]]))</f>
        <v>Closed</v>
      </c>
      <c r="AI59" s="14" t="str">
        <f ca="1">IF(WFTracker[[#This Row],[Impact Time Post RM]]&lt;=0,"ON TIME","LATE")</f>
        <v>ON TIME</v>
      </c>
      <c r="AJ59" s="14" t="s">
        <v>984</v>
      </c>
      <c r="AK59" s="14">
        <v>18</v>
      </c>
      <c r="AL59" s="915">
        <f>IF(WFTracker[[#This Row],[Type]]="MAKE", WFTracker[[#This Row],[Due date]]+Filters!$J$111, WFTracker[[#This Row],[Due date]]+Filters!$J$135)</f>
        <v>45758.072512647552</v>
      </c>
      <c r="AM59" s="101" cm="1">
        <f t="array" ref="AM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" spans="1:39" ht="14.45">
      <c r="A60" t="str">
        <f>IF(WFTracker[[#This Row],[Order Number]]="SWBD", "QED2", "PZ4")</f>
        <v>PZ4</v>
      </c>
      <c r="B60" s="23" t="s">
        <v>33</v>
      </c>
      <c r="C60" s="23" t="s">
        <v>34</v>
      </c>
      <c r="D60" s="11" t="str">
        <f>WFTracker[[#This Row],[Order Number]]  &amp; "-" &amp; WFTracker[[#This Row],[Item]]</f>
        <v>0050206201-000180</v>
      </c>
      <c r="E60" s="21" t="s">
        <v>35</v>
      </c>
      <c r="F60" s="27">
        <v>45762</v>
      </c>
      <c r="G60" s="27"/>
      <c r="H60" s="11" t="s">
        <v>36</v>
      </c>
      <c r="I60" s="11" t="s">
        <v>37</v>
      </c>
      <c r="J60" s="13" t="s">
        <v>44</v>
      </c>
      <c r="K60" s="14" t="s">
        <v>1017</v>
      </c>
      <c r="L60" s="15" t="s">
        <v>27</v>
      </c>
      <c r="M60" s="15" t="s">
        <v>1120</v>
      </c>
      <c r="N60" s="56">
        <v>45888</v>
      </c>
      <c r="O60" s="15">
        <f>NETWORKDAYS.INTL(WFTracker[[#This Row],[Start date]],WFTracker[[#This Row],[RM]],1,Holidays!D278:D293)</f>
        <v>12</v>
      </c>
      <c r="P60" s="12">
        <v>45747</v>
      </c>
      <c r="Q60" s="12">
        <v>45755</v>
      </c>
      <c r="R60" s="12">
        <v>45759</v>
      </c>
      <c r="S60" s="12" t="b">
        <f>ISBLANK(WFTracker[[#This Row],[Completion Date]])</f>
        <v>0</v>
      </c>
      <c r="T60" s="12" t="str">
        <f>TEXT(WFTracker[[#This Row],[Start date]],"mmm-yyyy")</f>
        <v>Mar-2025</v>
      </c>
      <c r="U60" s="11">
        <v>5</v>
      </c>
      <c r="V60" s="11">
        <f>NETWORKDAYS.INTL(WFTracker[[#This Row],[Start date]],WFTracker[[#This Row],[Due date]],1,Holidays!D278:D293)</f>
        <v>7</v>
      </c>
      <c r="W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0" s="24">
        <f ca="1">WFTracker[[#This Row],[Active Time]]-WFTracker[[#This Row],[Completion Days Template]]</f>
        <v>3</v>
      </c>
      <c r="Y60" s="16" t="str">
        <f ca="1" xml:space="preserve"> IF(WFTracker[[#This Row],[Overdue Time '[Expected-Completion']]]&gt;0, "LATE","ON TIME")</f>
        <v>LATE</v>
      </c>
      <c r="Z60" s="16" t="str">
        <f ca="1">IF(WFTracker[[#This Row],[Overdue Time '[Expected-Completion']]] &gt;= 15, "SUPER LATE", Y60)</f>
        <v>LATE</v>
      </c>
      <c r="AA60" s="37" t="str">
        <f>IF(WFTracker[[#This Row],[Pre RM Opening Time]]&lt;WFTracker[[#This Row],[Old vs New Order Lead Time WF dead line]], "LATE BY ENG", "ON TIME BY ENG")</f>
        <v>ON TIME BY ENG</v>
      </c>
      <c r="AB60" s="37"/>
      <c r="AC60" s="15" t="str">
        <f>IF(WFTracker[[#This Row],[Competion Date Content]] = FALSE, "C", "I")</f>
        <v>C</v>
      </c>
      <c r="AD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0" s="37" t="str">
        <f ca="1">IF(WFTracker[[#This Row],[Impact Time Post RM]]&gt;0, "IMPACTED", "NOT IMPACTED")</f>
        <v>NOT IMPACTED</v>
      </c>
      <c r="AF60" s="15"/>
      <c r="AG60" s="18"/>
      <c r="AH60" s="14" t="str">
        <f>IF(WFTracker[[#This Row],[Status]]="C", "Closed", IF(WFTracker[[#This Row],[Status]] = "x", "Cancelled", WFTracker[[#This Row],[Impact Time Post RM]]))</f>
        <v>Closed</v>
      </c>
      <c r="AI60" s="14" t="str">
        <f ca="1">IF(WFTracker[[#This Row],[Impact Time Post RM]]&lt;=0,"ON TIME","LATE")</f>
        <v>ON TIME</v>
      </c>
      <c r="AJ60" s="14" t="s">
        <v>984</v>
      </c>
      <c r="AK60" s="14">
        <v>18</v>
      </c>
      <c r="AL60" s="915">
        <f>IF(WFTracker[[#This Row],[Type]]="MAKE", WFTracker[[#This Row],[Due date]]+Filters!$J$111, WFTracker[[#This Row],[Due date]]+Filters!$J$135)</f>
        <v>45758.072512647552</v>
      </c>
      <c r="AM60" s="101" cm="1">
        <f t="array" ref="AM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" spans="1:39" ht="14.45">
      <c r="A61" t="str">
        <f>IF(WFTracker[[#This Row],[Order Number]]="SWBD", "QED2", "PZ4")</f>
        <v>PZ4</v>
      </c>
      <c r="B61" s="23" t="s">
        <v>33</v>
      </c>
      <c r="C61" s="23" t="s">
        <v>34</v>
      </c>
      <c r="D61" s="11" t="str">
        <f>WFTracker[[#This Row],[Order Number]]  &amp; "-" &amp; WFTracker[[#This Row],[Item]]</f>
        <v>0050206201-000180</v>
      </c>
      <c r="E61" s="23" t="s">
        <v>35</v>
      </c>
      <c r="F61" s="12">
        <v>45762</v>
      </c>
      <c r="G61" s="12"/>
      <c r="H61" s="11" t="s">
        <v>36</v>
      </c>
      <c r="I61" s="11" t="s">
        <v>37</v>
      </c>
      <c r="J61" s="13" t="s">
        <v>41</v>
      </c>
      <c r="K61" s="14" t="s">
        <v>1017</v>
      </c>
      <c r="L61" s="15" t="s">
        <v>40</v>
      </c>
      <c r="M61" s="15" t="s">
        <v>1120</v>
      </c>
      <c r="N61" s="56">
        <v>45888</v>
      </c>
      <c r="O61" s="15">
        <f>NETWORKDAYS.INTL(WFTracker[[#This Row],[Start date]],WFTracker[[#This Row],[RM]],1,Holidays!D279:D294)</f>
        <v>12</v>
      </c>
      <c r="P61" s="12">
        <v>45747</v>
      </c>
      <c r="Q61" s="12">
        <v>45757</v>
      </c>
      <c r="R61" s="12">
        <v>45758</v>
      </c>
      <c r="S61" s="12" t="b">
        <f>ISBLANK(WFTracker[[#This Row],[Completion Date]])</f>
        <v>0</v>
      </c>
      <c r="T61" s="12" t="str">
        <f>TEXT(WFTracker[[#This Row],[Start date]],"mmm-yyyy")</f>
        <v>Mar-2025</v>
      </c>
      <c r="U61" s="11">
        <v>5</v>
      </c>
      <c r="V61" s="11">
        <f>NETWORKDAYS.INTL(WFTracker[[#This Row],[Start date]],WFTracker[[#This Row],[Due date]],1,Holidays!D279:D294)</f>
        <v>9</v>
      </c>
      <c r="W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1" s="24">
        <f ca="1">WFTracker[[#This Row],[Active Time]]-WFTracker[[#This Row],[Completion Days Template]]</f>
        <v>1</v>
      </c>
      <c r="Y61" s="16" t="str">
        <f ca="1" xml:space="preserve"> IF(WFTracker[[#This Row],[Overdue Time '[Expected-Completion']]]&gt;0, "LATE","ON TIME")</f>
        <v>LATE</v>
      </c>
      <c r="Z61" s="16" t="str">
        <f ca="1">IF(WFTracker[[#This Row],[Overdue Time '[Expected-Completion']]] &gt;= 15, "SUPER LATE", Y61)</f>
        <v>LATE</v>
      </c>
      <c r="AA61" s="37" t="str">
        <f>IF(WFTracker[[#This Row],[Pre RM Opening Time]]&lt;WFTracker[[#This Row],[Old vs New Order Lead Time WF dead line]], "LATE BY ENG", "ON TIME BY ENG")</f>
        <v>ON TIME BY ENG</v>
      </c>
      <c r="AB61" s="37"/>
      <c r="AC61" s="15" t="str">
        <f>IF(WFTracker[[#This Row],[Competion Date Content]] = FALSE, "C", "I")</f>
        <v>C</v>
      </c>
      <c r="AD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61" s="37" t="str">
        <f ca="1">IF(WFTracker[[#This Row],[Impact Time Post RM]]&gt;0, "IMPACTED", "NOT IMPACTED")</f>
        <v>NOT IMPACTED</v>
      </c>
      <c r="AF61" s="15"/>
      <c r="AG61" s="18"/>
      <c r="AH61" s="14" t="str">
        <f>IF(WFTracker[[#This Row],[Status]]="C", "Closed", IF(WFTracker[[#This Row],[Status]] = "x", "Cancelled", WFTracker[[#This Row],[Impact Time Post RM]]))</f>
        <v>Closed</v>
      </c>
      <c r="AI61" s="14" t="str">
        <f ca="1">IF(WFTracker[[#This Row],[Impact Time Post RM]]&lt;=0,"ON TIME","LATE")</f>
        <v>ON TIME</v>
      </c>
      <c r="AJ61" s="14" t="s">
        <v>984</v>
      </c>
      <c r="AK61" s="14">
        <v>17</v>
      </c>
      <c r="AL61" s="915">
        <f>IF(WFTracker[[#This Row],[Type]]="MAKE", WFTracker[[#This Row],[Due date]]+Filters!$J$111, WFTracker[[#This Row],[Due date]]+Filters!$J$135)</f>
        <v>45757.415686274508</v>
      </c>
      <c r="AM61" s="101" cm="1">
        <f t="array" ref="AM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" spans="1:39" ht="14.45">
      <c r="A62" t="str">
        <f>IF(WFTracker[[#This Row],[Order Number]]="SWBD", "QED2", "PZ4")</f>
        <v>PZ4</v>
      </c>
      <c r="B62" s="23" t="s">
        <v>33</v>
      </c>
      <c r="C62" s="23" t="s">
        <v>34</v>
      </c>
      <c r="D62" s="11" t="str">
        <f>WFTracker[[#This Row],[Order Number]]  &amp; "-" &amp; WFTracker[[#This Row],[Item]]</f>
        <v>0050206201-000180</v>
      </c>
      <c r="E62" s="23" t="s">
        <v>35</v>
      </c>
      <c r="F62" s="12">
        <v>45762</v>
      </c>
      <c r="G62" s="12"/>
      <c r="H62" s="11" t="s">
        <v>36</v>
      </c>
      <c r="I62" s="11" t="s">
        <v>37</v>
      </c>
      <c r="J62" s="13" t="s">
        <v>38</v>
      </c>
      <c r="K62" s="14" t="s">
        <v>1017</v>
      </c>
      <c r="L62" s="15" t="s">
        <v>27</v>
      </c>
      <c r="M62" s="15" t="s">
        <v>1120</v>
      </c>
      <c r="N62" s="56">
        <v>45888</v>
      </c>
      <c r="O62" s="15">
        <f>NETWORKDAYS.INTL(WFTracker[[#This Row],[Start date]],WFTracker[[#This Row],[RM]],1,Holidays!D245:D260)</f>
        <v>11</v>
      </c>
      <c r="P62" s="12">
        <v>45748</v>
      </c>
      <c r="Q62" s="12">
        <v>45755</v>
      </c>
      <c r="R62" s="12">
        <v>45759</v>
      </c>
      <c r="S62" s="12" t="b">
        <f>ISBLANK(WFTracker[[#This Row],[Completion Date]])</f>
        <v>0</v>
      </c>
      <c r="T62" s="12" t="str">
        <f>TEXT(WFTracker[[#This Row],[Start date]],"mmm-yyyy")</f>
        <v>Apr-2025</v>
      </c>
      <c r="U62" s="11">
        <v>5</v>
      </c>
      <c r="V62" s="11">
        <f>NETWORKDAYS.INTL(WFTracker[[#This Row],[Start date]],WFTracker[[#This Row],[Due date]],1,Holidays!D245:D260)</f>
        <v>6</v>
      </c>
      <c r="W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2" s="24">
        <f ca="1">WFTracker[[#This Row],[Active Time]]-WFTracker[[#This Row],[Completion Days Template]]</f>
        <v>3</v>
      </c>
      <c r="Y62" s="16" t="str">
        <f ca="1" xml:space="preserve"> IF(WFTracker[[#This Row],[Overdue Time '[Expected-Completion']]]&gt;0, "LATE","ON TIME")</f>
        <v>LATE</v>
      </c>
      <c r="Z62" s="16" t="str">
        <f ca="1">IF(WFTracker[[#This Row],[Overdue Time '[Expected-Completion']]] &gt;= 15, "SUPER LATE", Y62)</f>
        <v>LATE</v>
      </c>
      <c r="AA62" s="37" t="str">
        <f>IF(WFTracker[[#This Row],[Pre RM Opening Time]]&lt;WFTracker[[#This Row],[Old vs New Order Lead Time WF dead line]], "LATE BY ENG", "ON TIME BY ENG")</f>
        <v>ON TIME BY ENG</v>
      </c>
      <c r="AB62" s="37"/>
      <c r="AC62" s="15" t="str">
        <f>IF(WFTracker[[#This Row],[Competion Date Content]] = FALSE, "C", "I")</f>
        <v>C</v>
      </c>
      <c r="AD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2" s="37" t="str">
        <f ca="1">IF(WFTracker[[#This Row],[Impact Time Post RM]]&gt;0, "IMPACTED", "NOT IMPACTED")</f>
        <v>NOT IMPACTED</v>
      </c>
      <c r="AF62" s="15"/>
      <c r="AG62" s="18"/>
      <c r="AH62" s="14" t="str">
        <f>IF(WFTracker[[#This Row],[Status]]="C", "Closed", IF(WFTracker[[#This Row],[Status]] = "x", "Cancelled", WFTracker[[#This Row],[Impact Time Post RM]]))</f>
        <v>Closed</v>
      </c>
      <c r="AI62" s="14" t="str">
        <f ca="1">IF(WFTracker[[#This Row],[Impact Time Post RM]]&lt;=0,"ON TIME","LATE")</f>
        <v>ON TIME</v>
      </c>
      <c r="AJ62" s="14" t="s">
        <v>984</v>
      </c>
      <c r="AK62" s="14">
        <v>18</v>
      </c>
      <c r="AL62" s="915">
        <f>IF(WFTracker[[#This Row],[Type]]="MAKE", WFTracker[[#This Row],[Due date]]+Filters!$J$111, WFTracker[[#This Row],[Due date]]+Filters!$J$135)</f>
        <v>45758.072512647552</v>
      </c>
      <c r="AM62" s="101" cm="1">
        <f t="array" ref="AM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" spans="1:39" ht="14.45">
      <c r="A63" t="str">
        <f>IF(WFTracker[[#This Row],[Order Number]]="SWBD", "QED2", "PZ4")</f>
        <v>PZ4</v>
      </c>
      <c r="B63" s="23" t="s">
        <v>33</v>
      </c>
      <c r="C63" s="23" t="s">
        <v>34</v>
      </c>
      <c r="D63" s="11" t="str">
        <f>WFTracker[[#This Row],[Order Number]]  &amp; "-" &amp; WFTracker[[#This Row],[Item]]</f>
        <v>0050206201-000180</v>
      </c>
      <c r="E63" s="23" t="s">
        <v>35</v>
      </c>
      <c r="F63" s="12">
        <v>45762</v>
      </c>
      <c r="G63" s="12"/>
      <c r="H63" s="11" t="s">
        <v>36</v>
      </c>
      <c r="I63" s="11" t="s">
        <v>37</v>
      </c>
      <c r="J63" s="13" t="s">
        <v>54</v>
      </c>
      <c r="K63" s="14" t="s">
        <v>1017</v>
      </c>
      <c r="L63" s="15" t="s">
        <v>27</v>
      </c>
      <c r="M63" s="15" t="s">
        <v>1120</v>
      </c>
      <c r="N63" s="56">
        <v>45888</v>
      </c>
      <c r="O63" s="15">
        <f>NETWORKDAYS.INTL(WFTracker[[#This Row],[Start date]],WFTracker[[#This Row],[RM]],1,Holidays!D246:D261)</f>
        <v>11</v>
      </c>
      <c r="P63" s="12">
        <v>45748</v>
      </c>
      <c r="Q63" s="12">
        <v>45755</v>
      </c>
      <c r="R63" s="12">
        <v>45751</v>
      </c>
      <c r="S63" s="27" t="b">
        <f>ISBLANK(WFTracker[[#This Row],[Completion Date]])</f>
        <v>0</v>
      </c>
      <c r="T63" s="27" t="str">
        <f>TEXT(WFTracker[[#This Row],[Start date]],"mmm-yyyy")</f>
        <v>Apr-2025</v>
      </c>
      <c r="U63" s="11">
        <v>5</v>
      </c>
      <c r="V63" s="11">
        <f>NETWORKDAYS.INTL(WFTracker[[#This Row],[Start date]],WFTracker[[#This Row],[Due date]],1,Holidays!D246:D261)</f>
        <v>6</v>
      </c>
      <c r="W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3" s="24">
        <f ca="1">WFTracker[[#This Row],[Active Time]]-WFTracker[[#This Row],[Completion Days Template]]</f>
        <v>-2</v>
      </c>
      <c r="Y63" s="34" t="str">
        <f ca="1" xml:space="preserve"> IF(WFTracker[[#This Row],[Overdue Time '[Expected-Completion']]]&gt;0, "LATE","ON TIME")</f>
        <v>ON TIME</v>
      </c>
      <c r="Z63" s="34" t="str">
        <f ca="1">IF(WFTracker[[#This Row],[Overdue Time '[Expected-Completion']]] &gt;= 15, "SUPER LATE", Y63)</f>
        <v>ON TIME</v>
      </c>
      <c r="AA63" s="37" t="str">
        <f>IF(WFTracker[[#This Row],[Pre RM Opening Time]]&lt;WFTracker[[#This Row],[Old vs New Order Lead Time WF dead line]], "LATE BY ENG", "ON TIME BY ENG")</f>
        <v>ON TIME BY ENG</v>
      </c>
      <c r="AB63" s="37"/>
      <c r="AC63" s="15" t="str">
        <f>IF(WFTracker[[#This Row],[Competion Date Content]] = FALSE, "C", "I")</f>
        <v>C</v>
      </c>
      <c r="AD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63" s="105" t="str">
        <f ca="1">IF(WFTracker[[#This Row],[Impact Time Post RM]]&gt;0, "IMPACTED", "NOT IMPACTED")</f>
        <v>NOT IMPACTED</v>
      </c>
      <c r="AF63" s="15"/>
      <c r="AG63" s="18"/>
      <c r="AH63" s="14" t="str">
        <f>IF(WFTracker[[#This Row],[Status]]="C", "Closed", IF(WFTracker[[#This Row],[Status]] = "x", "Cancelled", WFTracker[[#This Row],[Impact Time Post RM]]))</f>
        <v>Closed</v>
      </c>
      <c r="AI63" s="14" t="str">
        <f ca="1">IF(WFTracker[[#This Row],[Impact Time Post RM]]&lt;=0,"ON TIME","LATE")</f>
        <v>ON TIME</v>
      </c>
      <c r="AJ63" s="14" t="s">
        <v>984</v>
      </c>
      <c r="AK63" s="14">
        <v>18</v>
      </c>
      <c r="AL63" s="915">
        <f>IF(WFTracker[[#This Row],[Type]]="MAKE", WFTracker[[#This Row],[Due date]]+Filters!$J$111, WFTracker[[#This Row],[Due date]]+Filters!$J$135)</f>
        <v>45758.072512647552</v>
      </c>
      <c r="AM63" s="101" cm="1">
        <f t="array" ref="AM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" spans="1:39" ht="14.45">
      <c r="A64" t="str">
        <f>IF(WFTracker[[#This Row],[Order Number]]="SWBD", "QED2", "PZ4")</f>
        <v>PZ4</v>
      </c>
      <c r="B64" s="23" t="s">
        <v>33</v>
      </c>
      <c r="C64" s="26" t="s">
        <v>34</v>
      </c>
      <c r="D64" s="11" t="str">
        <f>WFTracker[[#This Row],[Order Number]]  &amp; "-" &amp; WFTracker[[#This Row],[Item]]</f>
        <v>0050206201-000180</v>
      </c>
      <c r="E64" s="23" t="s">
        <v>35</v>
      </c>
      <c r="F64" s="12">
        <v>45762</v>
      </c>
      <c r="G64" s="12"/>
      <c r="H64" s="11" t="s">
        <v>36</v>
      </c>
      <c r="I64" s="11" t="s">
        <v>37</v>
      </c>
      <c r="J64" s="13" t="s">
        <v>50</v>
      </c>
      <c r="K64" s="14" t="s">
        <v>1017</v>
      </c>
      <c r="L64" s="15" t="s">
        <v>27</v>
      </c>
      <c r="M64" s="15" t="s">
        <v>1120</v>
      </c>
      <c r="N64" s="56">
        <v>45888</v>
      </c>
      <c r="O64" s="15">
        <f>NETWORKDAYS.INTL(WFTracker[[#This Row],[Start date]],WFTracker[[#This Row],[RM]],1,Holidays!D247:D262)</f>
        <v>11</v>
      </c>
      <c r="P64" s="12">
        <v>45748</v>
      </c>
      <c r="Q64" s="12">
        <v>45756</v>
      </c>
      <c r="R64" s="12">
        <v>45761</v>
      </c>
      <c r="S64" s="12" t="b">
        <f>ISBLANK(WFTracker[[#This Row],[Completion Date]])</f>
        <v>0</v>
      </c>
      <c r="T64" s="12" t="str">
        <f>TEXT(WFTracker[[#This Row],[Start date]],"mmm-yyyy")</f>
        <v>Apr-2025</v>
      </c>
      <c r="U64" s="11">
        <v>5</v>
      </c>
      <c r="V64" s="11">
        <f>NETWORKDAYS.INTL(WFTracker[[#This Row],[Start date]],WFTracker[[#This Row],[Due date]],1,Holidays!D247:D262)</f>
        <v>7</v>
      </c>
      <c r="W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4" s="24">
        <f ca="1">WFTracker[[#This Row],[Active Time]]-WFTracker[[#This Row],[Completion Days Template]]</f>
        <v>3</v>
      </c>
      <c r="Y64" s="16" t="str">
        <f ca="1" xml:space="preserve"> IF(WFTracker[[#This Row],[Overdue Time '[Expected-Completion']]]&gt;0, "LATE","ON TIME")</f>
        <v>LATE</v>
      </c>
      <c r="Z64" s="16" t="str">
        <f ca="1">IF(WFTracker[[#This Row],[Overdue Time '[Expected-Completion']]] &gt;= 15, "SUPER LATE", Y64)</f>
        <v>LATE</v>
      </c>
      <c r="AA64" s="37" t="str">
        <f>IF(WFTracker[[#This Row],[Pre RM Opening Time]]&lt;WFTracker[[#This Row],[Old vs New Order Lead Time WF dead line]], "LATE BY ENG", "ON TIME BY ENG")</f>
        <v>ON TIME BY ENG</v>
      </c>
      <c r="AB64" s="37"/>
      <c r="AC64" s="15" t="str">
        <f>IF(WFTracker[[#This Row],[Competion Date Content]] = FALSE, "C", "I")</f>
        <v>C</v>
      </c>
      <c r="AD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4" s="37" t="str">
        <f ca="1">IF(WFTracker[[#This Row],[Impact Time Post RM]]&gt;0, "IMPACTED", "NOT IMPACTED")</f>
        <v>NOT IMPACTED</v>
      </c>
      <c r="AF64" s="15"/>
      <c r="AG64" s="18"/>
      <c r="AH64" s="14" t="str">
        <f>IF(WFTracker[[#This Row],[Status]]="C", "Closed", IF(WFTracker[[#This Row],[Status]] = "x", "Cancelled", WFTracker[[#This Row],[Impact Time Post RM]]))</f>
        <v>Closed</v>
      </c>
      <c r="AI64" s="14" t="str">
        <f ca="1">IF(WFTracker[[#This Row],[Impact Time Post RM]]&lt;=0,"ON TIME","LATE")</f>
        <v>ON TIME</v>
      </c>
      <c r="AJ64" s="14" t="s">
        <v>984</v>
      </c>
      <c r="AK64" s="14">
        <v>18</v>
      </c>
      <c r="AL64" s="915">
        <f>IF(WFTracker[[#This Row],[Type]]="MAKE", WFTracker[[#This Row],[Due date]]+Filters!$J$111, WFTracker[[#This Row],[Due date]]+Filters!$J$135)</f>
        <v>45759.072512647552</v>
      </c>
      <c r="AM64" s="101" cm="1">
        <f t="array" ref="AM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5" spans="1:39" ht="14.45">
      <c r="A65" t="str">
        <f>IF(WFTracker[[#This Row],[Order Number]]="SWBD", "QED2", "PZ4")</f>
        <v>PZ4</v>
      </c>
      <c r="B65" s="26" t="s">
        <v>33</v>
      </c>
      <c r="C65" s="26" t="s">
        <v>34</v>
      </c>
      <c r="D65" s="11" t="str">
        <f>WFTracker[[#This Row],[Order Number]]  &amp; "-" &amp; WFTracker[[#This Row],[Item]]</f>
        <v>0050206201-000180</v>
      </c>
      <c r="E65" s="23" t="s">
        <v>35</v>
      </c>
      <c r="F65" s="12">
        <v>45762</v>
      </c>
      <c r="G65" s="12"/>
      <c r="H65" s="11" t="s">
        <v>36</v>
      </c>
      <c r="I65" s="11" t="s">
        <v>37</v>
      </c>
      <c r="J65" s="13" t="s">
        <v>58</v>
      </c>
      <c r="K65" s="14" t="s">
        <v>1017</v>
      </c>
      <c r="L65" s="15" t="s">
        <v>27</v>
      </c>
      <c r="M65" s="15" t="s">
        <v>1120</v>
      </c>
      <c r="N65" s="56">
        <v>45888</v>
      </c>
      <c r="O65" s="15">
        <f>NETWORKDAYS.INTL(WFTracker[[#This Row],[Start date]],WFTracker[[#This Row],[RM]],1,Holidays!D248:D263)</f>
        <v>11</v>
      </c>
      <c r="P65" s="12">
        <v>45748</v>
      </c>
      <c r="Q65" s="12">
        <v>45757</v>
      </c>
      <c r="R65" s="12">
        <v>45754</v>
      </c>
      <c r="S65" s="27" t="b">
        <f>ISBLANK(WFTracker[[#This Row],[Completion Date]])</f>
        <v>0</v>
      </c>
      <c r="T65" s="27" t="str">
        <f>TEXT(WFTracker[[#This Row],[Start date]],"mmm-yyyy")</f>
        <v>Apr-2025</v>
      </c>
      <c r="U65" s="11">
        <v>5</v>
      </c>
      <c r="V65" s="11">
        <f>NETWORKDAYS.INTL(WFTracker[[#This Row],[Start date]],WFTracker[[#This Row],[Due date]],1,Holidays!D248:D263)</f>
        <v>8</v>
      </c>
      <c r="W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5" s="24">
        <f ca="1">WFTracker[[#This Row],[Active Time]]-WFTracker[[#This Row],[Completion Days Template]]</f>
        <v>-3</v>
      </c>
      <c r="Y65" s="34" t="str">
        <f ca="1" xml:space="preserve"> IF(WFTracker[[#This Row],[Overdue Time '[Expected-Completion']]]&gt;0, "LATE","ON TIME")</f>
        <v>ON TIME</v>
      </c>
      <c r="Z65" s="34" t="str">
        <f ca="1">IF(WFTracker[[#This Row],[Overdue Time '[Expected-Completion']]] &gt;= 15, "SUPER LATE", Y65)</f>
        <v>ON TIME</v>
      </c>
      <c r="AA65" s="37" t="str">
        <f>IF(WFTracker[[#This Row],[Pre RM Opening Time]]&lt;WFTracker[[#This Row],[Old vs New Order Lead Time WF dead line]], "LATE BY ENG", "ON TIME BY ENG")</f>
        <v>ON TIME BY ENG</v>
      </c>
      <c r="AB65" s="37"/>
      <c r="AC65" s="15" t="str">
        <f>IF(WFTracker[[#This Row],[Competion Date Content]] = FALSE, "C", "I")</f>
        <v>C</v>
      </c>
      <c r="AD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65" s="105" t="str">
        <f ca="1">IF(WFTracker[[#This Row],[Impact Time Post RM]]&gt;0, "IMPACTED", "NOT IMPACTED")</f>
        <v>NOT IMPACTED</v>
      </c>
      <c r="AF65" s="15"/>
      <c r="AG65" s="18"/>
      <c r="AH65" s="14" t="str">
        <f>IF(WFTracker[[#This Row],[Status]]="C", "Closed", IF(WFTracker[[#This Row],[Status]] = "x", "Cancelled", WFTracker[[#This Row],[Impact Time Post RM]]))</f>
        <v>Closed</v>
      </c>
      <c r="AI65" s="14" t="str">
        <f ca="1">IF(WFTracker[[#This Row],[Impact Time Post RM]]&lt;=0,"ON TIME","LATE")</f>
        <v>ON TIME</v>
      </c>
      <c r="AJ65" s="14" t="s">
        <v>984</v>
      </c>
      <c r="AK65" s="14">
        <v>18</v>
      </c>
      <c r="AL65" s="915">
        <f>IF(WFTracker[[#This Row],[Type]]="MAKE", WFTracker[[#This Row],[Due date]]+Filters!$J$111, WFTracker[[#This Row],[Due date]]+Filters!$J$135)</f>
        <v>45760.072512647552</v>
      </c>
      <c r="AM65" s="101" cm="1">
        <f t="array" ref="AM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" spans="1:39" ht="14.45">
      <c r="A66" t="str">
        <f>IF(WFTracker[[#This Row],[Order Number]]="SWBD", "QED2", "PZ4")</f>
        <v>PZ4</v>
      </c>
      <c r="B66" s="26" t="s">
        <v>33</v>
      </c>
      <c r="C66" s="26" t="s">
        <v>34</v>
      </c>
      <c r="D66" s="11" t="str">
        <f>WFTracker[[#This Row],[Order Number]]  &amp; "-" &amp; WFTracker[[#This Row],[Item]]</f>
        <v>0050206201-000180</v>
      </c>
      <c r="E66" s="23" t="s">
        <v>35</v>
      </c>
      <c r="F66" s="12">
        <v>45762</v>
      </c>
      <c r="G66" s="12"/>
      <c r="H66" s="11" t="s">
        <v>36</v>
      </c>
      <c r="I66" s="11" t="s">
        <v>37</v>
      </c>
      <c r="J66" s="13" t="s">
        <v>62</v>
      </c>
      <c r="K66" s="14" t="s">
        <v>1017</v>
      </c>
      <c r="L66" s="15" t="s">
        <v>27</v>
      </c>
      <c r="M66" s="15" t="s">
        <v>1120</v>
      </c>
      <c r="N66" s="56">
        <v>45888</v>
      </c>
      <c r="O66" s="15">
        <f>NETWORKDAYS.INTL(WFTracker[[#This Row],[Start date]],WFTracker[[#This Row],[RM]],1,Holidays!D219:D234)</f>
        <v>10</v>
      </c>
      <c r="P66" s="12">
        <v>45749</v>
      </c>
      <c r="Q66" s="12">
        <v>45756</v>
      </c>
      <c r="R66" s="12">
        <v>45756</v>
      </c>
      <c r="S66" s="27" t="b">
        <f>ISBLANK(WFTracker[[#This Row],[Completion Date]])</f>
        <v>0</v>
      </c>
      <c r="T66" s="27" t="str">
        <f>TEXT(WFTracker[[#This Row],[Start date]],"mmm-yyyy")</f>
        <v>Apr-2025</v>
      </c>
      <c r="U66" s="11">
        <v>5</v>
      </c>
      <c r="V66" s="11">
        <f>NETWORKDAYS.INTL(WFTracker[[#This Row],[Start date]],WFTracker[[#This Row],[Due date]],1,Holidays!D219:D234)</f>
        <v>6</v>
      </c>
      <c r="W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6" s="24">
        <f ca="1">WFTracker[[#This Row],[Active Time]]-WFTracker[[#This Row],[Completion Days Template]]</f>
        <v>0</v>
      </c>
      <c r="Y66" s="34" t="str">
        <f ca="1" xml:space="preserve"> IF(WFTracker[[#This Row],[Overdue Time '[Expected-Completion']]]&gt;0, "LATE","ON TIME")</f>
        <v>ON TIME</v>
      </c>
      <c r="Z66" s="34" t="str">
        <f ca="1">IF(WFTracker[[#This Row],[Overdue Time '[Expected-Completion']]] &gt;= 15, "SUPER LATE", Y66)</f>
        <v>ON TIME</v>
      </c>
      <c r="AA66" s="37" t="str">
        <f>IF(WFTracker[[#This Row],[Pre RM Opening Time]]&lt;WFTracker[[#This Row],[Old vs New Order Lead Time WF dead line]], "LATE BY ENG", "ON TIME BY ENG")</f>
        <v>ON TIME BY ENG</v>
      </c>
      <c r="AB66" s="37"/>
      <c r="AC66" s="15" t="str">
        <f>IF(WFTracker[[#This Row],[Competion Date Content]] = FALSE, "C", "I")</f>
        <v>C</v>
      </c>
      <c r="AD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66" s="105" t="str">
        <f ca="1">IF(WFTracker[[#This Row],[Impact Time Post RM]]&gt;0, "IMPACTED", "NOT IMPACTED")</f>
        <v>NOT IMPACTED</v>
      </c>
      <c r="AF66" s="15"/>
      <c r="AG66" s="18"/>
      <c r="AH66" s="14" t="str">
        <f>IF(WFTracker[[#This Row],[Status]]="C", "Closed", IF(WFTracker[[#This Row],[Status]] = "x", "Cancelled", WFTracker[[#This Row],[Impact Time Post RM]]))</f>
        <v>Closed</v>
      </c>
      <c r="AI66" s="14" t="str">
        <f ca="1">IF(WFTracker[[#This Row],[Impact Time Post RM]]&lt;=0,"ON TIME","LATE")</f>
        <v>ON TIME</v>
      </c>
      <c r="AJ66" s="14" t="s">
        <v>984</v>
      </c>
      <c r="AK66" s="14">
        <v>18</v>
      </c>
      <c r="AL66" s="915">
        <f>IF(WFTracker[[#This Row],[Type]]="MAKE", WFTracker[[#This Row],[Due date]]+Filters!$J$111, WFTracker[[#This Row],[Due date]]+Filters!$J$135)</f>
        <v>45759.072512647552</v>
      </c>
      <c r="AM66" s="101" cm="1">
        <f t="array" ref="AM6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" spans="1:39" ht="14.45">
      <c r="A67" t="str">
        <f>IF(WFTracker[[#This Row],[Order Number]]="SWBD", "QED2", "PZ4")</f>
        <v>PZ4</v>
      </c>
      <c r="B67" s="26" t="s">
        <v>33</v>
      </c>
      <c r="C67" s="26" t="s">
        <v>34</v>
      </c>
      <c r="D67" s="11" t="str">
        <f>WFTracker[[#This Row],[Order Number]]  &amp; "-" &amp; WFTracker[[#This Row],[Item]]</f>
        <v>0050206201-000180</v>
      </c>
      <c r="E67" s="23" t="s">
        <v>35</v>
      </c>
      <c r="F67" s="12">
        <v>45762</v>
      </c>
      <c r="G67" s="12"/>
      <c r="H67" s="11" t="s">
        <v>36</v>
      </c>
      <c r="I67" s="11" t="s">
        <v>37</v>
      </c>
      <c r="J67" s="13" t="s">
        <v>64</v>
      </c>
      <c r="K67" s="14" t="s">
        <v>1017</v>
      </c>
      <c r="L67" s="15" t="s">
        <v>40</v>
      </c>
      <c r="M67" s="15" t="s">
        <v>1120</v>
      </c>
      <c r="N67" s="56">
        <v>45888</v>
      </c>
      <c r="O67" s="15">
        <f>NETWORKDAYS.INTL(WFTracker[[#This Row],[Start date]],WFTracker[[#This Row],[RM]],1,Holidays!D185:D200)</f>
        <v>9</v>
      </c>
      <c r="P67" s="12">
        <v>45750</v>
      </c>
      <c r="Q67" s="12">
        <v>45762</v>
      </c>
      <c r="R67" s="12">
        <v>45761</v>
      </c>
      <c r="S67" s="27" t="b">
        <f>ISBLANK(WFTracker[[#This Row],[Completion Date]])</f>
        <v>0</v>
      </c>
      <c r="T67" s="27" t="str">
        <f>TEXT(WFTracker[[#This Row],[Start date]],"mmm-yyyy")</f>
        <v>Apr-2025</v>
      </c>
      <c r="U67" s="11">
        <v>5</v>
      </c>
      <c r="V67" s="11">
        <f>NETWORKDAYS.INTL(WFTracker[[#This Row],[Start date]],WFTracker[[#This Row],[Due date]],1,Holidays!D185:D200)</f>
        <v>9</v>
      </c>
      <c r="W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67" s="24">
        <f ca="1">WFTracker[[#This Row],[Active Time]]-WFTracker[[#This Row],[Completion Days Template]]</f>
        <v>-1</v>
      </c>
      <c r="Y67" s="34" t="str">
        <f ca="1" xml:space="preserve"> IF(WFTracker[[#This Row],[Overdue Time '[Expected-Completion']]]&gt;0, "LATE","ON TIME")</f>
        <v>ON TIME</v>
      </c>
      <c r="Z67" s="34" t="str">
        <f ca="1">IF(WFTracker[[#This Row],[Overdue Time '[Expected-Completion']]] &gt;= 15, "SUPER LATE", Y67)</f>
        <v>ON TIME</v>
      </c>
      <c r="AA67" s="37" t="str">
        <f>IF(WFTracker[[#This Row],[Pre RM Opening Time]]&lt;WFTracker[[#This Row],[Old vs New Order Lead Time WF dead line]], "LATE BY ENG", "ON TIME BY ENG")</f>
        <v>ON TIME BY ENG</v>
      </c>
      <c r="AB67" s="37"/>
      <c r="AC67" s="15" t="str">
        <f>IF(WFTracker[[#This Row],[Competion Date Content]] = FALSE, "C", "I")</f>
        <v>C</v>
      </c>
      <c r="AD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7" s="31" t="str">
        <f ca="1">IF(WFTracker[[#This Row],[Impact Time Post RM]]&gt;0, "IMPACTED", "NOT IMPACTED")</f>
        <v>NOT IMPACTED</v>
      </c>
      <c r="AF67" s="15"/>
      <c r="AG67" s="18"/>
      <c r="AH67" s="14" t="str">
        <f>IF(WFTracker[[#This Row],[Status]]="C", "Closed", IF(WFTracker[[#This Row],[Status]] = "x", "Cancelled", WFTracker[[#This Row],[Impact Time Post RM]]))</f>
        <v>Closed</v>
      </c>
      <c r="AI67" s="14" t="str">
        <f ca="1">IF(WFTracker[[#This Row],[Impact Time Post RM]]&lt;=0,"ON TIME","LATE")</f>
        <v>ON TIME</v>
      </c>
      <c r="AJ67" s="14" t="s">
        <v>984</v>
      </c>
      <c r="AK67" s="14">
        <v>17</v>
      </c>
      <c r="AL67" s="915">
        <f>IF(WFTracker[[#This Row],[Type]]="MAKE", WFTracker[[#This Row],[Due date]]+Filters!$J$111, WFTracker[[#This Row],[Due date]]+Filters!$J$135)</f>
        <v>45762.415686274508</v>
      </c>
      <c r="AM67" s="101" cm="1">
        <f t="array" ref="AM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" spans="1:39" ht="14.45">
      <c r="A68" t="str">
        <f>IF(WFTracker[[#This Row],[Order Number]]="SWBD", "QED2", "PZ4")</f>
        <v>PZ4</v>
      </c>
      <c r="B68" s="26" t="s">
        <v>182</v>
      </c>
      <c r="C68" s="26" t="s">
        <v>183</v>
      </c>
      <c r="D68" s="11" t="str">
        <f>WFTracker[[#This Row],[Order Number]]  &amp; "-" &amp; WFTracker[[#This Row],[Item]]</f>
        <v>0051199249-000050</v>
      </c>
      <c r="E68" s="23" t="s">
        <v>184</v>
      </c>
      <c r="F68" s="12">
        <v>45765</v>
      </c>
      <c r="G68" s="12"/>
      <c r="H68" s="11" t="s">
        <v>185</v>
      </c>
      <c r="I68" s="11" t="s">
        <v>186</v>
      </c>
      <c r="J68" s="13" t="s">
        <v>190</v>
      </c>
      <c r="K68" s="14" t="s">
        <v>1017</v>
      </c>
      <c r="L68" s="15" t="s">
        <v>27</v>
      </c>
      <c r="M68" s="15" t="s">
        <v>1120</v>
      </c>
      <c r="N68" s="56">
        <v>45868</v>
      </c>
      <c r="O68" s="15">
        <f>NETWORKDAYS.INTL(WFTracker[[#This Row],[Start date]],WFTracker[[#This Row],[RM]],1,Holidays!D220:D235)</f>
        <v>12</v>
      </c>
      <c r="P68" s="12">
        <v>45750</v>
      </c>
      <c r="Q68" s="12">
        <v>45758</v>
      </c>
      <c r="R68" s="12">
        <v>45756</v>
      </c>
      <c r="S68" s="27" t="b">
        <f>ISBLANK(WFTracker[[#This Row],[Completion Date]])</f>
        <v>0</v>
      </c>
      <c r="T68" s="27" t="str">
        <f>TEXT(WFTracker[[#This Row],[Start date]],"mmm-yyyy")</f>
        <v>Apr-2025</v>
      </c>
      <c r="U68" s="11">
        <v>5</v>
      </c>
      <c r="V68" s="11">
        <f>NETWORKDAYS.INTL(WFTracker[[#This Row],[Start date]],WFTracker[[#This Row],[Due date]],1,Holidays!D220:D235)</f>
        <v>7</v>
      </c>
      <c r="W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8" s="24">
        <f ca="1">WFTracker[[#This Row],[Active Time]]-WFTracker[[#This Row],[Completion Days Template]]</f>
        <v>-2</v>
      </c>
      <c r="Y68" s="34" t="str">
        <f ca="1" xml:space="preserve"> IF(WFTracker[[#This Row],[Overdue Time '[Expected-Completion']]]&gt;0, "LATE","ON TIME")</f>
        <v>ON TIME</v>
      </c>
      <c r="Z68" s="34" t="str">
        <f ca="1">IF(WFTracker[[#This Row],[Overdue Time '[Expected-Completion']]] &gt;= 15, "SUPER LATE", Y68)</f>
        <v>ON TIME</v>
      </c>
      <c r="AA68" s="37" t="str">
        <f>IF(WFTracker[[#This Row],[Pre RM Opening Time]]&lt;WFTracker[[#This Row],[Old vs New Order Lead Time WF dead line]], "LATE BY ENG", "ON TIME BY ENG")</f>
        <v>ON TIME BY ENG</v>
      </c>
      <c r="AB68" s="37"/>
      <c r="AC68" s="15" t="str">
        <f>IF(WFTracker[[#This Row],[Competion Date Content]] = FALSE, "C", "i")</f>
        <v>C</v>
      </c>
      <c r="AD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68" s="105" t="str">
        <f ca="1">IF(WFTracker[[#This Row],[Impact Time Post RM]]&gt;0, "IMPACTED", "NOT IMPACTED")</f>
        <v>NOT IMPACTED</v>
      </c>
      <c r="AF68" s="15"/>
      <c r="AG68" s="18"/>
      <c r="AH68" s="14" t="str">
        <f>IF(WFTracker[[#This Row],[Status]]="C", "Closed", IF(WFTracker[[#This Row],[Status]] = "x", "Cancelled", WFTracker[[#This Row],[Impact Time Post RM]]))</f>
        <v>Closed</v>
      </c>
      <c r="AI68" s="14" t="str">
        <f ca="1">IF(WFTracker[[#This Row],[Impact Time Post RM]]&lt;=0,"ON TIME","LATE")</f>
        <v>ON TIME</v>
      </c>
      <c r="AJ68" s="14" t="s">
        <v>984</v>
      </c>
      <c r="AK68" s="14">
        <v>18</v>
      </c>
      <c r="AL68" s="915">
        <f>IF(WFTracker[[#This Row],[Type]]="MAKE", WFTracker[[#This Row],[Due date]]+Filters!$J$111, WFTracker[[#This Row],[Due date]]+Filters!$J$135)</f>
        <v>45761.072512647552</v>
      </c>
      <c r="AM68" s="101" cm="1">
        <f t="array" ref="AM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" spans="1:39" ht="14.45">
      <c r="A69" t="str">
        <f>IF(WFTracker[[#This Row],[Order Number]]="SWBD", "QED2", "PZ4")</f>
        <v>PZ4</v>
      </c>
      <c r="B69" s="26" t="s">
        <v>182</v>
      </c>
      <c r="C69" s="26" t="s">
        <v>192</v>
      </c>
      <c r="D69" s="11" t="str">
        <f>WFTracker[[#This Row],[Order Number]]  &amp; "-" &amp; WFTracker[[#This Row],[Item]]</f>
        <v>0051199249-000040</v>
      </c>
      <c r="E69" s="23" t="s">
        <v>184</v>
      </c>
      <c r="F69" s="12">
        <v>45768</v>
      </c>
      <c r="G69" s="12"/>
      <c r="H69" s="11" t="s">
        <v>110</v>
      </c>
      <c r="I69" s="11" t="s">
        <v>132</v>
      </c>
      <c r="J69" s="13" t="s">
        <v>193</v>
      </c>
      <c r="K69" s="14" t="s">
        <v>1017</v>
      </c>
      <c r="L69" s="15" t="s">
        <v>27</v>
      </c>
      <c r="M69" s="15" t="s">
        <v>1120</v>
      </c>
      <c r="N69" s="56">
        <v>45869</v>
      </c>
      <c r="O69" s="15">
        <f>NETWORKDAYS.INTL(WFTracker[[#This Row],[Start date]],WFTracker[[#This Row],[RM]],1,Holidays!D249:D264)</f>
        <v>13</v>
      </c>
      <c r="P69" s="12">
        <v>45750</v>
      </c>
      <c r="Q69" s="12">
        <v>45758</v>
      </c>
      <c r="R69" s="12">
        <v>45757</v>
      </c>
      <c r="S69" s="27" t="b">
        <f>ISBLANK(WFTracker[[#This Row],[Completion Date]])</f>
        <v>0</v>
      </c>
      <c r="T69" s="27" t="str">
        <f>TEXT(WFTracker[[#This Row],[Start date]],"mmm-yyyy")</f>
        <v>Apr-2025</v>
      </c>
      <c r="U69" s="11">
        <v>5</v>
      </c>
      <c r="V69" s="11">
        <f>NETWORKDAYS.INTL(WFTracker[[#This Row],[Start date]],WFTracker[[#This Row],[Due date]],1,Holidays!D249:D264)</f>
        <v>7</v>
      </c>
      <c r="W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9" s="24">
        <f ca="1">WFTracker[[#This Row],[Active Time]]-WFTracker[[#This Row],[Completion Days Template]]</f>
        <v>-1</v>
      </c>
      <c r="Y69" s="34" t="str">
        <f ca="1" xml:space="preserve"> IF(WFTracker[[#This Row],[Overdue Time '[Expected-Completion']]]&gt;0, "LATE","ON TIME")</f>
        <v>ON TIME</v>
      </c>
      <c r="Z69" s="34" t="str">
        <f ca="1">IF(WFTracker[[#This Row],[Overdue Time '[Expected-Completion']]] &gt;= 15, "SUPER LATE", Y69)</f>
        <v>ON TIME</v>
      </c>
      <c r="AA69" s="37" t="str">
        <f>IF(WFTracker[[#This Row],[Pre RM Opening Time]]&lt;WFTracker[[#This Row],[Old vs New Order Lead Time WF dead line]], "LATE BY ENG", "ON TIME BY ENG")</f>
        <v>ON TIME BY ENG</v>
      </c>
      <c r="AB69" s="37"/>
      <c r="AC69" s="15" t="str">
        <f>IF(WFTracker[[#This Row],[Competion Date Content]] = FALSE, "C", "i")</f>
        <v>C</v>
      </c>
      <c r="AD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69" s="105" t="str">
        <f ca="1">IF(WFTracker[[#This Row],[Impact Time Post RM]]&gt;0, "IMPACTED", "NOT IMPACTED")</f>
        <v>NOT IMPACTED</v>
      </c>
      <c r="AF69" s="15"/>
      <c r="AG69" s="18"/>
      <c r="AH69" s="14" t="str">
        <f>IF(WFTracker[[#This Row],[Status]]="C", "Closed", IF(WFTracker[[#This Row],[Status]] = "x", "Cancelled", WFTracker[[#This Row],[Impact Time Post RM]]))</f>
        <v>Closed</v>
      </c>
      <c r="AI69" s="14" t="str">
        <f ca="1">IF(WFTracker[[#This Row],[Impact Time Post RM]]&lt;=0,"ON TIME","LATE")</f>
        <v>ON TIME</v>
      </c>
      <c r="AJ69" s="14" t="s">
        <v>984</v>
      </c>
      <c r="AK69" s="14">
        <v>18</v>
      </c>
      <c r="AL69" s="915">
        <f>IF(WFTracker[[#This Row],[Type]]="MAKE", WFTracker[[#This Row],[Due date]]+Filters!$J$111, WFTracker[[#This Row],[Due date]]+Filters!$J$135)</f>
        <v>45761.072512647552</v>
      </c>
      <c r="AM69" s="101" cm="1">
        <f t="array" ref="AM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" spans="1:39" ht="14.45">
      <c r="A70" t="str">
        <f>IF(WFTracker[[#This Row],[Order Number]]="SWBD", "QED2", "PZ4")</f>
        <v>PZ4</v>
      </c>
      <c r="B70" s="26" t="s">
        <v>33</v>
      </c>
      <c r="C70" s="26" t="s">
        <v>79</v>
      </c>
      <c r="D70" s="11" t="str">
        <f>WFTracker[[#This Row],[Order Number]]  &amp; "-" &amp; WFTracker[[#This Row],[Item]]</f>
        <v>0050206201-000160</v>
      </c>
      <c r="E70" s="23" t="s">
        <v>35</v>
      </c>
      <c r="F70" s="12">
        <v>45769</v>
      </c>
      <c r="G70" s="12"/>
      <c r="H70" s="11" t="s">
        <v>80</v>
      </c>
      <c r="I70" s="11" t="s">
        <v>81</v>
      </c>
      <c r="J70" s="13" t="s">
        <v>92</v>
      </c>
      <c r="K70" s="14" t="s">
        <v>1023</v>
      </c>
      <c r="L70" s="15" t="s">
        <v>40</v>
      </c>
      <c r="M70" s="15" t="s">
        <v>1120</v>
      </c>
      <c r="N70" s="56">
        <v>45868</v>
      </c>
      <c r="O70" s="15">
        <f>NETWORKDAYS.INTL(WFTracker[[#This Row],[Start date]],WFTracker[[#This Row],[RM]],1,Holidays!D250:D265)</f>
        <v>13</v>
      </c>
      <c r="P70" s="12">
        <v>45751</v>
      </c>
      <c r="Q70" s="12">
        <v>45763</v>
      </c>
      <c r="R70" s="12">
        <v>45763</v>
      </c>
      <c r="S70" s="27" t="b">
        <f>ISBLANK(WFTracker[[#This Row],[Completion Date]])</f>
        <v>0</v>
      </c>
      <c r="T70" s="27" t="str">
        <f>TEXT(WFTracker[[#This Row],[Start date]],"mmm-yyyy")</f>
        <v>Apr-2025</v>
      </c>
      <c r="U70" s="11">
        <v>5</v>
      </c>
      <c r="V70" s="11">
        <f>NETWORKDAYS.INTL(WFTracker[[#This Row],[Start date]],WFTracker[[#This Row],[Due date]],1,Holidays!D250:D265)</f>
        <v>9</v>
      </c>
      <c r="W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0" s="24">
        <f ca="1">WFTracker[[#This Row],[Active Time]]-WFTracker[[#This Row],[Completion Days Template]]</f>
        <v>0</v>
      </c>
      <c r="Y70" s="34" t="str">
        <f ca="1" xml:space="preserve"> IF(WFTracker[[#This Row],[Overdue Time '[Expected-Completion']]]&gt;0, "LATE","ON TIME")</f>
        <v>ON TIME</v>
      </c>
      <c r="Z70" s="34" t="str">
        <f ca="1">IF(WFTracker[[#This Row],[Overdue Time '[Expected-Completion']]] &gt;= 15, "SUPER LATE", Y70)</f>
        <v>ON TIME</v>
      </c>
      <c r="AA70" s="37" t="str">
        <f>IF(WFTracker[[#This Row],[Pre RM Opening Time]]&lt;WFTracker[[#This Row],[Old vs New Order Lead Time WF dead line]], "LATE BY ENG", "ON TIME BY ENG")</f>
        <v>ON TIME BY ENG</v>
      </c>
      <c r="AB70" s="37"/>
      <c r="AC70" s="15" t="s">
        <v>29</v>
      </c>
      <c r="AD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0" s="105" t="str">
        <f ca="1">IF(WFTracker[[#This Row],[Impact Time Post RM]]&gt;0, "IMPACTED", "NOT IMPACTED")</f>
        <v>NOT IMPACTED</v>
      </c>
      <c r="AF70" s="15"/>
      <c r="AG70" s="18"/>
      <c r="AH70" s="14" t="str">
        <f>IF(WFTracker[[#This Row],[Status]]="C", "Closed", IF(WFTracker[[#This Row],[Status]] = "x", "Cancelled", WFTracker[[#This Row],[Impact Time Post RM]]))</f>
        <v>Closed</v>
      </c>
      <c r="AI70" s="14" t="str">
        <f ca="1">IF(WFTracker[[#This Row],[Impact Time Post RM]]&lt;=0,"ON TIME","LATE")</f>
        <v>ON TIME</v>
      </c>
      <c r="AJ70" s="14" t="s">
        <v>984</v>
      </c>
      <c r="AK70" s="14">
        <v>17</v>
      </c>
      <c r="AL70" s="915">
        <f>IF(WFTracker[[#This Row],[Type]]="MAKE", WFTracker[[#This Row],[Due date]]+Filters!$J$111, WFTracker[[#This Row],[Due date]]+Filters!$J$135)</f>
        <v>45763.415686274508</v>
      </c>
      <c r="AM70" s="101" cm="1">
        <f t="array" ref="AM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" spans="1:39" ht="14.45">
      <c r="A71" t="str">
        <f>IF(WFTracker[[#This Row],[Order Number]]="SWBD", "QED2", "PZ4")</f>
        <v>PZ4</v>
      </c>
      <c r="B71" s="23" t="s">
        <v>182</v>
      </c>
      <c r="C71" s="26" t="s">
        <v>183</v>
      </c>
      <c r="D71" s="11" t="str">
        <f>WFTracker[[#This Row],[Order Number]]  &amp; "-" &amp; WFTracker[[#This Row],[Item]]</f>
        <v>0051199249-000050</v>
      </c>
      <c r="E71" s="23" t="s">
        <v>184</v>
      </c>
      <c r="F71" s="12">
        <v>45765</v>
      </c>
      <c r="G71" s="12"/>
      <c r="H71" s="11" t="s">
        <v>185</v>
      </c>
      <c r="I71" s="11" t="s">
        <v>186</v>
      </c>
      <c r="J71" s="13" t="s">
        <v>191</v>
      </c>
      <c r="K71" s="14" t="s">
        <v>1017</v>
      </c>
      <c r="L71" s="15" t="s">
        <v>27</v>
      </c>
      <c r="M71" s="15" t="s">
        <v>1120</v>
      </c>
      <c r="N71" s="56">
        <v>45868</v>
      </c>
      <c r="O71" s="15">
        <f>NETWORKDAYS.INTL(WFTracker[[#This Row],[Start date]],WFTracker[[#This Row],[RM]],1,Holidays!D155:D170)</f>
        <v>10</v>
      </c>
      <c r="P71" s="12">
        <v>45754</v>
      </c>
      <c r="Q71" s="12">
        <v>45763</v>
      </c>
      <c r="R71" s="12">
        <v>45766</v>
      </c>
      <c r="S71" s="12" t="b">
        <f>ISBLANK(WFTracker[[#This Row],[Completion Date]])</f>
        <v>0</v>
      </c>
      <c r="T71" s="12" t="str">
        <f>TEXT(WFTracker[[#This Row],[Start date]],"mmm-yyyy")</f>
        <v>Apr-2025</v>
      </c>
      <c r="U71" s="11">
        <v>5</v>
      </c>
      <c r="V71" s="11">
        <f>NETWORKDAYS.INTL(WFTracker[[#This Row],[Start date]],WFTracker[[#This Row],[Due date]],1,Holidays!D155:D170)</f>
        <v>8</v>
      </c>
      <c r="W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1" s="24">
        <f ca="1">WFTracker[[#This Row],[Active Time]]-WFTracker[[#This Row],[Completion Days Template]]</f>
        <v>0</v>
      </c>
      <c r="Y71" s="16" t="str">
        <f ca="1" xml:space="preserve"> IF(WFTracker[[#This Row],[Overdue Time '[Expected-Completion']]]&gt;0, "LATE","ON TIME")</f>
        <v>ON TIME</v>
      </c>
      <c r="Z71" s="16" t="str">
        <f ca="1">IF(WFTracker[[#This Row],[Overdue Time '[Expected-Completion']]] &gt;= 15, "SUPER LATE", Y71)</f>
        <v>ON TIME</v>
      </c>
      <c r="AA71" s="37" t="str">
        <f>IF(WFTracker[[#This Row],[Pre RM Opening Time]]&lt;WFTracker[[#This Row],[Old vs New Order Lead Time WF dead line]], "LATE BY ENG", "ON TIME BY ENG")</f>
        <v>ON TIME BY ENG</v>
      </c>
      <c r="AB71" s="37"/>
      <c r="AC71" s="15" t="str">
        <f>IF(WFTracker[[#This Row],[Competion Date Content]] = FALSE, "C", "i")</f>
        <v>C</v>
      </c>
      <c r="AD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0</v>
      </c>
      <c r="AE71" s="37" t="str">
        <f ca="1">IF(WFTracker[[#This Row],[Impact Time Post RM]]&gt;0, "IMPACTED", "NOT IMPACTED")</f>
        <v>NOT IMPACTED</v>
      </c>
      <c r="AF71" s="15"/>
      <c r="AG71" s="18"/>
      <c r="AH71" s="14" t="str">
        <f>IF(WFTracker[[#This Row],[Status]]="C", "Closed", IF(WFTracker[[#This Row],[Status]] = "x", "Cancelled", WFTracker[[#This Row],[Impact Time Post RM]]))</f>
        <v>Closed</v>
      </c>
      <c r="AI71" s="14" t="str">
        <f ca="1">IF(WFTracker[[#This Row],[Impact Time Post RM]]&lt;=0,"ON TIME","LATE")</f>
        <v>ON TIME</v>
      </c>
      <c r="AJ71" s="14" t="s">
        <v>984</v>
      </c>
      <c r="AK71" s="14">
        <v>18</v>
      </c>
      <c r="AL71" s="915">
        <f>IF(WFTracker[[#This Row],[Type]]="MAKE", WFTracker[[#This Row],[Due date]]+Filters!$J$111, WFTracker[[#This Row],[Due date]]+Filters!$J$135)</f>
        <v>45766.072512647552</v>
      </c>
      <c r="AM71" s="101" cm="1">
        <f t="array" ref="AM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" spans="1:39" ht="14.45">
      <c r="A72" t="str">
        <f>IF(WFTracker[[#This Row],[Order Number]]="SWBD", "QED2", "PZ4")</f>
        <v>PZ4</v>
      </c>
      <c r="B72" s="23" t="s">
        <v>182</v>
      </c>
      <c r="C72" s="26" t="s">
        <v>192</v>
      </c>
      <c r="D72" s="11" t="str">
        <f>WFTracker[[#This Row],[Order Number]]  &amp; "-" &amp; WFTracker[[#This Row],[Item]]</f>
        <v>0051199249-000040</v>
      </c>
      <c r="E72" s="23" t="s">
        <v>184</v>
      </c>
      <c r="F72" s="12">
        <v>45768</v>
      </c>
      <c r="G72" s="12"/>
      <c r="H72" s="11" t="s">
        <v>110</v>
      </c>
      <c r="I72" s="11" t="s">
        <v>132</v>
      </c>
      <c r="J72" s="13" t="s">
        <v>195</v>
      </c>
      <c r="K72" s="14" t="s">
        <v>1017</v>
      </c>
      <c r="L72" s="15" t="s">
        <v>27</v>
      </c>
      <c r="M72" s="15" t="s">
        <v>1120</v>
      </c>
      <c r="N72" s="56">
        <v>45869</v>
      </c>
      <c r="O72" s="15">
        <f>NETWORKDAYS.INTL(WFTracker[[#This Row],[Start date]],WFTracker[[#This Row],[RM]],1,Holidays!D186:D201)</f>
        <v>11</v>
      </c>
      <c r="P72" s="12">
        <v>45754</v>
      </c>
      <c r="Q72" s="12">
        <v>45762</v>
      </c>
      <c r="R72" s="12">
        <v>45764</v>
      </c>
      <c r="S72" s="12" t="b">
        <f>ISBLANK(WFTracker[[#This Row],[Completion Date]])</f>
        <v>0</v>
      </c>
      <c r="T72" s="12" t="str">
        <f>TEXT(WFTracker[[#This Row],[Start date]],"mmm-yyyy")</f>
        <v>Apr-2025</v>
      </c>
      <c r="U72" s="11">
        <v>5</v>
      </c>
      <c r="V72" s="11">
        <f>NETWORKDAYS.INTL(WFTracker[[#This Row],[Start date]],WFTracker[[#This Row],[Due date]],1,Holidays!D186:D201)</f>
        <v>7</v>
      </c>
      <c r="W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2" s="24">
        <f ca="1">WFTracker[[#This Row],[Active Time]]-WFTracker[[#This Row],[Completion Days Template]]</f>
        <v>1</v>
      </c>
      <c r="Y72" s="34" t="str">
        <f ca="1" xml:space="preserve"> IF(WFTracker[[#This Row],[Overdue Time '[Expected-Completion']]]&gt;0, "LATE","ON TIME")</f>
        <v>LATE</v>
      </c>
      <c r="Z72" s="34" t="str">
        <f ca="1">IF(WFTracker[[#This Row],[Overdue Time '[Expected-Completion']]] &gt;= 15, "SUPER LATE", Y72)</f>
        <v>LATE</v>
      </c>
      <c r="AA72" s="37" t="str">
        <f>IF(WFTracker[[#This Row],[Pre RM Opening Time]]&lt;WFTracker[[#This Row],[Old vs New Order Lead Time WF dead line]], "LATE BY ENG", "ON TIME BY ENG")</f>
        <v>ON TIME BY ENG</v>
      </c>
      <c r="AB72" s="37"/>
      <c r="AC72" s="15" t="str">
        <f>IF(WFTracker[[#This Row],[Competion Date Content]] = FALSE, "C", "i")</f>
        <v>C</v>
      </c>
      <c r="AD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</v>
      </c>
      <c r="AE72" s="105" t="str">
        <f ca="1">IF(WFTracker[[#This Row],[Impact Time Post RM]]&gt;0, "IMPACTED", "NOT IMPACTED")</f>
        <v>NOT IMPACTED</v>
      </c>
      <c r="AF72" s="15"/>
      <c r="AG72" s="18"/>
      <c r="AH72" s="14" t="str">
        <f>IF(WFTracker[[#This Row],[Status]]="C", "Closed", IF(WFTracker[[#This Row],[Status]] = "x", "Cancelled", WFTracker[[#This Row],[Impact Time Post RM]]))</f>
        <v>Closed</v>
      </c>
      <c r="AI72" s="14" t="str">
        <f ca="1">IF(WFTracker[[#This Row],[Impact Time Post RM]]&lt;=0,"ON TIME","LATE")</f>
        <v>ON TIME</v>
      </c>
      <c r="AJ72" s="14" t="s">
        <v>984</v>
      </c>
      <c r="AK72" s="14">
        <v>18</v>
      </c>
      <c r="AL72" s="915">
        <f>IF(WFTracker[[#This Row],[Type]]="MAKE", WFTracker[[#This Row],[Due date]]+Filters!$J$111, WFTracker[[#This Row],[Due date]]+Filters!$J$135)</f>
        <v>45765.072512647552</v>
      </c>
      <c r="AM72" s="101" cm="1">
        <f t="array" ref="AM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" spans="1:39" ht="14.45">
      <c r="A73" t="str">
        <f>IF(WFTracker[[#This Row],[Order Number]]="SWBD", "QED2", "PZ4")</f>
        <v>PZ4</v>
      </c>
      <c r="B73" s="23" t="s">
        <v>182</v>
      </c>
      <c r="C73" s="26" t="s">
        <v>192</v>
      </c>
      <c r="D73" s="11" t="str">
        <f>WFTracker[[#This Row],[Order Number]]  &amp; "-" &amp; WFTracker[[#This Row],[Item]]</f>
        <v>0051199249-000040</v>
      </c>
      <c r="E73" s="23" t="s">
        <v>184</v>
      </c>
      <c r="F73" s="12">
        <v>45768</v>
      </c>
      <c r="G73" s="12"/>
      <c r="H73" s="11" t="s">
        <v>110</v>
      </c>
      <c r="I73" s="11" t="s">
        <v>132</v>
      </c>
      <c r="J73" s="13" t="s">
        <v>196</v>
      </c>
      <c r="K73" s="14" t="s">
        <v>1017</v>
      </c>
      <c r="L73" s="15" t="s">
        <v>27</v>
      </c>
      <c r="M73" s="15" t="s">
        <v>1120</v>
      </c>
      <c r="N73" s="56">
        <v>45869</v>
      </c>
      <c r="O73" s="15">
        <f>NETWORKDAYS.INTL(WFTracker[[#This Row],[Start date]],WFTracker[[#This Row],[RM]],1,Holidays!D187:D202)</f>
        <v>11</v>
      </c>
      <c r="P73" s="12">
        <v>45754</v>
      </c>
      <c r="Q73" s="12">
        <v>45762</v>
      </c>
      <c r="R73" s="12">
        <v>45758</v>
      </c>
      <c r="S73" s="27" t="b">
        <f>ISBLANK(WFTracker[[#This Row],[Completion Date]])</f>
        <v>0</v>
      </c>
      <c r="T73" s="27" t="str">
        <f>TEXT(WFTracker[[#This Row],[Start date]],"mmm-yyyy")</f>
        <v>Apr-2025</v>
      </c>
      <c r="U73" s="11">
        <v>5</v>
      </c>
      <c r="V73" s="11">
        <f>NETWORKDAYS.INTL(WFTracker[[#This Row],[Start date]],WFTracker[[#This Row],[Due date]],1,Holidays!D187:D202)</f>
        <v>7</v>
      </c>
      <c r="W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3" s="24">
        <f ca="1">WFTracker[[#This Row],[Active Time]]-WFTracker[[#This Row],[Completion Days Template]]</f>
        <v>-2</v>
      </c>
      <c r="Y73" s="34" t="str">
        <f ca="1" xml:space="preserve"> IF(WFTracker[[#This Row],[Overdue Time '[Expected-Completion']]]&gt;0, "LATE","ON TIME")</f>
        <v>ON TIME</v>
      </c>
      <c r="Z73" s="34" t="str">
        <f ca="1">IF(WFTracker[[#This Row],[Overdue Time '[Expected-Completion']]] &gt;= 15, "SUPER LATE", Y73)</f>
        <v>ON TIME</v>
      </c>
      <c r="AA73" s="37" t="str">
        <f>IF(WFTracker[[#This Row],[Pre RM Opening Time]]&lt;WFTracker[[#This Row],[Old vs New Order Lead Time WF dead line]], "LATE BY ENG", "ON TIME BY ENG")</f>
        <v>ON TIME BY ENG</v>
      </c>
      <c r="AB73" s="37"/>
      <c r="AC73" s="15" t="str">
        <f>IF(WFTracker[[#This Row],[Competion Date Content]] = FALSE, "C", "i")</f>
        <v>C</v>
      </c>
      <c r="AD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73" s="105" t="str">
        <f ca="1">IF(WFTracker[[#This Row],[Impact Time Post RM]]&gt;0, "IMPACTED", "NOT IMPACTED")</f>
        <v>NOT IMPACTED</v>
      </c>
      <c r="AF73" s="15"/>
      <c r="AG73" s="18"/>
      <c r="AH73" s="14" t="str">
        <f>IF(WFTracker[[#This Row],[Status]]="C", "Closed", IF(WFTracker[[#This Row],[Status]] = "x", "Cancelled", WFTracker[[#This Row],[Impact Time Post RM]]))</f>
        <v>Closed</v>
      </c>
      <c r="AI73" s="14" t="str">
        <f ca="1">IF(WFTracker[[#This Row],[Impact Time Post RM]]&lt;=0,"ON TIME","LATE")</f>
        <v>ON TIME</v>
      </c>
      <c r="AJ73" s="14" t="s">
        <v>984</v>
      </c>
      <c r="AK73" s="14">
        <v>18</v>
      </c>
      <c r="AL73" s="915">
        <f>IF(WFTracker[[#This Row],[Type]]="MAKE", WFTracker[[#This Row],[Due date]]+Filters!$J$111, WFTracker[[#This Row],[Due date]]+Filters!$J$135)</f>
        <v>45765.072512647552</v>
      </c>
      <c r="AM73" s="101" cm="1">
        <f t="array" ref="AM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" spans="1:39" ht="14.45">
      <c r="A74" t="str">
        <f>IF(WFTracker[[#This Row],[Order Number]]="SWBD", "QED2", "PZ4")</f>
        <v>PZ4</v>
      </c>
      <c r="B74" s="23" t="s">
        <v>182</v>
      </c>
      <c r="C74" s="26" t="s">
        <v>192</v>
      </c>
      <c r="D74" s="11" t="str">
        <f>WFTracker[[#This Row],[Order Number]]  &amp; "-" &amp; WFTracker[[#This Row],[Item]]</f>
        <v>0051199249-000040</v>
      </c>
      <c r="E74" s="23" t="s">
        <v>184</v>
      </c>
      <c r="F74" s="12">
        <v>45768</v>
      </c>
      <c r="G74" s="12"/>
      <c r="H74" s="11" t="s">
        <v>110</v>
      </c>
      <c r="I74" s="11" t="s">
        <v>132</v>
      </c>
      <c r="J74" s="13" t="s">
        <v>194</v>
      </c>
      <c r="K74" s="14" t="s">
        <v>1017</v>
      </c>
      <c r="L74" s="15" t="s">
        <v>40</v>
      </c>
      <c r="M74" s="15" t="s">
        <v>1120</v>
      </c>
      <c r="N74" s="56">
        <v>45869</v>
      </c>
      <c r="O74" s="15">
        <f>NETWORKDAYS.INTL(WFTracker[[#This Row],[Start date]],WFTracker[[#This Row],[RM]],1,Holidays!D188:D203)</f>
        <v>11</v>
      </c>
      <c r="P74" s="12">
        <v>45754</v>
      </c>
      <c r="Q74" s="12">
        <v>45764</v>
      </c>
      <c r="R74" s="12">
        <v>45764</v>
      </c>
      <c r="S74" s="27" t="b">
        <f>ISBLANK(WFTracker[[#This Row],[Completion Date]])</f>
        <v>0</v>
      </c>
      <c r="T74" s="27" t="str">
        <f>TEXT(WFTracker[[#This Row],[Start date]],"mmm-yyyy")</f>
        <v>Apr-2025</v>
      </c>
      <c r="U74" s="11">
        <v>5</v>
      </c>
      <c r="V74" s="11">
        <f>NETWORKDAYS.INTL(WFTracker[[#This Row],[Start date]],WFTracker[[#This Row],[Due date]],1,Holidays!D188:D203)</f>
        <v>9</v>
      </c>
      <c r="W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4" s="24">
        <f ca="1">WFTracker[[#This Row],[Active Time]]-WFTracker[[#This Row],[Completion Days Template]]</f>
        <v>-1</v>
      </c>
      <c r="Y74" s="34" t="str">
        <f ca="1" xml:space="preserve"> IF(WFTracker[[#This Row],[Overdue Time '[Expected-Completion']]]&gt;0, "LATE","ON TIME")</f>
        <v>ON TIME</v>
      </c>
      <c r="Z74" s="34" t="str">
        <f ca="1">IF(WFTracker[[#This Row],[Overdue Time '[Expected-Completion']]] &gt;= 15, "SUPER LATE", Y74)</f>
        <v>ON TIME</v>
      </c>
      <c r="AA74" s="37" t="str">
        <f>IF(WFTracker[[#This Row],[Pre RM Opening Time]]&lt;WFTracker[[#This Row],[Old vs New Order Lead Time WF dead line]], "LATE BY ENG", "ON TIME BY ENG")</f>
        <v>ON TIME BY ENG</v>
      </c>
      <c r="AB74" s="37"/>
      <c r="AC74" s="15" t="str">
        <f>IF(WFTracker[[#This Row],[Competion Date Content]] = FALSE, "C", "i")</f>
        <v>C</v>
      </c>
      <c r="AD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</v>
      </c>
      <c r="AE74" s="105" t="str">
        <f ca="1">IF(WFTracker[[#This Row],[Impact Time Post RM]]&gt;0, "IMPACTED", "NOT IMPACTED")</f>
        <v>NOT IMPACTED</v>
      </c>
      <c r="AF74" s="15"/>
      <c r="AG74" s="18"/>
      <c r="AH74" s="14" t="str">
        <f>IF(WFTracker[[#This Row],[Status]]="C", "Closed", IF(WFTracker[[#This Row],[Status]] = "x", "Cancelled", WFTracker[[#This Row],[Impact Time Post RM]]))</f>
        <v>Closed</v>
      </c>
      <c r="AI74" s="14" t="str">
        <f ca="1">IF(WFTracker[[#This Row],[Impact Time Post RM]]&lt;=0,"ON TIME","LATE")</f>
        <v>ON TIME</v>
      </c>
      <c r="AJ74" s="14" t="s">
        <v>984</v>
      </c>
      <c r="AK74" s="14">
        <v>17</v>
      </c>
      <c r="AL74" s="915">
        <f>IF(WFTracker[[#This Row],[Type]]="MAKE", WFTracker[[#This Row],[Due date]]+Filters!$J$111, WFTracker[[#This Row],[Due date]]+Filters!$J$135)</f>
        <v>45764.415686274508</v>
      </c>
      <c r="AM74" s="101" cm="1">
        <f t="array" ref="AM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" spans="1:39" ht="14.45">
      <c r="A75" t="str">
        <f>IF(WFTracker[[#This Row],[Order Number]]="SWBD", "QED2", "PZ4")</f>
        <v>PZ4</v>
      </c>
      <c r="B75" s="21" t="s">
        <v>182</v>
      </c>
      <c r="C75" s="26" t="s">
        <v>183</v>
      </c>
      <c r="D75" s="11" t="str">
        <f>WFTracker[[#This Row],[Order Number]]  &amp; "-" &amp; WFTracker[[#This Row],[Item]]</f>
        <v>0051199249-000050</v>
      </c>
      <c r="E75" s="23" t="s">
        <v>184</v>
      </c>
      <c r="F75" s="12">
        <v>45765</v>
      </c>
      <c r="G75" s="12"/>
      <c r="H75" s="11" t="s">
        <v>185</v>
      </c>
      <c r="I75" s="11" t="s">
        <v>186</v>
      </c>
      <c r="J75" s="13" t="s">
        <v>189</v>
      </c>
      <c r="K75" s="14" t="s">
        <v>1017</v>
      </c>
      <c r="L75" s="15" t="s">
        <v>27</v>
      </c>
      <c r="M75" s="15" t="s">
        <v>1120</v>
      </c>
      <c r="N75" s="56">
        <v>45868</v>
      </c>
      <c r="O75" s="15">
        <f>NETWORKDAYS.INTL(WFTracker[[#This Row],[Start date]],WFTracker[[#This Row],[RM]],1,Holidays!D118:D133)</f>
        <v>9</v>
      </c>
      <c r="P75" s="12">
        <v>45755</v>
      </c>
      <c r="Q75" s="12">
        <v>45763</v>
      </c>
      <c r="R75" s="12">
        <v>45766</v>
      </c>
      <c r="S75" s="12" t="b">
        <f>ISBLANK(WFTracker[[#This Row],[Completion Date]])</f>
        <v>0</v>
      </c>
      <c r="T75" s="12" t="str">
        <f>TEXT(WFTracker[[#This Row],[Start date]],"mmm-yyyy")</f>
        <v>Apr-2025</v>
      </c>
      <c r="U75" s="11">
        <v>5</v>
      </c>
      <c r="V75" s="11">
        <f>NETWORKDAYS.INTL(WFTracker[[#This Row],[Start date]],WFTracker[[#This Row],[Due date]],1,Holidays!D118:D133)</f>
        <v>7</v>
      </c>
      <c r="W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5" s="24">
        <f ca="1">WFTracker[[#This Row],[Active Time]]-WFTracker[[#This Row],[Completion Days Template]]</f>
        <v>0</v>
      </c>
      <c r="Y75" s="16" t="str">
        <f ca="1" xml:space="preserve"> IF(WFTracker[[#This Row],[Overdue Time '[Expected-Completion']]]&gt;0, "LATE","ON TIME")</f>
        <v>ON TIME</v>
      </c>
      <c r="Z75" s="16" t="str">
        <f ca="1">IF(WFTracker[[#This Row],[Overdue Time '[Expected-Completion']]] &gt;= 15, "SUPER LATE", Y75)</f>
        <v>ON TIME</v>
      </c>
      <c r="AA75" s="37" t="str">
        <f>IF(WFTracker[[#This Row],[Pre RM Opening Time]]&lt;WFTracker[[#This Row],[Old vs New Order Lead Time WF dead line]], "LATE BY ENG", "ON TIME BY ENG")</f>
        <v>ON TIME BY ENG</v>
      </c>
      <c r="AB75" s="37"/>
      <c r="AC75" s="15" t="str">
        <f>IF(WFTracker[[#This Row],[Competion Date Content]] = FALSE, "C", "i")</f>
        <v>C</v>
      </c>
      <c r="AD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0</v>
      </c>
      <c r="AE75" s="37" t="str">
        <f ca="1">IF(WFTracker[[#This Row],[Impact Time Post RM]]&gt;0, "IMPACTED", "NOT IMPACTED")</f>
        <v>NOT IMPACTED</v>
      </c>
      <c r="AF75" s="15"/>
      <c r="AG75" s="18"/>
      <c r="AH75" s="14" t="str">
        <f>IF(WFTracker[[#This Row],[Status]]="C", "Closed", IF(WFTracker[[#This Row],[Status]] = "x", "Cancelled", WFTracker[[#This Row],[Impact Time Post RM]]))</f>
        <v>Closed</v>
      </c>
      <c r="AI75" s="14" t="str">
        <f ca="1">IF(WFTracker[[#This Row],[Impact Time Post RM]]&lt;=0,"ON TIME","LATE")</f>
        <v>ON TIME</v>
      </c>
      <c r="AJ75" s="14" t="s">
        <v>984</v>
      </c>
      <c r="AK75" s="14">
        <v>18</v>
      </c>
      <c r="AL75" s="915">
        <f>IF(WFTracker[[#This Row],[Type]]="MAKE", WFTracker[[#This Row],[Due date]]+Filters!$J$111, WFTracker[[#This Row],[Due date]]+Filters!$J$135)</f>
        <v>45766.072512647552</v>
      </c>
      <c r="AM75" s="101" cm="1">
        <f t="array" ref="AM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" spans="1:39" ht="14.45">
      <c r="A76" t="str">
        <f>IF(WFTracker[[#This Row],[Order Number]]="SWBD", "QED2", "PZ4")</f>
        <v>PZ4</v>
      </c>
      <c r="B76" s="21" t="s">
        <v>182</v>
      </c>
      <c r="C76" s="26" t="s">
        <v>183</v>
      </c>
      <c r="D76" s="11" t="str">
        <f>WFTracker[[#This Row],[Order Number]]  &amp; "-" &amp; WFTracker[[#This Row],[Item]]</f>
        <v>0051199249-000050</v>
      </c>
      <c r="E76" s="23" t="s">
        <v>184</v>
      </c>
      <c r="F76" s="12">
        <v>45765</v>
      </c>
      <c r="G76" s="12"/>
      <c r="H76" s="11" t="s">
        <v>185</v>
      </c>
      <c r="I76" s="11" t="s">
        <v>186</v>
      </c>
      <c r="J76" s="13" t="s">
        <v>187</v>
      </c>
      <c r="K76" s="14" t="s">
        <v>1017</v>
      </c>
      <c r="L76" s="15" t="s">
        <v>27</v>
      </c>
      <c r="M76" s="15" t="s">
        <v>1120</v>
      </c>
      <c r="N76" s="56">
        <v>45868</v>
      </c>
      <c r="O76" s="15">
        <f>NETWORKDAYS.INTL(WFTracker[[#This Row],[Start date]],WFTracker[[#This Row],[RM]],1,Holidays!D119:D134)</f>
        <v>9</v>
      </c>
      <c r="P76" s="12">
        <v>45755</v>
      </c>
      <c r="Q76" s="12">
        <v>45764</v>
      </c>
      <c r="R76" s="12">
        <v>45776</v>
      </c>
      <c r="S76" s="12" t="b">
        <f>ISBLANK(WFTracker[[#This Row],[Completion Date]])</f>
        <v>0</v>
      </c>
      <c r="T76" s="12" t="str">
        <f>TEXT(WFTracker[[#This Row],[Start date]],"mmm-yyyy")</f>
        <v>Apr-2025</v>
      </c>
      <c r="U76" s="11">
        <v>5</v>
      </c>
      <c r="V76" s="11">
        <f>NETWORKDAYS.INTL(WFTracker[[#This Row],[Start date]],WFTracker[[#This Row],[Due date]],1,Holidays!D119:D134)</f>
        <v>8</v>
      </c>
      <c r="W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76" s="24">
        <f ca="1">WFTracker[[#This Row],[Active Time]]-WFTracker[[#This Row],[Completion Days Template]]</f>
        <v>6</v>
      </c>
      <c r="Y76" s="16" t="str">
        <f ca="1" xml:space="preserve"> IF(WFTracker[[#This Row],[Overdue Time '[Expected-Completion']]]&gt;0, "LATE","ON TIME")</f>
        <v>LATE</v>
      </c>
      <c r="Z76" s="16" t="str">
        <f ca="1">IF(WFTracker[[#This Row],[Overdue Time '[Expected-Completion']]] &gt;= 15, "SUPER LATE", Y76)</f>
        <v>LATE</v>
      </c>
      <c r="AA76" s="37" t="str">
        <f>IF(WFTracker[[#This Row],[Pre RM Opening Time]]&lt;WFTracker[[#This Row],[Old vs New Order Lead Time WF dead line]], "LATE BY ENG", "ON TIME BY ENG")</f>
        <v>ON TIME BY ENG</v>
      </c>
      <c r="AB76" s="37"/>
      <c r="AC76" s="15" t="str">
        <f>IF(WFTracker[[#This Row],[Competion Date Content]] = FALSE, "C", "i")</f>
        <v>C</v>
      </c>
      <c r="AD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76" s="37" t="str">
        <f ca="1">IF(WFTracker[[#This Row],[Impact Time Post RM]]&gt;0, "IMPACTED", "NOT IMPACTED")</f>
        <v>IMPACTED</v>
      </c>
      <c r="AF76" s="15"/>
      <c r="AG76" s="18"/>
      <c r="AH76" s="14" t="str">
        <f>IF(WFTracker[[#This Row],[Status]]="C", "Closed", IF(WFTracker[[#This Row],[Status]] = "x", "Cancelled", WFTracker[[#This Row],[Impact Time Post RM]]))</f>
        <v>Closed</v>
      </c>
      <c r="AI76" s="14" t="str">
        <f ca="1">IF(WFTracker[[#This Row],[Impact Time Post RM]]&lt;=0,"ON TIME","LATE")</f>
        <v>LATE</v>
      </c>
      <c r="AJ76" s="14" t="s">
        <v>984</v>
      </c>
      <c r="AK76" s="14">
        <v>18</v>
      </c>
      <c r="AL76" s="915">
        <f>IF(WFTracker[[#This Row],[Type]]="MAKE", WFTracker[[#This Row],[Due date]]+Filters!$J$111, WFTracker[[#This Row],[Due date]]+Filters!$J$135)</f>
        <v>45767.072512647552</v>
      </c>
      <c r="AM76" s="101" cm="1">
        <f t="array" ref="AM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" spans="1:39" ht="14.45">
      <c r="A77" t="str">
        <f>IF(WFTracker[[#This Row],[Order Number]]="SWBD", "QED2", "PZ4")</f>
        <v>PZ4</v>
      </c>
      <c r="B77" s="21" t="s">
        <v>182</v>
      </c>
      <c r="C77" s="26" t="s">
        <v>183</v>
      </c>
      <c r="D77" s="11" t="str">
        <f>WFTracker[[#This Row],[Order Number]]  &amp; "-" &amp; WFTracker[[#This Row],[Item]]</f>
        <v>0051199249-000050</v>
      </c>
      <c r="E77" s="23" t="s">
        <v>184</v>
      </c>
      <c r="F77" s="12">
        <v>45765</v>
      </c>
      <c r="G77" s="12"/>
      <c r="H77" s="11" t="s">
        <v>185</v>
      </c>
      <c r="I77" s="11" t="s">
        <v>186</v>
      </c>
      <c r="J77" s="13" t="s">
        <v>188</v>
      </c>
      <c r="K77" s="14" t="s">
        <v>1017</v>
      </c>
      <c r="L77" s="15" t="s">
        <v>40</v>
      </c>
      <c r="M77" s="15" t="s">
        <v>1120</v>
      </c>
      <c r="N77" s="56">
        <v>45868</v>
      </c>
      <c r="O77" s="15">
        <f>NETWORKDAYS.INTL(WFTracker[[#This Row],[Start date]],WFTracker[[#This Row],[RM]],1,Holidays!D120:D135)</f>
        <v>9</v>
      </c>
      <c r="P77" s="12">
        <v>45755</v>
      </c>
      <c r="Q77" s="12">
        <v>45769</v>
      </c>
      <c r="R77" s="12">
        <v>45772</v>
      </c>
      <c r="S77" s="27" t="b">
        <f>ISBLANK(WFTracker[[#This Row],[Completion Date]])</f>
        <v>0</v>
      </c>
      <c r="T77" s="27" t="str">
        <f>TEXT(WFTracker[[#This Row],[Start date]],"mmm-yyyy")</f>
        <v>Apr-2025</v>
      </c>
      <c r="U77" s="11">
        <v>5</v>
      </c>
      <c r="V77" s="11">
        <f>NETWORKDAYS.INTL(WFTracker[[#This Row],[Start date]],WFTracker[[#This Row],[Due date]],1,Holidays!D120:D135)</f>
        <v>11</v>
      </c>
      <c r="W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77" s="24">
        <f ca="1">WFTracker[[#This Row],[Active Time]]-WFTracker[[#This Row],[Completion Days Template]]</f>
        <v>1</v>
      </c>
      <c r="Y77" s="34" t="str">
        <f ca="1" xml:space="preserve"> IF(WFTracker[[#This Row],[Overdue Time '[Expected-Completion']]]&gt;0, "LATE","ON TIME")</f>
        <v>LATE</v>
      </c>
      <c r="Z77" s="34" t="str">
        <f ca="1">IF(WFTracker[[#This Row],[Overdue Time '[Expected-Completion']]] &gt;= 15, "SUPER LATE", Y77)</f>
        <v>LATE</v>
      </c>
      <c r="AA77" s="37" t="str">
        <f>IF(WFTracker[[#This Row],[Pre RM Opening Time]]&lt;WFTracker[[#This Row],[Old vs New Order Lead Time WF dead line]], "LATE BY ENG", "ON TIME BY ENG")</f>
        <v>ON TIME BY ENG</v>
      </c>
      <c r="AB77" s="37"/>
      <c r="AC77" s="15" t="str">
        <f>IF(WFTracker[[#This Row],[Competion Date Content]] = FALSE, "C", "i")</f>
        <v>C</v>
      </c>
      <c r="AD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7" s="105" t="str">
        <f ca="1">IF(WFTracker[[#This Row],[Impact Time Post RM]]&gt;0, "IMPACTED", "NOT IMPACTED")</f>
        <v>IMPACTED</v>
      </c>
      <c r="AF77" s="15"/>
      <c r="AG77" s="18"/>
      <c r="AH77" s="14" t="str">
        <f>IF(WFTracker[[#This Row],[Status]]="C", "Closed", IF(WFTracker[[#This Row],[Status]] = "x", "Cancelled", WFTracker[[#This Row],[Impact Time Post RM]]))</f>
        <v>Closed</v>
      </c>
      <c r="AI77" s="14" t="str">
        <f ca="1">IF(WFTracker[[#This Row],[Impact Time Post RM]]&lt;=0,"ON TIME","LATE")</f>
        <v>LATE</v>
      </c>
      <c r="AJ77" s="14" t="s">
        <v>984</v>
      </c>
      <c r="AK77" s="14">
        <v>17</v>
      </c>
      <c r="AL77" s="915">
        <f>IF(WFTracker[[#This Row],[Type]]="MAKE", WFTracker[[#This Row],[Due date]]+Filters!$J$111, WFTracker[[#This Row],[Due date]]+Filters!$J$135)</f>
        <v>45769.415686274508</v>
      </c>
      <c r="AM77" s="101" cm="1">
        <f t="array" ref="AM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" spans="1:39" ht="14.45">
      <c r="A78" t="str">
        <f>IF(WFTracker[[#This Row],[Order Number]]="SWBD", "QED2", "PZ4")</f>
        <v>PZ4</v>
      </c>
      <c r="B78" s="26" t="s">
        <v>182</v>
      </c>
      <c r="C78" s="26" t="s">
        <v>192</v>
      </c>
      <c r="D78" s="11" t="str">
        <f>WFTracker[[#This Row],[Order Number]]  &amp; "-" &amp; WFTracker[[#This Row],[Item]]</f>
        <v>0051199249-000040</v>
      </c>
      <c r="E78" s="23" t="s">
        <v>184</v>
      </c>
      <c r="F78" s="12">
        <v>45768</v>
      </c>
      <c r="G78" s="12"/>
      <c r="H78" s="11" t="s">
        <v>110</v>
      </c>
      <c r="I78" s="11" t="s">
        <v>132</v>
      </c>
      <c r="J78" s="13" t="s">
        <v>197</v>
      </c>
      <c r="K78" s="14" t="s">
        <v>1017</v>
      </c>
      <c r="L78" s="15" t="s">
        <v>27</v>
      </c>
      <c r="M78" s="15" t="s">
        <v>1120</v>
      </c>
      <c r="N78" s="56">
        <v>45869</v>
      </c>
      <c r="O78" s="15">
        <f>NETWORKDAYS.INTL(WFTracker[[#This Row],[Start date]],WFTracker[[#This Row],[RM]],1,Holidays!D156:D171)</f>
        <v>10</v>
      </c>
      <c r="P78" s="12">
        <v>45755</v>
      </c>
      <c r="Q78" s="12">
        <v>45762</v>
      </c>
      <c r="R78" s="12">
        <v>45761</v>
      </c>
      <c r="S78" s="12" t="b">
        <f>ISBLANK(WFTracker[[#This Row],[Completion Date]])</f>
        <v>0</v>
      </c>
      <c r="T78" s="12" t="str">
        <f>TEXT(WFTracker[[#This Row],[Start date]],"mmm-yyyy")</f>
        <v>Apr-2025</v>
      </c>
      <c r="U78" s="11">
        <v>5</v>
      </c>
      <c r="V78" s="11">
        <f>NETWORKDAYS.INTL(WFTracker[[#This Row],[Start date]],WFTracker[[#This Row],[Due date]],1,Holidays!D156:D171)</f>
        <v>6</v>
      </c>
      <c r="W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8" s="24">
        <f ca="1">WFTracker[[#This Row],[Active Time]]-WFTracker[[#This Row],[Completion Days Template]]</f>
        <v>-1</v>
      </c>
      <c r="Y78" s="16" t="str">
        <f ca="1" xml:space="preserve"> IF(WFTracker[[#This Row],[Overdue Time '[Expected-Completion']]]&gt;0, "LATE","ON TIME")</f>
        <v>ON TIME</v>
      </c>
      <c r="Z78" s="16" t="str">
        <f ca="1">IF(WFTracker[[#This Row],[Overdue Time '[Expected-Completion']]] &gt;= 15, "SUPER LATE", Y78)</f>
        <v>ON TIME</v>
      </c>
      <c r="AA78" s="37" t="str">
        <f>IF(WFTracker[[#This Row],[Pre RM Opening Time]]&lt;WFTracker[[#This Row],[Old vs New Order Lead Time WF dead line]], "LATE BY ENG", "ON TIME BY ENG")</f>
        <v>ON TIME BY ENG</v>
      </c>
      <c r="AB78" s="37"/>
      <c r="AC78" s="15" t="str">
        <f>IF(WFTracker[[#This Row],[Competion Date Content]] = FALSE, "C", "i")</f>
        <v>C</v>
      </c>
      <c r="AD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8" s="37" t="str">
        <f ca="1">IF(WFTracker[[#This Row],[Impact Time Post RM]]&gt;0, "IMPACTED", "NOT IMPACTED")</f>
        <v>NOT IMPACTED</v>
      </c>
      <c r="AF78" s="15"/>
      <c r="AG78" s="18"/>
      <c r="AH78" s="14" t="str">
        <f>IF(WFTracker[[#This Row],[Status]]="C", "Closed", IF(WFTracker[[#This Row],[Status]] = "x", "Cancelled", WFTracker[[#This Row],[Impact Time Post RM]]))</f>
        <v>Closed</v>
      </c>
      <c r="AI78" s="14" t="str">
        <f ca="1">IF(WFTracker[[#This Row],[Impact Time Post RM]]&lt;=0,"ON TIME","LATE")</f>
        <v>ON TIME</v>
      </c>
      <c r="AJ78" s="14" t="s">
        <v>984</v>
      </c>
      <c r="AK78" s="14">
        <v>18</v>
      </c>
      <c r="AL78" s="915">
        <f>IF(WFTracker[[#This Row],[Type]]="MAKE", WFTracker[[#This Row],[Due date]]+Filters!$J$111, WFTracker[[#This Row],[Due date]]+Filters!$J$135)</f>
        <v>45765.072512647552</v>
      </c>
      <c r="AM78" s="101" cm="1">
        <f t="array" ref="AM7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9" spans="1:39" ht="14.45">
      <c r="A79" t="str">
        <f>IF(WFTracker[[#This Row],[Order Number]]="SWBD", "QED2", "PZ4")</f>
        <v>PZ4</v>
      </c>
      <c r="B79" s="26" t="s">
        <v>182</v>
      </c>
      <c r="C79" s="26" t="s">
        <v>192</v>
      </c>
      <c r="D79" s="11" t="str">
        <f>WFTracker[[#This Row],[Order Number]]  &amp; "-" &amp; WFTracker[[#This Row],[Item]]</f>
        <v>0051199249-000040</v>
      </c>
      <c r="E79" s="23" t="s">
        <v>184</v>
      </c>
      <c r="F79" s="12">
        <v>45768</v>
      </c>
      <c r="G79" s="12"/>
      <c r="H79" s="11" t="s">
        <v>110</v>
      </c>
      <c r="I79" s="11" t="s">
        <v>132</v>
      </c>
      <c r="J79" s="13" t="s">
        <v>198</v>
      </c>
      <c r="K79" s="14" t="s">
        <v>1017</v>
      </c>
      <c r="L79" s="15" t="s">
        <v>27</v>
      </c>
      <c r="M79" s="15" t="s">
        <v>1120</v>
      </c>
      <c r="N79" s="56">
        <v>45869</v>
      </c>
      <c r="O79" s="15">
        <f>NETWORKDAYS.INTL(WFTracker[[#This Row],[Start date]],WFTracker[[#This Row],[RM]],1,Holidays!D157:D172)</f>
        <v>10</v>
      </c>
      <c r="P79" s="12">
        <v>45755</v>
      </c>
      <c r="Q79" s="12">
        <v>45762</v>
      </c>
      <c r="R79" s="12">
        <v>45766</v>
      </c>
      <c r="S79" s="27" t="b">
        <f>ISBLANK(WFTracker[[#This Row],[Completion Date]])</f>
        <v>0</v>
      </c>
      <c r="T79" s="27" t="str">
        <f>TEXT(WFTracker[[#This Row],[Start date]],"mmm-yyyy")</f>
        <v>Apr-2025</v>
      </c>
      <c r="U79" s="11">
        <v>5</v>
      </c>
      <c r="V79" s="11">
        <f>NETWORKDAYS.INTL(WFTracker[[#This Row],[Start date]],WFTracker[[#This Row],[Due date]],1,Holidays!D157:D172)</f>
        <v>6</v>
      </c>
      <c r="W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9" s="24">
        <f ca="1">WFTracker[[#This Row],[Active Time]]-WFTracker[[#This Row],[Completion Days Template]]</f>
        <v>1</v>
      </c>
      <c r="Y79" s="34" t="str">
        <f ca="1" xml:space="preserve"> IF(WFTracker[[#This Row],[Overdue Time '[Expected-Completion']]]&gt;0, "LATE","ON TIME")</f>
        <v>LATE</v>
      </c>
      <c r="Z79" s="34" t="str">
        <f ca="1">IF(WFTracker[[#This Row],[Overdue Time '[Expected-Completion']]] &gt;= 15, "SUPER LATE", Y79)</f>
        <v>LATE</v>
      </c>
      <c r="AA79" s="37" t="str">
        <f>IF(WFTracker[[#This Row],[Pre RM Opening Time]]&lt;WFTracker[[#This Row],[Old vs New Order Lead Time WF dead line]], "LATE BY ENG", "ON TIME BY ENG")</f>
        <v>ON TIME BY ENG</v>
      </c>
      <c r="AB79" s="37"/>
      <c r="AC79" s="15" t="str">
        <f>IF(WFTracker[[#This Row],[Competion Date Content]] = FALSE, "C", "i")</f>
        <v>C</v>
      </c>
      <c r="AD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</v>
      </c>
      <c r="AE79" s="105" t="str">
        <f ca="1">IF(WFTracker[[#This Row],[Impact Time Post RM]]&gt;0, "IMPACTED", "NOT IMPACTED")</f>
        <v>NOT IMPACTED</v>
      </c>
      <c r="AF79" s="15"/>
      <c r="AG79" s="18"/>
      <c r="AH79" s="14" t="str">
        <f>IF(WFTracker[[#This Row],[Status]]="C", "Closed", IF(WFTracker[[#This Row],[Status]] = "x", "Cancelled", WFTracker[[#This Row],[Impact Time Post RM]]))</f>
        <v>Closed</v>
      </c>
      <c r="AI79" s="14" t="str">
        <f ca="1">IF(WFTracker[[#This Row],[Impact Time Post RM]]&lt;=0,"ON TIME","LATE")</f>
        <v>ON TIME</v>
      </c>
      <c r="AJ79" s="14" t="s">
        <v>984</v>
      </c>
      <c r="AK79" s="14">
        <v>18</v>
      </c>
      <c r="AL79" s="915">
        <f>IF(WFTracker[[#This Row],[Type]]="MAKE", WFTracker[[#This Row],[Due date]]+Filters!$J$111, WFTracker[[#This Row],[Due date]]+Filters!$J$135)</f>
        <v>45765.072512647552</v>
      </c>
      <c r="AM79" s="101" cm="1">
        <f t="array" ref="AM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0" spans="1:39" ht="14.45">
      <c r="A80" t="str">
        <f>IF(WFTracker[[#This Row],[Order Number]]="SWBD", "QED2", "PZ4")</f>
        <v>PZ4</v>
      </c>
      <c r="B80" s="21" t="s">
        <v>182</v>
      </c>
      <c r="C80" s="26" t="s">
        <v>192</v>
      </c>
      <c r="D80" s="11" t="str">
        <f>WFTracker[[#This Row],[Order Number]]  &amp; "-" &amp; WFTracker[[#This Row],[Item]]</f>
        <v>0051199249-000040</v>
      </c>
      <c r="E80" s="23" t="s">
        <v>184</v>
      </c>
      <c r="F80" s="12">
        <v>45768</v>
      </c>
      <c r="G80" s="12"/>
      <c r="H80" s="11" t="s">
        <v>110</v>
      </c>
      <c r="I80" s="11" t="s">
        <v>132</v>
      </c>
      <c r="J80" s="13" t="s">
        <v>199</v>
      </c>
      <c r="K80" s="14" t="s">
        <v>1017</v>
      </c>
      <c r="L80" s="15" t="s">
        <v>27</v>
      </c>
      <c r="M80" s="15" t="s">
        <v>1120</v>
      </c>
      <c r="N80" s="56">
        <v>45869</v>
      </c>
      <c r="O80" s="15">
        <f>NETWORKDAYS.INTL(WFTracker[[#This Row],[Start date]],WFTracker[[#This Row],[RM]],1,Holidays!D158:D173)</f>
        <v>10</v>
      </c>
      <c r="P80" s="12">
        <v>45755</v>
      </c>
      <c r="Q80" s="12">
        <v>45762</v>
      </c>
      <c r="R80" s="12">
        <v>45766</v>
      </c>
      <c r="S80" s="27" t="b">
        <f>ISBLANK(WFTracker[[#This Row],[Completion Date]])</f>
        <v>0</v>
      </c>
      <c r="T80" s="27" t="str">
        <f>TEXT(WFTracker[[#This Row],[Start date]],"mmm-yyyy")</f>
        <v>Apr-2025</v>
      </c>
      <c r="U80" s="11">
        <v>5</v>
      </c>
      <c r="V80" s="11">
        <f>NETWORKDAYS.INTL(WFTracker[[#This Row],[Start date]],WFTracker[[#This Row],[Due date]],1,Holidays!D158:D173)</f>
        <v>6</v>
      </c>
      <c r="W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0" s="24">
        <f ca="1">WFTracker[[#This Row],[Active Time]]-WFTracker[[#This Row],[Completion Days Template]]</f>
        <v>1</v>
      </c>
      <c r="Y80" s="34" t="str">
        <f ca="1" xml:space="preserve"> IF(WFTracker[[#This Row],[Overdue Time '[Expected-Completion']]]&gt;0, "LATE","ON TIME")</f>
        <v>LATE</v>
      </c>
      <c r="Z80" s="34" t="str">
        <f ca="1">IF(WFTracker[[#This Row],[Overdue Time '[Expected-Completion']]] &gt;= 15, "SUPER LATE", Y80)</f>
        <v>LATE</v>
      </c>
      <c r="AA80" s="37" t="str">
        <f>IF(WFTracker[[#This Row],[Pre RM Opening Time]]&lt;WFTracker[[#This Row],[Old vs New Order Lead Time WF dead line]], "LATE BY ENG", "ON TIME BY ENG")</f>
        <v>ON TIME BY ENG</v>
      </c>
      <c r="AB80" s="37"/>
      <c r="AC80" s="15" t="str">
        <f>IF(WFTracker[[#This Row],[Competion Date Content]] = FALSE, "C", "i")</f>
        <v>C</v>
      </c>
      <c r="AD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</v>
      </c>
      <c r="AE80" s="105" t="str">
        <f ca="1">IF(WFTracker[[#This Row],[Impact Time Post RM]]&gt;0, "IMPACTED", "NOT IMPACTED")</f>
        <v>NOT IMPACTED</v>
      </c>
      <c r="AF80" s="15"/>
      <c r="AG80" s="18"/>
      <c r="AH80" s="14" t="str">
        <f>IF(WFTracker[[#This Row],[Status]]="C", "Closed", IF(WFTracker[[#This Row],[Status]] = "x", "Cancelled", WFTracker[[#This Row],[Impact Time Post RM]]))</f>
        <v>Closed</v>
      </c>
      <c r="AI80" s="14" t="str">
        <f ca="1">IF(WFTracker[[#This Row],[Impact Time Post RM]]&lt;=0,"ON TIME","LATE")</f>
        <v>ON TIME</v>
      </c>
      <c r="AJ80" s="14" t="s">
        <v>984</v>
      </c>
      <c r="AK80" s="14">
        <v>18</v>
      </c>
      <c r="AL80" s="915">
        <f>IF(WFTracker[[#This Row],[Type]]="MAKE", WFTracker[[#This Row],[Due date]]+Filters!$J$111, WFTracker[[#This Row],[Due date]]+Filters!$J$135)</f>
        <v>45765.072512647552</v>
      </c>
      <c r="AM80" s="101" cm="1">
        <f t="array" ref="AM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1" spans="1:39" ht="14.45">
      <c r="A81" t="str">
        <f>IF(WFTracker[[#This Row],[Order Number]]="SWBD", "QED2", "PZ4")</f>
        <v>PZ4</v>
      </c>
      <c r="B81" s="21" t="s">
        <v>182</v>
      </c>
      <c r="C81" s="26" t="s">
        <v>192</v>
      </c>
      <c r="D81" s="11" t="str">
        <f>WFTracker[[#This Row],[Order Number]]  &amp; "-" &amp; WFTracker[[#This Row],[Item]]</f>
        <v>0051199249-000040</v>
      </c>
      <c r="E81" s="23" t="s">
        <v>184</v>
      </c>
      <c r="F81" s="12">
        <v>45768</v>
      </c>
      <c r="G81" s="12"/>
      <c r="H81" s="11" t="s">
        <v>110</v>
      </c>
      <c r="I81" s="11" t="s">
        <v>132</v>
      </c>
      <c r="J81" s="13" t="s">
        <v>200</v>
      </c>
      <c r="K81" s="14" t="s">
        <v>1017</v>
      </c>
      <c r="L81" s="15" t="s">
        <v>27</v>
      </c>
      <c r="M81" s="15" t="s">
        <v>1120</v>
      </c>
      <c r="N81" s="56">
        <v>45869</v>
      </c>
      <c r="O81" s="15">
        <f>NETWORKDAYS.INTL(WFTracker[[#This Row],[Start date]],WFTracker[[#This Row],[RM]],1,Holidays!D159:D174)</f>
        <v>10</v>
      </c>
      <c r="P81" s="12">
        <v>45755</v>
      </c>
      <c r="Q81" s="12">
        <v>45763</v>
      </c>
      <c r="R81" s="12">
        <v>45766</v>
      </c>
      <c r="S81" s="27" t="b">
        <f>ISBLANK(WFTracker[[#This Row],[Completion Date]])</f>
        <v>0</v>
      </c>
      <c r="T81" s="27" t="str">
        <f>TEXT(WFTracker[[#This Row],[Start date]],"mmm-yyyy")</f>
        <v>Apr-2025</v>
      </c>
      <c r="U81" s="11">
        <v>5</v>
      </c>
      <c r="V81" s="11">
        <f>NETWORKDAYS.INTL(WFTracker[[#This Row],[Start date]],WFTracker[[#This Row],[Due date]],1,Holidays!D159:D174)</f>
        <v>7</v>
      </c>
      <c r="W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1" s="24">
        <f ca="1">WFTracker[[#This Row],[Active Time]]-WFTracker[[#This Row],[Completion Days Template]]</f>
        <v>0</v>
      </c>
      <c r="Y81" s="16" t="str">
        <f ca="1" xml:space="preserve"> IF(WFTracker[[#This Row],[Overdue Time '[Expected-Completion']]]&gt;0, "LATE","ON TIME")</f>
        <v>ON TIME</v>
      </c>
      <c r="Z81" s="16" t="str">
        <f ca="1">IF(WFTracker[[#This Row],[Overdue Time '[Expected-Completion']]] &gt;= 15, "SUPER LATE", Y81)</f>
        <v>ON TIME</v>
      </c>
      <c r="AA81" s="37" t="str">
        <f>IF(WFTracker[[#This Row],[Pre RM Opening Time]]&lt;WFTracker[[#This Row],[Old vs New Order Lead Time WF dead line]], "LATE BY ENG", "ON TIME BY ENG")</f>
        <v>ON TIME BY ENG</v>
      </c>
      <c r="AB81" s="37"/>
      <c r="AC81" s="15" t="str">
        <f>IF(WFTracker[[#This Row],[Competion Date Content]] = FALSE, "C", "i")</f>
        <v>C</v>
      </c>
      <c r="AD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</v>
      </c>
      <c r="AE81" s="37" t="str">
        <f ca="1">IF(WFTracker[[#This Row],[Impact Time Post RM]]&gt;0, "IMPACTED", "NOT IMPACTED")</f>
        <v>NOT IMPACTED</v>
      </c>
      <c r="AF81" s="15"/>
      <c r="AG81" s="18"/>
      <c r="AH81" s="14" t="str">
        <f>IF(WFTracker[[#This Row],[Status]]="C", "Closed", IF(WFTracker[[#This Row],[Status]] = "x", "Cancelled", WFTracker[[#This Row],[Impact Time Post RM]]))</f>
        <v>Closed</v>
      </c>
      <c r="AI81" s="14" t="str">
        <f ca="1">IF(WFTracker[[#This Row],[Impact Time Post RM]]&lt;=0,"ON TIME","LATE")</f>
        <v>ON TIME</v>
      </c>
      <c r="AJ81" s="14" t="s">
        <v>984</v>
      </c>
      <c r="AK81" s="14">
        <v>18</v>
      </c>
      <c r="AL81" s="915">
        <f>IF(WFTracker[[#This Row],[Type]]="MAKE", WFTracker[[#This Row],[Due date]]+Filters!$J$111, WFTracker[[#This Row],[Due date]]+Filters!$J$135)</f>
        <v>45766.072512647552</v>
      </c>
      <c r="AM81" s="101" cm="1">
        <f t="array" ref="AM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" spans="1:39" ht="14.45">
      <c r="A82" t="str">
        <f>IF(WFTracker[[#This Row],[Order Number]]="SWBD", "QED2", "PZ4")</f>
        <v>PZ4</v>
      </c>
      <c r="B82" s="21" t="s">
        <v>182</v>
      </c>
      <c r="C82" s="26" t="s">
        <v>192</v>
      </c>
      <c r="D82" s="11" t="str">
        <f>WFTracker[[#This Row],[Order Number]]  &amp; "-" &amp; WFTracker[[#This Row],[Item]]</f>
        <v>0051199249-000040</v>
      </c>
      <c r="E82" s="23" t="s">
        <v>184</v>
      </c>
      <c r="F82" s="12">
        <v>45768</v>
      </c>
      <c r="G82" s="12"/>
      <c r="H82" s="11" t="s">
        <v>110</v>
      </c>
      <c r="I82" s="11" t="s">
        <v>132</v>
      </c>
      <c r="J82" s="13" t="s">
        <v>201</v>
      </c>
      <c r="K82" s="14" t="s">
        <v>1017</v>
      </c>
      <c r="L82" s="15" t="s">
        <v>27</v>
      </c>
      <c r="M82" s="15" t="s">
        <v>1120</v>
      </c>
      <c r="N82" s="56">
        <v>45869</v>
      </c>
      <c r="O82" s="15">
        <f>NETWORKDAYS.INTL(WFTracker[[#This Row],[Start date]],WFTracker[[#This Row],[RM]],1,Holidays!D160:D175)</f>
        <v>10</v>
      </c>
      <c r="P82" s="12">
        <v>45755</v>
      </c>
      <c r="Q82" s="12">
        <v>45763</v>
      </c>
      <c r="R82" s="12">
        <v>45761</v>
      </c>
      <c r="S82" s="27" t="b">
        <f>ISBLANK(WFTracker[[#This Row],[Completion Date]])</f>
        <v>0</v>
      </c>
      <c r="T82" s="27" t="str">
        <f>TEXT(WFTracker[[#This Row],[Start date]],"mmm-yyyy")</f>
        <v>Apr-2025</v>
      </c>
      <c r="U82" s="11">
        <v>5</v>
      </c>
      <c r="V82" s="11">
        <f>NETWORKDAYS.INTL(WFTracker[[#This Row],[Start date]],WFTracker[[#This Row],[Due date]],1,Holidays!D160:D175)</f>
        <v>7</v>
      </c>
      <c r="W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2" s="24">
        <f ca="1">WFTracker[[#This Row],[Active Time]]-WFTracker[[#This Row],[Completion Days Template]]</f>
        <v>-2</v>
      </c>
      <c r="Y82" s="34" t="str">
        <f ca="1" xml:space="preserve"> IF(WFTracker[[#This Row],[Overdue Time '[Expected-Completion']]]&gt;0, "LATE","ON TIME")</f>
        <v>ON TIME</v>
      </c>
      <c r="Z82" s="34" t="str">
        <f ca="1">IF(WFTracker[[#This Row],[Overdue Time '[Expected-Completion']]] &gt;= 15, "SUPER LATE", Y82)</f>
        <v>ON TIME</v>
      </c>
      <c r="AA82" s="37" t="str">
        <f>IF(WFTracker[[#This Row],[Pre RM Opening Time]]&lt;WFTracker[[#This Row],[Old vs New Order Lead Time WF dead line]], "LATE BY ENG", "ON TIME BY ENG")</f>
        <v>ON TIME BY ENG</v>
      </c>
      <c r="AB82" s="37"/>
      <c r="AC82" s="15" t="str">
        <f>IF(WFTracker[[#This Row],[Competion Date Content]] = FALSE, "C", "i")</f>
        <v>C</v>
      </c>
      <c r="AD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82" s="105" t="str">
        <f ca="1">IF(WFTracker[[#This Row],[Impact Time Post RM]]&gt;0, "IMPACTED", "NOT IMPACTED")</f>
        <v>NOT IMPACTED</v>
      </c>
      <c r="AF82" s="15"/>
      <c r="AG82" s="18"/>
      <c r="AH82" s="14" t="str">
        <f>IF(WFTracker[[#This Row],[Status]]="C", "Closed", IF(WFTracker[[#This Row],[Status]] = "x", "Cancelled", WFTracker[[#This Row],[Impact Time Post RM]]))</f>
        <v>Closed</v>
      </c>
      <c r="AI82" s="14" t="str">
        <f ca="1">IF(WFTracker[[#This Row],[Impact Time Post RM]]&lt;=0,"ON TIME","LATE")</f>
        <v>ON TIME</v>
      </c>
      <c r="AJ82" s="14" t="s">
        <v>984</v>
      </c>
      <c r="AK82" s="14">
        <v>18</v>
      </c>
      <c r="AL82" s="915">
        <f>IF(WFTracker[[#This Row],[Type]]="MAKE", WFTracker[[#This Row],[Due date]]+Filters!$J$111, WFTracker[[#This Row],[Due date]]+Filters!$J$135)</f>
        <v>45766.072512647552</v>
      </c>
      <c r="AM82" s="101" cm="1">
        <f t="array" ref="AM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3" spans="1:39" ht="14.45">
      <c r="A83" t="str">
        <f>IF(WFTracker[[#This Row],[Order Number]]="SWBD", "QED2", "PZ4")</f>
        <v>PZ4</v>
      </c>
      <c r="B83" s="21" t="s">
        <v>182</v>
      </c>
      <c r="C83" s="26" t="s">
        <v>192</v>
      </c>
      <c r="D83" s="11" t="str">
        <f>WFTracker[[#This Row],[Order Number]]  &amp; "-" &amp; WFTracker[[#This Row],[Item]]</f>
        <v>0051199249-000040</v>
      </c>
      <c r="E83" s="23" t="s">
        <v>184</v>
      </c>
      <c r="F83" s="12">
        <v>45768</v>
      </c>
      <c r="G83" s="12"/>
      <c r="H83" s="11" t="s">
        <v>110</v>
      </c>
      <c r="I83" s="11" t="s">
        <v>111</v>
      </c>
      <c r="J83" s="13" t="s">
        <v>203</v>
      </c>
      <c r="K83" s="14" t="s">
        <v>1017</v>
      </c>
      <c r="L83" s="15" t="s">
        <v>27</v>
      </c>
      <c r="M83" s="15" t="s">
        <v>1120</v>
      </c>
      <c r="N83" s="56">
        <v>45869</v>
      </c>
      <c r="O83" s="15">
        <f>NETWORKDAYS.INTL(WFTracker[[#This Row],[Start date]],WFTracker[[#This Row],[RM]],1,Holidays!D161:D176)</f>
        <v>10</v>
      </c>
      <c r="P83" s="12">
        <v>45755</v>
      </c>
      <c r="Q83" s="12">
        <v>45763</v>
      </c>
      <c r="R83" s="12">
        <v>45763</v>
      </c>
      <c r="S83" s="27" t="b">
        <f>ISBLANK(WFTracker[[#This Row],[Completion Date]])</f>
        <v>0</v>
      </c>
      <c r="T83" s="27" t="str">
        <f>TEXT(WFTracker[[#This Row],[Start date]],"mmm-yyyy")</f>
        <v>Apr-2025</v>
      </c>
      <c r="U83" s="11">
        <v>5</v>
      </c>
      <c r="V83" s="11">
        <f>NETWORKDAYS.INTL(WFTracker[[#This Row],[Start date]],WFTracker[[#This Row],[Due date]],1,Holidays!D161:D176)</f>
        <v>7</v>
      </c>
      <c r="W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3" s="24">
        <f ca="1">WFTracker[[#This Row],[Active Time]]-WFTracker[[#This Row],[Completion Days Template]]</f>
        <v>0</v>
      </c>
      <c r="Y83" s="34" t="str">
        <f ca="1" xml:space="preserve"> IF(WFTracker[[#This Row],[Overdue Time '[Expected-Completion']]]&gt;0, "LATE","ON TIME")</f>
        <v>ON TIME</v>
      </c>
      <c r="Z83" s="34" t="str">
        <f ca="1">IF(WFTracker[[#This Row],[Overdue Time '[Expected-Completion']]] &gt;= 15, "SUPER LATE", Y83)</f>
        <v>ON TIME</v>
      </c>
      <c r="AA83" s="37" t="str">
        <f>IF(WFTracker[[#This Row],[Pre RM Opening Time]]&lt;WFTracker[[#This Row],[Old vs New Order Lead Time WF dead line]], "LATE BY ENG", "ON TIME BY ENG")</f>
        <v>ON TIME BY ENG</v>
      </c>
      <c r="AB83" s="37"/>
      <c r="AC83" s="15" t="str">
        <f>IF(WFTracker[[#This Row],[Competion Date Content]] = FALSE, "C", "i")</f>
        <v>C</v>
      </c>
      <c r="AD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3" s="105" t="str">
        <f ca="1">IF(WFTracker[[#This Row],[Impact Time Post RM]]&gt;0, "IMPACTED", "NOT IMPACTED")</f>
        <v>NOT IMPACTED</v>
      </c>
      <c r="AF83" s="15"/>
      <c r="AG83" s="18"/>
      <c r="AH83" s="14" t="str">
        <f>IF(WFTracker[[#This Row],[Status]]="C", "Closed", IF(WFTracker[[#This Row],[Status]] = "x", "Cancelled", WFTracker[[#This Row],[Impact Time Post RM]]))</f>
        <v>Closed</v>
      </c>
      <c r="AI83" s="14" t="str">
        <f ca="1">IF(WFTracker[[#This Row],[Impact Time Post RM]]&lt;=0,"ON TIME","LATE")</f>
        <v>ON TIME</v>
      </c>
      <c r="AJ83" s="14" t="s">
        <v>984</v>
      </c>
      <c r="AK83" s="14">
        <v>18</v>
      </c>
      <c r="AL83" s="915">
        <f>IF(WFTracker[[#This Row],[Type]]="MAKE", WFTracker[[#This Row],[Due date]]+Filters!$J$111, WFTracker[[#This Row],[Due date]]+Filters!$J$135)</f>
        <v>45766.072512647552</v>
      </c>
      <c r="AM83" s="101" cm="1">
        <f t="array" ref="AM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4" spans="1:39" ht="14.45">
      <c r="A84" t="str">
        <f>IF(WFTracker[[#This Row],[Order Number]]="SWBD", "QED2", "PZ4")</f>
        <v>PZ4</v>
      </c>
      <c r="B84" s="21" t="s">
        <v>182</v>
      </c>
      <c r="C84" s="26" t="s">
        <v>192</v>
      </c>
      <c r="D84" s="11" t="str">
        <f>WFTracker[[#This Row],[Order Number]]  &amp; "-" &amp; WFTracker[[#This Row],[Item]]</f>
        <v>0051199249-000040</v>
      </c>
      <c r="E84" s="23" t="s">
        <v>184</v>
      </c>
      <c r="F84" s="12">
        <v>45768</v>
      </c>
      <c r="G84" s="12"/>
      <c r="H84" s="11" t="s">
        <v>110</v>
      </c>
      <c r="I84" s="11" t="s">
        <v>111</v>
      </c>
      <c r="J84" s="13" t="s">
        <v>202</v>
      </c>
      <c r="K84" s="14" t="s">
        <v>1017</v>
      </c>
      <c r="L84" s="15" t="s">
        <v>40</v>
      </c>
      <c r="M84" s="15" t="s">
        <v>1120</v>
      </c>
      <c r="N84" s="56">
        <v>45869</v>
      </c>
      <c r="O84" s="15">
        <f>NETWORKDAYS.INTL(WFTracker[[#This Row],[Start date]],WFTracker[[#This Row],[RM]],1,Holidays!D162:D177)</f>
        <v>10</v>
      </c>
      <c r="P84" s="12">
        <v>45755</v>
      </c>
      <c r="Q84" s="12">
        <v>45765</v>
      </c>
      <c r="R84" s="12">
        <v>45763</v>
      </c>
      <c r="S84" s="27" t="b">
        <f>ISBLANK(WFTracker[[#This Row],[Completion Date]])</f>
        <v>0</v>
      </c>
      <c r="T84" s="27" t="str">
        <f>TEXT(WFTracker[[#This Row],[Start date]],"mmm-yyyy")</f>
        <v>Apr-2025</v>
      </c>
      <c r="U84" s="11">
        <v>5</v>
      </c>
      <c r="V84" s="11">
        <f>NETWORKDAYS.INTL(WFTracker[[#This Row],[Start date]],WFTracker[[#This Row],[Due date]],1,Holidays!D162:D177)</f>
        <v>9</v>
      </c>
      <c r="W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4" s="24">
        <f ca="1">WFTracker[[#This Row],[Active Time]]-WFTracker[[#This Row],[Completion Days Template]]</f>
        <v>-2</v>
      </c>
      <c r="Y84" s="34" t="str">
        <f ca="1" xml:space="preserve"> IF(WFTracker[[#This Row],[Overdue Time '[Expected-Completion']]]&gt;0, "LATE","ON TIME")</f>
        <v>ON TIME</v>
      </c>
      <c r="Z84" s="34" t="str">
        <f ca="1">IF(WFTracker[[#This Row],[Overdue Time '[Expected-Completion']]] &gt;= 15, "SUPER LATE", Y84)</f>
        <v>ON TIME</v>
      </c>
      <c r="AA84" s="37" t="str">
        <f>IF(WFTracker[[#This Row],[Pre RM Opening Time]]&lt;WFTracker[[#This Row],[Old vs New Order Lead Time WF dead line]], "LATE BY ENG", "ON TIME BY ENG")</f>
        <v>ON TIME BY ENG</v>
      </c>
      <c r="AB84" s="37"/>
      <c r="AC84" s="15" t="str">
        <f>IF(WFTracker[[#This Row],[Competion Date Content]] = FALSE, "C", "i")</f>
        <v>C</v>
      </c>
      <c r="AD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4" s="31" t="str">
        <f ca="1">IF(WFTracker[[#This Row],[Impact Time Post RM]]&gt;0, "IMPACTED", "NOT IMPACTED")</f>
        <v>NOT IMPACTED</v>
      </c>
      <c r="AF84" s="15"/>
      <c r="AG84" s="18"/>
      <c r="AH84" s="14" t="str">
        <f>IF(WFTracker[[#This Row],[Status]]="C", "Closed", IF(WFTracker[[#This Row],[Status]] = "x", "Cancelled", WFTracker[[#This Row],[Impact Time Post RM]]))</f>
        <v>Closed</v>
      </c>
      <c r="AI84" s="14" t="str">
        <f ca="1">IF(WFTracker[[#This Row],[Impact Time Post RM]]&lt;=0,"ON TIME","LATE")</f>
        <v>ON TIME</v>
      </c>
      <c r="AJ84" s="14" t="s">
        <v>984</v>
      </c>
      <c r="AK84" s="14">
        <v>17</v>
      </c>
      <c r="AL84" s="915">
        <f>IF(WFTracker[[#This Row],[Type]]="MAKE", WFTracker[[#This Row],[Due date]]+Filters!$J$111, WFTracker[[#This Row],[Due date]]+Filters!$J$135)</f>
        <v>45765.415686274508</v>
      </c>
      <c r="AM84" s="101" cm="1">
        <f t="array" ref="AM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5" spans="1:39" ht="14.45">
      <c r="A85" t="str">
        <f>IF(WFTracker[[#This Row],[Order Number]]="SWBD", "QED2", "PZ4")</f>
        <v>PZ4</v>
      </c>
      <c r="B85" s="21" t="s">
        <v>101</v>
      </c>
      <c r="C85" s="26" t="s">
        <v>102</v>
      </c>
      <c r="D85" s="11" t="str">
        <f>WFTracker[[#This Row],[Order Number]]  &amp; "-" &amp; WFTracker[[#This Row],[Item]]</f>
        <v>0050465708-000270</v>
      </c>
      <c r="E85" s="23" t="s">
        <v>1125</v>
      </c>
      <c r="F85" s="12">
        <v>45782</v>
      </c>
      <c r="G85" s="12"/>
      <c r="H85" s="11" t="s">
        <v>104</v>
      </c>
      <c r="I85" s="11" t="s">
        <v>186</v>
      </c>
      <c r="J85" s="13" t="s">
        <v>106</v>
      </c>
      <c r="K85" s="14" t="s">
        <v>1023</v>
      </c>
      <c r="L85" s="15" t="s">
        <v>40</v>
      </c>
      <c r="M85" s="15" t="s">
        <v>1120</v>
      </c>
      <c r="N85" s="56">
        <v>45897</v>
      </c>
      <c r="O85" s="15">
        <f>NETWORKDAYS.INTL(WFTracker[[#This Row],[Start date]],WFTracker[[#This Row],[RM]],1,Holidays!D396:D411)</f>
        <v>20</v>
      </c>
      <c r="P85" s="12">
        <v>45755</v>
      </c>
      <c r="Q85" s="12">
        <v>45765</v>
      </c>
      <c r="R85" s="12">
        <v>45763</v>
      </c>
      <c r="S85" s="27" t="b">
        <f>ISBLANK(WFTracker[[#This Row],[Completion Date]])</f>
        <v>0</v>
      </c>
      <c r="T85" s="27" t="str">
        <f>TEXT(WFTracker[[#This Row],[Start date]],"mmm-yyyy")</f>
        <v>Apr-2025</v>
      </c>
      <c r="U85" s="11">
        <v>5</v>
      </c>
      <c r="V85" s="11">
        <f>NETWORKDAYS.INTL(WFTracker[[#This Row],[Start date]],WFTracker[[#This Row],[Due date]],1,Holidays!D396:D411)</f>
        <v>9</v>
      </c>
      <c r="W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5" s="24">
        <f ca="1">WFTracker[[#This Row],[Active Time]]-WFTracker[[#This Row],[Completion Days Template]]</f>
        <v>-2</v>
      </c>
      <c r="Y85" s="34" t="str">
        <f ca="1" xml:space="preserve"> IF(WFTracker[[#This Row],[Overdue Time '[Expected-Completion']]]&gt;0, "LATE","ON TIME")</f>
        <v>ON TIME</v>
      </c>
      <c r="Z85" s="34" t="str">
        <f ca="1">IF(WFTracker[[#This Row],[Overdue Time '[Expected-Completion']]] &gt;= 15, "SUPER LATE", Y85)</f>
        <v>ON TIME</v>
      </c>
      <c r="AA85" s="37" t="str">
        <f>IF(WFTracker[[#This Row],[Pre RM Opening Time]]&lt;WFTracker[[#This Row],[Old vs New Order Lead Time WF dead line]], "LATE BY ENG", "ON TIME BY ENG")</f>
        <v>ON TIME BY ENG</v>
      </c>
      <c r="AB85" s="37"/>
      <c r="AC85" s="15" t="s">
        <v>29</v>
      </c>
      <c r="AD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85" s="31" t="str">
        <f ca="1">IF(WFTracker[[#This Row],[Impact Time Post RM]]&gt;0, "IMPACTED", "NOT IMPACTED")</f>
        <v>NOT IMPACTED</v>
      </c>
      <c r="AF85" s="15"/>
      <c r="AG85" s="18"/>
      <c r="AH85" s="14" t="str">
        <f>IF(WFTracker[[#This Row],[Status]]="C", "Closed", IF(WFTracker[[#This Row],[Status]] = "x", "Cancelled", WFTracker[[#This Row],[Impact Time Post RM]]))</f>
        <v>Closed</v>
      </c>
      <c r="AI85" s="14" t="str">
        <f ca="1">IF(WFTracker[[#This Row],[Impact Time Post RM]]&lt;=0,"ON TIME","LATE")</f>
        <v>ON TIME</v>
      </c>
      <c r="AJ85" s="14" t="s">
        <v>984</v>
      </c>
      <c r="AK85" s="14">
        <v>17</v>
      </c>
      <c r="AL85" s="915">
        <f>IF(WFTracker[[#This Row],[Type]]="MAKE", WFTracker[[#This Row],[Due date]]+Filters!$J$111, WFTracker[[#This Row],[Due date]]+Filters!$J$135)</f>
        <v>45765.415686274508</v>
      </c>
      <c r="AM85" s="101" cm="1">
        <f t="array" ref="AM8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6" spans="1:39" ht="14.45">
      <c r="A86" t="str">
        <f>IF(WFTracker[[#This Row],[Order Number]]="SWBD", "QED2", "PZ4")</f>
        <v>PZ4</v>
      </c>
      <c r="B86" s="21" t="s">
        <v>101</v>
      </c>
      <c r="C86" s="26" t="s">
        <v>102</v>
      </c>
      <c r="D86" s="11" t="str">
        <f>WFTracker[[#This Row],[Order Number]]  &amp; "-" &amp; WFTracker[[#This Row],[Item]]</f>
        <v>0050465708-000270</v>
      </c>
      <c r="E86" s="23" t="s">
        <v>1126</v>
      </c>
      <c r="F86" s="12">
        <v>45782</v>
      </c>
      <c r="G86" s="12"/>
      <c r="H86" s="11" t="s">
        <v>104</v>
      </c>
      <c r="I86" s="11" t="s">
        <v>186</v>
      </c>
      <c r="J86" s="13" t="s">
        <v>105</v>
      </c>
      <c r="K86" s="14" t="s">
        <v>1023</v>
      </c>
      <c r="L86" s="15" t="s">
        <v>40</v>
      </c>
      <c r="M86" s="15" t="s">
        <v>1120</v>
      </c>
      <c r="N86" s="56">
        <v>45897</v>
      </c>
      <c r="O86" s="15">
        <f>NETWORKDAYS.INTL(WFTracker[[#This Row],[Start date]],WFTracker[[#This Row],[RM]],1,Holidays!D397:D412)</f>
        <v>20</v>
      </c>
      <c r="P86" s="12">
        <v>45755</v>
      </c>
      <c r="Q86" s="12">
        <v>45765</v>
      </c>
      <c r="R86" s="12">
        <v>45764</v>
      </c>
      <c r="S86" s="27" t="b">
        <f>ISBLANK(WFTracker[[#This Row],[Completion Date]])</f>
        <v>0</v>
      </c>
      <c r="T86" s="27" t="str">
        <f>TEXT(WFTracker[[#This Row],[Start date]],"mmm-yyyy")</f>
        <v>Apr-2025</v>
      </c>
      <c r="U86" s="11">
        <v>5</v>
      </c>
      <c r="V86" s="11">
        <f>NETWORKDAYS.INTL(WFTracker[[#This Row],[Start date]],WFTracker[[#This Row],[Due date]],1,Holidays!D397:D412)</f>
        <v>9</v>
      </c>
      <c r="W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6" s="24">
        <f ca="1">WFTracker[[#This Row],[Active Time]]-WFTracker[[#This Row],[Completion Days Template]]</f>
        <v>-2</v>
      </c>
      <c r="Y86" s="34" t="str">
        <f ca="1" xml:space="preserve"> IF(WFTracker[[#This Row],[Overdue Time '[Expected-Completion']]]&gt;0, "LATE","ON TIME")</f>
        <v>ON TIME</v>
      </c>
      <c r="Z86" s="34" t="str">
        <f ca="1">IF(WFTracker[[#This Row],[Overdue Time '[Expected-Completion']]] &gt;= 15, "SUPER LATE", Y86)</f>
        <v>ON TIME</v>
      </c>
      <c r="AA86" s="37" t="str">
        <f>IF(WFTracker[[#This Row],[Pre RM Opening Time]]&lt;WFTracker[[#This Row],[Old vs New Order Lead Time WF dead line]], "LATE BY ENG", "ON TIME BY ENG")</f>
        <v>ON TIME BY ENG</v>
      </c>
      <c r="AB86" s="37"/>
      <c r="AC86" s="15" t="s">
        <v>29</v>
      </c>
      <c r="AD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86" s="31" t="str">
        <f ca="1">IF(WFTracker[[#This Row],[Impact Time Post RM]]&gt;0, "IMPACTED", "NOT IMPACTED")</f>
        <v>NOT IMPACTED</v>
      </c>
      <c r="AF86" s="15"/>
      <c r="AG86" s="18"/>
      <c r="AH86" s="14" t="str">
        <f>IF(WFTracker[[#This Row],[Status]]="C", "Closed", IF(WFTracker[[#This Row],[Status]] = "x", "Cancelled", WFTracker[[#This Row],[Impact Time Post RM]]))</f>
        <v>Closed</v>
      </c>
      <c r="AI86" s="14" t="str">
        <f ca="1">IF(WFTracker[[#This Row],[Impact Time Post RM]]&lt;=0,"ON TIME","LATE")</f>
        <v>ON TIME</v>
      </c>
      <c r="AJ86" s="14" t="s">
        <v>984</v>
      </c>
      <c r="AK86" s="14">
        <v>17</v>
      </c>
      <c r="AL86" s="915">
        <f>IF(WFTracker[[#This Row],[Type]]="MAKE", WFTracker[[#This Row],[Due date]]+Filters!$J$111, WFTracker[[#This Row],[Due date]]+Filters!$J$135)</f>
        <v>45765.415686274508</v>
      </c>
      <c r="AM86" s="101" cm="1">
        <f t="array" ref="AM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7" spans="1:39" ht="14.45">
      <c r="A87" t="str">
        <f>IF(WFTracker[[#This Row],[Order Number]]="SWBD", "QED2", "PZ4")</f>
        <v>PZ4</v>
      </c>
      <c r="B87" s="21" t="s">
        <v>33</v>
      </c>
      <c r="C87" s="26" t="s">
        <v>68</v>
      </c>
      <c r="D87" s="11" t="str">
        <f>WFTracker[[#This Row],[Order Number]]  &amp; "-" &amp; WFTracker[[#This Row],[Item]]</f>
        <v>0050206201-000170</v>
      </c>
      <c r="E87" s="23" t="s">
        <v>35</v>
      </c>
      <c r="F87" s="12">
        <v>45762</v>
      </c>
      <c r="G87" s="12"/>
      <c r="H87" s="11" t="s">
        <v>69</v>
      </c>
      <c r="I87" s="11" t="s">
        <v>24</v>
      </c>
      <c r="J87" s="13" t="s">
        <v>73</v>
      </c>
      <c r="K87" s="14" t="s">
        <v>1017</v>
      </c>
      <c r="L87" s="15" t="s">
        <v>27</v>
      </c>
      <c r="M87" s="15" t="s">
        <v>1120</v>
      </c>
      <c r="N87" s="56">
        <v>45888</v>
      </c>
      <c r="O87" s="15">
        <f>NETWORKDAYS.INTL(WFTracker[[#This Row],[Start date]],WFTracker[[#This Row],[RM]],1,Holidays!D81:D96)</f>
        <v>4</v>
      </c>
      <c r="P87" s="12">
        <v>45757</v>
      </c>
      <c r="Q87" s="12">
        <v>45768</v>
      </c>
      <c r="R87" s="12">
        <v>45777</v>
      </c>
      <c r="S87" s="27" t="b">
        <f>ISBLANK(WFTracker[[#This Row],[Completion Date]])</f>
        <v>0</v>
      </c>
      <c r="T87" s="27" t="str">
        <f>TEXT(WFTracker[[#This Row],[Start date]],"mmm-yyyy")</f>
        <v>Apr-2025</v>
      </c>
      <c r="U87" s="11">
        <v>5</v>
      </c>
      <c r="V87" s="11">
        <f>NETWORKDAYS.INTL(WFTracker[[#This Row],[Start date]],WFTracker[[#This Row],[Due date]],1,Holidays!D81:D96)</f>
        <v>8</v>
      </c>
      <c r="W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7" s="24">
        <f ca="1">WFTracker[[#This Row],[Active Time]]-WFTracker[[#This Row],[Completion Days Template]]</f>
        <v>5</v>
      </c>
      <c r="Y87" s="34" t="str">
        <f ca="1" xml:space="preserve"> IF(WFTracker[[#This Row],[Overdue Time '[Expected-Completion']]]&gt;0, "LATE","ON TIME")</f>
        <v>LATE</v>
      </c>
      <c r="Z87" s="34" t="str">
        <f ca="1">IF(WFTracker[[#This Row],[Overdue Time '[Expected-Completion']]] &gt;= 15, "SUPER LATE", Y87)</f>
        <v>LATE</v>
      </c>
      <c r="AA87" s="37" t="str">
        <f>IF(WFTracker[[#This Row],[Pre RM Opening Time]]&lt;WFTracker[[#This Row],[Old vs New Order Lead Time WF dead line]], "LATE BY ENG", "ON TIME BY ENG")</f>
        <v>LATE BY ENG</v>
      </c>
      <c r="AB87" s="37"/>
      <c r="AC87" s="15" t="str">
        <f>IF(WFTracker[[#This Row],[Competion Date Content]] = FALSE, "C", "i")</f>
        <v>C</v>
      </c>
      <c r="AD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87" s="105" t="str">
        <f ca="1">IF(WFTracker[[#This Row],[Impact Time Post RM]]&gt;0, "IMPACTED", "NOT IMPACTED")</f>
        <v>IMPACTED</v>
      </c>
      <c r="AF87" s="15"/>
      <c r="AG87" s="18"/>
      <c r="AH87" s="14" t="str">
        <f>IF(WFTracker[[#This Row],[Status]]="C", "Closed", IF(WFTracker[[#This Row],[Status]] = "x", "Cancelled", WFTracker[[#This Row],[Impact Time Post RM]]))</f>
        <v>Closed</v>
      </c>
      <c r="AI87" s="14" t="str">
        <f ca="1">IF(WFTracker[[#This Row],[Impact Time Post RM]]&lt;=0,"ON TIME","LATE")</f>
        <v>LATE</v>
      </c>
      <c r="AJ87" s="14" t="s">
        <v>984</v>
      </c>
      <c r="AK87" s="14">
        <v>18</v>
      </c>
      <c r="AL87" s="915">
        <f>IF(WFTracker[[#This Row],[Type]]="MAKE", WFTracker[[#This Row],[Due date]]+Filters!$J$111, WFTracker[[#This Row],[Due date]]+Filters!$J$135)</f>
        <v>45771.072512647552</v>
      </c>
      <c r="AM87" s="101" cm="1">
        <f t="array" ref="AM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8" spans="1:39" ht="14.45">
      <c r="A88" t="str">
        <f>IF(WFTracker[[#This Row],[Order Number]]="SWBD", "QED2", "PZ4")</f>
        <v>PZ4</v>
      </c>
      <c r="B88" s="21" t="s">
        <v>33</v>
      </c>
      <c r="C88" s="26" t="s">
        <v>79</v>
      </c>
      <c r="D88" s="11" t="str">
        <f>WFTracker[[#This Row],[Order Number]]  &amp; "-" &amp; WFTracker[[#This Row],[Item]]</f>
        <v>0050206201-000160</v>
      </c>
      <c r="E88" s="23" t="s">
        <v>35</v>
      </c>
      <c r="F88" s="12">
        <v>45769</v>
      </c>
      <c r="G88" s="12"/>
      <c r="H88" s="11" t="s">
        <v>80</v>
      </c>
      <c r="I88" s="11" t="s">
        <v>81</v>
      </c>
      <c r="J88" s="13" t="s">
        <v>82</v>
      </c>
      <c r="K88" s="14" t="s">
        <v>1017</v>
      </c>
      <c r="L88" s="15" t="s">
        <v>27</v>
      </c>
      <c r="M88" s="15" t="s">
        <v>1120</v>
      </c>
      <c r="N88" s="56">
        <v>45868</v>
      </c>
      <c r="O88" s="15">
        <f>NETWORKDAYS.INTL(WFTracker[[#This Row],[Start date]],WFTracker[[#This Row],[RM]],1,Holidays!D121:D136)</f>
        <v>9</v>
      </c>
      <c r="P88" s="12">
        <v>45757</v>
      </c>
      <c r="Q88" s="12">
        <v>45768</v>
      </c>
      <c r="R88" s="12">
        <v>45770</v>
      </c>
      <c r="S88" s="27" t="b">
        <f>ISBLANK(WFTracker[[#This Row],[Completion Date]])</f>
        <v>0</v>
      </c>
      <c r="T88" s="27" t="str">
        <f>TEXT(WFTracker[[#This Row],[Start date]],"mmm-yyyy")</f>
        <v>Apr-2025</v>
      </c>
      <c r="U88" s="11">
        <v>5</v>
      </c>
      <c r="V88" s="11">
        <f>NETWORKDAYS.INTL(WFTracker[[#This Row],[Start date]],WFTracker[[#This Row],[Due date]],1,Holidays!D121:D136)</f>
        <v>8</v>
      </c>
      <c r="W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88" s="24">
        <f ca="1">WFTracker[[#This Row],[Active Time]]-WFTracker[[#This Row],[Completion Days Template]]</f>
        <v>0</v>
      </c>
      <c r="Y88" s="34" t="str">
        <f ca="1" xml:space="preserve"> IF(WFTracker[[#This Row],[Overdue Time '[Expected-Completion']]]&gt;0, "LATE","ON TIME")</f>
        <v>ON TIME</v>
      </c>
      <c r="Z88" s="34" t="str">
        <f ca="1">IF(WFTracker[[#This Row],[Overdue Time '[Expected-Completion']]] &gt;= 15, "SUPER LATE", Y88)</f>
        <v>ON TIME</v>
      </c>
      <c r="AA88" s="37" t="str">
        <f>IF(WFTracker[[#This Row],[Pre RM Opening Time]]&lt;WFTracker[[#This Row],[Old vs New Order Lead Time WF dead line]], "LATE BY ENG", "ON TIME BY ENG")</f>
        <v>ON TIME BY ENG</v>
      </c>
      <c r="AB88" s="37"/>
      <c r="AC88" s="15" t="str">
        <f>IF(WFTracker[[#This Row],[Competion Date Content]] = FALSE, "C", "i")</f>
        <v>C</v>
      </c>
      <c r="AD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88" s="105" t="str">
        <f ca="1">IF(WFTracker[[#This Row],[Impact Time Post RM]]&gt;0, "IMPACTED", "NOT IMPACTED")</f>
        <v>IMPACTED</v>
      </c>
      <c r="AF88" s="15"/>
      <c r="AG88" s="18"/>
      <c r="AH88" s="14" t="str">
        <f>IF(WFTracker[[#This Row],[Status]]="C", "Closed", IF(WFTracker[[#This Row],[Status]] = "x", "Cancelled", WFTracker[[#This Row],[Impact Time Post RM]]))</f>
        <v>Closed</v>
      </c>
      <c r="AI88" s="14" t="str">
        <f ca="1">IF(WFTracker[[#This Row],[Impact Time Post RM]]&lt;=0,"ON TIME","LATE")</f>
        <v>LATE</v>
      </c>
      <c r="AJ88" s="14" t="s">
        <v>984</v>
      </c>
      <c r="AK88" s="14">
        <v>18</v>
      </c>
      <c r="AL88" s="915">
        <f>IF(WFTracker[[#This Row],[Type]]="MAKE", WFTracker[[#This Row],[Due date]]+Filters!$J$111, WFTracker[[#This Row],[Due date]]+Filters!$J$135)</f>
        <v>45771.072512647552</v>
      </c>
      <c r="AM88" s="101" cm="1">
        <f t="array" ref="AM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9" spans="1:39" ht="14.45">
      <c r="A89" t="str">
        <f>IF(WFTracker[[#This Row],[Order Number]]="SWBD", "QED2", "PZ4")</f>
        <v>PZ4</v>
      </c>
      <c r="B89" s="21" t="s">
        <v>33</v>
      </c>
      <c r="C89" s="26" t="s">
        <v>79</v>
      </c>
      <c r="D89" s="11" t="str">
        <f>WFTracker[[#This Row],[Order Number]]  &amp; "-" &amp; WFTracker[[#This Row],[Item]]</f>
        <v>0050206201-000160</v>
      </c>
      <c r="E89" s="23" t="s">
        <v>35</v>
      </c>
      <c r="F89" s="12">
        <v>45769</v>
      </c>
      <c r="G89" s="12"/>
      <c r="H89" s="11" t="s">
        <v>80</v>
      </c>
      <c r="I89" s="11" t="s">
        <v>81</v>
      </c>
      <c r="J89" s="13" t="s">
        <v>86</v>
      </c>
      <c r="K89" s="14" t="s">
        <v>1017</v>
      </c>
      <c r="L89" s="15" t="s">
        <v>27</v>
      </c>
      <c r="M89" s="15" t="s">
        <v>1120</v>
      </c>
      <c r="N89" s="56">
        <v>45868</v>
      </c>
      <c r="O89" s="15">
        <f>NETWORKDAYS.INTL(WFTracker[[#This Row],[Start date]],WFTracker[[#This Row],[RM]],1,Holidays!D122:D137)</f>
        <v>9</v>
      </c>
      <c r="P89" s="12">
        <v>45757</v>
      </c>
      <c r="Q89" s="12">
        <v>45768</v>
      </c>
      <c r="R89" s="12">
        <v>45770</v>
      </c>
      <c r="S89" s="27" t="b">
        <f>ISBLANK(WFTracker[[#This Row],[Completion Date]])</f>
        <v>0</v>
      </c>
      <c r="T89" s="27" t="str">
        <f>TEXT(WFTracker[[#This Row],[Start date]],"mmm-yyyy")</f>
        <v>Apr-2025</v>
      </c>
      <c r="U89" s="11">
        <v>5</v>
      </c>
      <c r="V89" s="11">
        <f>NETWORKDAYS.INTL(WFTracker[[#This Row],[Start date]],WFTracker[[#This Row],[Due date]],1,Holidays!D122:D137)</f>
        <v>8</v>
      </c>
      <c r="W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89" s="24">
        <f ca="1">WFTracker[[#This Row],[Active Time]]-WFTracker[[#This Row],[Completion Days Template]]</f>
        <v>0</v>
      </c>
      <c r="Y89" s="34" t="str">
        <f ca="1" xml:space="preserve"> IF(WFTracker[[#This Row],[Overdue Time '[Expected-Completion']]]&gt;0, "LATE","ON TIME")</f>
        <v>ON TIME</v>
      </c>
      <c r="Z89" s="34" t="str">
        <f ca="1">IF(WFTracker[[#This Row],[Overdue Time '[Expected-Completion']]] &gt;= 15, "SUPER LATE", Y89)</f>
        <v>ON TIME</v>
      </c>
      <c r="AA89" s="37" t="str">
        <f>IF(WFTracker[[#This Row],[Pre RM Opening Time]]&lt;WFTracker[[#This Row],[Old vs New Order Lead Time WF dead line]], "LATE BY ENG", "ON TIME BY ENG")</f>
        <v>ON TIME BY ENG</v>
      </c>
      <c r="AB89" s="37"/>
      <c r="AC89" s="15" t="str">
        <f>IF(WFTracker[[#This Row],[Competion Date Content]] = FALSE, "C", "i")</f>
        <v>C</v>
      </c>
      <c r="AD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89" s="105" t="str">
        <f ca="1">IF(WFTracker[[#This Row],[Impact Time Post RM]]&gt;0, "IMPACTED", "NOT IMPACTED")</f>
        <v>IMPACTED</v>
      </c>
      <c r="AF89" s="15"/>
      <c r="AG89" s="18"/>
      <c r="AH89" s="14" t="str">
        <f>IF(WFTracker[[#This Row],[Status]]="C", "Closed", IF(WFTracker[[#This Row],[Status]] = "x", "Cancelled", WFTracker[[#This Row],[Impact Time Post RM]]))</f>
        <v>Closed</v>
      </c>
      <c r="AI89" s="14" t="str">
        <f ca="1">IF(WFTracker[[#This Row],[Impact Time Post RM]]&lt;=0,"ON TIME","LATE")</f>
        <v>LATE</v>
      </c>
      <c r="AJ89" s="14" t="s">
        <v>984</v>
      </c>
      <c r="AK89" s="14">
        <v>18</v>
      </c>
      <c r="AL89" s="915">
        <f>IF(WFTracker[[#This Row],[Type]]="MAKE", WFTracker[[#This Row],[Due date]]+Filters!$J$111, WFTracker[[#This Row],[Due date]]+Filters!$J$135)</f>
        <v>45771.072512647552</v>
      </c>
      <c r="AM89" s="101" cm="1">
        <f t="array" ref="AM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0" spans="1:39" ht="14.45">
      <c r="A90" t="str">
        <f>IF(WFTracker[[#This Row],[Order Number]]="SWBD", "QED2", "PZ4")</f>
        <v>PZ4</v>
      </c>
      <c r="B90" s="21" t="s">
        <v>182</v>
      </c>
      <c r="C90" s="26" t="s">
        <v>192</v>
      </c>
      <c r="D90" s="11" t="str">
        <f>WFTracker[[#This Row],[Order Number]]  &amp; "-" &amp; WFTracker[[#This Row],[Item]]</f>
        <v>0051199249-000040</v>
      </c>
      <c r="E90" s="23" t="s">
        <v>184</v>
      </c>
      <c r="F90" s="12">
        <v>45768</v>
      </c>
      <c r="G90" s="12"/>
      <c r="H90" s="11" t="s">
        <v>110</v>
      </c>
      <c r="I90" s="11" t="s">
        <v>111</v>
      </c>
      <c r="J90" s="13" t="s">
        <v>204</v>
      </c>
      <c r="K90" s="14" t="s">
        <v>1017</v>
      </c>
      <c r="L90" s="15" t="s">
        <v>27</v>
      </c>
      <c r="M90" s="15" t="s">
        <v>1120</v>
      </c>
      <c r="N90" s="56">
        <v>45869</v>
      </c>
      <c r="O90" s="15">
        <f>NETWORKDAYS.INTL(WFTracker[[#This Row],[Start date]],WFTracker[[#This Row],[RM]],1,Holidays!D82:D97)</f>
        <v>6</v>
      </c>
      <c r="P90" s="12">
        <v>45761</v>
      </c>
      <c r="Q90" s="12">
        <v>45770</v>
      </c>
      <c r="R90" s="12">
        <v>45776</v>
      </c>
      <c r="S90" s="27" t="b">
        <f>ISBLANK(WFTracker[[#This Row],[Completion Date]])</f>
        <v>0</v>
      </c>
      <c r="T90" s="27" t="str">
        <f>TEXT(WFTracker[[#This Row],[Start date]],"mmm-yyyy")</f>
        <v>Apr-2025</v>
      </c>
      <c r="U90" s="11">
        <v>5</v>
      </c>
      <c r="V90" s="11">
        <f>NETWORKDAYS.INTL(WFTracker[[#This Row],[Start date]],WFTracker[[#This Row],[Due date]],1,Holidays!D82:D97)</f>
        <v>8</v>
      </c>
      <c r="W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90" s="24">
        <f ca="1">WFTracker[[#This Row],[Active Time]]-WFTracker[[#This Row],[Completion Days Template]]</f>
        <v>2</v>
      </c>
      <c r="Y90" s="34" t="str">
        <f ca="1" xml:space="preserve"> IF(WFTracker[[#This Row],[Overdue Time '[Expected-Completion']]]&gt;0, "LATE","ON TIME")</f>
        <v>LATE</v>
      </c>
      <c r="Z90" s="34" t="str">
        <f ca="1">IF(WFTracker[[#This Row],[Overdue Time '[Expected-Completion']]] &gt;= 15, "SUPER LATE", Y90)</f>
        <v>LATE</v>
      </c>
      <c r="AA90" s="37" t="str">
        <f>IF(WFTracker[[#This Row],[Pre RM Opening Time]]&lt;WFTracker[[#This Row],[Old vs New Order Lead Time WF dead line]], "LATE BY ENG", "ON TIME BY ENG")</f>
        <v>ON TIME BY ENG</v>
      </c>
      <c r="AB90" s="37"/>
      <c r="AC90" s="15" t="str">
        <f>IF(WFTracker[[#This Row],[Competion Date Content]] = FALSE, "C", "i")</f>
        <v>C</v>
      </c>
      <c r="AD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90" s="105" t="str">
        <f ca="1">IF(WFTracker[[#This Row],[Impact Time Post RM]]&gt;0, "IMPACTED", "NOT IMPACTED")</f>
        <v>IMPACTED</v>
      </c>
      <c r="AF90" s="15"/>
      <c r="AG90" s="18"/>
      <c r="AH90" s="14" t="str">
        <f>IF(WFTracker[[#This Row],[Status]]="C", "Closed", IF(WFTracker[[#This Row],[Status]] = "x", "Cancelled", WFTracker[[#This Row],[Impact Time Post RM]]))</f>
        <v>Closed</v>
      </c>
      <c r="AI90" s="14" t="str">
        <f ca="1">IF(WFTracker[[#This Row],[Impact Time Post RM]]&lt;=0,"ON TIME","LATE")</f>
        <v>LATE</v>
      </c>
      <c r="AJ90" s="14" t="s">
        <v>984</v>
      </c>
      <c r="AK90" s="14">
        <v>18</v>
      </c>
      <c r="AL90" s="915">
        <f>IF(WFTracker[[#This Row],[Type]]="MAKE", WFTracker[[#This Row],[Due date]]+Filters!$J$111, WFTracker[[#This Row],[Due date]]+Filters!$J$135)</f>
        <v>45773.072512647552</v>
      </c>
      <c r="AM90" s="101" cm="1">
        <f t="array" ref="AM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1" spans="1:39" ht="14.45">
      <c r="A91" t="str">
        <f>IF(WFTracker[[#This Row],[Order Number]]="SWBD", "QED2", "PZ4")</f>
        <v>PZ4</v>
      </c>
      <c r="B91" s="21" t="s">
        <v>182</v>
      </c>
      <c r="C91" s="26" t="s">
        <v>192</v>
      </c>
      <c r="D91" s="11" t="str">
        <f>WFTracker[[#This Row],[Order Number]]  &amp; "-" &amp; WFTracker[[#This Row],[Item]]</f>
        <v>0051199249-000040</v>
      </c>
      <c r="E91" s="23" t="s">
        <v>184</v>
      </c>
      <c r="F91" s="12">
        <v>45768</v>
      </c>
      <c r="G91" s="12"/>
      <c r="H91" s="11" t="s">
        <v>110</v>
      </c>
      <c r="I91" s="11" t="s">
        <v>111</v>
      </c>
      <c r="J91" s="13" t="s">
        <v>206</v>
      </c>
      <c r="K91" s="14" t="s">
        <v>1017</v>
      </c>
      <c r="L91" s="15" t="s">
        <v>27</v>
      </c>
      <c r="M91" s="15" t="s">
        <v>1120</v>
      </c>
      <c r="N91" s="56">
        <v>45869</v>
      </c>
      <c r="O91" s="15">
        <f>NETWORKDAYS.INTL(WFTracker[[#This Row],[Start date]],WFTracker[[#This Row],[RM]],1,Holidays!D83:D98)</f>
        <v>6</v>
      </c>
      <c r="P91" s="12">
        <v>45761</v>
      </c>
      <c r="Q91" s="12">
        <v>45771</v>
      </c>
      <c r="R91" s="12">
        <v>45777</v>
      </c>
      <c r="S91" s="27" t="b">
        <f>ISBLANK(WFTracker[[#This Row],[Completion Date]])</f>
        <v>0</v>
      </c>
      <c r="T91" s="27" t="str">
        <f>TEXT(WFTracker[[#This Row],[Start date]],"mmm-yyyy")</f>
        <v>Apr-2025</v>
      </c>
      <c r="U91" s="11">
        <v>5</v>
      </c>
      <c r="V91" s="11">
        <f>NETWORKDAYS.INTL(WFTracker[[#This Row],[Start date]],WFTracker[[#This Row],[Due date]],1,Holidays!D83:D98)</f>
        <v>9</v>
      </c>
      <c r="W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91" s="24">
        <f ca="1">WFTracker[[#This Row],[Active Time]]-WFTracker[[#This Row],[Completion Days Template]]</f>
        <v>2</v>
      </c>
      <c r="Y91" s="34" t="str">
        <f ca="1" xml:space="preserve"> IF(WFTracker[[#This Row],[Overdue Time '[Expected-Completion']]]&gt;0, "LATE","ON TIME")</f>
        <v>LATE</v>
      </c>
      <c r="Z91" s="34" t="str">
        <f ca="1">IF(WFTracker[[#This Row],[Overdue Time '[Expected-Completion']]] &gt;= 15, "SUPER LATE", Y91)</f>
        <v>LATE</v>
      </c>
      <c r="AA91" s="37" t="str">
        <f>IF(WFTracker[[#This Row],[Pre RM Opening Time]]&lt;WFTracker[[#This Row],[Old vs New Order Lead Time WF dead line]], "LATE BY ENG", "ON TIME BY ENG")</f>
        <v>ON TIME BY ENG</v>
      </c>
      <c r="AB91" s="37"/>
      <c r="AC91" s="15" t="str">
        <f>IF(WFTracker[[#This Row],[Competion Date Content]] = FALSE, "C", "i")</f>
        <v>C</v>
      </c>
      <c r="AD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91" s="105" t="str">
        <f ca="1">IF(WFTracker[[#This Row],[Impact Time Post RM]]&gt;0, "IMPACTED", "NOT IMPACTED")</f>
        <v>IMPACTED</v>
      </c>
      <c r="AF91" s="15"/>
      <c r="AG91" s="18"/>
      <c r="AH91" s="14" t="str">
        <f>IF(WFTracker[[#This Row],[Status]]="C", "Closed", IF(WFTracker[[#This Row],[Status]] = "x", "Cancelled", WFTracker[[#This Row],[Impact Time Post RM]]))</f>
        <v>Closed</v>
      </c>
      <c r="AI91" s="14" t="str">
        <f ca="1">IF(WFTracker[[#This Row],[Impact Time Post RM]]&lt;=0,"ON TIME","LATE")</f>
        <v>LATE</v>
      </c>
      <c r="AJ91" s="14" t="s">
        <v>984</v>
      </c>
      <c r="AK91" s="14">
        <v>18</v>
      </c>
      <c r="AL91" s="915">
        <f>IF(WFTracker[[#This Row],[Type]]="MAKE", WFTracker[[#This Row],[Due date]]+Filters!$J$111, WFTracker[[#This Row],[Due date]]+Filters!$J$135)</f>
        <v>45774.072512647552</v>
      </c>
      <c r="AM91" s="101" cm="1">
        <f t="array" ref="AM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2" spans="1:39" ht="14.45">
      <c r="A92" t="str">
        <f>IF(WFTracker[[#This Row],[Order Number]]="SWBD", "QED2", "PZ4")</f>
        <v>PZ4</v>
      </c>
      <c r="B92" s="21" t="s">
        <v>182</v>
      </c>
      <c r="C92" s="26" t="s">
        <v>192</v>
      </c>
      <c r="D92" s="11" t="str">
        <f>WFTracker[[#This Row],[Order Number]]  &amp; "-" &amp; WFTracker[[#This Row],[Item]]</f>
        <v>0051199249-000040</v>
      </c>
      <c r="E92" s="23" t="s">
        <v>184</v>
      </c>
      <c r="F92" s="12">
        <v>45768</v>
      </c>
      <c r="G92" s="12"/>
      <c r="H92" s="11" t="s">
        <v>110</v>
      </c>
      <c r="I92" s="11" t="s">
        <v>111</v>
      </c>
      <c r="J92" s="13" t="s">
        <v>205</v>
      </c>
      <c r="K92" s="14" t="s">
        <v>1017</v>
      </c>
      <c r="L92" s="15" t="s">
        <v>40</v>
      </c>
      <c r="M92" s="15" t="s">
        <v>1120</v>
      </c>
      <c r="N92" s="56">
        <v>45869</v>
      </c>
      <c r="O92" s="15">
        <f>NETWORKDAYS.INTL(WFTracker[[#This Row],[Start date]],WFTracker[[#This Row],[RM]],1,Holidays!D84:D99)</f>
        <v>6</v>
      </c>
      <c r="P92" s="12">
        <v>45761</v>
      </c>
      <c r="Q92" s="12">
        <v>45775</v>
      </c>
      <c r="R92" s="12">
        <v>45777</v>
      </c>
      <c r="S92" s="27" t="b">
        <f>ISBLANK(WFTracker[[#This Row],[Completion Date]])</f>
        <v>0</v>
      </c>
      <c r="T92" s="27" t="str">
        <f>TEXT(WFTracker[[#This Row],[Start date]],"mmm-yyyy")</f>
        <v>Apr-2025</v>
      </c>
      <c r="U92" s="11">
        <v>5</v>
      </c>
      <c r="V92" s="11">
        <f>NETWORKDAYS.INTL(WFTracker[[#This Row],[Start date]],WFTracker[[#This Row],[Due date]],1,Holidays!D84:D99)</f>
        <v>11</v>
      </c>
      <c r="W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92" s="24">
        <f ca="1">WFTracker[[#This Row],[Active Time]]-WFTracker[[#This Row],[Completion Days Template]]</f>
        <v>0</v>
      </c>
      <c r="Y92" s="34" t="str">
        <f ca="1" xml:space="preserve"> IF(WFTracker[[#This Row],[Overdue Time '[Expected-Completion']]]&gt;0, "LATE","ON TIME")</f>
        <v>ON TIME</v>
      </c>
      <c r="Z92" s="34" t="str">
        <f ca="1">IF(WFTracker[[#This Row],[Overdue Time '[Expected-Completion']]] &gt;= 15, "SUPER LATE", Y92)</f>
        <v>ON TIME</v>
      </c>
      <c r="AA92" s="37" t="str">
        <f>IF(WFTracker[[#This Row],[Pre RM Opening Time]]&lt;WFTracker[[#This Row],[Old vs New Order Lead Time WF dead line]], "LATE BY ENG", "ON TIME BY ENG")</f>
        <v>ON TIME BY ENG</v>
      </c>
      <c r="AB92" s="37"/>
      <c r="AC92" s="15" t="str">
        <f>IF(WFTracker[[#This Row],[Competion Date Content]] = FALSE, "C", "i")</f>
        <v>C</v>
      </c>
      <c r="AD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92" s="105" t="str">
        <f ca="1">IF(WFTracker[[#This Row],[Impact Time Post RM]]&gt;0, "IMPACTED", "NOT IMPACTED")</f>
        <v>IMPACTED</v>
      </c>
      <c r="AF92" s="15"/>
      <c r="AG92" s="18"/>
      <c r="AH92" s="14" t="str">
        <f>IF(WFTracker[[#This Row],[Status]]="C", "Closed", IF(WFTracker[[#This Row],[Status]] = "x", "Cancelled", WFTracker[[#This Row],[Impact Time Post RM]]))</f>
        <v>Closed</v>
      </c>
      <c r="AI92" s="14" t="str">
        <f ca="1">IF(WFTracker[[#This Row],[Impact Time Post RM]]&lt;=0,"ON TIME","LATE")</f>
        <v>LATE</v>
      </c>
      <c r="AJ92" s="14" t="s">
        <v>984</v>
      </c>
      <c r="AK92" s="14">
        <v>17</v>
      </c>
      <c r="AL92" s="915">
        <f>IF(WFTracker[[#This Row],[Type]]="MAKE", WFTracker[[#This Row],[Due date]]+Filters!$J$111, WFTracker[[#This Row],[Due date]]+Filters!$J$135)</f>
        <v>45775.415686274508</v>
      </c>
      <c r="AM92" s="101" cm="1">
        <f t="array" ref="AM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3" spans="1:39" ht="14.45">
      <c r="A93" t="str">
        <f>IF(WFTracker[[#This Row],[Order Number]]="SWBD", "QED2", "PZ4")</f>
        <v>PZ4</v>
      </c>
      <c r="B93" s="21" t="s">
        <v>33</v>
      </c>
      <c r="C93" s="26" t="s">
        <v>79</v>
      </c>
      <c r="D93" s="11" t="str">
        <f>WFTracker[[#This Row],[Order Number]]  &amp; "-" &amp; WFTracker[[#This Row],[Item]]</f>
        <v>0050206201-000160</v>
      </c>
      <c r="E93" s="23" t="s">
        <v>35</v>
      </c>
      <c r="F93" s="12">
        <v>45769</v>
      </c>
      <c r="G93" s="12"/>
      <c r="H93" s="11" t="s">
        <v>80</v>
      </c>
      <c r="I93" s="11" t="s">
        <v>81</v>
      </c>
      <c r="J93" s="13" t="s">
        <v>94</v>
      </c>
      <c r="K93" s="14" t="s">
        <v>1017</v>
      </c>
      <c r="L93" s="15" t="s">
        <v>40</v>
      </c>
      <c r="M93" s="15" t="s">
        <v>1120</v>
      </c>
      <c r="N93" s="56">
        <v>45868</v>
      </c>
      <c r="O93" s="15">
        <f>NETWORKDAYS.INTL(WFTracker[[#This Row],[Start date]],WFTracker[[#This Row],[RM]],1,Holidays!D88:D103)</f>
        <v>7</v>
      </c>
      <c r="P93" s="12">
        <v>45761</v>
      </c>
      <c r="Q93" s="12">
        <v>45775</v>
      </c>
      <c r="R93" s="12">
        <v>45777</v>
      </c>
      <c r="S93" s="27" t="b">
        <f>ISBLANK(WFTracker[[#This Row],[Completion Date]])</f>
        <v>0</v>
      </c>
      <c r="T93" s="27" t="str">
        <f>TEXT(WFTracker[[#This Row],[Start date]],"mmm-yyyy")</f>
        <v>Apr-2025</v>
      </c>
      <c r="U93" s="11">
        <v>5</v>
      </c>
      <c r="V93" s="11">
        <f>NETWORKDAYS.INTL(WFTracker[[#This Row],[Start date]],WFTracker[[#This Row],[Due date]],1,Holidays!D88:D103)</f>
        <v>11</v>
      </c>
      <c r="W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93" s="24">
        <f ca="1">WFTracker[[#This Row],[Active Time]]-WFTracker[[#This Row],[Completion Days Template]]</f>
        <v>0</v>
      </c>
      <c r="Y93" s="34" t="str">
        <f ca="1" xml:space="preserve"> IF(WFTracker[[#This Row],[Overdue Time '[Expected-Completion']]]&gt;0, "LATE","ON TIME")</f>
        <v>ON TIME</v>
      </c>
      <c r="Z93" s="34" t="str">
        <f ca="1">IF(WFTracker[[#This Row],[Overdue Time '[Expected-Completion']]] &gt;= 15, "SUPER LATE", Y93)</f>
        <v>ON TIME</v>
      </c>
      <c r="AA93" s="37" t="str">
        <f>IF(WFTracker[[#This Row],[Pre RM Opening Time]]&lt;WFTracker[[#This Row],[Old vs New Order Lead Time WF dead line]], "LATE BY ENG", "ON TIME BY ENG")</f>
        <v>ON TIME BY ENG</v>
      </c>
      <c r="AB93" s="37"/>
      <c r="AC93" s="15" t="str">
        <f>IF(WFTracker[[#This Row],[Competion Date Content]] = FALSE, "C", "i")</f>
        <v>C</v>
      </c>
      <c r="AD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93" s="105" t="str">
        <f ca="1">IF(WFTracker[[#This Row],[Impact Time Post RM]]&gt;0, "IMPACTED", "NOT IMPACTED")</f>
        <v>IMPACTED</v>
      </c>
      <c r="AF93" s="15"/>
      <c r="AG93" s="18"/>
      <c r="AH93" s="14" t="str">
        <f>IF(WFTracker[[#This Row],[Status]]="C", "Closed", IF(WFTracker[[#This Row],[Status]] = "x", "Cancelled", WFTracker[[#This Row],[Impact Time Post RM]]))</f>
        <v>Closed</v>
      </c>
      <c r="AI93" s="14" t="str">
        <f ca="1">IF(WFTracker[[#This Row],[Impact Time Post RM]]&lt;=0,"ON TIME","LATE")</f>
        <v>LATE</v>
      </c>
      <c r="AJ93" s="14" t="s">
        <v>984</v>
      </c>
      <c r="AK93" s="14">
        <v>17</v>
      </c>
      <c r="AL93" s="915">
        <f>IF(WFTracker[[#This Row],[Type]]="MAKE", WFTracker[[#This Row],[Due date]]+Filters!$J$111, WFTracker[[#This Row],[Due date]]+Filters!$J$135)</f>
        <v>45775.415686274508</v>
      </c>
      <c r="AM93" s="101" cm="1">
        <f t="array" ref="AM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4" spans="1:39" ht="14.45">
      <c r="A94" t="str">
        <f>IF(WFTracker[[#This Row],[Order Number]]="SWBD", "QED2", "PZ4")</f>
        <v>PZ4</v>
      </c>
      <c r="B94" s="21" t="s">
        <v>182</v>
      </c>
      <c r="C94" s="26" t="s">
        <v>192</v>
      </c>
      <c r="D94" s="11" t="str">
        <f>WFTracker[[#This Row],[Order Number]]  &amp; "-" &amp; WFTracker[[#This Row],[Item]]</f>
        <v>0051199249-000040</v>
      </c>
      <c r="E94" s="23" t="s">
        <v>184</v>
      </c>
      <c r="F94" s="12">
        <v>45768</v>
      </c>
      <c r="G94" s="12"/>
      <c r="H94" s="11" t="s">
        <v>110</v>
      </c>
      <c r="I94" s="11" t="s">
        <v>111</v>
      </c>
      <c r="J94" s="13" t="s">
        <v>208</v>
      </c>
      <c r="K94" s="14" t="s">
        <v>1017</v>
      </c>
      <c r="L94" s="15" t="s">
        <v>27</v>
      </c>
      <c r="M94" s="15" t="s">
        <v>1120</v>
      </c>
      <c r="N94" s="56">
        <v>45869</v>
      </c>
      <c r="O94" s="15">
        <f>NETWORKDAYS.INTL(WFTracker[[#This Row],[Start date]],WFTracker[[#This Row],[RM]],1,Holidays!D75:D90)</f>
        <v>5</v>
      </c>
      <c r="P94" s="12">
        <v>45762</v>
      </c>
      <c r="Q94" s="12">
        <v>45771</v>
      </c>
      <c r="R94" s="12">
        <v>45770</v>
      </c>
      <c r="S94" s="27" t="b">
        <f>ISBLANK(WFTracker[[#This Row],[Completion Date]])</f>
        <v>0</v>
      </c>
      <c r="T94" s="27" t="str">
        <f>TEXT(WFTracker[[#This Row],[Start date]],"mmm-yyyy")</f>
        <v>Apr-2025</v>
      </c>
      <c r="U94" s="11">
        <v>5</v>
      </c>
      <c r="V94" s="11">
        <f>NETWORKDAYS.INTL(WFTracker[[#This Row],[Start date]],WFTracker[[#This Row],[Due date]],1,Holidays!D75:D90)</f>
        <v>8</v>
      </c>
      <c r="W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94" s="24">
        <f ca="1">WFTracker[[#This Row],[Active Time]]-WFTracker[[#This Row],[Completion Days Template]]</f>
        <v>-3</v>
      </c>
      <c r="Y94" s="34" t="str">
        <f ca="1" xml:space="preserve"> IF(WFTracker[[#This Row],[Overdue Time '[Expected-Completion']]]&gt;0, "LATE","ON TIME")</f>
        <v>ON TIME</v>
      </c>
      <c r="Z94" s="34" t="str">
        <f ca="1">IF(WFTracker[[#This Row],[Overdue Time '[Expected-Completion']]] &gt;= 15, "SUPER LATE", Y94)</f>
        <v>ON TIME</v>
      </c>
      <c r="AA94" s="37" t="str">
        <f>IF(WFTracker[[#This Row],[Pre RM Opening Time]]&lt;WFTracker[[#This Row],[Old vs New Order Lead Time WF dead line]], "LATE BY ENG", "ON TIME BY ENG")</f>
        <v>ON TIME BY ENG</v>
      </c>
      <c r="AB94" s="37"/>
      <c r="AC94" s="15" t="str">
        <f>IF(WFTracker[[#This Row],[Competion Date Content]] = FALSE, "C", "i")</f>
        <v>C</v>
      </c>
      <c r="AD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94" s="105" t="str">
        <f ca="1">IF(WFTracker[[#This Row],[Impact Time Post RM]]&gt;0, "IMPACTED", "NOT IMPACTED")</f>
        <v>IMPACTED</v>
      </c>
      <c r="AF94" s="15"/>
      <c r="AG94" s="18"/>
      <c r="AH94" s="14" t="str">
        <f>IF(WFTracker[[#This Row],[Status]]="C", "Closed", IF(WFTracker[[#This Row],[Status]] = "x", "Cancelled", WFTracker[[#This Row],[Impact Time Post RM]]))</f>
        <v>Closed</v>
      </c>
      <c r="AI94" s="14" t="str">
        <f ca="1">IF(WFTracker[[#This Row],[Impact Time Post RM]]&lt;=0,"ON TIME","LATE")</f>
        <v>LATE</v>
      </c>
      <c r="AJ94" s="14" t="s">
        <v>984</v>
      </c>
      <c r="AK94" s="14">
        <v>18</v>
      </c>
      <c r="AL94" s="915">
        <f>IF(WFTracker[[#This Row],[Type]]="MAKE", WFTracker[[#This Row],[Due date]]+Filters!$J$111, WFTracker[[#This Row],[Due date]]+Filters!$J$135)</f>
        <v>45774.072512647552</v>
      </c>
      <c r="AM94" s="101" cm="1">
        <f t="array" ref="AM9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5" spans="1:39" ht="14.45">
      <c r="A95" t="str">
        <f>IF(WFTracker[[#This Row],[Order Number]]="SWBD", "QED2", "PZ4")</f>
        <v>PZ4</v>
      </c>
      <c r="B95" s="21" t="s">
        <v>182</v>
      </c>
      <c r="C95" s="26" t="s">
        <v>192</v>
      </c>
      <c r="D95" s="11" t="str">
        <f>WFTracker[[#This Row],[Order Number]]  &amp; "-" &amp; WFTracker[[#This Row],[Item]]</f>
        <v>0051199249-000040</v>
      </c>
      <c r="E95" s="23" t="s">
        <v>184</v>
      </c>
      <c r="F95" s="12">
        <v>45768</v>
      </c>
      <c r="G95" s="12"/>
      <c r="H95" s="11" t="s">
        <v>110</v>
      </c>
      <c r="I95" s="11" t="s">
        <v>111</v>
      </c>
      <c r="J95" s="13" t="s">
        <v>207</v>
      </c>
      <c r="K95" s="14" t="s">
        <v>1017</v>
      </c>
      <c r="L95" s="15" t="s">
        <v>40</v>
      </c>
      <c r="M95" s="15" t="s">
        <v>1120</v>
      </c>
      <c r="N95" s="56">
        <v>45869</v>
      </c>
      <c r="O95" s="15">
        <f>NETWORKDAYS.INTL(WFTracker[[#This Row],[Start date]],WFTracker[[#This Row],[RM]],1,Holidays!D76:D91)</f>
        <v>5</v>
      </c>
      <c r="P95" s="12">
        <v>45762</v>
      </c>
      <c r="Q95" s="12">
        <v>45776</v>
      </c>
      <c r="R95" s="12">
        <v>45772</v>
      </c>
      <c r="S95" s="27" t="b">
        <f>ISBLANK(WFTracker[[#This Row],[Completion Date]])</f>
        <v>0</v>
      </c>
      <c r="T95" s="27" t="str">
        <f>TEXT(WFTracker[[#This Row],[Start date]],"mmm-yyyy")</f>
        <v>Apr-2025</v>
      </c>
      <c r="U95" s="11">
        <v>5</v>
      </c>
      <c r="V95" s="11">
        <f>NETWORKDAYS.INTL(WFTracker[[#This Row],[Start date]],WFTracker[[#This Row],[Due date]],1,Holidays!D76:D91)</f>
        <v>11</v>
      </c>
      <c r="W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95" s="24">
        <f ca="1">WFTracker[[#This Row],[Active Time]]-WFTracker[[#This Row],[Completion Days Template]]</f>
        <v>-4</v>
      </c>
      <c r="Y95" s="34" t="str">
        <f ca="1" xml:space="preserve"> IF(WFTracker[[#This Row],[Overdue Time '[Expected-Completion']]]&gt;0, "LATE","ON TIME")</f>
        <v>ON TIME</v>
      </c>
      <c r="Z95" s="34" t="str">
        <f ca="1">IF(WFTracker[[#This Row],[Overdue Time '[Expected-Completion']]] &gt;= 15, "SUPER LATE", Y95)</f>
        <v>ON TIME</v>
      </c>
      <c r="AA95" s="37" t="str">
        <f>IF(WFTracker[[#This Row],[Pre RM Opening Time]]&lt;WFTracker[[#This Row],[Old vs New Order Lead Time WF dead line]], "LATE BY ENG", "ON TIME BY ENG")</f>
        <v>ON TIME BY ENG</v>
      </c>
      <c r="AB95" s="37"/>
      <c r="AC95" s="15" t="str">
        <f>IF(WFTracker[[#This Row],[Competion Date Content]] = FALSE, "C", "i")</f>
        <v>C</v>
      </c>
      <c r="AD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95" s="31" t="str">
        <f ca="1">IF(WFTracker[[#This Row],[Impact Time Post RM]]&gt;0, "IMPACTED", "NOT IMPACTED")</f>
        <v>IMPACTED</v>
      </c>
      <c r="AF95" s="15"/>
      <c r="AG95" s="18"/>
      <c r="AH95" s="14" t="str">
        <f>IF(WFTracker[[#This Row],[Status]]="C", "Closed", IF(WFTracker[[#This Row],[Status]] = "x", "Cancelled", WFTracker[[#This Row],[Impact Time Post RM]]))</f>
        <v>Closed</v>
      </c>
      <c r="AI95" s="14" t="str">
        <f ca="1">IF(WFTracker[[#This Row],[Impact Time Post RM]]&lt;=0,"ON TIME","LATE")</f>
        <v>LATE</v>
      </c>
      <c r="AJ95" s="14" t="s">
        <v>984</v>
      </c>
      <c r="AK95" s="14">
        <v>17</v>
      </c>
      <c r="AL95" s="915">
        <f>IF(WFTracker[[#This Row],[Type]]="MAKE", WFTracker[[#This Row],[Due date]]+Filters!$J$111, WFTracker[[#This Row],[Due date]]+Filters!$J$135)</f>
        <v>45776.415686274508</v>
      </c>
      <c r="AM95" s="101" cm="1">
        <f t="array" ref="AM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6" spans="1:39" ht="14.45">
      <c r="A96" t="str">
        <f>IF(WFTracker[[#This Row],[Order Number]]="SWBD", "QED2", "PZ4")</f>
        <v>PZ4</v>
      </c>
      <c r="B96" s="21" t="s">
        <v>33</v>
      </c>
      <c r="C96" s="26" t="s">
        <v>79</v>
      </c>
      <c r="D96" s="11" t="str">
        <f>WFTracker[[#This Row],[Order Number]]  &amp; "-" &amp; WFTracker[[#This Row],[Item]]</f>
        <v>0050206201-000160</v>
      </c>
      <c r="E96" s="23" t="s">
        <v>35</v>
      </c>
      <c r="F96" s="12">
        <v>45769</v>
      </c>
      <c r="G96" s="12"/>
      <c r="H96" s="11" t="s">
        <v>80</v>
      </c>
      <c r="I96" s="11" t="s">
        <v>81</v>
      </c>
      <c r="J96" s="13" t="s">
        <v>93</v>
      </c>
      <c r="K96" s="14" t="s">
        <v>1017</v>
      </c>
      <c r="L96" s="15" t="s">
        <v>27</v>
      </c>
      <c r="M96" s="15" t="s">
        <v>1120</v>
      </c>
      <c r="N96" s="56">
        <v>45868</v>
      </c>
      <c r="O96" s="15">
        <f>NETWORKDAYS.INTL(WFTracker[[#This Row],[Start date]],WFTracker[[#This Row],[RM]],1,Holidays!D85:D100)</f>
        <v>6</v>
      </c>
      <c r="P96" s="12">
        <v>45762</v>
      </c>
      <c r="Q96" s="12">
        <v>45771</v>
      </c>
      <c r="R96" s="12">
        <v>45776</v>
      </c>
      <c r="S96" s="27" t="b">
        <f>ISBLANK(WFTracker[[#This Row],[Completion Date]])</f>
        <v>0</v>
      </c>
      <c r="T96" s="27" t="str">
        <f>TEXT(WFTracker[[#This Row],[Start date]],"mmm-yyyy")</f>
        <v>Apr-2025</v>
      </c>
      <c r="U96" s="11">
        <v>5</v>
      </c>
      <c r="V96" s="11">
        <f>NETWORKDAYS.INTL(WFTracker[[#This Row],[Start date]],WFTracker[[#This Row],[Due date]],1,Holidays!D85:D100)</f>
        <v>8</v>
      </c>
      <c r="W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96" s="24">
        <f ca="1">WFTracker[[#This Row],[Active Time]]-WFTracker[[#This Row],[Completion Days Template]]</f>
        <v>1</v>
      </c>
      <c r="Y96" s="34" t="str">
        <f ca="1" xml:space="preserve"> IF(WFTracker[[#This Row],[Overdue Time '[Expected-Completion']]]&gt;0, "LATE","ON TIME")</f>
        <v>LATE</v>
      </c>
      <c r="Z96" s="34" t="str">
        <f ca="1">IF(WFTracker[[#This Row],[Overdue Time '[Expected-Completion']]] &gt;= 15, "SUPER LATE", Y96)</f>
        <v>LATE</v>
      </c>
      <c r="AA96" s="37" t="str">
        <f>IF(WFTracker[[#This Row],[Pre RM Opening Time]]&lt;WFTracker[[#This Row],[Old vs New Order Lead Time WF dead line]], "LATE BY ENG", "ON TIME BY ENG")</f>
        <v>ON TIME BY ENG</v>
      </c>
      <c r="AB96" s="37"/>
      <c r="AC96" s="15" t="str">
        <f>IF(WFTracker[[#This Row],[Competion Date Content]] = FALSE, "C", "i")</f>
        <v>C</v>
      </c>
      <c r="AD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96" s="105" t="str">
        <f ca="1">IF(WFTracker[[#This Row],[Impact Time Post RM]]&gt;0, "IMPACTED", "NOT IMPACTED")</f>
        <v>IMPACTED</v>
      </c>
      <c r="AF96" s="15"/>
      <c r="AG96" s="18"/>
      <c r="AH96" s="14" t="str">
        <f>IF(WFTracker[[#This Row],[Status]]="C", "Closed", IF(WFTracker[[#This Row],[Status]] = "x", "Cancelled", WFTracker[[#This Row],[Impact Time Post RM]]))</f>
        <v>Closed</v>
      </c>
      <c r="AI96" s="14" t="str">
        <f ca="1">IF(WFTracker[[#This Row],[Impact Time Post RM]]&lt;=0,"ON TIME","LATE")</f>
        <v>LATE</v>
      </c>
      <c r="AJ96" s="14" t="s">
        <v>984</v>
      </c>
      <c r="AK96" s="14">
        <v>18</v>
      </c>
      <c r="AL96" s="915">
        <f>IF(WFTracker[[#This Row],[Type]]="MAKE", WFTracker[[#This Row],[Due date]]+Filters!$J$111, WFTracker[[#This Row],[Due date]]+Filters!$J$135)</f>
        <v>45774.072512647552</v>
      </c>
      <c r="AM96" s="101" cm="1">
        <f t="array" ref="AM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7" spans="1:39" ht="14.45">
      <c r="A97" t="str">
        <f>IF(WFTracker[[#This Row],[Order Number]]="SWBD", "QED2", "PZ4")</f>
        <v>PZ4</v>
      </c>
      <c r="B97" s="21" t="s">
        <v>209</v>
      </c>
      <c r="C97" s="26" t="s">
        <v>135</v>
      </c>
      <c r="D97" s="11" t="str">
        <f>WFTracker[[#This Row],[Order Number]]  &amp; "-" &amp; WFTracker[[#This Row],[Item]]</f>
        <v>0051002556-000010</v>
      </c>
      <c r="E97" s="23" t="s">
        <v>210</v>
      </c>
      <c r="F97" s="12">
        <v>45779</v>
      </c>
      <c r="G97" s="12"/>
      <c r="H97" s="11" t="s">
        <v>113</v>
      </c>
      <c r="I97" s="11" t="s">
        <v>24</v>
      </c>
      <c r="J97" s="13" t="s">
        <v>211</v>
      </c>
      <c r="K97" s="14" t="s">
        <v>1017</v>
      </c>
      <c r="L97" s="15" t="s">
        <v>27</v>
      </c>
      <c r="M97" s="15" t="s">
        <v>1120</v>
      </c>
      <c r="N97" s="56">
        <v>45896</v>
      </c>
      <c r="O97" s="15">
        <f>NETWORKDAYS.INTL(WFTracker[[#This Row],[Start date]],WFTracker[[#This Row],[RM]],1,Holidays!D251:D266)</f>
        <v>14</v>
      </c>
      <c r="P97" s="12">
        <v>45762</v>
      </c>
      <c r="Q97" s="12">
        <v>45771</v>
      </c>
      <c r="R97" s="12">
        <v>45777</v>
      </c>
      <c r="S97" s="27" t="b">
        <f>ISBLANK(WFTracker[[#This Row],[Completion Date]])</f>
        <v>0</v>
      </c>
      <c r="T97" s="27" t="str">
        <f>TEXT(WFTracker[[#This Row],[Start date]],"mmm-yyyy")</f>
        <v>Apr-2025</v>
      </c>
      <c r="U97" s="11">
        <v>5</v>
      </c>
      <c r="V97" s="11">
        <f>NETWORKDAYS.INTL(WFTracker[[#This Row],[Start date]],WFTracker[[#This Row],[Due date]],1,Holidays!D251:D266)</f>
        <v>8</v>
      </c>
      <c r="W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97" s="24">
        <f ca="1">WFTracker[[#This Row],[Active Time]]-WFTracker[[#This Row],[Completion Days Template]]</f>
        <v>2</v>
      </c>
      <c r="Y97" s="34" t="str">
        <f ca="1" xml:space="preserve"> IF(WFTracker[[#This Row],[Overdue Time '[Expected-Completion']]]&gt;0, "LATE","ON TIME")</f>
        <v>LATE</v>
      </c>
      <c r="Z97" s="34" t="str">
        <f ca="1">IF(WFTracker[[#This Row],[Overdue Time '[Expected-Completion']]] &gt;= 15, "SUPER LATE", Y97)</f>
        <v>LATE</v>
      </c>
      <c r="AA97" s="37" t="str">
        <f>IF(WFTracker[[#This Row],[Pre RM Opening Time]]&lt;WFTracker[[#This Row],[Old vs New Order Lead Time WF dead line]], "LATE BY ENG", "ON TIME BY ENG")</f>
        <v>ON TIME BY ENG</v>
      </c>
      <c r="AB97" s="37"/>
      <c r="AC97" s="15" t="str">
        <f>IF(WFTracker[[#This Row],[Competion Date Content]] = FALSE, "C", "i")</f>
        <v>C</v>
      </c>
      <c r="AD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97" s="105" t="str">
        <f ca="1">IF(WFTracker[[#This Row],[Impact Time Post RM]]&gt;0, "IMPACTED", "NOT IMPACTED")</f>
        <v>NOT IMPACTED</v>
      </c>
      <c r="AF97" s="15"/>
      <c r="AG97" s="18"/>
      <c r="AH97" s="14" t="str">
        <f>IF(WFTracker[[#This Row],[Status]]="C", "Closed", IF(WFTracker[[#This Row],[Status]] = "x", "Cancelled", WFTracker[[#This Row],[Impact Time Post RM]]))</f>
        <v>Closed</v>
      </c>
      <c r="AI97" s="14" t="str">
        <f ca="1">IF(WFTracker[[#This Row],[Impact Time Post RM]]&lt;=0,"ON TIME","LATE")</f>
        <v>ON TIME</v>
      </c>
      <c r="AJ97" s="14" t="s">
        <v>984</v>
      </c>
      <c r="AK97" s="14">
        <v>18</v>
      </c>
      <c r="AL97" s="915">
        <f>IF(WFTracker[[#This Row],[Type]]="MAKE", WFTracker[[#This Row],[Due date]]+Filters!$J$111, WFTracker[[#This Row],[Due date]]+Filters!$J$135)</f>
        <v>45774.072512647552</v>
      </c>
      <c r="AM97" s="101" cm="1">
        <f t="array" ref="AM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8" spans="1:39" ht="14.45">
      <c r="A98" t="str">
        <f>IF(WFTracker[[#This Row],[Order Number]]="SWBD", "QED2", "PZ4")</f>
        <v>PZ4</v>
      </c>
      <c r="B98" s="21" t="s">
        <v>209</v>
      </c>
      <c r="C98" s="26" t="s">
        <v>135</v>
      </c>
      <c r="D98" s="11" t="str">
        <f>WFTracker[[#This Row],[Order Number]]  &amp; "-" &amp; WFTracker[[#This Row],[Item]]</f>
        <v>0051002556-000010</v>
      </c>
      <c r="E98" s="23" t="s">
        <v>210</v>
      </c>
      <c r="F98" s="12">
        <v>45779</v>
      </c>
      <c r="G98" s="12"/>
      <c r="H98" s="11" t="s">
        <v>113</v>
      </c>
      <c r="I98" s="11" t="s">
        <v>24</v>
      </c>
      <c r="J98" s="13" t="s">
        <v>212</v>
      </c>
      <c r="K98" s="14" t="s">
        <v>1017</v>
      </c>
      <c r="L98" s="15" t="s">
        <v>40</v>
      </c>
      <c r="M98" s="15" t="s">
        <v>1120</v>
      </c>
      <c r="N98" s="56">
        <v>45896</v>
      </c>
      <c r="O98" s="15">
        <f>NETWORKDAYS.INTL(WFTracker[[#This Row],[Start date]],WFTracker[[#This Row],[RM]],1,Holidays!D252:D267)</f>
        <v>14</v>
      </c>
      <c r="P98" s="12">
        <v>45762</v>
      </c>
      <c r="Q98" s="12">
        <v>45776</v>
      </c>
      <c r="R98" s="12">
        <v>45777</v>
      </c>
      <c r="S98" s="27" t="b">
        <f>ISBLANK(WFTracker[[#This Row],[Completion Date]])</f>
        <v>0</v>
      </c>
      <c r="T98" s="27" t="str">
        <f>TEXT(WFTracker[[#This Row],[Start date]],"mmm-yyyy")</f>
        <v>Apr-2025</v>
      </c>
      <c r="U98" s="11">
        <v>5</v>
      </c>
      <c r="V98" s="11">
        <f>NETWORKDAYS.INTL(WFTracker[[#This Row],[Start date]],WFTracker[[#This Row],[Due date]],1,Holidays!D252:D267)</f>
        <v>11</v>
      </c>
      <c r="W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98" s="24">
        <f ca="1">WFTracker[[#This Row],[Active Time]]-WFTracker[[#This Row],[Completion Days Template]]</f>
        <v>-1</v>
      </c>
      <c r="Y98" s="34" t="str">
        <f ca="1" xml:space="preserve"> IF(WFTracker[[#This Row],[Overdue Time '[Expected-Completion']]]&gt;0, "LATE","ON TIME")</f>
        <v>ON TIME</v>
      </c>
      <c r="Z98" s="34" t="str">
        <f ca="1">IF(WFTracker[[#This Row],[Overdue Time '[Expected-Completion']]] &gt;= 15, "SUPER LATE", Y98)</f>
        <v>ON TIME</v>
      </c>
      <c r="AA98" s="37" t="str">
        <f>IF(WFTracker[[#This Row],[Pre RM Opening Time]]&lt;WFTracker[[#This Row],[Old vs New Order Lead Time WF dead line]], "LATE BY ENG", "ON TIME BY ENG")</f>
        <v>ON TIME BY ENG</v>
      </c>
      <c r="AB98" s="37"/>
      <c r="AC98" s="15" t="str">
        <f>IF(WFTracker[[#This Row],[Competion Date Content]] = FALSE, "C", "i")</f>
        <v>C</v>
      </c>
      <c r="AD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98" s="105" t="str">
        <f ca="1">IF(WFTracker[[#This Row],[Impact Time Post RM]]&gt;0, "IMPACTED", "NOT IMPACTED")</f>
        <v>NOT IMPACTED</v>
      </c>
      <c r="AF98" s="15"/>
      <c r="AG98" s="18"/>
      <c r="AH98" s="14" t="str">
        <f>IF(WFTracker[[#This Row],[Status]]="C", "Closed", IF(WFTracker[[#This Row],[Status]] = "x", "Cancelled", WFTracker[[#This Row],[Impact Time Post RM]]))</f>
        <v>Closed</v>
      </c>
      <c r="AI98" s="14" t="str">
        <f ca="1">IF(WFTracker[[#This Row],[Impact Time Post RM]]&lt;=0,"ON TIME","LATE")</f>
        <v>ON TIME</v>
      </c>
      <c r="AJ98" s="14" t="s">
        <v>984</v>
      </c>
      <c r="AK98" s="14">
        <v>17</v>
      </c>
      <c r="AL98" s="915">
        <f>IF(WFTracker[[#This Row],[Type]]="MAKE", WFTracker[[#This Row],[Due date]]+Filters!$J$111, WFTracker[[#This Row],[Due date]]+Filters!$J$135)</f>
        <v>45776.415686274508</v>
      </c>
      <c r="AM98" s="101" cm="1">
        <f t="array" ref="AM9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99" spans="1:39" ht="14.45">
      <c r="A99" t="str">
        <f>IF(WFTracker[[#This Row],[Order Number]]="SWBD", "QED2", "PZ4")</f>
        <v>PZ4</v>
      </c>
      <c r="B99" s="21" t="s">
        <v>213</v>
      </c>
      <c r="C99" s="26" t="s">
        <v>214</v>
      </c>
      <c r="D99" s="11" t="str">
        <f>WFTracker[[#This Row],[Order Number]]  &amp; "-" &amp; WFTracker[[#This Row],[Item]]</f>
        <v>0051117529-000020</v>
      </c>
      <c r="E99" s="23" t="s">
        <v>215</v>
      </c>
      <c r="F99" s="12">
        <v>45793</v>
      </c>
      <c r="G99" s="12"/>
      <c r="H99" s="11" t="s">
        <v>137</v>
      </c>
      <c r="I99" s="11" t="s">
        <v>216</v>
      </c>
      <c r="J99" s="13" t="s">
        <v>217</v>
      </c>
      <c r="K99" s="14" t="s">
        <v>1017</v>
      </c>
      <c r="L99" s="15" t="s">
        <v>27</v>
      </c>
      <c r="M99" s="15" t="s">
        <v>1120</v>
      </c>
      <c r="N99" s="56">
        <v>45898</v>
      </c>
      <c r="O99" s="15">
        <f>NETWORKDAYS.INTL(WFTracker[[#This Row],[Start date]],WFTracker[[#This Row],[RM]],1,Holidays!D338:D353)</f>
        <v>16</v>
      </c>
      <c r="P99" s="12">
        <v>45772</v>
      </c>
      <c r="Q99" s="12">
        <v>45782</v>
      </c>
      <c r="R99" s="12">
        <v>45777</v>
      </c>
      <c r="S99" s="27" t="b">
        <f>ISBLANK(WFTracker[[#This Row],[Completion Date]])</f>
        <v>0</v>
      </c>
      <c r="T99" s="27" t="str">
        <f>TEXT(WFTracker[[#This Row],[Start date]],"mmm-yyyy")</f>
        <v>Apr-2025</v>
      </c>
      <c r="U99" s="11">
        <v>5</v>
      </c>
      <c r="V99" s="11">
        <f>NETWORKDAYS.INTL(WFTracker[[#This Row],[Start date]],WFTracker[[#This Row],[Due date]],1,Holidays!D338:D353)</f>
        <v>7</v>
      </c>
      <c r="W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99" s="24">
        <f ca="1">WFTracker[[#This Row],[Active Time]]-WFTracker[[#This Row],[Completion Days Template]]</f>
        <v>-3</v>
      </c>
      <c r="Y99" s="34" t="str">
        <f ca="1" xml:space="preserve"> IF(WFTracker[[#This Row],[Overdue Time '[Expected-Completion']]]&gt;0, "LATE","ON TIME")</f>
        <v>ON TIME</v>
      </c>
      <c r="Z99" s="34" t="str">
        <f ca="1">IF(WFTracker[[#This Row],[Overdue Time '[Expected-Completion']]] &gt;= 15, "SUPER LATE", Y99)</f>
        <v>ON TIME</v>
      </c>
      <c r="AA99" s="37" t="str">
        <f>IF(WFTracker[[#This Row],[Pre RM Opening Time]]&lt;WFTracker[[#This Row],[Old vs New Order Lead Time WF dead line]], "LATE BY ENG", "ON TIME BY ENG")</f>
        <v>ON TIME BY ENG</v>
      </c>
      <c r="AB99" s="37"/>
      <c r="AC99" s="15" t="str">
        <f>IF(WFTracker[[#This Row],[Competion Date Content]] = FALSE, "C", "i")</f>
        <v>C</v>
      </c>
      <c r="AD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99" s="105" t="str">
        <f ca="1">IF(WFTracker[[#This Row],[Impact Time Post RM]]&gt;0, "IMPACTED", "NOT IMPACTED")</f>
        <v>NOT IMPACTED</v>
      </c>
      <c r="AF99" s="15"/>
      <c r="AG99" s="18"/>
      <c r="AH99" s="14" t="str">
        <f>IF(WFTracker[[#This Row],[Status]]="C", "Closed", IF(WFTracker[[#This Row],[Status]] = "x", "Cancelled", WFTracker[[#This Row],[Impact Time Post RM]]))</f>
        <v>Closed</v>
      </c>
      <c r="AI99" s="14" t="str">
        <f ca="1">IF(WFTracker[[#This Row],[Impact Time Post RM]]&lt;=0,"ON TIME","LATE")</f>
        <v>ON TIME</v>
      </c>
      <c r="AJ99" s="14" t="s">
        <v>984</v>
      </c>
      <c r="AK99" s="14">
        <v>18</v>
      </c>
      <c r="AL99" s="915">
        <f>IF(WFTracker[[#This Row],[Type]]="MAKE", WFTracker[[#This Row],[Due date]]+Filters!$J$111, WFTracker[[#This Row],[Due date]]+Filters!$J$135)</f>
        <v>45785.072512647552</v>
      </c>
      <c r="AM99" s="101" cm="1">
        <f t="array" ref="AM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0" spans="1:39" ht="14.45">
      <c r="A100" t="str">
        <f>IF(WFTracker[[#This Row],[Order Number]]="SWBD", "QED2", "PZ4")</f>
        <v>PZ4</v>
      </c>
      <c r="B100" s="21" t="s">
        <v>218</v>
      </c>
      <c r="C100" s="26" t="s">
        <v>219</v>
      </c>
      <c r="D100" s="11" t="str">
        <f>WFTracker[[#This Row],[Order Number]]  &amp; "-" &amp; WFTracker[[#This Row],[Item]]</f>
        <v>0051229942-000120</v>
      </c>
      <c r="E100" s="23" t="s">
        <v>220</v>
      </c>
      <c r="F100" s="12">
        <v>45800</v>
      </c>
      <c r="G100" s="12"/>
      <c r="H100" s="11" t="s">
        <v>36</v>
      </c>
      <c r="I100" s="11" t="s">
        <v>81</v>
      </c>
      <c r="J100" s="13" t="s">
        <v>221</v>
      </c>
      <c r="K100" s="14" t="s">
        <v>1017</v>
      </c>
      <c r="L100" s="15" t="s">
        <v>27</v>
      </c>
      <c r="M100" s="15" t="s">
        <v>1120</v>
      </c>
      <c r="N100" s="56">
        <v>45888</v>
      </c>
      <c r="O100" s="15">
        <f>NETWORKDAYS.INTL(WFTracker[[#This Row],[Start date]],WFTracker[[#This Row],[RM]],1,Holidays!D253:D268)</f>
        <v>12</v>
      </c>
      <c r="P100" s="12">
        <v>45785</v>
      </c>
      <c r="Q100" s="12">
        <v>45793</v>
      </c>
      <c r="R100" s="12">
        <v>45800</v>
      </c>
      <c r="S100" s="12" t="b">
        <f>ISBLANK(WFTracker[[#This Row],[Completion Date]])</f>
        <v>0</v>
      </c>
      <c r="T100" s="12" t="str">
        <f>TEXT(WFTracker[[#This Row],[Start date]],"mmm-yyyy")</f>
        <v>May-2025</v>
      </c>
      <c r="U100" s="11">
        <v>5</v>
      </c>
      <c r="V100" s="11">
        <f>NETWORKDAYS.INTL(WFTracker[[#This Row],[Start date]],WFTracker[[#This Row],[Due date]],1,Holidays!D253:D268)</f>
        <v>7</v>
      </c>
      <c r="W1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00" s="24">
        <f ca="1">WFTracker[[#This Row],[Active Time]]-WFTracker[[#This Row],[Completion Days Template]]</f>
        <v>4</v>
      </c>
      <c r="Y100" s="16" t="str">
        <f ca="1" xml:space="preserve"> IF(WFTracker[[#This Row],[Overdue Time '[Expected-Completion']]]&gt;0, "LATE","ON TIME")</f>
        <v>LATE</v>
      </c>
      <c r="Z100" s="16" t="str">
        <f ca="1">IF(WFTracker[[#This Row],[Overdue Time '[Expected-Completion']]] &gt;= 15, "SUPER LATE", Y100)</f>
        <v>LATE</v>
      </c>
      <c r="AA100" s="37" t="str">
        <f>IF(WFTracker[[#This Row],[Pre RM Opening Time]]&lt;WFTracker[[#This Row],[Old vs New Order Lead Time WF dead line]], "LATE BY ENG", "ON TIME BY ENG")</f>
        <v>ON TIME BY ENG</v>
      </c>
      <c r="AB100" s="37"/>
      <c r="AC100" s="15" t="str">
        <f>IF(WFTracker[[#This Row],[Competion Date Content]] = FALSE, "C", "i")</f>
        <v>C</v>
      </c>
      <c r="AD1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00" s="37" t="str">
        <f ca="1">IF(WFTracker[[#This Row],[Impact Time Post RM]]&gt;0, "IMPACTED", "NOT IMPACTED")</f>
        <v>IMPACTED</v>
      </c>
      <c r="AF100" s="15"/>
      <c r="AG100" s="18"/>
      <c r="AH100" s="14" t="str">
        <f>IF(WFTracker[[#This Row],[Status]]="C", "Closed", IF(WFTracker[[#This Row],[Status]] = "x", "Cancelled", WFTracker[[#This Row],[Impact Time Post RM]]))</f>
        <v>Closed</v>
      </c>
      <c r="AI100" s="14" t="str">
        <f ca="1">IF(WFTracker[[#This Row],[Impact Time Post RM]]&lt;=0,"ON TIME","LATE")</f>
        <v>LATE</v>
      </c>
      <c r="AJ100" s="14" t="s">
        <v>984</v>
      </c>
      <c r="AK100" s="14">
        <v>18</v>
      </c>
      <c r="AL100" s="915">
        <f>IF(WFTracker[[#This Row],[Type]]="MAKE", WFTracker[[#This Row],[Due date]]+Filters!$J$111, WFTracker[[#This Row],[Due date]]+Filters!$J$135)</f>
        <v>45796.072512647552</v>
      </c>
      <c r="AM100" s="101" cm="1">
        <f t="array" ref="AM1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1" spans="1:39" ht="14.45">
      <c r="A101" t="str">
        <f>IF(WFTracker[[#This Row],[Order Number]]="SWBD", "QED2", "PZ4")</f>
        <v>PZ4</v>
      </c>
      <c r="B101" s="21" t="s">
        <v>218</v>
      </c>
      <c r="C101" s="26" t="s">
        <v>219</v>
      </c>
      <c r="D101" s="11" t="str">
        <f>WFTracker[[#This Row],[Order Number]]  &amp; "-" &amp; WFTracker[[#This Row],[Item]]</f>
        <v>0051229942-000120</v>
      </c>
      <c r="E101" s="23" t="s">
        <v>220</v>
      </c>
      <c r="F101" s="12">
        <v>45800</v>
      </c>
      <c r="G101" s="12"/>
      <c r="H101" s="11" t="s">
        <v>36</v>
      </c>
      <c r="I101" s="11" t="s">
        <v>81</v>
      </c>
      <c r="J101" s="13" t="s">
        <v>224</v>
      </c>
      <c r="K101" s="14" t="s">
        <v>1017</v>
      </c>
      <c r="L101" s="15" t="s">
        <v>27</v>
      </c>
      <c r="M101" s="15" t="s">
        <v>1120</v>
      </c>
      <c r="N101" s="56">
        <v>45888</v>
      </c>
      <c r="O101" s="15">
        <f>NETWORKDAYS.INTL(WFTracker[[#This Row],[Start date]],WFTracker[[#This Row],[RM]],1,Holidays!D254:D269)</f>
        <v>12</v>
      </c>
      <c r="P101" s="12">
        <v>45785</v>
      </c>
      <c r="Q101" s="12">
        <v>45793</v>
      </c>
      <c r="R101" s="12">
        <v>45798</v>
      </c>
      <c r="S101" s="27" t="b">
        <f>ISBLANK(WFTracker[[#This Row],[Completion Date]])</f>
        <v>0</v>
      </c>
      <c r="T101" s="27" t="str">
        <f>TEXT(WFTracker[[#This Row],[Start date]],"mmm-yyyy")</f>
        <v>May-2025</v>
      </c>
      <c r="U101" s="11">
        <v>5</v>
      </c>
      <c r="V101" s="11">
        <f>NETWORKDAYS.INTL(WFTracker[[#This Row],[Start date]],WFTracker[[#This Row],[Due date]],1,Holidays!D254:D269)</f>
        <v>7</v>
      </c>
      <c r="W1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01" s="24">
        <f ca="1">WFTracker[[#This Row],[Active Time]]-WFTracker[[#This Row],[Completion Days Template]]</f>
        <v>2</v>
      </c>
      <c r="Y101" s="34" t="str">
        <f ca="1" xml:space="preserve"> IF(WFTracker[[#This Row],[Overdue Time '[Expected-Completion']]]&gt;0, "LATE","ON TIME")</f>
        <v>LATE</v>
      </c>
      <c r="Z101" s="34" t="str">
        <f ca="1">IF(WFTracker[[#This Row],[Overdue Time '[Expected-Completion']]] &gt;= 15, "SUPER LATE", Y101)</f>
        <v>LATE</v>
      </c>
      <c r="AA101" s="37" t="str">
        <f>IF(WFTracker[[#This Row],[Pre RM Opening Time]]&lt;WFTracker[[#This Row],[Old vs New Order Lead Time WF dead line]], "LATE BY ENG", "ON TIME BY ENG")</f>
        <v>ON TIME BY ENG</v>
      </c>
      <c r="AB101" s="37"/>
      <c r="AC101" s="15" t="str">
        <f>IF(WFTracker[[#This Row],[Competion Date Content]] = FALSE, "C", "i")</f>
        <v>C</v>
      </c>
      <c r="AD1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101" s="105" t="str">
        <f ca="1">IF(WFTracker[[#This Row],[Impact Time Post RM]]&gt;0, "IMPACTED", "NOT IMPACTED")</f>
        <v>NOT IMPACTED</v>
      </c>
      <c r="AF101" s="15"/>
      <c r="AG101" s="18"/>
      <c r="AH101" s="14" t="str">
        <f>IF(WFTracker[[#This Row],[Status]]="C", "Closed", IF(WFTracker[[#This Row],[Status]] = "x", "Cancelled", WFTracker[[#This Row],[Impact Time Post RM]]))</f>
        <v>Closed</v>
      </c>
      <c r="AI101" s="14" t="str">
        <f ca="1">IF(WFTracker[[#This Row],[Impact Time Post RM]]&lt;=0,"ON TIME","LATE")</f>
        <v>ON TIME</v>
      </c>
      <c r="AJ101" s="14" t="s">
        <v>984</v>
      </c>
      <c r="AK101" s="14">
        <v>18</v>
      </c>
      <c r="AL101" s="915">
        <f>IF(WFTracker[[#This Row],[Type]]="MAKE", WFTracker[[#This Row],[Due date]]+Filters!$J$111, WFTracker[[#This Row],[Due date]]+Filters!$J$135)</f>
        <v>45796.072512647552</v>
      </c>
      <c r="AM101" s="101" cm="1">
        <f t="array" ref="AM1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2" spans="1:39" ht="14.45">
      <c r="A102" t="str">
        <f>IF(WFTracker[[#This Row],[Order Number]]="SWBD", "QED2", "PZ4")</f>
        <v>PZ4</v>
      </c>
      <c r="B102" s="21" t="s">
        <v>218</v>
      </c>
      <c r="C102" s="26" t="s">
        <v>219</v>
      </c>
      <c r="D102" s="11" t="str">
        <f>WFTracker[[#This Row],[Order Number]]  &amp; "-" &amp; WFTracker[[#This Row],[Item]]</f>
        <v>0051229942-000120</v>
      </c>
      <c r="E102" s="23" t="s">
        <v>220</v>
      </c>
      <c r="F102" s="12">
        <v>45800</v>
      </c>
      <c r="G102" s="12"/>
      <c r="H102" s="11" t="s">
        <v>36</v>
      </c>
      <c r="I102" s="11" t="s">
        <v>81</v>
      </c>
      <c r="J102" s="13" t="s">
        <v>225</v>
      </c>
      <c r="K102" s="14" t="s">
        <v>1017</v>
      </c>
      <c r="L102" s="15" t="s">
        <v>27</v>
      </c>
      <c r="M102" s="15" t="s">
        <v>1120</v>
      </c>
      <c r="N102" s="56">
        <v>45888</v>
      </c>
      <c r="O102" s="15">
        <f>NETWORKDAYS.INTL(WFTracker[[#This Row],[Start date]],WFTracker[[#This Row],[RM]],1,Holidays!D255:D270)</f>
        <v>12</v>
      </c>
      <c r="P102" s="12">
        <v>45785</v>
      </c>
      <c r="Q102" s="12">
        <v>45793</v>
      </c>
      <c r="R102" s="12">
        <v>45800</v>
      </c>
      <c r="S102" s="27" t="b">
        <f>ISBLANK(WFTracker[[#This Row],[Completion Date]])</f>
        <v>0</v>
      </c>
      <c r="T102" s="27" t="str">
        <f>TEXT(WFTracker[[#This Row],[Start date]],"mmm-yyyy")</f>
        <v>May-2025</v>
      </c>
      <c r="U102" s="11">
        <v>5</v>
      </c>
      <c r="V102" s="11">
        <f>NETWORKDAYS.INTL(WFTracker[[#This Row],[Start date]],WFTracker[[#This Row],[Due date]],1,Holidays!D255:D270)</f>
        <v>7</v>
      </c>
      <c r="W1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02" s="24">
        <f ca="1">WFTracker[[#This Row],[Active Time]]-WFTracker[[#This Row],[Completion Days Template]]</f>
        <v>4</v>
      </c>
      <c r="Y102" s="34" t="str">
        <f ca="1" xml:space="preserve"> IF(WFTracker[[#This Row],[Overdue Time '[Expected-Completion']]]&gt;0, "LATE","ON TIME")</f>
        <v>LATE</v>
      </c>
      <c r="Z102" s="34" t="str">
        <f ca="1">IF(WFTracker[[#This Row],[Overdue Time '[Expected-Completion']]] &gt;= 15, "SUPER LATE", Y102)</f>
        <v>LATE</v>
      </c>
      <c r="AA102" s="37" t="str">
        <f>IF(WFTracker[[#This Row],[Pre RM Opening Time]]&lt;WFTracker[[#This Row],[Old vs New Order Lead Time WF dead line]], "LATE BY ENG", "ON TIME BY ENG")</f>
        <v>ON TIME BY ENG</v>
      </c>
      <c r="AB102" s="37"/>
      <c r="AC102" s="15" t="str">
        <f>IF(WFTracker[[#This Row],[Competion Date Content]] = FALSE, "C", "i")</f>
        <v>C</v>
      </c>
      <c r="AD1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02" s="105" t="str">
        <f ca="1">IF(WFTracker[[#This Row],[Impact Time Post RM]]&gt;0, "IMPACTED", "NOT IMPACTED")</f>
        <v>IMPACTED</v>
      </c>
      <c r="AF102" s="15"/>
      <c r="AG102" s="18"/>
      <c r="AH102" s="14" t="str">
        <f>IF(WFTracker[[#This Row],[Status]]="C", "Closed", IF(WFTracker[[#This Row],[Status]] = "x", "Cancelled", WFTracker[[#This Row],[Impact Time Post RM]]))</f>
        <v>Closed</v>
      </c>
      <c r="AI102" s="14" t="str">
        <f ca="1">IF(WFTracker[[#This Row],[Impact Time Post RM]]&lt;=0,"ON TIME","LATE")</f>
        <v>LATE</v>
      </c>
      <c r="AJ102" s="14" t="s">
        <v>984</v>
      </c>
      <c r="AK102" s="14">
        <v>18</v>
      </c>
      <c r="AL102" s="915">
        <f>IF(WFTracker[[#This Row],[Type]]="MAKE", WFTracker[[#This Row],[Due date]]+Filters!$J$111, WFTracker[[#This Row],[Due date]]+Filters!$J$135)</f>
        <v>45796.072512647552</v>
      </c>
      <c r="AM102" s="101" cm="1">
        <f t="array" ref="AM1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3" spans="1:39" ht="14.45">
      <c r="A103" t="str">
        <f>IF(WFTracker[[#This Row],[Order Number]]="SWBD", "QED2", "PZ4")</f>
        <v>PZ4</v>
      </c>
      <c r="B103" s="21" t="s">
        <v>218</v>
      </c>
      <c r="C103" s="26" t="s">
        <v>219</v>
      </c>
      <c r="D103" s="11" t="str">
        <f>WFTracker[[#This Row],[Order Number]]  &amp; "-" &amp; WFTracker[[#This Row],[Item]]</f>
        <v>0051229942-000120</v>
      </c>
      <c r="E103" s="23" t="s">
        <v>220</v>
      </c>
      <c r="F103" s="12">
        <v>45800</v>
      </c>
      <c r="G103" s="12"/>
      <c r="H103" s="11" t="s">
        <v>36</v>
      </c>
      <c r="I103" s="11" t="s">
        <v>81</v>
      </c>
      <c r="J103" s="13" t="s">
        <v>226</v>
      </c>
      <c r="K103" s="14" t="s">
        <v>1017</v>
      </c>
      <c r="L103" s="15" t="s">
        <v>27</v>
      </c>
      <c r="M103" s="15" t="s">
        <v>1120</v>
      </c>
      <c r="N103" s="56">
        <v>45888</v>
      </c>
      <c r="O103" s="15">
        <f>NETWORKDAYS.INTL(WFTracker[[#This Row],[Start date]],WFTracker[[#This Row],[RM]],1,Holidays!D256:D271)</f>
        <v>12</v>
      </c>
      <c r="P103" s="12">
        <v>45785</v>
      </c>
      <c r="Q103" s="12">
        <v>45793</v>
      </c>
      <c r="R103" s="12">
        <v>45800</v>
      </c>
      <c r="S103" s="27" t="b">
        <f>ISBLANK(WFTracker[[#This Row],[Completion Date]])</f>
        <v>0</v>
      </c>
      <c r="T103" s="27" t="str">
        <f>TEXT(WFTracker[[#This Row],[Start date]],"mmm-yyyy")</f>
        <v>May-2025</v>
      </c>
      <c r="U103" s="11">
        <v>5</v>
      </c>
      <c r="V103" s="11">
        <f>NETWORKDAYS.INTL(WFTracker[[#This Row],[Start date]],WFTracker[[#This Row],[Due date]],1,Holidays!D256:D271)</f>
        <v>7</v>
      </c>
      <c r="W1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03" s="24">
        <f ca="1">WFTracker[[#This Row],[Active Time]]-WFTracker[[#This Row],[Completion Days Template]]</f>
        <v>4</v>
      </c>
      <c r="Y103" s="34" t="str">
        <f ca="1" xml:space="preserve"> IF(WFTracker[[#This Row],[Overdue Time '[Expected-Completion']]]&gt;0, "LATE","ON TIME")</f>
        <v>LATE</v>
      </c>
      <c r="Z103" s="34" t="str">
        <f ca="1">IF(WFTracker[[#This Row],[Overdue Time '[Expected-Completion']]] &gt;= 15, "SUPER LATE", Y103)</f>
        <v>LATE</v>
      </c>
      <c r="AA103" s="37" t="str">
        <f>IF(WFTracker[[#This Row],[Pre RM Opening Time]]&lt;WFTracker[[#This Row],[Old vs New Order Lead Time WF dead line]], "LATE BY ENG", "ON TIME BY ENG")</f>
        <v>ON TIME BY ENG</v>
      </c>
      <c r="AB103" s="37"/>
      <c r="AC103" s="15" t="str">
        <f>IF(WFTracker[[#This Row],[Competion Date Content]] = FALSE, "C", "i")</f>
        <v>C</v>
      </c>
      <c r="AD1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03" s="105" t="str">
        <f ca="1">IF(WFTracker[[#This Row],[Impact Time Post RM]]&gt;0, "IMPACTED", "NOT IMPACTED")</f>
        <v>IMPACTED</v>
      </c>
      <c r="AF103" s="15"/>
      <c r="AG103" s="18"/>
      <c r="AH103" s="14" t="str">
        <f>IF(WFTracker[[#This Row],[Status]]="C", "Closed", IF(WFTracker[[#This Row],[Status]] = "x", "Cancelled", WFTracker[[#This Row],[Impact Time Post RM]]))</f>
        <v>Closed</v>
      </c>
      <c r="AI103" s="14" t="str">
        <f ca="1">IF(WFTracker[[#This Row],[Impact Time Post RM]]&lt;=0,"ON TIME","LATE")</f>
        <v>LATE</v>
      </c>
      <c r="AJ103" s="14" t="s">
        <v>984</v>
      </c>
      <c r="AK103" s="14">
        <v>18</v>
      </c>
      <c r="AL103" s="915">
        <f>IF(WFTracker[[#This Row],[Type]]="MAKE", WFTracker[[#This Row],[Due date]]+Filters!$J$111, WFTracker[[#This Row],[Due date]]+Filters!$J$135)</f>
        <v>45796.072512647552</v>
      </c>
      <c r="AM103" s="101" cm="1">
        <f t="array" ref="AM1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4" spans="1:39" ht="14.45">
      <c r="A104" t="str">
        <f>IF(WFTracker[[#This Row],[Order Number]]="SWBD", "QED2", "PZ4")</f>
        <v>PZ4</v>
      </c>
      <c r="B104" s="21" t="s">
        <v>218</v>
      </c>
      <c r="C104" s="26" t="s">
        <v>219</v>
      </c>
      <c r="D104" s="11" t="str">
        <f>WFTracker[[#This Row],[Order Number]]  &amp; "-" &amp; WFTracker[[#This Row],[Item]]</f>
        <v>0051229942-000120</v>
      </c>
      <c r="E104" s="23" t="s">
        <v>220</v>
      </c>
      <c r="F104" s="12">
        <v>45800</v>
      </c>
      <c r="G104" s="12"/>
      <c r="H104" s="11" t="s">
        <v>36</v>
      </c>
      <c r="I104" s="11" t="s">
        <v>81</v>
      </c>
      <c r="J104" s="13" t="s">
        <v>227</v>
      </c>
      <c r="K104" s="14" t="s">
        <v>1017</v>
      </c>
      <c r="L104" s="15" t="s">
        <v>40</v>
      </c>
      <c r="M104" s="15" t="s">
        <v>1120</v>
      </c>
      <c r="N104" s="56">
        <v>45888</v>
      </c>
      <c r="O104" s="15">
        <f>NETWORKDAYS.INTL(WFTracker[[#This Row],[Start date]],WFTracker[[#This Row],[RM]],1,Holidays!D257:D272)</f>
        <v>12</v>
      </c>
      <c r="P104" s="12">
        <v>45785</v>
      </c>
      <c r="Q104" s="12">
        <v>45798</v>
      </c>
      <c r="R104" s="12">
        <v>45800</v>
      </c>
      <c r="S104" s="27" t="b">
        <f>ISBLANK(WFTracker[[#This Row],[Completion Date]])</f>
        <v>0</v>
      </c>
      <c r="T104" s="27" t="str">
        <f>TEXT(WFTracker[[#This Row],[Start date]],"mmm-yyyy")</f>
        <v>May-2025</v>
      </c>
      <c r="U104" s="11">
        <v>5</v>
      </c>
      <c r="V104" s="11">
        <f>NETWORKDAYS.INTL(WFTracker[[#This Row],[Start date]],WFTracker[[#This Row],[Due date]],1,Holidays!D257:D272)</f>
        <v>10</v>
      </c>
      <c r="W1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04" s="24">
        <f ca="1">WFTracker[[#This Row],[Active Time]]-WFTracker[[#This Row],[Completion Days Template]]</f>
        <v>1</v>
      </c>
      <c r="Y104" s="34" t="str">
        <f ca="1" xml:space="preserve"> IF(WFTracker[[#This Row],[Overdue Time '[Expected-Completion']]]&gt;0, "LATE","ON TIME")</f>
        <v>LATE</v>
      </c>
      <c r="Z104" s="34" t="str">
        <f ca="1">IF(WFTracker[[#This Row],[Overdue Time '[Expected-Completion']]] &gt;= 15, "SUPER LATE", Y104)</f>
        <v>LATE</v>
      </c>
      <c r="AA104" s="37" t="str">
        <f>IF(WFTracker[[#This Row],[Pre RM Opening Time]]&lt;WFTracker[[#This Row],[Old vs New Order Lead Time WF dead line]], "LATE BY ENG", "ON TIME BY ENG")</f>
        <v>ON TIME BY ENG</v>
      </c>
      <c r="AB104" s="37"/>
      <c r="AC104" s="15" t="str">
        <f>IF(WFTracker[[#This Row],[Competion Date Content]] = FALSE, "C", "i")</f>
        <v>C</v>
      </c>
      <c r="AD1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04" s="105" t="str">
        <f ca="1">IF(WFTracker[[#This Row],[Impact Time Post RM]]&gt;0, "IMPACTED", "NOT IMPACTED")</f>
        <v>IMPACTED</v>
      </c>
      <c r="AF104" s="15"/>
      <c r="AG104" s="18"/>
      <c r="AH104" s="14" t="str">
        <f>IF(WFTracker[[#This Row],[Status]]="C", "Closed", IF(WFTracker[[#This Row],[Status]] = "x", "Cancelled", WFTracker[[#This Row],[Impact Time Post RM]]))</f>
        <v>Closed</v>
      </c>
      <c r="AI104" s="14" t="str">
        <f ca="1">IF(WFTracker[[#This Row],[Impact Time Post RM]]&lt;=0,"ON TIME","LATE")</f>
        <v>LATE</v>
      </c>
      <c r="AJ104" s="14" t="s">
        <v>984</v>
      </c>
      <c r="AK104" s="14">
        <v>17</v>
      </c>
      <c r="AL104" s="915">
        <f>IF(WFTracker[[#This Row],[Type]]="MAKE", WFTracker[[#This Row],[Due date]]+Filters!$J$111, WFTracker[[#This Row],[Due date]]+Filters!$J$135)</f>
        <v>45798.415686274508</v>
      </c>
      <c r="AM104" s="101" cm="1">
        <f t="array" ref="AM1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5" spans="1:39" ht="14.45">
      <c r="A105" t="str">
        <f>IF(WFTracker[[#This Row],[Order Number]]="SWBD", "QED2", "PZ4")</f>
        <v>PZ4</v>
      </c>
      <c r="B105" s="21" t="s">
        <v>218</v>
      </c>
      <c r="C105" s="26" t="s">
        <v>219</v>
      </c>
      <c r="D105" s="11" t="str">
        <f>WFTracker[[#This Row],[Order Number]]  &amp; "-" &amp; WFTracker[[#This Row],[Item]]</f>
        <v>0051229942-000120</v>
      </c>
      <c r="E105" s="23" t="s">
        <v>220</v>
      </c>
      <c r="F105" s="12">
        <v>45800</v>
      </c>
      <c r="G105" s="12"/>
      <c r="H105" s="11" t="s">
        <v>36</v>
      </c>
      <c r="I105" s="11" t="s">
        <v>81</v>
      </c>
      <c r="J105" s="13" t="s">
        <v>223</v>
      </c>
      <c r="K105" s="14" t="s">
        <v>1017</v>
      </c>
      <c r="L105" s="15" t="s">
        <v>27</v>
      </c>
      <c r="M105" s="15" t="s">
        <v>1120</v>
      </c>
      <c r="N105" s="56">
        <v>45888</v>
      </c>
      <c r="O105" s="15">
        <f>NETWORKDAYS.INTL(WFTracker[[#This Row],[Start date]],WFTracker[[#This Row],[RM]],1,Holidays!D189:D204)</f>
        <v>9</v>
      </c>
      <c r="P105" s="12">
        <v>45790</v>
      </c>
      <c r="Q105" s="12">
        <v>45798</v>
      </c>
      <c r="R105" s="12">
        <v>45797</v>
      </c>
      <c r="S105" s="27" t="b">
        <f>ISBLANK(WFTracker[[#This Row],[Completion Date]])</f>
        <v>0</v>
      </c>
      <c r="T105" s="27" t="str">
        <f>TEXT(WFTracker[[#This Row],[Start date]],"mmm-yyyy")</f>
        <v>May-2025</v>
      </c>
      <c r="U105" s="11">
        <v>5</v>
      </c>
      <c r="V105" s="11">
        <f>NETWORKDAYS.INTL(WFTracker[[#This Row],[Start date]],WFTracker[[#This Row],[Due date]],1,Holidays!D189:D204)</f>
        <v>7</v>
      </c>
      <c r="W1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05" s="24">
        <f ca="1">WFTracker[[#This Row],[Active Time]]-WFTracker[[#This Row],[Completion Days Template]]</f>
        <v>-1</v>
      </c>
      <c r="Y105" s="34" t="str">
        <f ca="1" xml:space="preserve"> IF(WFTracker[[#This Row],[Overdue Time '[Expected-Completion']]]&gt;0, "LATE","ON TIME")</f>
        <v>ON TIME</v>
      </c>
      <c r="Z105" s="34" t="str">
        <f ca="1">IF(WFTracker[[#This Row],[Overdue Time '[Expected-Completion']]] &gt;= 15, "SUPER LATE", Y105)</f>
        <v>ON TIME</v>
      </c>
      <c r="AA105" s="37" t="str">
        <f>IF(WFTracker[[#This Row],[Pre RM Opening Time]]&lt;WFTracker[[#This Row],[Old vs New Order Lead Time WF dead line]], "LATE BY ENG", "ON TIME BY ENG")</f>
        <v>ON TIME BY ENG</v>
      </c>
      <c r="AB105" s="37"/>
      <c r="AC105" s="15" t="str">
        <f>IF(WFTracker[[#This Row],[Competion Date Content]] = FALSE, "C", "i")</f>
        <v>C</v>
      </c>
      <c r="AD1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05" s="105" t="str">
        <f ca="1">IF(WFTracker[[#This Row],[Impact Time Post RM]]&gt;0, "IMPACTED", "NOT IMPACTED")</f>
        <v>NOT IMPACTED</v>
      </c>
      <c r="AF105" s="15"/>
      <c r="AG105" s="18"/>
      <c r="AH105" s="14" t="str">
        <f>IF(WFTracker[[#This Row],[Status]]="C", "Closed", IF(WFTracker[[#This Row],[Status]] = "x", "Cancelled", WFTracker[[#This Row],[Impact Time Post RM]]))</f>
        <v>Closed</v>
      </c>
      <c r="AI105" s="14" t="str">
        <f ca="1">IF(WFTracker[[#This Row],[Impact Time Post RM]]&lt;=0,"ON TIME","LATE")</f>
        <v>ON TIME</v>
      </c>
      <c r="AJ105" s="14" t="s">
        <v>984</v>
      </c>
      <c r="AK105" s="14">
        <v>18</v>
      </c>
      <c r="AL105" s="915">
        <f>IF(WFTracker[[#This Row],[Type]]="MAKE", WFTracker[[#This Row],[Due date]]+Filters!$J$111, WFTracker[[#This Row],[Due date]]+Filters!$J$135)</f>
        <v>45801.072512647552</v>
      </c>
      <c r="AM105" s="101" cm="1">
        <f t="array" ref="AM1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6" spans="1:39" ht="14.45">
      <c r="A106" t="str">
        <f>IF(WFTracker[[#This Row],[Order Number]]="SWBD", "QED2", "PZ4")</f>
        <v>PZ4</v>
      </c>
      <c r="B106" s="21" t="s">
        <v>218</v>
      </c>
      <c r="C106" s="26" t="s">
        <v>219</v>
      </c>
      <c r="D106" s="11" t="str">
        <f>WFTracker[[#This Row],[Order Number]]  &amp; "-" &amp; WFTracker[[#This Row],[Item]]</f>
        <v>0051229942-000120</v>
      </c>
      <c r="E106" s="23" t="s">
        <v>220</v>
      </c>
      <c r="F106" s="12">
        <v>45800</v>
      </c>
      <c r="G106" s="12"/>
      <c r="H106" s="11" t="s">
        <v>36</v>
      </c>
      <c r="I106" s="11" t="s">
        <v>81</v>
      </c>
      <c r="J106" s="13" t="s">
        <v>222</v>
      </c>
      <c r="K106" s="14" t="s">
        <v>1017</v>
      </c>
      <c r="L106" s="15" t="s">
        <v>27</v>
      </c>
      <c r="M106" s="15" t="s">
        <v>1120</v>
      </c>
      <c r="N106" s="56">
        <v>45888</v>
      </c>
      <c r="O106" s="15">
        <f>NETWORKDAYS.INTL(WFTracker[[#This Row],[Start date]],WFTracker[[#This Row],[RM]],1,Holidays!D163:D178)</f>
        <v>8</v>
      </c>
      <c r="P106" s="12">
        <v>45791</v>
      </c>
      <c r="Q106" s="12">
        <v>45798</v>
      </c>
      <c r="R106" s="12">
        <v>45798</v>
      </c>
      <c r="S106" s="27" t="b">
        <f>ISBLANK(WFTracker[[#This Row],[Completion Date]])</f>
        <v>0</v>
      </c>
      <c r="T106" s="27" t="str">
        <f>TEXT(WFTracker[[#This Row],[Start date]],"mmm-yyyy")</f>
        <v>May-2025</v>
      </c>
      <c r="U106" s="11">
        <v>5</v>
      </c>
      <c r="V106" s="11">
        <f>NETWORKDAYS.INTL(WFTracker[[#This Row],[Start date]],WFTracker[[#This Row],[Due date]],1,Holidays!D163:D178)</f>
        <v>6</v>
      </c>
      <c r="W1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06" s="24">
        <f ca="1">WFTracker[[#This Row],[Active Time]]-WFTracker[[#This Row],[Completion Days Template]]</f>
        <v>0</v>
      </c>
      <c r="Y106" s="34" t="str">
        <f ca="1" xml:space="preserve"> IF(WFTracker[[#This Row],[Overdue Time '[Expected-Completion']]]&gt;0, "LATE","ON TIME")</f>
        <v>ON TIME</v>
      </c>
      <c r="Z106" s="34" t="str">
        <f ca="1">IF(WFTracker[[#This Row],[Overdue Time '[Expected-Completion']]] &gt;= 15, "SUPER LATE", Y106)</f>
        <v>ON TIME</v>
      </c>
      <c r="AA106" s="37" t="str">
        <f>IF(WFTracker[[#This Row],[Pre RM Opening Time]]&lt;WFTracker[[#This Row],[Old vs New Order Lead Time WF dead line]], "LATE BY ENG", "ON TIME BY ENG")</f>
        <v>ON TIME BY ENG</v>
      </c>
      <c r="AB106" s="37"/>
      <c r="AC106" s="15" t="str">
        <f>IF(WFTracker[[#This Row],[Competion Date Content]] = FALSE, "C", "i")</f>
        <v>C</v>
      </c>
      <c r="AD1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106" s="105" t="str">
        <f ca="1">IF(WFTracker[[#This Row],[Impact Time Post RM]]&gt;0, "IMPACTED", "NOT IMPACTED")</f>
        <v>NOT IMPACTED</v>
      </c>
      <c r="AF106" s="15"/>
      <c r="AG106" s="18"/>
      <c r="AH106" s="14" t="str">
        <f>IF(WFTracker[[#This Row],[Status]]="C", "Closed", IF(WFTracker[[#This Row],[Status]] = "x", "Cancelled", WFTracker[[#This Row],[Impact Time Post RM]]))</f>
        <v>Closed</v>
      </c>
      <c r="AI106" s="14" t="str">
        <f ca="1">IF(WFTracker[[#This Row],[Impact Time Post RM]]&lt;=0,"ON TIME","LATE")</f>
        <v>ON TIME</v>
      </c>
      <c r="AJ106" s="14" t="s">
        <v>984</v>
      </c>
      <c r="AK106" s="14">
        <v>18</v>
      </c>
      <c r="AL106" s="915">
        <f>IF(WFTracker[[#This Row],[Type]]="MAKE", WFTracker[[#This Row],[Due date]]+Filters!$J$111, WFTracker[[#This Row],[Due date]]+Filters!$J$135)</f>
        <v>45801.072512647552</v>
      </c>
      <c r="AM106" s="101" cm="1">
        <f t="array" ref="AM1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7" spans="1:39" ht="14.45">
      <c r="A107" t="str">
        <f>IF(WFTracker[[#This Row],[Order Number]]="SWBD", "QED2", "PZ4")</f>
        <v>PZ4</v>
      </c>
      <c r="B107" s="21" t="s">
        <v>228</v>
      </c>
      <c r="C107" s="26" t="s">
        <v>135</v>
      </c>
      <c r="D107" s="11" t="str">
        <f>WFTracker[[#This Row],[Order Number]]  &amp; "-" &amp; WFTracker[[#This Row],[Item]]</f>
        <v>0051004478-000010</v>
      </c>
      <c r="E107" s="23" t="s">
        <v>1030</v>
      </c>
      <c r="F107" s="12">
        <v>45800</v>
      </c>
      <c r="G107" s="12"/>
      <c r="H107" s="11" t="s">
        <v>113</v>
      </c>
      <c r="I107" s="11" t="s">
        <v>24</v>
      </c>
      <c r="J107" s="13" t="s">
        <v>230</v>
      </c>
      <c r="K107" s="14" t="s">
        <v>1017</v>
      </c>
      <c r="L107" s="15" t="s">
        <v>27</v>
      </c>
      <c r="M107" s="15" t="s">
        <v>1120</v>
      </c>
      <c r="N107" s="56">
        <v>45939</v>
      </c>
      <c r="O107" s="15">
        <f>NETWORKDAYS.INTL(WFTracker[[#This Row],[Start date]],WFTracker[[#This Row],[RM]],1,Holidays!D123:D138)</f>
        <v>7</v>
      </c>
      <c r="P107" s="12">
        <v>45792</v>
      </c>
      <c r="Q107" s="12">
        <v>45800</v>
      </c>
      <c r="R107" s="12">
        <v>45800</v>
      </c>
      <c r="S107" s="27" t="b">
        <f>ISBLANK(WFTracker[[#This Row],[Completion Date]])</f>
        <v>0</v>
      </c>
      <c r="T107" s="27" t="str">
        <f>TEXT(WFTracker[[#This Row],[Start date]],"mmm-yyyy")</f>
        <v>May-2025</v>
      </c>
      <c r="U107" s="11">
        <v>5</v>
      </c>
      <c r="V107" s="11">
        <f>NETWORKDAYS.INTL(WFTracker[[#This Row],[Start date]],WFTracker[[#This Row],[Due date]],1,Holidays!D123:D138)</f>
        <v>7</v>
      </c>
      <c r="W1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07" s="24">
        <f ca="1">WFTracker[[#This Row],[Active Time]]-WFTracker[[#This Row],[Completion Days Template]]</f>
        <v>0</v>
      </c>
      <c r="Y107" s="34" t="str">
        <f ca="1" xml:space="preserve"> IF(WFTracker[[#This Row],[Overdue Time '[Expected-Completion']]]&gt;0, "LATE","ON TIME")</f>
        <v>ON TIME</v>
      </c>
      <c r="Z107" s="34" t="str">
        <f ca="1">IF(WFTracker[[#This Row],[Overdue Time '[Expected-Completion']]] &gt;= 15, "SUPER LATE", Y107)</f>
        <v>ON TIME</v>
      </c>
      <c r="AA107" s="37" t="str">
        <f>IF(WFTracker[[#This Row],[Pre RM Opening Time]]&lt;WFTracker[[#This Row],[Old vs New Order Lead Time WF dead line]], "LATE BY ENG", "ON TIME BY ENG")</f>
        <v>ON TIME BY ENG</v>
      </c>
      <c r="AB107" s="37"/>
      <c r="AC107" s="15" t="str">
        <f>IF(WFTracker[[#This Row],[Competion Date Content]] = FALSE, "C", "i")</f>
        <v>C</v>
      </c>
      <c r="AD1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07" s="105" t="str">
        <f ca="1">IF(WFTracker[[#This Row],[Impact Time Post RM]]&gt;0, "IMPACTED", "NOT IMPACTED")</f>
        <v>IMPACTED</v>
      </c>
      <c r="AF107" s="15"/>
      <c r="AG107" s="18"/>
      <c r="AH107" s="14" t="str">
        <f>IF(WFTracker[[#This Row],[Status]]="C", "Closed", IF(WFTracker[[#This Row],[Status]] = "x", "Cancelled", WFTracker[[#This Row],[Impact Time Post RM]]))</f>
        <v>Closed</v>
      </c>
      <c r="AI107" s="14" t="str">
        <f ca="1">IF(WFTracker[[#This Row],[Impact Time Post RM]]&lt;=0,"ON TIME","LATE")</f>
        <v>LATE</v>
      </c>
      <c r="AJ107" s="14" t="s">
        <v>984</v>
      </c>
      <c r="AK107" s="14">
        <v>18</v>
      </c>
      <c r="AL107" s="915">
        <f>IF(WFTracker[[#This Row],[Type]]="MAKE", WFTracker[[#This Row],[Due date]]+Filters!$J$111, WFTracker[[#This Row],[Due date]]+Filters!$J$135)</f>
        <v>45803.072512647552</v>
      </c>
      <c r="AM107" s="101" cm="1">
        <f t="array" ref="AM10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8" spans="1:39" ht="14.45">
      <c r="A108" t="str">
        <f>IF(WFTracker[[#This Row],[Order Number]]="SWBD", "QED2", "PZ4")</f>
        <v>PZ4</v>
      </c>
      <c r="B108" s="21" t="s">
        <v>228</v>
      </c>
      <c r="C108" s="26" t="s">
        <v>135</v>
      </c>
      <c r="D108" s="11" t="str">
        <f>WFTracker[[#This Row],[Order Number]]  &amp; "-" &amp; WFTracker[[#This Row],[Item]]</f>
        <v>0051004478-000010</v>
      </c>
      <c r="E108" s="23" t="s">
        <v>1030</v>
      </c>
      <c r="F108" s="12">
        <v>45800</v>
      </c>
      <c r="G108" s="12"/>
      <c r="H108" s="11" t="s">
        <v>113</v>
      </c>
      <c r="I108" s="11" t="s">
        <v>24</v>
      </c>
      <c r="J108" s="13" t="s">
        <v>231</v>
      </c>
      <c r="K108" s="14" t="s">
        <v>1017</v>
      </c>
      <c r="L108" s="15" t="s">
        <v>27</v>
      </c>
      <c r="M108" s="15" t="s">
        <v>1120</v>
      </c>
      <c r="N108" s="56">
        <v>45939</v>
      </c>
      <c r="O108" s="15">
        <f>NETWORKDAYS.INTL(WFTracker[[#This Row],[Start date]],WFTracker[[#This Row],[RM]],1,Holidays!D124:D139)</f>
        <v>7</v>
      </c>
      <c r="P108" s="12">
        <v>45792</v>
      </c>
      <c r="Q108" s="12">
        <v>45800</v>
      </c>
      <c r="R108" s="12">
        <v>45813</v>
      </c>
      <c r="S108" s="27" t="b">
        <f>ISBLANK(WFTracker[[#This Row],[Completion Date]])</f>
        <v>0</v>
      </c>
      <c r="T108" s="27" t="str">
        <f>TEXT(WFTracker[[#This Row],[Start date]],"mmm-yyyy")</f>
        <v>May-2025</v>
      </c>
      <c r="U108" s="11">
        <v>5</v>
      </c>
      <c r="V108" s="11">
        <f>NETWORKDAYS.INTL(WFTracker[[#This Row],[Start date]],WFTracker[[#This Row],[Due date]],1,Holidays!D124:D139)</f>
        <v>7</v>
      </c>
      <c r="W1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108" s="24">
        <f ca="1">WFTracker[[#This Row],[Active Time]]-WFTracker[[#This Row],[Completion Days Template]]</f>
        <v>9</v>
      </c>
      <c r="Y108" s="34" t="str">
        <f ca="1" xml:space="preserve"> IF(WFTracker[[#This Row],[Overdue Time '[Expected-Completion']]]&gt;0, "LATE","ON TIME")</f>
        <v>LATE</v>
      </c>
      <c r="Z108" s="34" t="str">
        <f ca="1">IF(WFTracker[[#This Row],[Overdue Time '[Expected-Completion']]] &gt;= 15, "SUPER LATE", Y108)</f>
        <v>LATE</v>
      </c>
      <c r="AA108" s="37" t="str">
        <f>IF(WFTracker[[#This Row],[Pre RM Opening Time]]&lt;WFTracker[[#This Row],[Old vs New Order Lead Time WF dead line]], "LATE BY ENG", "ON TIME BY ENG")</f>
        <v>ON TIME BY ENG</v>
      </c>
      <c r="AB108" s="37"/>
      <c r="AC108" s="15" t="str">
        <f>IF(WFTracker[[#This Row],[Competion Date Content]] = FALSE, "C", "i")</f>
        <v>C</v>
      </c>
      <c r="AD1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108" s="105" t="str">
        <f ca="1">IF(WFTracker[[#This Row],[Impact Time Post RM]]&gt;0, "IMPACTED", "NOT IMPACTED")</f>
        <v>IMPACTED</v>
      </c>
      <c r="AF108" s="15"/>
      <c r="AG108" s="18"/>
      <c r="AH108" s="14" t="str">
        <f>IF(WFTracker[[#This Row],[Status]]="C", "Closed", IF(WFTracker[[#This Row],[Status]] = "x", "Cancelled", WFTracker[[#This Row],[Impact Time Post RM]]))</f>
        <v>Closed</v>
      </c>
      <c r="AI108" s="14" t="str">
        <f ca="1">IF(WFTracker[[#This Row],[Impact Time Post RM]]&lt;=0,"ON TIME","LATE")</f>
        <v>LATE</v>
      </c>
      <c r="AJ108" s="14" t="s">
        <v>984</v>
      </c>
      <c r="AK108" s="14">
        <v>18</v>
      </c>
      <c r="AL108" s="915">
        <f>IF(WFTracker[[#This Row],[Type]]="MAKE", WFTracker[[#This Row],[Due date]]+Filters!$J$111, WFTracker[[#This Row],[Due date]]+Filters!$J$135)</f>
        <v>45803.072512647552</v>
      </c>
      <c r="AM108" s="101" cm="1">
        <f t="array" ref="AM10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09" spans="1:39" ht="14.45">
      <c r="A109" t="str">
        <f>IF(WFTracker[[#This Row],[Order Number]]="SWBD", "QED2", "PZ4")</f>
        <v>PZ4</v>
      </c>
      <c r="B109" s="21" t="s">
        <v>228</v>
      </c>
      <c r="C109" s="26" t="s">
        <v>135</v>
      </c>
      <c r="D109" s="11" t="str">
        <f>WFTracker[[#This Row],[Order Number]]  &amp; "-" &amp; WFTracker[[#This Row],[Item]]</f>
        <v>0051004478-000010</v>
      </c>
      <c r="E109" s="23" t="s">
        <v>1030</v>
      </c>
      <c r="F109" s="12">
        <v>45800</v>
      </c>
      <c r="G109" s="12"/>
      <c r="H109" s="11" t="s">
        <v>113</v>
      </c>
      <c r="I109" s="11" t="s">
        <v>24</v>
      </c>
      <c r="J109" s="13" t="s">
        <v>232</v>
      </c>
      <c r="K109" s="14" t="s">
        <v>1017</v>
      </c>
      <c r="L109" s="15" t="s">
        <v>40</v>
      </c>
      <c r="M109" s="15" t="s">
        <v>1120</v>
      </c>
      <c r="N109" s="56">
        <v>45939</v>
      </c>
      <c r="O109" s="15">
        <f>NETWORKDAYS.INTL(WFTracker[[#This Row],[Start date]],WFTracker[[#This Row],[RM]],1,Holidays!D125:D140)</f>
        <v>7</v>
      </c>
      <c r="P109" s="12">
        <v>45792</v>
      </c>
      <c r="Q109" s="12">
        <v>45804</v>
      </c>
      <c r="R109" s="12">
        <v>45806</v>
      </c>
      <c r="S109" s="27" t="b">
        <f>ISBLANK(WFTracker[[#This Row],[Completion Date]])</f>
        <v>0</v>
      </c>
      <c r="T109" s="27" t="str">
        <f>TEXT(WFTracker[[#This Row],[Start date]],"mmm-yyyy")</f>
        <v>May-2025</v>
      </c>
      <c r="U109" s="11">
        <v>5</v>
      </c>
      <c r="V109" s="11">
        <f>NETWORKDAYS.INTL(WFTracker[[#This Row],[Start date]],WFTracker[[#This Row],[Due date]],1,Holidays!D125:D140)</f>
        <v>9</v>
      </c>
      <c r="W1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09" s="24">
        <f ca="1">WFTracker[[#This Row],[Active Time]]-WFTracker[[#This Row],[Completion Days Template]]</f>
        <v>2</v>
      </c>
      <c r="Y109" s="34" t="str">
        <f ca="1" xml:space="preserve"> IF(WFTracker[[#This Row],[Overdue Time '[Expected-Completion']]]&gt;0, "LATE","ON TIME")</f>
        <v>LATE</v>
      </c>
      <c r="Z109" s="34" t="str">
        <f ca="1">IF(WFTracker[[#This Row],[Overdue Time '[Expected-Completion']]] &gt;= 15, "SUPER LATE", Y109)</f>
        <v>LATE</v>
      </c>
      <c r="AA109" s="37" t="str">
        <f>IF(WFTracker[[#This Row],[Pre RM Opening Time]]&lt;WFTracker[[#This Row],[Old vs New Order Lead Time WF dead line]], "LATE BY ENG", "ON TIME BY ENG")</f>
        <v>ON TIME BY ENG</v>
      </c>
      <c r="AB109" s="37"/>
      <c r="AC109" s="15" t="str">
        <f>IF(WFTracker[[#This Row],[Competion Date Content]] = FALSE, "C", "i")</f>
        <v>C</v>
      </c>
      <c r="AD1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09" s="105" t="str">
        <f ca="1">IF(WFTracker[[#This Row],[Impact Time Post RM]]&gt;0, "IMPACTED", "NOT IMPACTED")</f>
        <v>IMPACTED</v>
      </c>
      <c r="AF109" s="15"/>
      <c r="AG109" s="18"/>
      <c r="AH109" s="14" t="str">
        <f>IF(WFTracker[[#This Row],[Status]]="C", "Closed", IF(WFTracker[[#This Row],[Status]] = "x", "Cancelled", WFTracker[[#This Row],[Impact Time Post RM]]))</f>
        <v>Closed</v>
      </c>
      <c r="AI109" s="14" t="str">
        <f ca="1">IF(WFTracker[[#This Row],[Impact Time Post RM]]&lt;=0,"ON TIME","LATE")</f>
        <v>LATE</v>
      </c>
      <c r="AJ109" s="14" t="s">
        <v>984</v>
      </c>
      <c r="AK109" s="14">
        <v>17</v>
      </c>
      <c r="AL109" s="915">
        <f>IF(WFTracker[[#This Row],[Type]]="MAKE", WFTracker[[#This Row],[Due date]]+Filters!$J$111, WFTracker[[#This Row],[Due date]]+Filters!$J$135)</f>
        <v>45804.415686274508</v>
      </c>
      <c r="AM109" s="101" cm="1">
        <f t="array" ref="AM1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0" spans="1:39" ht="14.45">
      <c r="A110" t="str">
        <f>IF(WFTracker[[#This Row],[Order Number]]="SWBD", "QED2", "PZ4")</f>
        <v>PZ4</v>
      </c>
      <c r="B110" s="21" t="s">
        <v>234</v>
      </c>
      <c r="C110" s="26" t="s">
        <v>235</v>
      </c>
      <c r="D110" s="11" t="str">
        <f>WFTracker[[#This Row],[Order Number]]  &amp; "-" &amp; WFTracker[[#This Row],[Item]]</f>
        <v>0050545482-001640</v>
      </c>
      <c r="E110" s="23" t="s">
        <v>236</v>
      </c>
      <c r="F110" s="12">
        <v>45807</v>
      </c>
      <c r="G110" s="12"/>
      <c r="H110" s="11" t="s">
        <v>237</v>
      </c>
      <c r="I110" s="11" t="s">
        <v>238</v>
      </c>
      <c r="J110" s="13" t="s">
        <v>239</v>
      </c>
      <c r="K110" s="14" t="s">
        <v>1017</v>
      </c>
      <c r="L110" s="15" t="s">
        <v>27</v>
      </c>
      <c r="M110" s="15" t="s">
        <v>1120</v>
      </c>
      <c r="N110" s="56">
        <v>46000</v>
      </c>
      <c r="O110" s="15">
        <f>NETWORKDAYS.INTL(WFTracker[[#This Row],[Start date]],WFTracker[[#This Row],[RM]],1,Holidays!D221:D236)</f>
        <v>10</v>
      </c>
      <c r="P110" s="12">
        <v>45796</v>
      </c>
      <c r="Q110" s="12">
        <v>45803</v>
      </c>
      <c r="R110" s="12">
        <v>45800</v>
      </c>
      <c r="S110" s="27" t="b">
        <f>ISBLANK(WFTracker[[#This Row],[Completion Date]])</f>
        <v>0</v>
      </c>
      <c r="T110" s="27" t="str">
        <f>TEXT(WFTracker[[#This Row],[Start date]],"mmm-yyyy")</f>
        <v>May-2025</v>
      </c>
      <c r="U110" s="11">
        <v>5</v>
      </c>
      <c r="V110" s="11">
        <f>NETWORKDAYS.INTL(WFTracker[[#This Row],[Start date]],WFTracker[[#This Row],[Due date]],1,Holidays!D221:D236)</f>
        <v>6</v>
      </c>
      <c r="W1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110" s="24">
        <f ca="1">WFTracker[[#This Row],[Active Time]]-WFTracker[[#This Row],[Completion Days Template]]</f>
        <v>-1</v>
      </c>
      <c r="Y110" s="34" t="str">
        <f ca="1" xml:space="preserve"> IF(WFTracker[[#This Row],[Overdue Time '[Expected-Completion']]]&gt;0, "LATE","ON TIME")</f>
        <v>ON TIME</v>
      </c>
      <c r="Z110" s="34" t="str">
        <f ca="1">IF(WFTracker[[#This Row],[Overdue Time '[Expected-Completion']]] &gt;= 15, "SUPER LATE", Y110)</f>
        <v>ON TIME</v>
      </c>
      <c r="AA110" s="37" t="str">
        <f>IF(WFTracker[[#This Row],[Pre RM Opening Time]]&lt;WFTracker[[#This Row],[Old vs New Order Lead Time WF dead line]], "LATE BY ENG", "ON TIME BY ENG")</f>
        <v>ON TIME BY ENG</v>
      </c>
      <c r="AB110" s="37"/>
      <c r="AC110" s="15" t="str">
        <f>IF(WFTracker[[#This Row],[Competion Date Content]] = FALSE, "C", "i")</f>
        <v>C</v>
      </c>
      <c r="AD1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110" s="105" t="str">
        <f ca="1">IF(WFTracker[[#This Row],[Impact Time Post RM]]&gt;0, "IMPACTED", "NOT IMPACTED")</f>
        <v>NOT IMPACTED</v>
      </c>
      <c r="AF110" s="15"/>
      <c r="AG110" s="18"/>
      <c r="AH110" s="14" t="str">
        <f>IF(WFTracker[[#This Row],[Status]]="C", "Closed", IF(WFTracker[[#This Row],[Status]] = "x", "Cancelled", WFTracker[[#This Row],[Impact Time Post RM]]))</f>
        <v>Closed</v>
      </c>
      <c r="AI110" s="14" t="str">
        <f ca="1">IF(WFTracker[[#This Row],[Impact Time Post RM]]&lt;=0,"ON TIME","LATE")</f>
        <v>ON TIME</v>
      </c>
      <c r="AJ110" s="14" t="s">
        <v>984</v>
      </c>
      <c r="AK110" s="14">
        <v>18</v>
      </c>
      <c r="AL110" s="915">
        <f>IF(WFTracker[[#This Row],[Type]]="MAKE", WFTracker[[#This Row],[Due date]]+Filters!$J$111, WFTracker[[#This Row],[Due date]]+Filters!$J$135)</f>
        <v>45806.072512647552</v>
      </c>
      <c r="AM110" s="101" cm="1">
        <f t="array" ref="AM1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1" spans="1:39" ht="14.45">
      <c r="A111" t="str">
        <f>IF(WFTracker[[#This Row],[Order Number]]="SWBD", "QED2", "PZ4")</f>
        <v>PZ4</v>
      </c>
      <c r="B111" s="21" t="s">
        <v>234</v>
      </c>
      <c r="C111" s="26" t="s">
        <v>235</v>
      </c>
      <c r="D111" s="11" t="str">
        <f>WFTracker[[#This Row],[Order Number]]  &amp; "-" &amp; WFTracker[[#This Row],[Item]]</f>
        <v>0050545482-001640</v>
      </c>
      <c r="E111" s="23" t="s">
        <v>236</v>
      </c>
      <c r="F111" s="12">
        <v>45807</v>
      </c>
      <c r="G111" s="12"/>
      <c r="H111" s="11" t="s">
        <v>237</v>
      </c>
      <c r="I111" s="11" t="s">
        <v>238</v>
      </c>
      <c r="J111" s="13" t="s">
        <v>247</v>
      </c>
      <c r="K111" s="14" t="s">
        <v>1017</v>
      </c>
      <c r="L111" s="15" t="s">
        <v>27</v>
      </c>
      <c r="M111" s="15" t="s">
        <v>1120</v>
      </c>
      <c r="N111" s="56">
        <v>46000</v>
      </c>
      <c r="O111" s="15">
        <f>NETWORKDAYS.INTL(WFTracker[[#This Row],[Start date]],WFTracker[[#This Row],[RM]],1,Holidays!D190:D205)</f>
        <v>9</v>
      </c>
      <c r="P111" s="12">
        <v>45797</v>
      </c>
      <c r="Q111" s="12">
        <v>45805</v>
      </c>
      <c r="R111" s="12">
        <v>45813</v>
      </c>
      <c r="S111" s="27" t="b">
        <f>ISBLANK(WFTracker[[#This Row],[Completion Date]])</f>
        <v>0</v>
      </c>
      <c r="T111" s="27" t="str">
        <f>TEXT(WFTracker[[#This Row],[Start date]],"mmm-yyyy")</f>
        <v>May-2025</v>
      </c>
      <c r="U111" s="11">
        <v>5</v>
      </c>
      <c r="V111" s="11">
        <f>NETWORKDAYS.INTL(WFTracker[[#This Row],[Start date]],WFTracker[[#This Row],[Due date]],1,Holidays!D190:D205)</f>
        <v>7</v>
      </c>
      <c r="W1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111" s="24">
        <f ca="1">WFTracker[[#This Row],[Active Time]]-WFTracker[[#This Row],[Completion Days Template]]</f>
        <v>6</v>
      </c>
      <c r="Y111" s="34" t="str">
        <f ca="1" xml:space="preserve"> IF(WFTracker[[#This Row],[Overdue Time '[Expected-Completion']]]&gt;0, "LATE","ON TIME")</f>
        <v>LATE</v>
      </c>
      <c r="Z111" s="34" t="str">
        <f ca="1">IF(WFTracker[[#This Row],[Overdue Time '[Expected-Completion']]] &gt;= 15, "SUPER LATE", Y111)</f>
        <v>LATE</v>
      </c>
      <c r="AA111" s="37" t="str">
        <f>IF(WFTracker[[#This Row],[Pre RM Opening Time]]&lt;WFTracker[[#This Row],[Old vs New Order Lead Time WF dead line]], "LATE BY ENG", "ON TIME BY ENG")</f>
        <v>ON TIME BY ENG</v>
      </c>
      <c r="AB111" s="37"/>
      <c r="AC111" s="15" t="str">
        <f>IF(WFTracker[[#This Row],[Competion Date Content]] = FALSE, "C", "i")</f>
        <v>C</v>
      </c>
      <c r="AD1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11" s="105" t="str">
        <f ca="1">IF(WFTracker[[#This Row],[Impact Time Post RM]]&gt;0, "IMPACTED", "NOT IMPACTED")</f>
        <v>IMPACTED</v>
      </c>
      <c r="AF111" s="15"/>
      <c r="AG111" s="18"/>
      <c r="AH111" s="14" t="str">
        <f>IF(WFTracker[[#This Row],[Status]]="C", "Closed", IF(WFTracker[[#This Row],[Status]] = "x", "Cancelled", WFTracker[[#This Row],[Impact Time Post RM]]))</f>
        <v>Closed</v>
      </c>
      <c r="AI111" s="14" t="str">
        <f ca="1">IF(WFTracker[[#This Row],[Impact Time Post RM]]&lt;=0,"ON TIME","LATE")</f>
        <v>LATE</v>
      </c>
      <c r="AJ111" s="14" t="s">
        <v>984</v>
      </c>
      <c r="AK111" s="14">
        <v>18</v>
      </c>
      <c r="AL111" s="915">
        <f>IF(WFTracker[[#This Row],[Type]]="MAKE", WFTracker[[#This Row],[Due date]]+Filters!$J$111, WFTracker[[#This Row],[Due date]]+Filters!$J$135)</f>
        <v>45808.072512647552</v>
      </c>
      <c r="AM111" s="101" cm="1">
        <f t="array" ref="AM1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2" spans="1:39" ht="14.45">
      <c r="A112" t="str">
        <f>IF(WFTracker[[#This Row],[Order Number]]="SWBD", "QED2", "PZ4")</f>
        <v>PZ4</v>
      </c>
      <c r="B112" s="21" t="s">
        <v>234</v>
      </c>
      <c r="C112" s="26" t="s">
        <v>235</v>
      </c>
      <c r="D112" s="11" t="str">
        <f>WFTracker[[#This Row],[Order Number]]  &amp; "-" &amp; WFTracker[[#This Row],[Item]]</f>
        <v>0050545482-001640</v>
      </c>
      <c r="E112" s="23" t="s">
        <v>236</v>
      </c>
      <c r="F112" s="12">
        <v>45807</v>
      </c>
      <c r="G112" s="12"/>
      <c r="H112" s="11" t="s">
        <v>237</v>
      </c>
      <c r="I112" s="11" t="s">
        <v>238</v>
      </c>
      <c r="J112" s="13" t="s">
        <v>242</v>
      </c>
      <c r="K112" s="14" t="s">
        <v>1017</v>
      </c>
      <c r="L112" s="15" t="s">
        <v>27</v>
      </c>
      <c r="M112" s="15" t="s">
        <v>1120</v>
      </c>
      <c r="N112" s="56">
        <v>46000</v>
      </c>
      <c r="O112" s="15">
        <f>NETWORKDAYS.INTL(WFTracker[[#This Row],[Start date]],WFTracker[[#This Row],[RM]],1,Holidays!D164:D179)</f>
        <v>8</v>
      </c>
      <c r="P112" s="12">
        <v>45798</v>
      </c>
      <c r="Q112" s="12">
        <v>45806</v>
      </c>
      <c r="R112" s="12">
        <v>45806</v>
      </c>
      <c r="S112" s="27" t="b">
        <f>ISBLANK(WFTracker[[#This Row],[Completion Date]])</f>
        <v>0</v>
      </c>
      <c r="T112" s="27" t="str">
        <f>TEXT(WFTracker[[#This Row],[Start date]],"mmm-yyyy")</f>
        <v>May-2025</v>
      </c>
      <c r="U112" s="11">
        <v>5</v>
      </c>
      <c r="V112" s="11">
        <f>NETWORKDAYS.INTL(WFTracker[[#This Row],[Start date]],WFTracker[[#This Row],[Due date]],1,Holidays!D164:D179)</f>
        <v>7</v>
      </c>
      <c r="W1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12" s="24">
        <f ca="1">WFTracker[[#This Row],[Active Time]]-WFTracker[[#This Row],[Completion Days Template]]</f>
        <v>0</v>
      </c>
      <c r="Y112" s="34" t="str">
        <f ca="1" xml:space="preserve"> IF(WFTracker[[#This Row],[Overdue Time '[Expected-Completion']]]&gt;0, "LATE","ON TIME")</f>
        <v>ON TIME</v>
      </c>
      <c r="Z112" s="34" t="str">
        <f ca="1">IF(WFTracker[[#This Row],[Overdue Time '[Expected-Completion']]] &gt;= 15, "SUPER LATE", Y112)</f>
        <v>ON TIME</v>
      </c>
      <c r="AA112" s="37" t="str">
        <f>IF(WFTracker[[#This Row],[Pre RM Opening Time]]&lt;WFTracker[[#This Row],[Old vs New Order Lead Time WF dead line]], "LATE BY ENG", "ON TIME BY ENG")</f>
        <v>ON TIME BY ENG</v>
      </c>
      <c r="AB112" s="37"/>
      <c r="AC112" s="15" t="str">
        <f>IF(WFTracker[[#This Row],[Competion Date Content]] = FALSE, "C", "i")</f>
        <v>C</v>
      </c>
      <c r="AD1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112" s="105" t="str">
        <f ca="1">IF(WFTracker[[#This Row],[Impact Time Post RM]]&gt;0, "IMPACTED", "NOT IMPACTED")</f>
        <v>NOT IMPACTED</v>
      </c>
      <c r="AF112" s="15"/>
      <c r="AG112" s="18"/>
      <c r="AH112" s="14" t="str">
        <f>IF(WFTracker[[#This Row],[Status]]="C", "Closed", IF(WFTracker[[#This Row],[Status]] = "x", "Cancelled", WFTracker[[#This Row],[Impact Time Post RM]]))</f>
        <v>Closed</v>
      </c>
      <c r="AI112" s="14" t="str">
        <f ca="1">IF(WFTracker[[#This Row],[Impact Time Post RM]]&lt;=0,"ON TIME","LATE")</f>
        <v>ON TIME</v>
      </c>
      <c r="AJ112" s="14" t="s">
        <v>984</v>
      </c>
      <c r="AK112" s="14">
        <v>18</v>
      </c>
      <c r="AL112" s="915">
        <f>IF(WFTracker[[#This Row],[Type]]="MAKE", WFTracker[[#This Row],[Due date]]+Filters!$J$111, WFTracker[[#This Row],[Due date]]+Filters!$J$135)</f>
        <v>45809.072512647552</v>
      </c>
      <c r="AM112" s="101" cm="1">
        <f t="array" ref="AM1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3" spans="1:39" ht="14.45">
      <c r="A113" t="str">
        <f>IF(WFTracker[[#This Row],[Order Number]]="SWBD", "QED2", "PZ4")</f>
        <v>PZ4</v>
      </c>
      <c r="B113" s="21" t="s">
        <v>234</v>
      </c>
      <c r="C113" s="26" t="s">
        <v>235</v>
      </c>
      <c r="D113" s="11" t="str">
        <f>WFTracker[[#This Row],[Order Number]]  &amp; "-" &amp; WFTracker[[#This Row],[Item]]</f>
        <v>0050545482-001640</v>
      </c>
      <c r="E113" s="23" t="s">
        <v>236</v>
      </c>
      <c r="F113" s="12">
        <v>45807</v>
      </c>
      <c r="G113" s="12"/>
      <c r="H113" s="11" t="s">
        <v>237</v>
      </c>
      <c r="I113" s="11" t="s">
        <v>238</v>
      </c>
      <c r="J113" s="13" t="s">
        <v>249</v>
      </c>
      <c r="K113" s="14" t="s">
        <v>1017</v>
      </c>
      <c r="L113" s="15" t="s">
        <v>27</v>
      </c>
      <c r="M113" s="15" t="s">
        <v>1120</v>
      </c>
      <c r="N113" s="56">
        <v>46000</v>
      </c>
      <c r="O113" s="15">
        <f>NETWORKDAYS.INTL(WFTracker[[#This Row],[Start date]],WFTracker[[#This Row],[RM]],1,Holidays!D165:D180)</f>
        <v>8</v>
      </c>
      <c r="P113" s="12">
        <v>45798</v>
      </c>
      <c r="Q113" s="12">
        <v>45806</v>
      </c>
      <c r="R113" s="12">
        <v>45817</v>
      </c>
      <c r="S113" s="27" t="b">
        <f>ISBLANK(WFTracker[[#This Row],[Completion Date]])</f>
        <v>0</v>
      </c>
      <c r="T113" s="27" t="str">
        <f>TEXT(WFTracker[[#This Row],[Start date]],"mmm-yyyy")</f>
        <v>May-2025</v>
      </c>
      <c r="U113" s="11">
        <v>5</v>
      </c>
      <c r="V113" s="11">
        <f>NETWORKDAYS.INTL(WFTracker[[#This Row],[Start date]],WFTracker[[#This Row],[Due date]],1,Holidays!D165:D180)</f>
        <v>7</v>
      </c>
      <c r="W1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113" s="24">
        <f ca="1">WFTracker[[#This Row],[Active Time]]-WFTracker[[#This Row],[Completion Days Template]]</f>
        <v>7</v>
      </c>
      <c r="Y113" s="34" t="str">
        <f ca="1" xml:space="preserve"> IF(WFTracker[[#This Row],[Overdue Time '[Expected-Completion']]]&gt;0, "LATE","ON TIME")</f>
        <v>LATE</v>
      </c>
      <c r="Z113" s="34" t="str">
        <f ca="1">IF(WFTracker[[#This Row],[Overdue Time '[Expected-Completion']]] &gt;= 15, "SUPER LATE", Y113)</f>
        <v>LATE</v>
      </c>
      <c r="AA113" s="37" t="str">
        <f>IF(WFTracker[[#This Row],[Pre RM Opening Time]]&lt;WFTracker[[#This Row],[Old vs New Order Lead Time WF dead line]], "LATE BY ENG", "ON TIME BY ENG")</f>
        <v>ON TIME BY ENG</v>
      </c>
      <c r="AB113" s="37"/>
      <c r="AC113" s="15" t="str">
        <f>IF(WFTracker[[#This Row],[Competion Date Content]] = FALSE, "C", "i")</f>
        <v>C</v>
      </c>
      <c r="AD1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113" s="105" t="str">
        <f ca="1">IF(WFTracker[[#This Row],[Impact Time Post RM]]&gt;0, "IMPACTED", "NOT IMPACTED")</f>
        <v>IMPACTED</v>
      </c>
      <c r="AF113" s="15"/>
      <c r="AG113" s="18"/>
      <c r="AH113" s="14" t="str">
        <f>IF(WFTracker[[#This Row],[Status]]="C", "Closed", IF(WFTracker[[#This Row],[Status]] = "x", "Cancelled", WFTracker[[#This Row],[Impact Time Post RM]]))</f>
        <v>Closed</v>
      </c>
      <c r="AI113" s="14" t="str">
        <f ca="1">IF(WFTracker[[#This Row],[Impact Time Post RM]]&lt;=0,"ON TIME","LATE")</f>
        <v>LATE</v>
      </c>
      <c r="AJ113" s="14" t="s">
        <v>984</v>
      </c>
      <c r="AK113" s="14">
        <v>18</v>
      </c>
      <c r="AL113" s="915">
        <f>IF(WFTracker[[#This Row],[Type]]="MAKE", WFTracker[[#This Row],[Due date]]+Filters!$J$111, WFTracker[[#This Row],[Due date]]+Filters!$J$135)</f>
        <v>45809.072512647552</v>
      </c>
      <c r="AM113" s="101" cm="1">
        <f t="array" ref="AM1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4" spans="1:39" ht="14.45">
      <c r="A114" t="str">
        <f>IF(WFTracker[[#This Row],[Order Number]]="SWBD", "QED2", "PZ4")</f>
        <v>PZ4</v>
      </c>
      <c r="B114" s="21" t="s">
        <v>234</v>
      </c>
      <c r="C114" s="26" t="s">
        <v>235</v>
      </c>
      <c r="D114" s="11" t="str">
        <f>WFTracker[[#This Row],[Order Number]]  &amp; "-" &amp; WFTracker[[#This Row],[Item]]</f>
        <v>0050545482-001640</v>
      </c>
      <c r="E114" s="23" t="s">
        <v>236</v>
      </c>
      <c r="F114" s="12">
        <v>45807</v>
      </c>
      <c r="G114" s="12"/>
      <c r="H114" s="11" t="s">
        <v>237</v>
      </c>
      <c r="I114" s="11" t="s">
        <v>238</v>
      </c>
      <c r="J114" s="13" t="s">
        <v>244</v>
      </c>
      <c r="K114" s="14" t="s">
        <v>1017</v>
      </c>
      <c r="L114" s="15" t="s">
        <v>27</v>
      </c>
      <c r="M114" s="15" t="s">
        <v>1120</v>
      </c>
      <c r="N114" s="56">
        <v>46000</v>
      </c>
      <c r="O114" s="15">
        <f>NETWORKDAYS.INTL(WFTracker[[#This Row],[Start date]],WFTracker[[#This Row],[RM]],1,Holidays!D166:D181)</f>
        <v>8</v>
      </c>
      <c r="P114" s="12">
        <v>45798</v>
      </c>
      <c r="Q114" s="12">
        <v>45806</v>
      </c>
      <c r="R114" s="12">
        <v>45811</v>
      </c>
      <c r="S114" s="27" t="b">
        <f>ISBLANK(WFTracker[[#This Row],[Completion Date]])</f>
        <v>0</v>
      </c>
      <c r="T114" s="27" t="str">
        <f>TEXT(WFTracker[[#This Row],[Start date]],"mmm-yyyy")</f>
        <v>May-2025</v>
      </c>
      <c r="U114" s="11">
        <v>5</v>
      </c>
      <c r="V114" s="11">
        <f>NETWORKDAYS.INTL(WFTracker[[#This Row],[Start date]],WFTracker[[#This Row],[Due date]],1,Holidays!D166:D181)</f>
        <v>7</v>
      </c>
      <c r="W1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14" s="24">
        <f ca="1">WFTracker[[#This Row],[Active Time]]-WFTracker[[#This Row],[Completion Days Template]]</f>
        <v>3</v>
      </c>
      <c r="Y114" s="34" t="str">
        <f ca="1" xml:space="preserve"> IF(WFTracker[[#This Row],[Overdue Time '[Expected-Completion']]]&gt;0, "LATE","ON TIME")</f>
        <v>LATE</v>
      </c>
      <c r="Z114" s="34" t="str">
        <f ca="1">IF(WFTracker[[#This Row],[Overdue Time '[Expected-Completion']]] &gt;= 15, "SUPER LATE", Y114)</f>
        <v>LATE</v>
      </c>
      <c r="AA114" s="37" t="str">
        <f>IF(WFTracker[[#This Row],[Pre RM Opening Time]]&lt;WFTracker[[#This Row],[Old vs New Order Lead Time WF dead line]], "LATE BY ENG", "ON TIME BY ENG")</f>
        <v>ON TIME BY ENG</v>
      </c>
      <c r="AB114" s="37"/>
      <c r="AC114" s="15" t="str">
        <f>IF(WFTracker[[#This Row],[Competion Date Content]] = FALSE, "C", "i")</f>
        <v>C</v>
      </c>
      <c r="AD1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14" s="105" t="str">
        <f ca="1">IF(WFTracker[[#This Row],[Impact Time Post RM]]&gt;0, "IMPACTED", "NOT IMPACTED")</f>
        <v>IMPACTED</v>
      </c>
      <c r="AF114" s="15"/>
      <c r="AG114" s="18"/>
      <c r="AH114" s="14" t="str">
        <f>IF(WFTracker[[#This Row],[Status]]="C", "Closed", IF(WFTracker[[#This Row],[Status]] = "x", "Cancelled", WFTracker[[#This Row],[Impact Time Post RM]]))</f>
        <v>Closed</v>
      </c>
      <c r="AI114" s="14" t="str">
        <f ca="1">IF(WFTracker[[#This Row],[Impact Time Post RM]]&lt;=0,"ON TIME","LATE")</f>
        <v>LATE</v>
      </c>
      <c r="AJ114" s="14" t="s">
        <v>984</v>
      </c>
      <c r="AK114" s="14">
        <v>18</v>
      </c>
      <c r="AL114" s="915">
        <f>IF(WFTracker[[#This Row],[Type]]="MAKE", WFTracker[[#This Row],[Due date]]+Filters!$J$111, WFTracker[[#This Row],[Due date]]+Filters!$J$135)</f>
        <v>45809.072512647552</v>
      </c>
      <c r="AM114" s="101" cm="1">
        <f t="array" ref="AM1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5" spans="1:39" ht="14.45">
      <c r="A115" t="str">
        <f>IF(WFTracker[[#This Row],[Order Number]]="SWBD", "QED2", "PZ4")</f>
        <v>PZ4</v>
      </c>
      <c r="B115" s="21" t="s">
        <v>234</v>
      </c>
      <c r="C115" s="26" t="s">
        <v>235</v>
      </c>
      <c r="D115" s="11" t="str">
        <f>WFTracker[[#This Row],[Order Number]]  &amp; "-" &amp; WFTracker[[#This Row],[Item]]</f>
        <v>0050545482-001640</v>
      </c>
      <c r="E115" s="23" t="s">
        <v>236</v>
      </c>
      <c r="F115" s="12">
        <v>45807</v>
      </c>
      <c r="G115" s="12"/>
      <c r="H115" s="11" t="s">
        <v>237</v>
      </c>
      <c r="I115" s="11" t="s">
        <v>238</v>
      </c>
      <c r="J115" s="13" t="s">
        <v>248</v>
      </c>
      <c r="K115" s="14" t="s">
        <v>1017</v>
      </c>
      <c r="L115" s="15" t="s">
        <v>40</v>
      </c>
      <c r="M115" s="15" t="s">
        <v>1120</v>
      </c>
      <c r="N115" s="56">
        <v>46000</v>
      </c>
      <c r="O115" s="15">
        <f>NETWORKDAYS.INTL(WFTracker[[#This Row],[Start date]],WFTracker[[#This Row],[RM]],1,Holidays!D167:D182)</f>
        <v>8</v>
      </c>
      <c r="P115" s="12">
        <v>45798</v>
      </c>
      <c r="Q115" s="12">
        <v>45810</v>
      </c>
      <c r="R115" s="12">
        <v>45813</v>
      </c>
      <c r="S115" s="27" t="b">
        <f>ISBLANK(WFTracker[[#This Row],[Completion Date]])</f>
        <v>0</v>
      </c>
      <c r="T115" s="27" t="str">
        <f>TEXT(WFTracker[[#This Row],[Start date]],"mmm-yyyy")</f>
        <v>May-2025</v>
      </c>
      <c r="U115" s="11">
        <v>5</v>
      </c>
      <c r="V115" s="11">
        <f>NETWORKDAYS.INTL(WFTracker[[#This Row],[Start date]],WFTracker[[#This Row],[Due date]],1,Holidays!D167:D182)</f>
        <v>9</v>
      </c>
      <c r="W1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15" s="24">
        <f ca="1">WFTracker[[#This Row],[Active Time]]-WFTracker[[#This Row],[Completion Days Template]]</f>
        <v>3</v>
      </c>
      <c r="Y115" s="34" t="str">
        <f ca="1" xml:space="preserve"> IF(WFTracker[[#This Row],[Overdue Time '[Expected-Completion']]]&gt;0, "LATE","ON TIME")</f>
        <v>LATE</v>
      </c>
      <c r="Z115" s="34" t="str">
        <f ca="1">IF(WFTracker[[#This Row],[Overdue Time '[Expected-Completion']]] &gt;= 15, "SUPER LATE", Y115)</f>
        <v>LATE</v>
      </c>
      <c r="AA115" s="37" t="str">
        <f>IF(WFTracker[[#This Row],[Pre RM Opening Time]]&lt;WFTracker[[#This Row],[Old vs New Order Lead Time WF dead line]], "LATE BY ENG", "ON TIME BY ENG")</f>
        <v>ON TIME BY ENG</v>
      </c>
      <c r="AB115" s="37"/>
      <c r="AC115" s="15" t="str">
        <f>IF(WFTracker[[#This Row],[Competion Date Content]] = FALSE, "C", "i")</f>
        <v>C</v>
      </c>
      <c r="AD1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15" s="105" t="str">
        <f ca="1">IF(WFTracker[[#This Row],[Impact Time Post RM]]&gt;0, "IMPACTED", "NOT IMPACTED")</f>
        <v>IMPACTED</v>
      </c>
      <c r="AF115" s="15"/>
      <c r="AG115" s="18"/>
      <c r="AH115" s="14" t="str">
        <f>IF(WFTracker[[#This Row],[Status]]="C", "Closed", IF(WFTracker[[#This Row],[Status]] = "x", "Cancelled", WFTracker[[#This Row],[Impact Time Post RM]]))</f>
        <v>Closed</v>
      </c>
      <c r="AI115" s="14" t="str">
        <f ca="1">IF(WFTracker[[#This Row],[Impact Time Post RM]]&lt;=0,"ON TIME","LATE")</f>
        <v>LATE</v>
      </c>
      <c r="AJ115" s="14" t="s">
        <v>984</v>
      </c>
      <c r="AK115" s="14">
        <v>17</v>
      </c>
      <c r="AL115" s="915">
        <f>IF(WFTracker[[#This Row],[Type]]="MAKE", WFTracker[[#This Row],[Due date]]+Filters!$J$111, WFTracker[[#This Row],[Due date]]+Filters!$J$135)</f>
        <v>45810.415686274508</v>
      </c>
      <c r="AM115" s="101" cm="1">
        <f t="array" ref="AM1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6" spans="1:39" ht="14.45">
      <c r="A116" t="str">
        <f>IF(WFTracker[[#This Row],[Order Number]]="SWBD", "QED2", "PZ4")</f>
        <v>PZ4</v>
      </c>
      <c r="B116" s="21" t="s">
        <v>234</v>
      </c>
      <c r="C116" s="26" t="s">
        <v>235</v>
      </c>
      <c r="D116" s="11" t="str">
        <f>WFTracker[[#This Row],[Order Number]]  &amp; "-" &amp; WFTracker[[#This Row],[Item]]</f>
        <v>0050545482-001640</v>
      </c>
      <c r="E116" s="23" t="s">
        <v>236</v>
      </c>
      <c r="F116" s="12">
        <v>45807</v>
      </c>
      <c r="G116" s="12"/>
      <c r="H116" s="11" t="s">
        <v>237</v>
      </c>
      <c r="I116" s="11" t="s">
        <v>238</v>
      </c>
      <c r="J116" s="13" t="s">
        <v>243</v>
      </c>
      <c r="K116" s="14" t="s">
        <v>1017</v>
      </c>
      <c r="L116" s="15" t="s">
        <v>40</v>
      </c>
      <c r="M116" s="15" t="s">
        <v>1120</v>
      </c>
      <c r="N116" s="56">
        <v>46000</v>
      </c>
      <c r="O116" s="15">
        <f>NETWORKDAYS.INTL(WFTracker[[#This Row],[Start date]],WFTracker[[#This Row],[RM]],1,Holidays!D168:D183)</f>
        <v>8</v>
      </c>
      <c r="P116" s="12">
        <v>45798</v>
      </c>
      <c r="Q116" s="12">
        <v>45810</v>
      </c>
      <c r="R116" s="12">
        <v>45810</v>
      </c>
      <c r="S116" s="27" t="b">
        <f>ISBLANK(WFTracker[[#This Row],[Completion Date]])</f>
        <v>0</v>
      </c>
      <c r="T116" s="27" t="str">
        <f>TEXT(WFTracker[[#This Row],[Start date]],"mmm-yyyy")</f>
        <v>May-2025</v>
      </c>
      <c r="U116" s="11">
        <v>5</v>
      </c>
      <c r="V116" s="11">
        <f>NETWORKDAYS.INTL(WFTracker[[#This Row],[Start date]],WFTracker[[#This Row],[Due date]],1,Holidays!D168:D183)</f>
        <v>9</v>
      </c>
      <c r="W1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16" s="24">
        <f ca="1">WFTracker[[#This Row],[Active Time]]-WFTracker[[#This Row],[Completion Days Template]]</f>
        <v>0</v>
      </c>
      <c r="Y116" s="34" t="str">
        <f ca="1" xml:space="preserve"> IF(WFTracker[[#This Row],[Overdue Time '[Expected-Completion']]]&gt;0, "LATE","ON TIME")</f>
        <v>ON TIME</v>
      </c>
      <c r="Z116" s="34" t="str">
        <f ca="1">IF(WFTracker[[#This Row],[Overdue Time '[Expected-Completion']]] &gt;= 15, "SUPER LATE", Y116)</f>
        <v>ON TIME</v>
      </c>
      <c r="AA116" s="37" t="str">
        <f>IF(WFTracker[[#This Row],[Pre RM Opening Time]]&lt;WFTracker[[#This Row],[Old vs New Order Lead Time WF dead line]], "LATE BY ENG", "ON TIME BY ENG")</f>
        <v>ON TIME BY ENG</v>
      </c>
      <c r="AB116" s="37"/>
      <c r="AC116" s="15" t="str">
        <f>IF(WFTracker[[#This Row],[Competion Date Content]] = FALSE, "C", "i")</f>
        <v>C</v>
      </c>
      <c r="AD1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116" s="105" t="str">
        <f ca="1">IF(WFTracker[[#This Row],[Impact Time Post RM]]&gt;0, "IMPACTED", "NOT IMPACTED")</f>
        <v>IMPACTED</v>
      </c>
      <c r="AF116" s="15"/>
      <c r="AG116" s="18"/>
      <c r="AH116" s="14" t="str">
        <f>IF(WFTracker[[#This Row],[Status]]="C", "Closed", IF(WFTracker[[#This Row],[Status]] = "x", "Cancelled", WFTracker[[#This Row],[Impact Time Post RM]]))</f>
        <v>Closed</v>
      </c>
      <c r="AI116" s="14" t="str">
        <f ca="1">IF(WFTracker[[#This Row],[Impact Time Post RM]]&lt;=0,"ON TIME","LATE")</f>
        <v>LATE</v>
      </c>
      <c r="AJ116" s="14" t="s">
        <v>984</v>
      </c>
      <c r="AK116" s="14">
        <v>17</v>
      </c>
      <c r="AL116" s="915">
        <f>IF(WFTracker[[#This Row],[Type]]="MAKE", WFTracker[[#This Row],[Due date]]+Filters!$J$111, WFTracker[[#This Row],[Due date]]+Filters!$J$135)</f>
        <v>45810.415686274508</v>
      </c>
      <c r="AM116" s="101" cm="1">
        <f t="array" ref="AM1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7" spans="1:39" ht="14.45">
      <c r="A117" t="str">
        <f>IF(WFTracker[[#This Row],[Order Number]]="SWBD", "QED2", "PZ4")</f>
        <v>PZ4</v>
      </c>
      <c r="B117" s="21" t="s">
        <v>267</v>
      </c>
      <c r="C117" s="26" t="s">
        <v>135</v>
      </c>
      <c r="D117" s="11" t="str">
        <f>WFTracker[[#This Row],[Order Number]]  &amp; "-" &amp; WFTracker[[#This Row],[Item]]</f>
        <v>0051329560-000010</v>
      </c>
      <c r="E117" s="23" t="s">
        <v>268</v>
      </c>
      <c r="F117" s="12">
        <v>45814</v>
      </c>
      <c r="G117" s="12"/>
      <c r="H117" s="11" t="s">
        <v>113</v>
      </c>
      <c r="I117" s="11" t="s">
        <v>37</v>
      </c>
      <c r="J117" s="13" t="s">
        <v>269</v>
      </c>
      <c r="K117" s="14" t="s">
        <v>1017</v>
      </c>
      <c r="L117" s="15" t="s">
        <v>40</v>
      </c>
      <c r="M117" s="15" t="s">
        <v>1120</v>
      </c>
      <c r="N117" s="56">
        <v>45918</v>
      </c>
      <c r="O117" s="15">
        <f>NETWORKDAYS.INTL(WFTracker[[#This Row],[Start date]],WFTracker[[#This Row],[RM]],1,Holidays!D280:D295)</f>
        <v>12</v>
      </c>
      <c r="P117" s="12">
        <v>45799</v>
      </c>
      <c r="Q117" s="12">
        <v>45811</v>
      </c>
      <c r="R117" s="12">
        <v>45810</v>
      </c>
      <c r="S117" s="27" t="b">
        <f>ISBLANK(WFTracker[[#This Row],[Completion Date]])</f>
        <v>0</v>
      </c>
      <c r="T117" s="27" t="str">
        <f>TEXT(WFTracker[[#This Row],[Start date]],"mmm-yyyy")</f>
        <v>May-2025</v>
      </c>
      <c r="U117" s="11">
        <v>5</v>
      </c>
      <c r="V117" s="11">
        <f>NETWORKDAYS.INTL(WFTracker[[#This Row],[Start date]],WFTracker[[#This Row],[Due date]],1,Holidays!D280:D295)</f>
        <v>9</v>
      </c>
      <c r="W1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17" s="24">
        <f ca="1">WFTracker[[#This Row],[Active Time]]-WFTracker[[#This Row],[Completion Days Template]]</f>
        <v>-1</v>
      </c>
      <c r="Y117" s="34" t="str">
        <f ca="1" xml:space="preserve"> IF(WFTracker[[#This Row],[Overdue Time '[Expected-Completion']]]&gt;0, "LATE","ON TIME")</f>
        <v>ON TIME</v>
      </c>
      <c r="Z117" s="34" t="str">
        <f ca="1">IF(WFTracker[[#This Row],[Overdue Time '[Expected-Completion']]] &gt;= 15, "SUPER LATE", Y117)</f>
        <v>ON TIME</v>
      </c>
      <c r="AA117" s="37" t="str">
        <f>IF(WFTracker[[#This Row],[Pre RM Opening Time]]&lt;WFTracker[[#This Row],[Old vs New Order Lead Time WF dead line]], "LATE BY ENG", "ON TIME BY ENG")</f>
        <v>ON TIME BY ENG</v>
      </c>
      <c r="AB117" s="37"/>
      <c r="AC117" s="15" t="str">
        <f>IF(WFTracker[[#This Row],[Competion Date Content]] = FALSE, "C", "i")</f>
        <v>C</v>
      </c>
      <c r="AD1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117" s="31" t="str">
        <f ca="1">IF(WFTracker[[#This Row],[Impact Time Post RM]]&gt;0, "IMPACTED", "NOT IMPACTED")</f>
        <v>NOT IMPACTED</v>
      </c>
      <c r="AF117" s="15"/>
      <c r="AG117" s="18"/>
      <c r="AH117" s="14" t="str">
        <f>IF(WFTracker[[#This Row],[Status]]="C", "Closed", IF(WFTracker[[#This Row],[Status]] = "x", "Cancelled", WFTracker[[#This Row],[Impact Time Post RM]]))</f>
        <v>Closed</v>
      </c>
      <c r="AI117" s="14" t="str">
        <f ca="1">IF(WFTracker[[#This Row],[Impact Time Post RM]]&lt;=0,"ON TIME","LATE")</f>
        <v>ON TIME</v>
      </c>
      <c r="AJ117" s="14" t="s">
        <v>984</v>
      </c>
      <c r="AK117" s="14">
        <v>17</v>
      </c>
      <c r="AL117" s="915">
        <f>IF(WFTracker[[#This Row],[Type]]="MAKE", WFTracker[[#This Row],[Due date]]+Filters!$J$111, WFTracker[[#This Row],[Due date]]+Filters!$J$135)</f>
        <v>45811.415686274508</v>
      </c>
      <c r="AM117" s="101" cm="1">
        <f t="array" ref="AM1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8" spans="1:39" ht="14.45">
      <c r="A118" t="str">
        <f>IF(WFTracker[[#This Row],[Order Number]]="SWBD", "QED2", "PZ4")</f>
        <v>PZ4</v>
      </c>
      <c r="B118" s="21" t="s">
        <v>267</v>
      </c>
      <c r="C118" s="26" t="s">
        <v>135</v>
      </c>
      <c r="D118" s="11" t="str">
        <f>WFTracker[[#This Row],[Order Number]]  &amp; "-" &amp; WFTracker[[#This Row],[Item]]</f>
        <v>0051329560-000010</v>
      </c>
      <c r="E118" s="23" t="s">
        <v>268</v>
      </c>
      <c r="F118" s="12">
        <v>45814</v>
      </c>
      <c r="G118" s="12"/>
      <c r="H118" s="11" t="s">
        <v>113</v>
      </c>
      <c r="I118" s="11" t="s">
        <v>37</v>
      </c>
      <c r="J118" s="13" t="s">
        <v>270</v>
      </c>
      <c r="K118" s="14" t="s">
        <v>1017</v>
      </c>
      <c r="L118" s="15" t="s">
        <v>27</v>
      </c>
      <c r="M118" s="15" t="s">
        <v>1120</v>
      </c>
      <c r="N118" s="56">
        <v>45918</v>
      </c>
      <c r="O118" s="15">
        <f>NETWORKDAYS.INTL(WFTracker[[#This Row],[Start date]],WFTracker[[#This Row],[RM]],1,Holidays!D258:D273)</f>
        <v>11</v>
      </c>
      <c r="P118" s="12">
        <v>45800</v>
      </c>
      <c r="Q118" s="12">
        <v>45807</v>
      </c>
      <c r="R118" s="12">
        <v>45807</v>
      </c>
      <c r="S118" s="27" t="b">
        <f>ISBLANK(WFTracker[[#This Row],[Completion Date]])</f>
        <v>0</v>
      </c>
      <c r="T118" s="27" t="str">
        <f>TEXT(WFTracker[[#This Row],[Start date]],"mmm-yyyy")</f>
        <v>May-2025</v>
      </c>
      <c r="U118" s="11">
        <v>5</v>
      </c>
      <c r="V118" s="11">
        <f>NETWORKDAYS.INTL(WFTracker[[#This Row],[Start date]],WFTracker[[#This Row],[Due date]],1,Holidays!D258:D273)</f>
        <v>6</v>
      </c>
      <c r="W1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18" s="24">
        <f ca="1">WFTracker[[#This Row],[Active Time]]-WFTracker[[#This Row],[Completion Days Template]]</f>
        <v>0</v>
      </c>
      <c r="Y118" s="34" t="str">
        <f ca="1" xml:space="preserve"> IF(WFTracker[[#This Row],[Overdue Time '[Expected-Completion']]]&gt;0, "LATE","ON TIME")</f>
        <v>ON TIME</v>
      </c>
      <c r="Z118" s="34" t="str">
        <f ca="1">IF(WFTracker[[#This Row],[Overdue Time '[Expected-Completion']]] &gt;= 15, "SUPER LATE", Y118)</f>
        <v>ON TIME</v>
      </c>
      <c r="AA118" s="37" t="str">
        <f>IF(WFTracker[[#This Row],[Pre RM Opening Time]]&lt;WFTracker[[#This Row],[Old vs New Order Lead Time WF dead line]], "LATE BY ENG", "ON TIME BY ENG")</f>
        <v>ON TIME BY ENG</v>
      </c>
      <c r="AB118" s="37"/>
      <c r="AC118" s="15" t="str">
        <f>IF(WFTracker[[#This Row],[Competion Date Content]] = FALSE, "C", "i")</f>
        <v>C</v>
      </c>
      <c r="AD1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118" s="105" t="str">
        <f ca="1">IF(WFTracker[[#This Row],[Impact Time Post RM]]&gt;0, "IMPACTED", "NOT IMPACTED")</f>
        <v>NOT IMPACTED</v>
      </c>
      <c r="AF118" s="15"/>
      <c r="AG118" s="18"/>
      <c r="AH118" s="14" t="str">
        <f>IF(WFTracker[[#This Row],[Status]]="C", "Closed", IF(WFTracker[[#This Row],[Status]] = "x", "Cancelled", WFTracker[[#This Row],[Impact Time Post RM]]))</f>
        <v>Closed</v>
      </c>
      <c r="AI118" s="14" t="str">
        <f ca="1">IF(WFTracker[[#This Row],[Impact Time Post RM]]&lt;=0,"ON TIME","LATE")</f>
        <v>ON TIME</v>
      </c>
      <c r="AJ118" s="14" t="s">
        <v>984</v>
      </c>
      <c r="AK118" s="14">
        <v>18</v>
      </c>
      <c r="AL118" s="915">
        <f>IF(WFTracker[[#This Row],[Type]]="MAKE", WFTracker[[#This Row],[Due date]]+Filters!$J$111, WFTracker[[#This Row],[Due date]]+Filters!$J$135)</f>
        <v>45810.072512647552</v>
      </c>
      <c r="AM118" s="101" cm="1">
        <f t="array" ref="AM1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19" spans="1:39" ht="14.45">
      <c r="A119" t="str">
        <f>IF(WFTracker[[#This Row],[Order Number]]="SWBD", "QED2", "PZ4")</f>
        <v>PZ4</v>
      </c>
      <c r="B119" s="21" t="s">
        <v>250</v>
      </c>
      <c r="C119" s="26" t="s">
        <v>192</v>
      </c>
      <c r="D119" s="11" t="str">
        <f>WFTracker[[#This Row],[Order Number]]  &amp; "-" &amp; WFTracker[[#This Row],[Item]]</f>
        <v>0051034440-000040</v>
      </c>
      <c r="E119" s="23" t="s">
        <v>251</v>
      </c>
      <c r="F119" s="12">
        <v>45821</v>
      </c>
      <c r="G119" s="12"/>
      <c r="H119" s="11" t="s">
        <v>252</v>
      </c>
      <c r="I119" s="11" t="s">
        <v>216</v>
      </c>
      <c r="J119" s="13" t="s">
        <v>253</v>
      </c>
      <c r="K119" s="14" t="s">
        <v>1017</v>
      </c>
      <c r="L119" s="15" t="s">
        <v>27</v>
      </c>
      <c r="M119" s="15" t="s">
        <v>1123</v>
      </c>
      <c r="N119" s="56"/>
      <c r="O119" s="15">
        <f>NETWORKDAYS.INTL(WFTracker[[#This Row],[Start date]],WFTracker[[#This Row],[RM]],1,Holidays!D382:D397)</f>
        <v>16</v>
      </c>
      <c r="P119" s="12">
        <v>45800</v>
      </c>
      <c r="Q119" s="12">
        <v>45810</v>
      </c>
      <c r="R119" s="12">
        <v>45807</v>
      </c>
      <c r="S119" s="27" t="b">
        <f>ISBLANK(WFTracker[[#This Row],[Completion Date]])</f>
        <v>0</v>
      </c>
      <c r="T119" s="27" t="str">
        <f>TEXT(WFTracker[[#This Row],[Start date]],"mmm-yyyy")</f>
        <v>May-2025</v>
      </c>
      <c r="U119" s="11">
        <v>5</v>
      </c>
      <c r="V119" s="11">
        <f>NETWORKDAYS.INTL(WFTracker[[#This Row],[Start date]],WFTracker[[#This Row],[Due date]],1,Holidays!D382:D397)</f>
        <v>7</v>
      </c>
      <c r="W1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19" s="24">
        <f ca="1">WFTracker[[#This Row],[Active Time]]-WFTracker[[#This Row],[Completion Days Template]]</f>
        <v>-1</v>
      </c>
      <c r="Y119" s="34" t="str">
        <f ca="1" xml:space="preserve"> IF(WFTracker[[#This Row],[Overdue Time '[Expected-Completion']]]&gt;0, "LATE","ON TIME")</f>
        <v>ON TIME</v>
      </c>
      <c r="Z119" s="34" t="str">
        <f ca="1">IF(WFTracker[[#This Row],[Overdue Time '[Expected-Completion']]] &gt;= 15, "SUPER LATE", Y119)</f>
        <v>ON TIME</v>
      </c>
      <c r="AA119" s="37" t="str">
        <f>IF(WFTracker[[#This Row],[Pre RM Opening Time]]&lt;WFTracker[[#This Row],[Old vs New Order Lead Time WF dead line]], "LATE BY ENG", "ON TIME BY ENG")</f>
        <v>ON TIME BY ENG</v>
      </c>
      <c r="AB119" s="37"/>
      <c r="AC119" s="15" t="str">
        <f>IF(WFTracker[[#This Row],[Competion Date Content]] = FALSE, "C", "i")</f>
        <v>C</v>
      </c>
      <c r="AD1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119" s="105" t="str">
        <f ca="1">IF(WFTracker[[#This Row],[Impact Time Post RM]]&gt;0, "IMPACTED", "NOT IMPACTED")</f>
        <v>NOT IMPACTED</v>
      </c>
      <c r="AF119" s="15"/>
      <c r="AG119" s="18"/>
      <c r="AH119" s="14" t="str">
        <f>IF(WFTracker[[#This Row],[Status]]="C", "Closed", IF(WFTracker[[#This Row],[Status]] = "x", "Cancelled", WFTracker[[#This Row],[Impact Time Post RM]]))</f>
        <v>Closed</v>
      </c>
      <c r="AI119" s="14" t="str">
        <f ca="1">IF(WFTracker[[#This Row],[Impact Time Post RM]]&lt;=0,"ON TIME","LATE")</f>
        <v>ON TIME</v>
      </c>
      <c r="AJ119" s="14" t="s">
        <v>984</v>
      </c>
      <c r="AK119" s="14">
        <v>18</v>
      </c>
      <c r="AL119" s="915">
        <f>IF(WFTracker[[#This Row],[Type]]="MAKE", WFTracker[[#This Row],[Due date]]+Filters!$J$111, WFTracker[[#This Row],[Due date]]+Filters!$J$135)</f>
        <v>45813.072512647552</v>
      </c>
      <c r="AM119" s="101" cm="1">
        <f t="array" ref="AM1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0" spans="1:39" ht="14.45">
      <c r="A120" t="str">
        <f>IF(WFTracker[[#This Row],[Order Number]]="SWBD", "QED2", "PZ4")</f>
        <v>PZ4</v>
      </c>
      <c r="B120" s="21" t="s">
        <v>256</v>
      </c>
      <c r="C120" s="26" t="s">
        <v>257</v>
      </c>
      <c r="D120" s="11" t="str">
        <f>WFTracker[[#This Row],[Order Number]]  &amp; "-" &amp; WFTracker[[#This Row],[Item]]</f>
        <v>0050762569-000090</v>
      </c>
      <c r="E120" s="23" t="s">
        <v>1127</v>
      </c>
      <c r="F120" s="12">
        <v>45807</v>
      </c>
      <c r="G120" s="12"/>
      <c r="H120" s="11" t="s">
        <v>259</v>
      </c>
      <c r="I120" s="11" t="s">
        <v>260</v>
      </c>
      <c r="J120" s="13" t="s">
        <v>261</v>
      </c>
      <c r="K120" s="14" t="s">
        <v>1017</v>
      </c>
      <c r="L120" s="15" t="s">
        <v>27</v>
      </c>
      <c r="M120" s="15" t="s">
        <v>1120</v>
      </c>
      <c r="N120" s="56">
        <v>45919</v>
      </c>
      <c r="O120" s="15">
        <f>NETWORKDAYS.INTL(WFTracker[[#This Row],[Start date]],WFTracker[[#This Row],[RM]],1,Holidays!D89:D104)</f>
        <v>5</v>
      </c>
      <c r="P120" s="12">
        <v>45803</v>
      </c>
      <c r="Q120" s="12">
        <v>45811</v>
      </c>
      <c r="R120" s="12">
        <v>45811</v>
      </c>
      <c r="S120" s="27" t="b">
        <f>ISBLANK(WFTracker[[#This Row],[Completion Date]])</f>
        <v>0</v>
      </c>
      <c r="T120" s="27" t="str">
        <f>TEXT(WFTracker[[#This Row],[Start date]],"mmm-yyyy")</f>
        <v>May-2025</v>
      </c>
      <c r="U120" s="11">
        <v>5</v>
      </c>
      <c r="V120" s="11">
        <f>NETWORKDAYS.INTL(WFTracker[[#This Row],[Start date]],WFTracker[[#This Row],[Due date]],1,Holidays!D89:D104)</f>
        <v>7</v>
      </c>
      <c r="W1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20" s="24">
        <f ca="1">WFTracker[[#This Row],[Active Time]]-WFTracker[[#This Row],[Completion Days Template]]</f>
        <v>0</v>
      </c>
      <c r="Y120" s="34" t="str">
        <f ca="1" xml:space="preserve"> IF(WFTracker[[#This Row],[Overdue Time '[Expected-Completion']]]&gt;0, "LATE","ON TIME")</f>
        <v>ON TIME</v>
      </c>
      <c r="Z120" s="34" t="str">
        <f ca="1">IF(WFTracker[[#This Row],[Overdue Time '[Expected-Completion']]] &gt;= 15, "SUPER LATE", Y120)</f>
        <v>ON TIME</v>
      </c>
      <c r="AA120" s="37" t="str">
        <f>IF(WFTracker[[#This Row],[Pre RM Opening Time]]&lt;WFTracker[[#This Row],[Old vs New Order Lead Time WF dead line]], "LATE BY ENG", "ON TIME BY ENG")</f>
        <v>ON TIME BY ENG</v>
      </c>
      <c r="AB120" s="37"/>
      <c r="AC120" s="15" t="str">
        <f>IF(WFTracker[[#This Row],[Competion Date Content]] = FALSE, "C", "i")</f>
        <v>C</v>
      </c>
      <c r="AD1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20" s="105" t="str">
        <f ca="1">IF(WFTracker[[#This Row],[Impact Time Post RM]]&gt;0, "IMPACTED", "NOT IMPACTED")</f>
        <v>IMPACTED</v>
      </c>
      <c r="AF120" s="15"/>
      <c r="AG120" s="18"/>
      <c r="AH120" s="14" t="str">
        <f>IF(WFTracker[[#This Row],[Status]]="C", "Closed", IF(WFTracker[[#This Row],[Status]] = "x", "Cancelled", WFTracker[[#This Row],[Impact Time Post RM]]))</f>
        <v>Closed</v>
      </c>
      <c r="AI120" s="14" t="str">
        <f ca="1">IF(WFTracker[[#This Row],[Impact Time Post RM]]&lt;=0,"ON TIME","LATE")</f>
        <v>LATE</v>
      </c>
      <c r="AJ120" s="14" t="s">
        <v>984</v>
      </c>
      <c r="AK120" s="14">
        <v>18</v>
      </c>
      <c r="AL120" s="915">
        <f>IF(WFTracker[[#This Row],[Type]]="MAKE", WFTracker[[#This Row],[Due date]]+Filters!$J$111, WFTracker[[#This Row],[Due date]]+Filters!$J$135)</f>
        <v>45814.072512647552</v>
      </c>
      <c r="AM120" s="101" cm="1">
        <f t="array" ref="AM1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1" spans="1:39" ht="14.45">
      <c r="A121" t="str">
        <f>IF(WFTracker[[#This Row],[Order Number]]="SWBD", "QED2", "PZ4")</f>
        <v>PZ4</v>
      </c>
      <c r="B121" s="21" t="s">
        <v>256</v>
      </c>
      <c r="C121" s="26" t="s">
        <v>257</v>
      </c>
      <c r="D121" s="11" t="str">
        <f>WFTracker[[#This Row],[Order Number]]  &amp; "-" &amp; WFTracker[[#This Row],[Item]]</f>
        <v>0050762569-000090</v>
      </c>
      <c r="E121" s="23" t="s">
        <v>1127</v>
      </c>
      <c r="F121" s="12">
        <v>45807</v>
      </c>
      <c r="G121" s="12"/>
      <c r="H121" s="11" t="s">
        <v>259</v>
      </c>
      <c r="I121" s="11" t="s">
        <v>260</v>
      </c>
      <c r="J121" s="13" t="s">
        <v>262</v>
      </c>
      <c r="K121" s="14" t="s">
        <v>1017</v>
      </c>
      <c r="L121" s="15" t="s">
        <v>27</v>
      </c>
      <c r="M121" s="15" t="s">
        <v>1120</v>
      </c>
      <c r="N121" s="56">
        <v>45919</v>
      </c>
      <c r="O121" s="15">
        <f>NETWORKDAYS.INTL(WFTracker[[#This Row],[Start date]],WFTracker[[#This Row],[RM]],1,Holidays!D90:D105)</f>
        <v>5</v>
      </c>
      <c r="P121" s="12">
        <v>45803</v>
      </c>
      <c r="Q121" s="12">
        <v>45811</v>
      </c>
      <c r="R121" s="12">
        <v>45811</v>
      </c>
      <c r="S121" s="27" t="b">
        <f>ISBLANK(WFTracker[[#This Row],[Completion Date]])</f>
        <v>0</v>
      </c>
      <c r="T121" s="27" t="str">
        <f>TEXT(WFTracker[[#This Row],[Start date]],"mmm-yyyy")</f>
        <v>May-2025</v>
      </c>
      <c r="U121" s="11">
        <v>5</v>
      </c>
      <c r="V121" s="11">
        <f>NETWORKDAYS.INTL(WFTracker[[#This Row],[Start date]],WFTracker[[#This Row],[Due date]],1,Holidays!D90:D105)</f>
        <v>7</v>
      </c>
      <c r="W1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21" s="24">
        <f ca="1">WFTracker[[#This Row],[Active Time]]-WFTracker[[#This Row],[Completion Days Template]]</f>
        <v>0</v>
      </c>
      <c r="Y121" s="34" t="str">
        <f ca="1" xml:space="preserve"> IF(WFTracker[[#This Row],[Overdue Time '[Expected-Completion']]]&gt;0, "LATE","ON TIME")</f>
        <v>ON TIME</v>
      </c>
      <c r="Z121" s="34" t="str">
        <f ca="1">IF(WFTracker[[#This Row],[Overdue Time '[Expected-Completion']]] &gt;= 15, "SUPER LATE", Y121)</f>
        <v>ON TIME</v>
      </c>
      <c r="AA121" s="37" t="str">
        <f>IF(WFTracker[[#This Row],[Pre RM Opening Time]]&lt;WFTracker[[#This Row],[Old vs New Order Lead Time WF dead line]], "LATE BY ENG", "ON TIME BY ENG")</f>
        <v>ON TIME BY ENG</v>
      </c>
      <c r="AB121" s="37"/>
      <c r="AC121" s="15" t="str">
        <f>IF(WFTracker[[#This Row],[Competion Date Content]] = FALSE, "C", "i")</f>
        <v>C</v>
      </c>
      <c r="AD1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21" s="105" t="str">
        <f ca="1">IF(WFTracker[[#This Row],[Impact Time Post RM]]&gt;0, "IMPACTED", "NOT IMPACTED")</f>
        <v>IMPACTED</v>
      </c>
      <c r="AF121" s="15"/>
      <c r="AG121" s="18"/>
      <c r="AH121" s="14" t="str">
        <f>IF(WFTracker[[#This Row],[Status]]="C", "Closed", IF(WFTracker[[#This Row],[Status]] = "x", "Cancelled", WFTracker[[#This Row],[Impact Time Post RM]]))</f>
        <v>Closed</v>
      </c>
      <c r="AI121" s="14" t="str">
        <f ca="1">IF(WFTracker[[#This Row],[Impact Time Post RM]]&lt;=0,"ON TIME","LATE")</f>
        <v>LATE</v>
      </c>
      <c r="AJ121" s="14" t="s">
        <v>984</v>
      </c>
      <c r="AK121" s="14">
        <v>18</v>
      </c>
      <c r="AL121" s="915">
        <f>IF(WFTracker[[#This Row],[Type]]="MAKE", WFTracker[[#This Row],[Due date]]+Filters!$J$111, WFTracker[[#This Row],[Due date]]+Filters!$J$135)</f>
        <v>45814.072512647552</v>
      </c>
      <c r="AM121" s="101" cm="1">
        <f t="array" ref="AM1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2" spans="1:39" ht="14.45">
      <c r="A122" t="str">
        <f>IF(WFTracker[[#This Row],[Order Number]]="SWBD", "QED2", "PZ4")</f>
        <v>PZ4</v>
      </c>
      <c r="B122" s="21" t="s">
        <v>256</v>
      </c>
      <c r="C122" s="26" t="s">
        <v>257</v>
      </c>
      <c r="D122" s="11" t="str">
        <f>WFTracker[[#This Row],[Order Number]]  &amp; "-" &amp; WFTracker[[#This Row],[Item]]</f>
        <v>0050762569-000090</v>
      </c>
      <c r="E122" s="23" t="s">
        <v>1127</v>
      </c>
      <c r="F122" s="12">
        <v>45807</v>
      </c>
      <c r="G122" s="12"/>
      <c r="H122" s="11" t="s">
        <v>259</v>
      </c>
      <c r="I122" s="11" t="s">
        <v>260</v>
      </c>
      <c r="J122" s="13" t="s">
        <v>263</v>
      </c>
      <c r="K122" s="14" t="s">
        <v>1017</v>
      </c>
      <c r="L122" s="15" t="s">
        <v>27</v>
      </c>
      <c r="M122" s="15" t="s">
        <v>1120</v>
      </c>
      <c r="N122" s="56">
        <v>45919</v>
      </c>
      <c r="O122" s="15">
        <f>NETWORKDAYS.INTL(WFTracker[[#This Row],[Start date]],WFTracker[[#This Row],[RM]],1,Holidays!D91:D106)</f>
        <v>5</v>
      </c>
      <c r="P122" s="12">
        <v>45803</v>
      </c>
      <c r="Q122" s="12">
        <v>45811</v>
      </c>
      <c r="R122" s="12">
        <v>45811</v>
      </c>
      <c r="S122" s="27" t="b">
        <f>ISBLANK(WFTracker[[#This Row],[Completion Date]])</f>
        <v>0</v>
      </c>
      <c r="T122" s="27" t="str">
        <f>TEXT(WFTracker[[#This Row],[Start date]],"mmm-yyyy")</f>
        <v>May-2025</v>
      </c>
      <c r="U122" s="11">
        <v>5</v>
      </c>
      <c r="V122" s="11">
        <f>NETWORKDAYS.INTL(WFTracker[[#This Row],[Start date]],WFTracker[[#This Row],[Due date]],1,Holidays!D91:D106)</f>
        <v>7</v>
      </c>
      <c r="W1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22" s="24">
        <f ca="1">WFTracker[[#This Row],[Active Time]]-WFTracker[[#This Row],[Completion Days Template]]</f>
        <v>0</v>
      </c>
      <c r="Y122" s="34" t="str">
        <f ca="1" xml:space="preserve"> IF(WFTracker[[#This Row],[Overdue Time '[Expected-Completion']]]&gt;0, "LATE","ON TIME")</f>
        <v>ON TIME</v>
      </c>
      <c r="Z122" s="34" t="str">
        <f ca="1">IF(WFTracker[[#This Row],[Overdue Time '[Expected-Completion']]] &gt;= 15, "SUPER LATE", Y122)</f>
        <v>ON TIME</v>
      </c>
      <c r="AA122" s="37" t="str">
        <f>IF(WFTracker[[#This Row],[Pre RM Opening Time]]&lt;WFTracker[[#This Row],[Old vs New Order Lead Time WF dead line]], "LATE BY ENG", "ON TIME BY ENG")</f>
        <v>ON TIME BY ENG</v>
      </c>
      <c r="AB122" s="37"/>
      <c r="AC122" s="15" t="str">
        <f>IF(WFTracker[[#This Row],[Competion Date Content]] = FALSE, "C", "i")</f>
        <v>C</v>
      </c>
      <c r="AD1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22" s="105" t="str">
        <f ca="1">IF(WFTracker[[#This Row],[Impact Time Post RM]]&gt;0, "IMPACTED", "NOT IMPACTED")</f>
        <v>IMPACTED</v>
      </c>
      <c r="AF122" s="15"/>
      <c r="AG122" s="18"/>
      <c r="AH122" s="14" t="str">
        <f>IF(WFTracker[[#This Row],[Status]]="C", "Closed", IF(WFTracker[[#This Row],[Status]] = "x", "Cancelled", WFTracker[[#This Row],[Impact Time Post RM]]))</f>
        <v>Closed</v>
      </c>
      <c r="AI122" s="14" t="str">
        <f ca="1">IF(WFTracker[[#This Row],[Impact Time Post RM]]&lt;=0,"ON TIME","LATE")</f>
        <v>LATE</v>
      </c>
      <c r="AJ122" s="14" t="s">
        <v>984</v>
      </c>
      <c r="AK122" s="14">
        <v>18</v>
      </c>
      <c r="AL122" s="915">
        <f>IF(WFTracker[[#This Row],[Type]]="MAKE", WFTracker[[#This Row],[Due date]]+Filters!$J$111, WFTracker[[#This Row],[Due date]]+Filters!$J$135)</f>
        <v>45814.072512647552</v>
      </c>
      <c r="AM122" s="101" cm="1">
        <f t="array" ref="AM1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3" spans="1:39" ht="14.45">
      <c r="A123" t="str">
        <f>IF(WFTracker[[#This Row],[Order Number]]="SWBD", "QED2", "PZ4")</f>
        <v>PZ4</v>
      </c>
      <c r="B123" s="21" t="s">
        <v>256</v>
      </c>
      <c r="C123" s="26" t="s">
        <v>135</v>
      </c>
      <c r="D123" s="11" t="str">
        <f>WFTracker[[#This Row],[Order Number]]  &amp; "-" &amp; WFTracker[[#This Row],[Item]]</f>
        <v>0050762569-000010</v>
      </c>
      <c r="E123" s="23" t="s">
        <v>1127</v>
      </c>
      <c r="F123" s="12">
        <v>45814</v>
      </c>
      <c r="G123" s="12"/>
      <c r="H123" s="11" t="s">
        <v>117</v>
      </c>
      <c r="I123" s="11" t="s">
        <v>264</v>
      </c>
      <c r="J123" s="13" t="s">
        <v>265</v>
      </c>
      <c r="K123" s="14" t="s">
        <v>1017</v>
      </c>
      <c r="L123" s="15" t="s">
        <v>27</v>
      </c>
      <c r="M123" s="15" t="s">
        <v>1120</v>
      </c>
      <c r="N123" s="56">
        <v>45918</v>
      </c>
      <c r="O123" s="15">
        <f>NETWORKDAYS.INTL(WFTracker[[#This Row],[Start date]],WFTracker[[#This Row],[RM]],1,Holidays!D191:D206)</f>
        <v>9</v>
      </c>
      <c r="P123" s="12">
        <v>45804</v>
      </c>
      <c r="Q123" s="12">
        <v>45811</v>
      </c>
      <c r="R123" s="12">
        <v>45811</v>
      </c>
      <c r="S123" s="27" t="b">
        <f>ISBLANK(WFTracker[[#This Row],[Completion Date]])</f>
        <v>0</v>
      </c>
      <c r="T123" s="27" t="str">
        <f>TEXT(WFTracker[[#This Row],[Start date]],"mmm-yyyy")</f>
        <v>May-2025</v>
      </c>
      <c r="U123" s="11">
        <v>5</v>
      </c>
      <c r="V123" s="11">
        <f>NETWORKDAYS.INTL(WFTracker[[#This Row],[Start date]],WFTracker[[#This Row],[Due date]],1,Holidays!D191:D206)</f>
        <v>6</v>
      </c>
      <c r="W1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23" s="24">
        <f ca="1">WFTracker[[#This Row],[Active Time]]-WFTracker[[#This Row],[Completion Days Template]]</f>
        <v>0</v>
      </c>
      <c r="Y123" s="34" t="str">
        <f ca="1" xml:space="preserve"> IF(WFTracker[[#This Row],[Overdue Time '[Expected-Completion']]]&gt;0, "LATE","ON TIME")</f>
        <v>ON TIME</v>
      </c>
      <c r="Z123" s="34" t="str">
        <f ca="1">IF(WFTracker[[#This Row],[Overdue Time '[Expected-Completion']]] &gt;= 15, "SUPER LATE", Y123)</f>
        <v>ON TIME</v>
      </c>
      <c r="AA123" s="37" t="str">
        <f>IF(WFTracker[[#This Row],[Pre RM Opening Time]]&lt;WFTracker[[#This Row],[Old vs New Order Lead Time WF dead line]], "LATE BY ENG", "ON TIME BY ENG")</f>
        <v>ON TIME BY ENG</v>
      </c>
      <c r="AB123" s="37"/>
      <c r="AC123" s="15" t="str">
        <f>IF(WFTracker[[#This Row],[Competion Date Content]] = FALSE, "C", "i")</f>
        <v>C</v>
      </c>
      <c r="AD1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23" s="105" t="str">
        <f ca="1">IF(WFTracker[[#This Row],[Impact Time Post RM]]&gt;0, "IMPACTED", "NOT IMPACTED")</f>
        <v>NOT IMPACTED</v>
      </c>
      <c r="AF123" s="15"/>
      <c r="AG123" s="18"/>
      <c r="AH123" s="14" t="str">
        <f>IF(WFTracker[[#This Row],[Status]]="C", "Closed", IF(WFTracker[[#This Row],[Status]] = "x", "Cancelled", WFTracker[[#This Row],[Impact Time Post RM]]))</f>
        <v>Closed</v>
      </c>
      <c r="AI123" s="14" t="str">
        <f ca="1">IF(WFTracker[[#This Row],[Impact Time Post RM]]&lt;=0,"ON TIME","LATE")</f>
        <v>ON TIME</v>
      </c>
      <c r="AJ123" s="14" t="s">
        <v>984</v>
      </c>
      <c r="AK123" s="14">
        <v>18</v>
      </c>
      <c r="AL123" s="915">
        <f>IF(WFTracker[[#This Row],[Type]]="MAKE", WFTracker[[#This Row],[Due date]]+Filters!$J$111, WFTracker[[#This Row],[Due date]]+Filters!$J$135)</f>
        <v>45814.072512647552</v>
      </c>
      <c r="AM123" s="101" cm="1">
        <f t="array" ref="AM1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4" spans="1:39" ht="14.45">
      <c r="A124" t="str">
        <f>IF(WFTracker[[#This Row],[Order Number]]="SWBD", "QED2", "PZ4")</f>
        <v>PZ4</v>
      </c>
      <c r="B124" s="21" t="s">
        <v>271</v>
      </c>
      <c r="C124" s="26" t="s">
        <v>192</v>
      </c>
      <c r="D124" s="11" t="str">
        <f>WFTracker[[#This Row],[Order Number]]  &amp; "-" &amp; WFTracker[[#This Row],[Item]]</f>
        <v>0050988425-000040</v>
      </c>
      <c r="E124" s="23" t="s">
        <v>272</v>
      </c>
      <c r="F124" s="12">
        <v>45819</v>
      </c>
      <c r="G124" s="12"/>
      <c r="H124" s="11" t="s">
        <v>273</v>
      </c>
      <c r="I124" s="11" t="s">
        <v>24</v>
      </c>
      <c r="J124" s="13" t="s">
        <v>274</v>
      </c>
      <c r="K124" s="14" t="s">
        <v>1017</v>
      </c>
      <c r="L124" s="15" t="s">
        <v>27</v>
      </c>
      <c r="M124" s="15" t="s">
        <v>1120</v>
      </c>
      <c r="N124" s="56">
        <v>46002</v>
      </c>
      <c r="O124" s="15">
        <f>NETWORKDAYS.INTL(WFTracker[[#This Row],[Start date]],WFTracker[[#This Row],[RM]],1,Holidays!D281:D296)</f>
        <v>12</v>
      </c>
      <c r="P124" s="12">
        <v>45804</v>
      </c>
      <c r="Q124" s="12">
        <v>45813</v>
      </c>
      <c r="R124" s="12">
        <v>45812</v>
      </c>
      <c r="S124" s="27" t="b">
        <f>ISBLANK(WFTracker[[#This Row],[Completion Date]])</f>
        <v>0</v>
      </c>
      <c r="T124" s="27" t="str">
        <f>TEXT(WFTracker[[#This Row],[Start date]],"mmm-yyyy")</f>
        <v>May-2025</v>
      </c>
      <c r="U124" s="11">
        <v>5</v>
      </c>
      <c r="V124" s="11">
        <f>NETWORKDAYS.INTL(WFTracker[[#This Row],[Start date]],WFTracker[[#This Row],[Due date]],1,Holidays!D281:D296)</f>
        <v>8</v>
      </c>
      <c r="W1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24" s="24">
        <f ca="1">WFTracker[[#This Row],[Active Time]]-WFTracker[[#This Row],[Completion Days Template]]</f>
        <v>-1</v>
      </c>
      <c r="Y124" s="34" t="str">
        <f ca="1" xml:space="preserve"> IF(WFTracker[[#This Row],[Overdue Time '[Expected-Completion']]]&gt;0, "LATE","ON TIME")</f>
        <v>ON TIME</v>
      </c>
      <c r="Z124" s="34" t="str">
        <f ca="1">IF(WFTracker[[#This Row],[Overdue Time '[Expected-Completion']]] &gt;= 15, "SUPER LATE", Y124)</f>
        <v>ON TIME</v>
      </c>
      <c r="AA124" s="37" t="str">
        <f>IF(WFTracker[[#This Row],[Pre RM Opening Time]]&lt;WFTracker[[#This Row],[Old vs New Order Lead Time WF dead line]], "LATE BY ENG", "ON TIME BY ENG")</f>
        <v>ON TIME BY ENG</v>
      </c>
      <c r="AB124" s="37"/>
      <c r="AC124" s="15" t="str">
        <f>IF(WFTracker[[#This Row],[Competion Date Content]] = FALSE, "C", "i")</f>
        <v>C</v>
      </c>
      <c r="AD1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124" s="105" t="str">
        <f ca="1">IF(WFTracker[[#This Row],[Impact Time Post RM]]&gt;0, "IMPACTED", "NOT IMPACTED")</f>
        <v>NOT IMPACTED</v>
      </c>
      <c r="AF124" s="15"/>
      <c r="AG124" s="18"/>
      <c r="AH124" s="14" t="str">
        <f>IF(WFTracker[[#This Row],[Status]]="C", "Closed", IF(WFTracker[[#This Row],[Status]] = "x", "Cancelled", WFTracker[[#This Row],[Impact Time Post RM]]))</f>
        <v>Closed</v>
      </c>
      <c r="AI124" s="14" t="str">
        <f ca="1">IF(WFTracker[[#This Row],[Impact Time Post RM]]&lt;=0,"ON TIME","LATE")</f>
        <v>ON TIME</v>
      </c>
      <c r="AJ124" s="14" t="s">
        <v>984</v>
      </c>
      <c r="AK124" s="14">
        <v>18</v>
      </c>
      <c r="AL124" s="915">
        <f>IF(WFTracker[[#This Row],[Type]]="MAKE", WFTracker[[#This Row],[Due date]]+Filters!$J$111, WFTracker[[#This Row],[Due date]]+Filters!$J$135)</f>
        <v>45816.072512647552</v>
      </c>
      <c r="AM124" s="101" cm="1">
        <f t="array" ref="AM1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5" spans="1:39" ht="14.45">
      <c r="A125" t="str">
        <f>IF(WFTracker[[#This Row],[Order Number]]="SWBD", "QED2", "PZ4")</f>
        <v>PZ4</v>
      </c>
      <c r="B125" s="21" t="s">
        <v>271</v>
      </c>
      <c r="C125" s="26" t="s">
        <v>192</v>
      </c>
      <c r="D125" s="11" t="str">
        <f>WFTracker[[#This Row],[Order Number]]  &amp; "-" &amp; WFTracker[[#This Row],[Item]]</f>
        <v>0050988425-000040</v>
      </c>
      <c r="E125" s="23" t="s">
        <v>272</v>
      </c>
      <c r="F125" s="12">
        <v>45819</v>
      </c>
      <c r="G125" s="12"/>
      <c r="H125" s="11" t="s">
        <v>273</v>
      </c>
      <c r="I125" s="11" t="s">
        <v>24</v>
      </c>
      <c r="J125" s="13" t="s">
        <v>275</v>
      </c>
      <c r="K125" s="14" t="s">
        <v>1017</v>
      </c>
      <c r="L125" s="15" t="s">
        <v>27</v>
      </c>
      <c r="M125" s="15" t="s">
        <v>1120</v>
      </c>
      <c r="N125" s="56">
        <v>46002</v>
      </c>
      <c r="O125" s="15">
        <f>NETWORKDAYS.INTL(WFTracker[[#This Row],[Start date]],WFTracker[[#This Row],[RM]],1,Holidays!D282:D297)</f>
        <v>12</v>
      </c>
      <c r="P125" s="12">
        <v>45804</v>
      </c>
      <c r="Q125" s="12">
        <v>45813</v>
      </c>
      <c r="R125" s="12">
        <v>45812</v>
      </c>
      <c r="S125" s="27" t="b">
        <f>ISBLANK(WFTracker[[#This Row],[Completion Date]])</f>
        <v>0</v>
      </c>
      <c r="T125" s="27" t="str">
        <f>TEXT(WFTracker[[#This Row],[Start date]],"mmm-yyyy")</f>
        <v>May-2025</v>
      </c>
      <c r="U125" s="11">
        <v>5</v>
      </c>
      <c r="V125" s="11">
        <f>NETWORKDAYS.INTL(WFTracker[[#This Row],[Start date]],WFTracker[[#This Row],[Due date]],1,Holidays!D282:D297)</f>
        <v>8</v>
      </c>
      <c r="W1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25" s="24">
        <f ca="1">WFTracker[[#This Row],[Active Time]]-WFTracker[[#This Row],[Completion Days Template]]</f>
        <v>-1</v>
      </c>
      <c r="Y125" s="34" t="str">
        <f ca="1" xml:space="preserve"> IF(WFTracker[[#This Row],[Overdue Time '[Expected-Completion']]]&gt;0, "LATE","ON TIME")</f>
        <v>ON TIME</v>
      </c>
      <c r="Z125" s="34" t="str">
        <f ca="1">IF(WFTracker[[#This Row],[Overdue Time '[Expected-Completion']]] &gt;= 15, "SUPER LATE", Y125)</f>
        <v>ON TIME</v>
      </c>
      <c r="AA125" s="37" t="str">
        <f>IF(WFTracker[[#This Row],[Pre RM Opening Time]]&lt;WFTracker[[#This Row],[Old vs New Order Lead Time WF dead line]], "LATE BY ENG", "ON TIME BY ENG")</f>
        <v>ON TIME BY ENG</v>
      </c>
      <c r="AB125" s="37"/>
      <c r="AC125" s="15" t="str">
        <f>IF(WFTracker[[#This Row],[Competion Date Content]] = FALSE, "C", "i")</f>
        <v>C</v>
      </c>
      <c r="AD1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125" s="105" t="str">
        <f ca="1">IF(WFTracker[[#This Row],[Impact Time Post RM]]&gt;0, "IMPACTED", "NOT IMPACTED")</f>
        <v>NOT IMPACTED</v>
      </c>
      <c r="AF125" s="15"/>
      <c r="AG125" s="18"/>
      <c r="AH125" s="14" t="str">
        <f>IF(WFTracker[[#This Row],[Status]]="C", "Closed", IF(WFTracker[[#This Row],[Status]] = "x", "Cancelled", WFTracker[[#This Row],[Impact Time Post RM]]))</f>
        <v>Closed</v>
      </c>
      <c r="AI125" s="14" t="str">
        <f ca="1">IF(WFTracker[[#This Row],[Impact Time Post RM]]&lt;=0,"ON TIME","LATE")</f>
        <v>ON TIME</v>
      </c>
      <c r="AJ125" s="14" t="s">
        <v>984</v>
      </c>
      <c r="AK125" s="14">
        <v>18</v>
      </c>
      <c r="AL125" s="915">
        <f>IF(WFTracker[[#This Row],[Type]]="MAKE", WFTracker[[#This Row],[Due date]]+Filters!$J$111, WFTracker[[#This Row],[Due date]]+Filters!$J$135)</f>
        <v>45816.072512647552</v>
      </c>
      <c r="AM125" s="101" cm="1">
        <f t="array" ref="AM1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6" spans="1:39" ht="14.45">
      <c r="A126" t="str">
        <f>IF(WFTracker[[#This Row],[Order Number]]="SWBD", "QED2", "PZ4")</f>
        <v>PZ4</v>
      </c>
      <c r="B126" s="21" t="s">
        <v>276</v>
      </c>
      <c r="C126" s="26" t="s">
        <v>135</v>
      </c>
      <c r="D126" s="11" t="str">
        <f>WFTracker[[#This Row],[Order Number]]  &amp; "-" &amp; WFTracker[[#This Row],[Item]]</f>
        <v>0051198254-000010</v>
      </c>
      <c r="E126" s="23" t="s">
        <v>277</v>
      </c>
      <c r="F126" s="12">
        <v>45817</v>
      </c>
      <c r="G126" s="12"/>
      <c r="H126" s="11" t="s">
        <v>80</v>
      </c>
      <c r="I126" s="11" t="s">
        <v>111</v>
      </c>
      <c r="J126" s="13" t="s">
        <v>280</v>
      </c>
      <c r="K126" s="14" t="s">
        <v>1017</v>
      </c>
      <c r="L126" s="15" t="s">
        <v>27</v>
      </c>
      <c r="M126" s="15" t="s">
        <v>1120</v>
      </c>
      <c r="N126" s="56">
        <v>45894</v>
      </c>
      <c r="O126" s="15">
        <f>NETWORKDAYS.INTL(WFTracker[[#This Row],[Start date]],WFTracker[[#This Row],[RM]],1,Holidays!D169:D184)</f>
        <v>8</v>
      </c>
      <c r="P126" s="12">
        <v>45806</v>
      </c>
      <c r="Q126" s="12">
        <v>45813</v>
      </c>
      <c r="R126" s="12">
        <v>45819</v>
      </c>
      <c r="S126" s="27" t="b">
        <f>ISBLANK(WFTracker[[#This Row],[Completion Date]])</f>
        <v>0</v>
      </c>
      <c r="T126" s="27" t="str">
        <f>TEXT(WFTracker[[#This Row],[Start date]],"mmm-yyyy")</f>
        <v>May-2025</v>
      </c>
      <c r="U126" s="11">
        <v>5</v>
      </c>
      <c r="V126" s="11">
        <f>NETWORKDAYS.INTL(WFTracker[[#This Row],[Start date]],WFTracker[[#This Row],[Due date]],1,Holidays!D169:D184)</f>
        <v>6</v>
      </c>
      <c r="W1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26" s="24">
        <f ca="1">WFTracker[[#This Row],[Active Time]]-WFTracker[[#This Row],[Completion Days Template]]</f>
        <v>4</v>
      </c>
      <c r="Y126" s="34" t="str">
        <f ca="1" xml:space="preserve"> IF(WFTracker[[#This Row],[Overdue Time '[Expected-Completion']]]&gt;0, "LATE","ON TIME")</f>
        <v>LATE</v>
      </c>
      <c r="Z126" s="34" t="str">
        <f ca="1">IF(WFTracker[[#This Row],[Overdue Time '[Expected-Completion']]] &gt;= 15, "SUPER LATE", Y126)</f>
        <v>LATE</v>
      </c>
      <c r="AA126" s="37" t="str">
        <f>IF(WFTracker[[#This Row],[Pre RM Opening Time]]&lt;WFTracker[[#This Row],[Old vs New Order Lead Time WF dead line]], "LATE BY ENG", "ON TIME BY ENG")</f>
        <v>ON TIME BY ENG</v>
      </c>
      <c r="AB126" s="37"/>
      <c r="AC126" s="15" t="str">
        <f>IF(WFTracker[[#This Row],[Competion Date Content]] = FALSE, "C", "i")</f>
        <v>C</v>
      </c>
      <c r="AD1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26" s="105" t="str">
        <f ca="1">IF(WFTracker[[#This Row],[Impact Time Post RM]]&gt;0, "IMPACTED", "NOT IMPACTED")</f>
        <v>IMPACTED</v>
      </c>
      <c r="AF126" s="15"/>
      <c r="AG126" s="18"/>
      <c r="AH126" s="14" t="str">
        <f>IF(WFTracker[[#This Row],[Status]]="C", "Closed", IF(WFTracker[[#This Row],[Status]] = "x", "Cancelled", WFTracker[[#This Row],[Impact Time Post RM]]))</f>
        <v>Closed</v>
      </c>
      <c r="AI126" s="14" t="str">
        <f ca="1">IF(WFTracker[[#This Row],[Impact Time Post RM]]&lt;=0,"ON TIME","LATE")</f>
        <v>LATE</v>
      </c>
      <c r="AJ126" s="14" t="s">
        <v>984</v>
      </c>
      <c r="AK126" s="14">
        <v>18</v>
      </c>
      <c r="AL126" s="915">
        <f>IF(WFTracker[[#This Row],[Type]]="MAKE", WFTracker[[#This Row],[Due date]]+Filters!$J$111, WFTracker[[#This Row],[Due date]]+Filters!$J$135)</f>
        <v>45816.072512647552</v>
      </c>
      <c r="AM126" s="101" cm="1">
        <f t="array" ref="AM1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7" spans="1:39" ht="14.45">
      <c r="A127" t="str">
        <f>IF(WFTracker[[#This Row],[Order Number]]="SWBD", "QED2", "PZ4")</f>
        <v>PZ4</v>
      </c>
      <c r="B127" s="21" t="s">
        <v>276</v>
      </c>
      <c r="C127" s="26" t="s">
        <v>135</v>
      </c>
      <c r="D127" s="11" t="str">
        <f>WFTracker[[#This Row],[Order Number]]  &amp; "-" &amp; WFTracker[[#This Row],[Item]]</f>
        <v>0051198254-000010</v>
      </c>
      <c r="E127" s="23" t="s">
        <v>277</v>
      </c>
      <c r="F127" s="12">
        <v>45817</v>
      </c>
      <c r="G127" s="12"/>
      <c r="H127" s="11" t="s">
        <v>80</v>
      </c>
      <c r="I127" s="11" t="s">
        <v>111</v>
      </c>
      <c r="J127" s="13" t="s">
        <v>279</v>
      </c>
      <c r="K127" s="14" t="s">
        <v>1017</v>
      </c>
      <c r="L127" s="15" t="s">
        <v>40</v>
      </c>
      <c r="M127" s="15" t="s">
        <v>1120</v>
      </c>
      <c r="N127" s="56">
        <v>45894</v>
      </c>
      <c r="O127" s="15">
        <f>NETWORKDAYS.INTL(WFTracker[[#This Row],[Start date]],WFTracker[[#This Row],[RM]],1,Holidays!D170:D185)</f>
        <v>8</v>
      </c>
      <c r="P127" s="12">
        <v>45806</v>
      </c>
      <c r="Q127" s="12">
        <v>45818</v>
      </c>
      <c r="R127" s="12">
        <v>45819</v>
      </c>
      <c r="S127" s="27" t="b">
        <f>ISBLANK(WFTracker[[#This Row],[Completion Date]])</f>
        <v>0</v>
      </c>
      <c r="T127" s="27" t="str">
        <f>TEXT(WFTracker[[#This Row],[Start date]],"mmm-yyyy")</f>
        <v>May-2025</v>
      </c>
      <c r="U127" s="11">
        <v>5</v>
      </c>
      <c r="V127" s="11">
        <f>NETWORKDAYS.INTL(WFTracker[[#This Row],[Start date]],WFTracker[[#This Row],[Due date]],1,Holidays!D170:D185)</f>
        <v>9</v>
      </c>
      <c r="W1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27" s="24">
        <f ca="1">WFTracker[[#This Row],[Active Time]]-WFTracker[[#This Row],[Completion Days Template]]</f>
        <v>1</v>
      </c>
      <c r="Y127" s="34" t="str">
        <f ca="1" xml:space="preserve"> IF(WFTracker[[#This Row],[Overdue Time '[Expected-Completion']]]&gt;0, "LATE","ON TIME")</f>
        <v>LATE</v>
      </c>
      <c r="Z127" s="34" t="str">
        <f ca="1">IF(WFTracker[[#This Row],[Overdue Time '[Expected-Completion']]] &gt;= 15, "SUPER LATE", Y127)</f>
        <v>LATE</v>
      </c>
      <c r="AA127" s="37" t="str">
        <f>IF(WFTracker[[#This Row],[Pre RM Opening Time]]&lt;WFTracker[[#This Row],[Old vs New Order Lead Time WF dead line]], "LATE BY ENG", "ON TIME BY ENG")</f>
        <v>ON TIME BY ENG</v>
      </c>
      <c r="AB127" s="37"/>
      <c r="AC127" s="15" t="str">
        <f>IF(WFTracker[[#This Row],[Competion Date Content]] = FALSE, "C", "i")</f>
        <v>C</v>
      </c>
      <c r="AD1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27" s="105" t="str">
        <f ca="1">IF(WFTracker[[#This Row],[Impact Time Post RM]]&gt;0, "IMPACTED", "NOT IMPACTED")</f>
        <v>IMPACTED</v>
      </c>
      <c r="AF127" s="15"/>
      <c r="AG127" s="18"/>
      <c r="AH127" s="14" t="str">
        <f>IF(WFTracker[[#This Row],[Status]]="C", "Closed", IF(WFTracker[[#This Row],[Status]] = "x", "Cancelled", WFTracker[[#This Row],[Impact Time Post RM]]))</f>
        <v>Closed</v>
      </c>
      <c r="AI127" s="14" t="str">
        <f ca="1">IF(WFTracker[[#This Row],[Impact Time Post RM]]&lt;=0,"ON TIME","LATE")</f>
        <v>LATE</v>
      </c>
      <c r="AJ127" s="14" t="s">
        <v>984</v>
      </c>
      <c r="AK127" s="14">
        <v>17</v>
      </c>
      <c r="AL127" s="915">
        <f>IF(WFTracker[[#This Row],[Type]]="MAKE", WFTracker[[#This Row],[Due date]]+Filters!$J$111, WFTracker[[#This Row],[Due date]]+Filters!$J$135)</f>
        <v>45818.415686274508</v>
      </c>
      <c r="AM127" s="101" cm="1">
        <f t="array" ref="AM1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8" spans="1:39" ht="14.45">
      <c r="A128" t="str">
        <f>IF(WFTracker[[#This Row],[Order Number]]="SWBD", "QED2", "PZ4")</f>
        <v>PZ4</v>
      </c>
      <c r="B128" s="21" t="s">
        <v>250</v>
      </c>
      <c r="C128" s="26" t="s">
        <v>214</v>
      </c>
      <c r="D128" s="11" t="str">
        <f>WFTracker[[#This Row],[Order Number]]  &amp; "-" &amp; WFTracker[[#This Row],[Item]]</f>
        <v>0051034440-000020</v>
      </c>
      <c r="E128" s="23" t="s">
        <v>251</v>
      </c>
      <c r="F128" s="12">
        <v>45821</v>
      </c>
      <c r="G128" s="12"/>
      <c r="H128" s="11" t="s">
        <v>252</v>
      </c>
      <c r="I128" s="11" t="s">
        <v>216</v>
      </c>
      <c r="J128" s="13" t="s">
        <v>255</v>
      </c>
      <c r="K128" s="14" t="s">
        <v>1017</v>
      </c>
      <c r="L128" s="15" t="s">
        <v>27</v>
      </c>
      <c r="M128" s="15" t="s">
        <v>1123</v>
      </c>
      <c r="N128" s="56"/>
      <c r="O128" s="15">
        <f>NETWORKDAYS.INTL(WFTracker[[#This Row],[Start date]],WFTracker[[#This Row],[RM]],1,Holidays!D283:D298)</f>
        <v>12</v>
      </c>
      <c r="P128" s="12">
        <v>45806</v>
      </c>
      <c r="Q128" s="12">
        <v>45814</v>
      </c>
      <c r="R128" s="12">
        <v>45811</v>
      </c>
      <c r="S128" s="27" t="b">
        <f>ISBLANK(WFTracker[[#This Row],[Completion Date]])</f>
        <v>0</v>
      </c>
      <c r="T128" s="27" t="str">
        <f>TEXT(WFTracker[[#This Row],[Start date]],"mmm-yyyy")</f>
        <v>May-2025</v>
      </c>
      <c r="U128" s="11">
        <v>5</v>
      </c>
      <c r="V128" s="11">
        <f>NETWORKDAYS.INTL(WFTracker[[#This Row],[Start date]],WFTracker[[#This Row],[Due date]],1,Holidays!D283:D298)</f>
        <v>7</v>
      </c>
      <c r="W1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128" s="24">
        <f ca="1">WFTracker[[#This Row],[Active Time]]-WFTracker[[#This Row],[Completion Days Template]]</f>
        <v>-3</v>
      </c>
      <c r="Y128" s="34" t="str">
        <f ca="1" xml:space="preserve"> IF(WFTracker[[#This Row],[Overdue Time '[Expected-Completion']]]&gt;0, "LATE","ON TIME")</f>
        <v>ON TIME</v>
      </c>
      <c r="Z128" s="34" t="str">
        <f ca="1">IF(WFTracker[[#This Row],[Overdue Time '[Expected-Completion']]] &gt;= 15, "SUPER LATE", Y128)</f>
        <v>ON TIME</v>
      </c>
      <c r="AA128" s="37" t="str">
        <f>IF(WFTracker[[#This Row],[Pre RM Opening Time]]&lt;WFTracker[[#This Row],[Old vs New Order Lead Time WF dead line]], "LATE BY ENG", "ON TIME BY ENG")</f>
        <v>ON TIME BY ENG</v>
      </c>
      <c r="AB128" s="37"/>
      <c r="AC128" s="15" t="str">
        <f>IF(WFTracker[[#This Row],[Competion Date Content]] = FALSE, "C", "i")</f>
        <v>C</v>
      </c>
      <c r="AD1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128" s="105" t="str">
        <f ca="1">IF(WFTracker[[#This Row],[Impact Time Post RM]]&gt;0, "IMPACTED", "NOT IMPACTED")</f>
        <v>NOT IMPACTED</v>
      </c>
      <c r="AF128" s="15"/>
      <c r="AG128" s="18"/>
      <c r="AH128" s="14" t="str">
        <f>IF(WFTracker[[#This Row],[Status]]="C", "Closed", IF(WFTracker[[#This Row],[Status]] = "x", "Cancelled", WFTracker[[#This Row],[Impact Time Post RM]]))</f>
        <v>Closed</v>
      </c>
      <c r="AI128" s="14" t="str">
        <f ca="1">IF(WFTracker[[#This Row],[Impact Time Post RM]]&lt;=0,"ON TIME","LATE")</f>
        <v>ON TIME</v>
      </c>
      <c r="AJ128" s="14" t="s">
        <v>984</v>
      </c>
      <c r="AK128" s="14">
        <v>18</v>
      </c>
      <c r="AL128" s="915">
        <f>IF(WFTracker[[#This Row],[Type]]="MAKE", WFTracker[[#This Row],[Due date]]+Filters!$J$111, WFTracker[[#This Row],[Due date]]+Filters!$J$135)</f>
        <v>45817.072512647552</v>
      </c>
      <c r="AM128" s="101" cm="1">
        <f t="array" ref="AM12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29" spans="1:39" ht="14.45">
      <c r="A129" t="str">
        <f>IF(WFTracker[[#This Row],[Order Number]]="SWBD", "QED2", "PZ4")</f>
        <v>PZ4</v>
      </c>
      <c r="B129" s="21" t="s">
        <v>256</v>
      </c>
      <c r="C129" s="26" t="s">
        <v>192</v>
      </c>
      <c r="D129" s="11" t="str">
        <f>WFTracker[[#This Row],[Order Number]]  &amp; "-" &amp; WFTracker[[#This Row],[Item]]</f>
        <v>0050762569-000040</v>
      </c>
      <c r="E129" s="23" t="s">
        <v>1127</v>
      </c>
      <c r="F129" s="12">
        <v>45821</v>
      </c>
      <c r="G129" s="12"/>
      <c r="H129" s="11" t="s">
        <v>117</v>
      </c>
      <c r="I129" s="11" t="s">
        <v>241</v>
      </c>
      <c r="J129" s="13" t="s">
        <v>266</v>
      </c>
      <c r="K129" s="14" t="s">
        <v>1017</v>
      </c>
      <c r="L129" s="15" t="s">
        <v>27</v>
      </c>
      <c r="M129" s="15" t="s">
        <v>1120</v>
      </c>
      <c r="N129" s="56">
        <v>45918</v>
      </c>
      <c r="O129" s="15">
        <f>NETWORKDAYS.INTL(WFTracker[[#This Row],[Start date]],WFTracker[[#This Row],[RM]],1,Holidays!D284:D299)</f>
        <v>12</v>
      </c>
      <c r="P129" s="12">
        <v>45806</v>
      </c>
      <c r="Q129" s="12">
        <v>45814</v>
      </c>
      <c r="R129" s="12">
        <v>45811</v>
      </c>
      <c r="S129" s="27" t="b">
        <f>ISBLANK(WFTracker[[#This Row],[Completion Date]])</f>
        <v>0</v>
      </c>
      <c r="T129" s="27" t="str">
        <f>TEXT(WFTracker[[#This Row],[Start date]],"mmm-yyyy")</f>
        <v>May-2025</v>
      </c>
      <c r="U129" s="11">
        <v>5</v>
      </c>
      <c r="V129" s="11">
        <f>NETWORKDAYS.INTL(WFTracker[[#This Row],[Start date]],WFTracker[[#This Row],[Due date]],1,Holidays!D284:D299)</f>
        <v>7</v>
      </c>
      <c r="W1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129" s="24">
        <f ca="1">WFTracker[[#This Row],[Active Time]]-WFTracker[[#This Row],[Completion Days Template]]</f>
        <v>-3</v>
      </c>
      <c r="Y129" s="34" t="str">
        <f ca="1" xml:space="preserve"> IF(WFTracker[[#This Row],[Overdue Time '[Expected-Completion']]]&gt;0, "LATE","ON TIME")</f>
        <v>ON TIME</v>
      </c>
      <c r="Z129" s="34" t="str">
        <f ca="1">IF(WFTracker[[#This Row],[Overdue Time '[Expected-Completion']]] &gt;= 15, "SUPER LATE", Y129)</f>
        <v>ON TIME</v>
      </c>
      <c r="AA129" s="37" t="str">
        <f>IF(WFTracker[[#This Row],[Pre RM Opening Time]]&lt;WFTracker[[#This Row],[Old vs New Order Lead Time WF dead line]], "LATE BY ENG", "ON TIME BY ENG")</f>
        <v>ON TIME BY ENG</v>
      </c>
      <c r="AB129" s="37"/>
      <c r="AC129" s="15" t="str">
        <f>IF(WFTracker[[#This Row],[Competion Date Content]] = FALSE, "C", "i")</f>
        <v>C</v>
      </c>
      <c r="AD1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129" s="105" t="str">
        <f ca="1">IF(WFTracker[[#This Row],[Impact Time Post RM]]&gt;0, "IMPACTED", "NOT IMPACTED")</f>
        <v>NOT IMPACTED</v>
      </c>
      <c r="AF129" s="15"/>
      <c r="AG129" s="18"/>
      <c r="AH129" s="14" t="str">
        <f>IF(WFTracker[[#This Row],[Status]]="C", "Closed", IF(WFTracker[[#This Row],[Status]] = "x", "Cancelled", WFTracker[[#This Row],[Impact Time Post RM]]))</f>
        <v>Closed</v>
      </c>
      <c r="AI129" s="14" t="str">
        <f ca="1">IF(WFTracker[[#This Row],[Impact Time Post RM]]&lt;=0,"ON TIME","LATE")</f>
        <v>ON TIME</v>
      </c>
      <c r="AJ129" s="14" t="s">
        <v>984</v>
      </c>
      <c r="AK129" s="14">
        <v>18</v>
      </c>
      <c r="AL129" s="915">
        <f>IF(WFTracker[[#This Row],[Type]]="MAKE", WFTracker[[#This Row],[Due date]]+Filters!$J$111, WFTracker[[#This Row],[Due date]]+Filters!$J$135)</f>
        <v>45817.072512647552</v>
      </c>
      <c r="AM129" s="101" cm="1">
        <f t="array" ref="AM1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0" spans="1:39" ht="14.45">
      <c r="A130" t="str">
        <f>IF(WFTracker[[#This Row],[Order Number]]="SWBD", "QED2", "PZ4")</f>
        <v>PZ4</v>
      </c>
      <c r="B130" s="21" t="s">
        <v>276</v>
      </c>
      <c r="C130" s="26" t="s">
        <v>135</v>
      </c>
      <c r="D130" s="11" t="str">
        <f>WFTracker[[#This Row],[Order Number]]  &amp; "-" &amp; WFTracker[[#This Row],[Item]]</f>
        <v>0051198254-000010</v>
      </c>
      <c r="E130" s="23" t="s">
        <v>277</v>
      </c>
      <c r="F130" s="12">
        <v>45817</v>
      </c>
      <c r="G130" s="12"/>
      <c r="H130" s="11" t="s">
        <v>80</v>
      </c>
      <c r="I130" s="11" t="s">
        <v>111</v>
      </c>
      <c r="J130" s="13" t="s">
        <v>278</v>
      </c>
      <c r="K130" s="14" t="s">
        <v>1017</v>
      </c>
      <c r="L130" s="15" t="s">
        <v>27</v>
      </c>
      <c r="M130" s="15" t="s">
        <v>1120</v>
      </c>
      <c r="N130" s="56">
        <v>45894</v>
      </c>
      <c r="O130" s="15">
        <f>NETWORKDAYS.INTL(WFTracker[[#This Row],[Start date]],WFTracker[[#This Row],[RM]],1,Holidays!D126:D141)</f>
        <v>7</v>
      </c>
      <c r="P130" s="12">
        <v>45807</v>
      </c>
      <c r="Q130" s="12">
        <v>45814</v>
      </c>
      <c r="R130" s="12">
        <v>45814</v>
      </c>
      <c r="S130" s="27" t="b">
        <f>ISBLANK(WFTracker[[#This Row],[Completion Date]])</f>
        <v>0</v>
      </c>
      <c r="T130" s="27" t="str">
        <f>TEXT(WFTracker[[#This Row],[Start date]],"mmm-yyyy")</f>
        <v>May-2025</v>
      </c>
      <c r="U130" s="11">
        <v>5</v>
      </c>
      <c r="V130" s="11">
        <f>NETWORKDAYS.INTL(WFTracker[[#This Row],[Start date]],WFTracker[[#This Row],[Due date]],1,Holidays!D126:D141)</f>
        <v>6</v>
      </c>
      <c r="W1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30" s="24">
        <f ca="1">WFTracker[[#This Row],[Active Time]]-WFTracker[[#This Row],[Completion Days Template]]</f>
        <v>0</v>
      </c>
      <c r="Y130" s="34" t="str">
        <f ca="1" xml:space="preserve"> IF(WFTracker[[#This Row],[Overdue Time '[Expected-Completion']]]&gt;0, "LATE","ON TIME")</f>
        <v>ON TIME</v>
      </c>
      <c r="Z130" s="34" t="str">
        <f ca="1">IF(WFTracker[[#This Row],[Overdue Time '[Expected-Completion']]] &gt;= 15, "SUPER LATE", Y130)</f>
        <v>ON TIME</v>
      </c>
      <c r="AA130" s="37" t="str">
        <f>IF(WFTracker[[#This Row],[Pre RM Opening Time]]&lt;WFTracker[[#This Row],[Old vs New Order Lead Time WF dead line]], "LATE BY ENG", "ON TIME BY ENG")</f>
        <v>ON TIME BY ENG</v>
      </c>
      <c r="AB130" s="37"/>
      <c r="AC130" s="15" t="str">
        <f>IF(WFTracker[[#This Row],[Competion Date Content]] = FALSE, "C", "i")</f>
        <v>C</v>
      </c>
      <c r="AD1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130" s="105" t="str">
        <f ca="1">IF(WFTracker[[#This Row],[Impact Time Post RM]]&gt;0, "IMPACTED", "NOT IMPACTED")</f>
        <v>NOT IMPACTED</v>
      </c>
      <c r="AF130" s="15"/>
      <c r="AG130" s="18"/>
      <c r="AH130" s="14" t="str">
        <f>IF(WFTracker[[#This Row],[Status]]="C", "Closed", IF(WFTracker[[#This Row],[Status]] = "x", "Cancelled", WFTracker[[#This Row],[Impact Time Post RM]]))</f>
        <v>Closed</v>
      </c>
      <c r="AI130" s="14" t="str">
        <f ca="1">IF(WFTracker[[#This Row],[Impact Time Post RM]]&lt;=0,"ON TIME","LATE")</f>
        <v>ON TIME</v>
      </c>
      <c r="AJ130" s="14" t="s">
        <v>984</v>
      </c>
      <c r="AK130" s="14">
        <v>18</v>
      </c>
      <c r="AL130" s="915">
        <f>IF(WFTracker[[#This Row],[Type]]="MAKE", WFTracker[[#This Row],[Due date]]+Filters!$J$111, WFTracker[[#This Row],[Due date]]+Filters!$J$135)</f>
        <v>45817.072512647552</v>
      </c>
      <c r="AM130" s="101" cm="1">
        <f t="array" ref="AM1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1" spans="1:39" ht="14.45">
      <c r="A131" t="str">
        <f>IF(WFTracker[[#This Row],[Order Number]]="SWBD", "QED2", "PZ4")</f>
        <v>PZ4</v>
      </c>
      <c r="B131" s="21" t="s">
        <v>281</v>
      </c>
      <c r="C131" s="26" t="s">
        <v>282</v>
      </c>
      <c r="D131" s="11" t="str">
        <f>WFTracker[[#This Row],[Order Number]]  &amp; "-" &amp; WFTracker[[#This Row],[Item]]</f>
        <v>0051138616-000070</v>
      </c>
      <c r="E131" s="23" t="s">
        <v>283</v>
      </c>
      <c r="F131" s="12">
        <v>45835</v>
      </c>
      <c r="G131" s="12"/>
      <c r="H131" s="11" t="s">
        <v>259</v>
      </c>
      <c r="I131" s="11" t="s">
        <v>260</v>
      </c>
      <c r="J131" s="13" t="s">
        <v>284</v>
      </c>
      <c r="K131" s="14" t="s">
        <v>1017</v>
      </c>
      <c r="L131" s="15" t="s">
        <v>27</v>
      </c>
      <c r="M131" s="15" t="s">
        <v>1120</v>
      </c>
      <c r="N131" s="56">
        <v>46204</v>
      </c>
      <c r="O131" s="15">
        <f>NETWORKDAYS.INTL(WFTracker[[#This Row],[Start date]],WFTracker[[#This Row],[RM]],1,Holidays!D383:D398)</f>
        <v>16</v>
      </c>
      <c r="P131" s="12">
        <v>45814</v>
      </c>
      <c r="Q131" s="12">
        <v>45821</v>
      </c>
      <c r="R131" s="12">
        <v>45822</v>
      </c>
      <c r="S131" s="27" t="b">
        <f>ISBLANK(WFTracker[[#This Row],[Completion Date]])</f>
        <v>0</v>
      </c>
      <c r="T131" s="27" t="str">
        <f>TEXT(WFTracker[[#This Row],[Start date]],"mmm-yyyy")</f>
        <v>Jun-2025</v>
      </c>
      <c r="U131" s="11">
        <v>5</v>
      </c>
      <c r="V131" s="11">
        <f>NETWORKDAYS.INTL(WFTracker[[#This Row],[Start date]],WFTracker[[#This Row],[Due date]],1,Holidays!D383:D398)</f>
        <v>6</v>
      </c>
      <c r="W1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31" s="24">
        <f ca="1">WFTracker[[#This Row],[Active Time]]-WFTracker[[#This Row],[Completion Days Template]]</f>
        <v>0</v>
      </c>
      <c r="Y131" s="34" t="str">
        <f ca="1" xml:space="preserve"> IF(WFTracker[[#This Row],[Overdue Time '[Expected-Completion']]]&gt;0, "LATE","ON TIME")</f>
        <v>ON TIME</v>
      </c>
      <c r="Z131" s="34" t="str">
        <f ca="1">IF(WFTracker[[#This Row],[Overdue Time '[Expected-Completion']]] &gt;= 15, "SUPER LATE", Y131)</f>
        <v>ON TIME</v>
      </c>
      <c r="AA131" s="37" t="str">
        <f>IF(WFTracker[[#This Row],[Pre RM Opening Time]]&lt;WFTracker[[#This Row],[Old vs New Order Lead Time WF dead line]], "LATE BY ENG", "ON TIME BY ENG")</f>
        <v>ON TIME BY ENG</v>
      </c>
      <c r="AB131" s="37"/>
      <c r="AC131" s="15" t="str">
        <f>IF(WFTracker[[#This Row],[Competion Date Content]] = FALSE, "C", "i")</f>
        <v>C</v>
      </c>
      <c r="AD1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131" s="105" t="str">
        <f ca="1">IF(WFTracker[[#This Row],[Impact Time Post RM]]&gt;0, "IMPACTED", "NOT IMPACTED")</f>
        <v>NOT IMPACTED</v>
      </c>
      <c r="AF131" s="15"/>
      <c r="AG131" s="18"/>
      <c r="AH131" s="14" t="str">
        <f>IF(WFTracker[[#This Row],[Status]]="C", "Closed", IF(WFTracker[[#This Row],[Status]] = "x", "Cancelled", WFTracker[[#This Row],[Impact Time Post RM]]))</f>
        <v>Closed</v>
      </c>
      <c r="AI131" s="14" t="str">
        <f ca="1">IF(WFTracker[[#This Row],[Impact Time Post RM]]&lt;=0,"ON TIME","LATE")</f>
        <v>ON TIME</v>
      </c>
      <c r="AJ131" s="14" t="s">
        <v>984</v>
      </c>
      <c r="AK131" s="14">
        <v>18</v>
      </c>
      <c r="AL131" s="915">
        <f>IF(WFTracker[[#This Row],[Type]]="MAKE", WFTracker[[#This Row],[Due date]]+Filters!$J$111, WFTracker[[#This Row],[Due date]]+Filters!$J$135)</f>
        <v>45824.072512647552</v>
      </c>
      <c r="AM131" s="101" cm="1">
        <f t="array" ref="AM1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2" spans="1:39" ht="14.45">
      <c r="A132" t="str">
        <f>IF(WFTracker[[#This Row],[Order Number]]="SWBD", "QED2", "PZ4")</f>
        <v>PZ4</v>
      </c>
      <c r="B132" s="21" t="s">
        <v>114</v>
      </c>
      <c r="C132" s="26" t="s">
        <v>257</v>
      </c>
      <c r="D132" s="11" t="str">
        <f>WFTracker[[#This Row],[Order Number]]  &amp; "-" &amp; WFTracker[[#This Row],[Item]]</f>
        <v>0050754152-000090</v>
      </c>
      <c r="E132" s="23" t="s">
        <v>116</v>
      </c>
      <c r="F132" s="12">
        <v>45833</v>
      </c>
      <c r="G132" s="12"/>
      <c r="H132" s="11" t="s">
        <v>113</v>
      </c>
      <c r="I132" s="11" t="s">
        <v>186</v>
      </c>
      <c r="J132" s="13" t="s">
        <v>1128</v>
      </c>
      <c r="K132" s="14" t="s">
        <v>1023</v>
      </c>
      <c r="L132" s="15" t="s">
        <v>27</v>
      </c>
      <c r="M132" s="15" t="s">
        <v>1120</v>
      </c>
      <c r="N132" s="56">
        <v>45922</v>
      </c>
      <c r="O132" s="15">
        <f>NETWORKDAYS.INTL(WFTracker[[#This Row],[Start date]],WFTracker[[#This Row],[RM]],1,Holidays!D305:D320)</f>
        <v>13</v>
      </c>
      <c r="P132" s="12">
        <v>45817</v>
      </c>
      <c r="Q132" s="12">
        <v>45825</v>
      </c>
      <c r="R132" s="12">
        <v>45827</v>
      </c>
      <c r="S132" s="21" t="b">
        <f>ISBLANK(WFTracker[[#This Row],[Completion Date]])</f>
        <v>0</v>
      </c>
      <c r="T132" s="27" t="str">
        <f>TEXT(WFTracker[[#This Row],[Start date]],"mmm-yyyy")</f>
        <v>Jun-2025</v>
      </c>
      <c r="U132" s="11">
        <v>5</v>
      </c>
      <c r="V132" s="11">
        <f>NETWORKDAYS.INTL(WFTracker[[#This Row],[Start date]],WFTracker[[#This Row],[Due date]],1,Holidays!D305:D320)</f>
        <v>7</v>
      </c>
      <c r="W1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32" s="24">
        <f ca="1">WFTracker[[#This Row],[Active Time]]-WFTracker[[#This Row],[Completion Days Template]]</f>
        <v>2</v>
      </c>
      <c r="Y132" s="34" t="str">
        <f ca="1" xml:space="preserve"> IF(WFTracker[[#This Row],[Overdue Time '[Expected-Completion']]]&gt;0, "LATE","ON TIME")</f>
        <v>LATE</v>
      </c>
      <c r="Z132" s="34" t="str">
        <f ca="1">IF(WFTracker[[#This Row],[Overdue Time '[Expected-Completion']]] &gt;= 15, "SUPER LATE", Y132)</f>
        <v>LATE</v>
      </c>
      <c r="AA132" s="37" t="str">
        <f>IF(WFTracker[[#This Row],[Pre RM Opening Time]]&lt;WFTracker[[#This Row],[Old vs New Order Lead Time WF dead line]], "LATE BY ENG", "ON TIME BY ENG")</f>
        <v>ON TIME BY ENG</v>
      </c>
      <c r="AB132" s="37"/>
      <c r="AC132" s="15" t="str">
        <f>IF(WFTracker[[#This Row],[Competion Date Content]] = FALSE, "C", "i")</f>
        <v>C</v>
      </c>
      <c r="AD1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132" s="105" t="str">
        <f ca="1">IF(WFTracker[[#This Row],[Impact Time Post RM]]&gt;0, "IMPACTED", "NOT IMPACTED")</f>
        <v>NOT IMPACTED</v>
      </c>
      <c r="AF132" s="15"/>
      <c r="AG132" s="18"/>
      <c r="AH132" s="14" t="str">
        <f>IF(WFTracker[[#This Row],[Status]]="C", "Closed", IF(WFTracker[[#This Row],[Status]] = "x", "Cancelled", WFTracker[[#This Row],[Impact Time Post RM]]))</f>
        <v>Closed</v>
      </c>
      <c r="AI132" s="14" t="str">
        <f ca="1">IF(WFTracker[[#This Row],[Impact Time Post RM]]&lt;=0,"ON TIME","LATE")</f>
        <v>ON TIME</v>
      </c>
      <c r="AJ132" s="14" t="s">
        <v>984</v>
      </c>
      <c r="AK132" s="14">
        <v>18</v>
      </c>
      <c r="AL132" s="915">
        <f>IF(WFTracker[[#This Row],[Type]]="MAKE", WFTracker[[#This Row],[Due date]]+Filters!$J$111, WFTracker[[#This Row],[Due date]]+Filters!$J$135)</f>
        <v>45828.072512647552</v>
      </c>
      <c r="AM132" s="102" cm="1">
        <f t="array" ref="AM1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3" spans="1:39" ht="14.45">
      <c r="A133" t="str">
        <f>IF(WFTracker[[#This Row],[Order Number]]="SWBD", "QED2", "PZ4")</f>
        <v>PZ4</v>
      </c>
      <c r="B133" s="21" t="s">
        <v>312</v>
      </c>
      <c r="C133" s="26" t="s">
        <v>1129</v>
      </c>
      <c r="D133" s="11" t="str">
        <f>WFTracker[[#This Row],[Order Number]]  &amp; "-" &amp; WFTracker[[#This Row],[Item]]</f>
        <v>0050665738-000700&amp;710</v>
      </c>
      <c r="E133" s="23" t="s">
        <v>1039</v>
      </c>
      <c r="F133" s="12">
        <v>45835</v>
      </c>
      <c r="G133" s="12"/>
      <c r="H133" s="11" t="s">
        <v>80</v>
      </c>
      <c r="I133" s="11" t="s">
        <v>260</v>
      </c>
      <c r="J133" s="13" t="s">
        <v>1130</v>
      </c>
      <c r="K133" s="14" t="s">
        <v>1023</v>
      </c>
      <c r="L133" s="15" t="s">
        <v>27</v>
      </c>
      <c r="M133" s="15" t="s">
        <v>1120</v>
      </c>
      <c r="N133" s="56">
        <v>45930</v>
      </c>
      <c r="O133" s="15">
        <f>NETWORKDAYS.INTL(WFTracker[[#This Row],[Start date]],WFTracker[[#This Row],[RM]],1,Holidays!D306:D321)</f>
        <v>13</v>
      </c>
      <c r="P133" s="12">
        <v>45819</v>
      </c>
      <c r="Q133" s="12">
        <v>45826</v>
      </c>
      <c r="R133" s="12">
        <v>45827</v>
      </c>
      <c r="S133" s="21" t="b">
        <f>ISBLANK(WFTracker[[#This Row],[Completion Date]])</f>
        <v>0</v>
      </c>
      <c r="T133" s="27" t="str">
        <f>TEXT(WFTracker[[#This Row],[Start date]],"mmm-yyyy")</f>
        <v>Jun-2025</v>
      </c>
      <c r="U133" s="11">
        <v>5</v>
      </c>
      <c r="V133" s="11">
        <f>NETWORKDAYS.INTL(WFTracker[[#This Row],[Start date]],WFTracker[[#This Row],[Due date]],1,Holidays!D306:D321)</f>
        <v>6</v>
      </c>
      <c r="W1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33" s="24">
        <f ca="1">WFTracker[[#This Row],[Active Time]]-WFTracker[[#This Row],[Completion Days Template]]</f>
        <v>1</v>
      </c>
      <c r="Y133" s="34" t="str">
        <f ca="1" xml:space="preserve"> IF(WFTracker[[#This Row],[Overdue Time '[Expected-Completion']]]&gt;0, "LATE","ON TIME")</f>
        <v>LATE</v>
      </c>
      <c r="Z133" s="34" t="str">
        <f ca="1">IF(WFTracker[[#This Row],[Overdue Time '[Expected-Completion']]] &gt;= 15, "SUPER LATE", Y133)</f>
        <v>LATE</v>
      </c>
      <c r="AA133" s="37" t="str">
        <f>IF(WFTracker[[#This Row],[Pre RM Opening Time]]&lt;WFTracker[[#This Row],[Old vs New Order Lead Time WF dead line]], "LATE BY ENG", "ON TIME BY ENG")</f>
        <v>ON TIME BY ENG</v>
      </c>
      <c r="AB133" s="37"/>
      <c r="AC133" s="15" t="str">
        <f>IF(WFTracker[[#This Row],[Competion Date Content]] = FALSE, "C", "I")</f>
        <v>C</v>
      </c>
      <c r="AD1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133" s="105" t="str">
        <f ca="1">IF(WFTracker[[#This Row],[Impact Time Post RM]]&gt;0, "IMPACTED", "NOT IMPACTED")</f>
        <v>NOT IMPACTED</v>
      </c>
      <c r="AF133" s="15"/>
      <c r="AG133" s="18"/>
      <c r="AH133" s="14" t="str">
        <f>IF(WFTracker[[#This Row],[Status]]="C", "Closed", IF(WFTracker[[#This Row],[Status]] = "x", "Cancelled", WFTracker[[#This Row],[Impact Time Post RM]]))</f>
        <v>Closed</v>
      </c>
      <c r="AI133" s="14" t="str">
        <f ca="1">IF(WFTracker[[#This Row],[Impact Time Post RM]]&lt;=0,"ON TIME","LATE")</f>
        <v>ON TIME</v>
      </c>
      <c r="AJ133" s="14" t="s">
        <v>984</v>
      </c>
      <c r="AK133" s="14">
        <v>18</v>
      </c>
      <c r="AL133" s="915">
        <f>IF(WFTracker[[#This Row],[Type]]="MAKE", WFTracker[[#This Row],[Due date]]+Filters!$J$111, WFTracker[[#This Row],[Due date]]+Filters!$J$135)</f>
        <v>45829.072512647552</v>
      </c>
      <c r="AM133" s="102" cm="1">
        <f t="array" ref="AM1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4" spans="1:39" ht="14.45">
      <c r="A134" t="str">
        <f>IF(WFTracker[[#This Row],[Order Number]]="SWBD", "QED2", "PZ4")</f>
        <v>PZ4</v>
      </c>
      <c r="B134" s="21" t="s">
        <v>312</v>
      </c>
      <c r="C134" s="26" t="s">
        <v>1129</v>
      </c>
      <c r="D134" s="11" t="str">
        <f>WFTracker[[#This Row],[Order Number]]  &amp; "-" &amp; WFTracker[[#This Row],[Item]]</f>
        <v>0050665738-000700&amp;710</v>
      </c>
      <c r="E134" s="23" t="s">
        <v>1039</v>
      </c>
      <c r="F134" s="12">
        <v>45835</v>
      </c>
      <c r="G134" s="12"/>
      <c r="H134" s="11" t="s">
        <v>80</v>
      </c>
      <c r="I134" s="11" t="s">
        <v>260</v>
      </c>
      <c r="J134" s="13" t="s">
        <v>1131</v>
      </c>
      <c r="K134" s="14" t="s">
        <v>1023</v>
      </c>
      <c r="L134" s="15" t="s">
        <v>40</v>
      </c>
      <c r="M134" s="15" t="s">
        <v>1120</v>
      </c>
      <c r="N134" s="56">
        <v>45930</v>
      </c>
      <c r="O134" s="15">
        <f>NETWORKDAYS.INTL(WFTracker[[#This Row],[Start date]],WFTracker[[#This Row],[RM]],1,Holidays!D307:D322)</f>
        <v>13</v>
      </c>
      <c r="P134" s="12">
        <v>45819</v>
      </c>
      <c r="Q134" s="12">
        <v>45831</v>
      </c>
      <c r="R134" s="12">
        <v>45854</v>
      </c>
      <c r="S134" s="21" t="b">
        <f>ISBLANK(WFTracker[[#This Row],[Completion Date]])</f>
        <v>0</v>
      </c>
      <c r="T134" s="27" t="str">
        <f>TEXT(WFTracker[[#This Row],[Start date]],"mmm-yyyy")</f>
        <v>Jun-2025</v>
      </c>
      <c r="U134" s="11">
        <v>5</v>
      </c>
      <c r="V134" s="11">
        <f>NETWORKDAYS.INTL(WFTracker[[#This Row],[Start date]],WFTracker[[#This Row],[Due date]],1,Holidays!D307:D322)</f>
        <v>9</v>
      </c>
      <c r="W1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26</v>
      </c>
      <c r="X134" s="30">
        <f ca="1">WFTracker[[#This Row],[Active Time]]-WFTracker[[#This Row],[Completion Days Template]]</f>
        <v>17</v>
      </c>
      <c r="Y134" s="34" t="str">
        <f ca="1" xml:space="preserve"> IF(WFTracker[[#This Row],[Overdue Time '[Expected-Completion']]]&gt;0, "LATE","ON TIME")</f>
        <v>LATE</v>
      </c>
      <c r="Z134" s="34" t="str">
        <f ca="1">IF(WFTracker[[#This Row],[Overdue Time '[Expected-Completion']]] &gt;= 15, "SUPER LATE", Y134)</f>
        <v>SUPER LATE</v>
      </c>
      <c r="AA134" s="37" t="str">
        <f>IF(WFTracker[[#This Row],[Pre RM Opening Time]]&lt;WFTracker[[#This Row],[Old vs New Order Lead Time WF dead line]], "LATE BY ENG", "ON TIME BY ENG")</f>
        <v>ON TIME BY ENG</v>
      </c>
      <c r="AB134" s="37"/>
      <c r="AC134" s="15" t="str">
        <f>IF(WFTracker[[#This Row],[Competion Date Content]] = FALSE, "C", "I")</f>
        <v>C</v>
      </c>
      <c r="AD1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14</v>
      </c>
      <c r="AE134" s="105" t="str">
        <f ca="1">IF(WFTracker[[#This Row],[Impact Time Post RM]]&gt;0, "IMPACTED", "NOT IMPACTED")</f>
        <v>IMPACTED</v>
      </c>
      <c r="AF134" s="15"/>
      <c r="AG134" s="18"/>
      <c r="AH134" s="14" t="str">
        <f>IF(WFTracker[[#This Row],[Status]]="C", "Closed", IF(WFTracker[[#This Row],[Status]] = "x", "Cancelled", WFTracker[[#This Row],[Impact Time Post RM]]))</f>
        <v>Closed</v>
      </c>
      <c r="AI134" s="14" t="str">
        <f ca="1">IF(WFTracker[[#This Row],[Impact Time Post RM]]&lt;=0,"ON TIME","LATE")</f>
        <v>LATE</v>
      </c>
      <c r="AJ134" s="14" t="s">
        <v>984</v>
      </c>
      <c r="AK134" s="14">
        <v>17</v>
      </c>
      <c r="AL134" s="915">
        <f>IF(WFTracker[[#This Row],[Type]]="MAKE", WFTracker[[#This Row],[Due date]]+Filters!$J$111, WFTracker[[#This Row],[Due date]]+Filters!$J$135)</f>
        <v>45831.415686274508</v>
      </c>
      <c r="AM134" s="102" cm="1">
        <f t="array" ref="AM1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5" spans="1:39" ht="14.45">
      <c r="A135" t="str">
        <f>IF(WFTracker[[#This Row],[Order Number]]="SWBD", "QED2", "PZ4")</f>
        <v>PZ4</v>
      </c>
      <c r="B135" s="21" t="s">
        <v>319</v>
      </c>
      <c r="C135" s="26" t="s">
        <v>320</v>
      </c>
      <c r="D135" s="11" t="str">
        <f>WFTracker[[#This Row],[Order Number]]  &amp; "-" &amp; WFTracker[[#This Row],[Item]]</f>
        <v>0051022459-004500</v>
      </c>
      <c r="E135" s="23" t="s">
        <v>321</v>
      </c>
      <c r="F135" s="12">
        <v>45835</v>
      </c>
      <c r="G135" s="12"/>
      <c r="H135" s="11" t="s">
        <v>129</v>
      </c>
      <c r="I135" s="11" t="s">
        <v>132</v>
      </c>
      <c r="J135" s="13" t="s">
        <v>326</v>
      </c>
      <c r="K135" s="14" t="s">
        <v>1023</v>
      </c>
      <c r="L135" s="15" t="s">
        <v>40</v>
      </c>
      <c r="M135" s="15" t="s">
        <v>1120</v>
      </c>
      <c r="N135" s="56">
        <v>45944</v>
      </c>
      <c r="O135" s="15">
        <f>NETWORKDAYS.INTL(WFTracker[[#This Row],[Start date]],WFTracker[[#This Row],[RM]],1,Holidays!D308:D323)</f>
        <v>13</v>
      </c>
      <c r="P135" s="12">
        <v>45819</v>
      </c>
      <c r="Q135" s="12">
        <v>45831</v>
      </c>
      <c r="R135" s="12">
        <v>45854</v>
      </c>
      <c r="S135" s="27" t="b">
        <f>ISBLANK(WFTracker[[#This Row],[Completion Date]])</f>
        <v>0</v>
      </c>
      <c r="T135" s="27" t="str">
        <f>TEXT(WFTracker[[#This Row],[Start date]],"mmm-yyyy")</f>
        <v>Jun-2025</v>
      </c>
      <c r="U135" s="11">
        <v>5</v>
      </c>
      <c r="V135" s="11">
        <f>NETWORKDAYS.INTL(WFTracker[[#This Row],[Start date]],WFTracker[[#This Row],[Due date]],1,Holidays!D308:D323)</f>
        <v>9</v>
      </c>
      <c r="W1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26</v>
      </c>
      <c r="X135" s="30">
        <f ca="1">WFTracker[[#This Row],[Active Time]]-WFTracker[[#This Row],[Completion Days Template]]</f>
        <v>17</v>
      </c>
      <c r="Y135" s="34" t="str">
        <f ca="1" xml:space="preserve"> IF(WFTracker[[#This Row],[Overdue Time '[Expected-Completion']]]&gt;0, "LATE","ON TIME")</f>
        <v>LATE</v>
      </c>
      <c r="Z135" s="34" t="str">
        <f ca="1">IF(WFTracker[[#This Row],[Overdue Time '[Expected-Completion']]] &gt;= 15, "SUPER LATE", Y135)</f>
        <v>SUPER LATE</v>
      </c>
      <c r="AA135" s="37" t="str">
        <f>IF(WFTracker[[#This Row],[Pre RM Opening Time]]&lt;WFTracker[[#This Row],[Old vs New Order Lead Time WF dead line]], "LATE BY ENG", "ON TIME BY ENG")</f>
        <v>ON TIME BY ENG</v>
      </c>
      <c r="AB135" s="37"/>
      <c r="AC135" s="15" t="str">
        <f>IF(WFTracker[[#This Row],[Competion Date Content]] = FALSE, "C", "i")</f>
        <v>C</v>
      </c>
      <c r="AD1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14</v>
      </c>
      <c r="AE135" s="105" t="str">
        <f ca="1">IF(WFTracker[[#This Row],[Impact Time Post RM]]&gt;0, "IMPACTED", "NOT IMPACTED")</f>
        <v>IMPACTED</v>
      </c>
      <c r="AF135" s="15"/>
      <c r="AG135" s="18"/>
      <c r="AH135" s="14" t="str">
        <f>IF(WFTracker[[#This Row],[Status]]="C", "Closed", IF(WFTracker[[#This Row],[Status]] = "x", "Cancelled", WFTracker[[#This Row],[Impact Time Post RM]]))</f>
        <v>Closed</v>
      </c>
      <c r="AI135" s="14" t="str">
        <f ca="1">IF(WFTracker[[#This Row],[Impact Time Post RM]]&lt;=0,"ON TIME","LATE")</f>
        <v>LATE</v>
      </c>
      <c r="AJ135" s="14" t="s">
        <v>984</v>
      </c>
      <c r="AK135" s="14">
        <v>17</v>
      </c>
      <c r="AL135" s="915">
        <f>IF(WFTracker[[#This Row],[Type]]="MAKE", WFTracker[[#This Row],[Due date]]+Filters!$J$111, WFTracker[[#This Row],[Due date]]+Filters!$J$135)</f>
        <v>45831.415686274508</v>
      </c>
      <c r="AM135" s="101" cm="1">
        <f t="array" ref="AM1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6" spans="1:39" ht="14.45">
      <c r="A136" t="str">
        <f>IF(WFTracker[[#This Row],[Order Number]]="SWBD", "QED2", "PZ4")</f>
        <v>PZ4</v>
      </c>
      <c r="B136" s="21" t="s">
        <v>302</v>
      </c>
      <c r="C136" s="26" t="s">
        <v>303</v>
      </c>
      <c r="D136" s="11" t="str">
        <f>WFTracker[[#This Row],[Order Number]]  &amp; "-" &amp; WFTracker[[#This Row],[Item]]</f>
        <v>0051020870-000840</v>
      </c>
      <c r="E136" s="23" t="s">
        <v>355</v>
      </c>
      <c r="F136" s="12">
        <v>45849</v>
      </c>
      <c r="G136" s="12"/>
      <c r="H136" s="11" t="s">
        <v>305</v>
      </c>
      <c r="I136" s="11" t="s">
        <v>1132</v>
      </c>
      <c r="J136" s="13" t="s">
        <v>307</v>
      </c>
      <c r="K136" s="14" t="s">
        <v>1023</v>
      </c>
      <c r="L136" s="15" t="s">
        <v>40</v>
      </c>
      <c r="M136" s="15" t="s">
        <v>1123</v>
      </c>
      <c r="N136" s="56">
        <v>46080</v>
      </c>
      <c r="O136" s="15">
        <f>NETWORKDAYS.INTL(WFTracker[[#This Row],[Start date]],WFTracker[[#This Row],[RM]],1,Holidays!D504:D519)</f>
        <v>23</v>
      </c>
      <c r="P136" s="12">
        <v>45819</v>
      </c>
      <c r="Q136" s="12">
        <v>45831</v>
      </c>
      <c r="R136" s="12">
        <v>45832</v>
      </c>
      <c r="S136" s="21" t="b">
        <f>ISBLANK(WFTracker[[#This Row],[Completion Date]])</f>
        <v>0</v>
      </c>
      <c r="T136" s="27" t="str">
        <f>TEXT(WFTracker[[#This Row],[Start date]],"mmm-yyyy")</f>
        <v>Jun-2025</v>
      </c>
      <c r="U136" s="11">
        <v>5</v>
      </c>
      <c r="V136" s="11">
        <f>NETWORKDAYS.INTL(WFTracker[[#This Row],[Start date]],WFTracker[[#This Row],[Due date]],1,Holidays!D504:D519)</f>
        <v>9</v>
      </c>
      <c r="W1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36" s="30">
        <f ca="1">WFTracker[[#This Row],[Active Time]]-WFTracker[[#This Row],[Completion Days Template]]</f>
        <v>1</v>
      </c>
      <c r="Y136" s="34" t="str">
        <f ca="1" xml:space="preserve"> IF(WFTracker[[#This Row],[Overdue Time '[Expected-Completion']]]&gt;0, "LATE","ON TIME")</f>
        <v>LATE</v>
      </c>
      <c r="Z136" s="34" t="str">
        <f ca="1">IF(WFTracker[[#This Row],[Overdue Time '[Expected-Completion']]] &gt;= 15, "SUPER LATE", Y136)</f>
        <v>LATE</v>
      </c>
      <c r="AA136" s="37" t="str">
        <f>IF(WFTracker[[#This Row],[Pre RM Opening Time]]&lt;WFTracker[[#This Row],[Old vs New Order Lead Time WF dead line]], "LATE BY ENG", "ON TIME BY ENG")</f>
        <v>ON TIME BY ENG</v>
      </c>
      <c r="AB136" s="37"/>
      <c r="AC136" s="15" t="str">
        <f>IF(WFTracker[[#This Row],[Competion Date Content]] = FALSE, "C", "i")</f>
        <v>C</v>
      </c>
      <c r="AD1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136" s="105" t="str">
        <f ca="1">IF(WFTracker[[#This Row],[Impact Time Post RM]]&gt;0, "IMPACTED", "NOT IMPACTED")</f>
        <v>NOT IMPACTED</v>
      </c>
      <c r="AF136" s="15"/>
      <c r="AG136" s="18"/>
      <c r="AH136" s="14" t="str">
        <f>IF(WFTracker[[#This Row],[Status]]="C", "Closed", IF(WFTracker[[#This Row],[Status]] = "x", "Cancelled", WFTracker[[#This Row],[Impact Time Post RM]]))</f>
        <v>Closed</v>
      </c>
      <c r="AI136" s="14" t="str">
        <f ca="1">IF(WFTracker[[#This Row],[Impact Time Post RM]]&lt;=0,"ON TIME","LATE")</f>
        <v>ON TIME</v>
      </c>
      <c r="AJ136" s="14" t="s">
        <v>984</v>
      </c>
      <c r="AK136" s="14">
        <v>17</v>
      </c>
      <c r="AL136" s="915">
        <f>IF(WFTracker[[#This Row],[Type]]="MAKE", WFTracker[[#This Row],[Due date]]+Filters!$J$111, WFTracker[[#This Row],[Due date]]+Filters!$J$135)</f>
        <v>45831.415686274508</v>
      </c>
      <c r="AM136" s="102" cm="1">
        <f t="array" ref="AM1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7" spans="1:39" ht="14.45">
      <c r="A137" t="str">
        <f>IF(WFTracker[[#This Row],[Order Number]]="SWBD", "QED2", "PZ4")</f>
        <v>PZ4</v>
      </c>
      <c r="B137" s="21" t="s">
        <v>271</v>
      </c>
      <c r="C137" s="26" t="s">
        <v>834</v>
      </c>
      <c r="D137" s="11" t="str">
        <f>WFTracker[[#This Row],[Order Number]]  &amp; "-" &amp; WFTracker[[#This Row],[Item]]</f>
        <v>0050988425-001260</v>
      </c>
      <c r="E137" s="23" t="s">
        <v>272</v>
      </c>
      <c r="F137" s="12">
        <v>45835</v>
      </c>
      <c r="G137" s="12"/>
      <c r="H137" s="11" t="s">
        <v>273</v>
      </c>
      <c r="I137" s="11" t="s">
        <v>24</v>
      </c>
      <c r="J137" s="13" t="s">
        <v>1133</v>
      </c>
      <c r="K137" s="14" t="s">
        <v>1023</v>
      </c>
      <c r="L137" s="15" t="s">
        <v>27</v>
      </c>
      <c r="M137" s="15" t="s">
        <v>1120</v>
      </c>
      <c r="N137" s="56">
        <v>46002</v>
      </c>
      <c r="O137" s="15">
        <f>NETWORKDAYS.INTL(WFTracker[[#This Row],[Start date]],WFTracker[[#This Row],[RM]],1,Holidays!D285:D300)</f>
        <v>12</v>
      </c>
      <c r="P137" s="12">
        <v>45820</v>
      </c>
      <c r="Q137" s="12">
        <v>45803</v>
      </c>
      <c r="R137" s="12">
        <v>45859</v>
      </c>
      <c r="S137" s="21" t="b">
        <f>ISBLANK(WFTracker[[#This Row],[Completion Date]])</f>
        <v>0</v>
      </c>
      <c r="T137" s="27" t="str">
        <f>TEXT(WFTracker[[#This Row],[Start date]],"mmm-yyyy")</f>
        <v>Jun-2025</v>
      </c>
      <c r="U137" s="11">
        <v>5</v>
      </c>
      <c r="V137" s="11">
        <f>NETWORKDAYS.INTL(WFTracker[[#This Row],[Start date]],WFTracker[[#This Row],[Due date]],1,Holidays!D285:D300)</f>
        <v>-14</v>
      </c>
      <c r="W1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28</v>
      </c>
      <c r="X137" s="30">
        <f ca="1">WFTracker[[#This Row],[Active Time]]-WFTracker[[#This Row],[Completion Days Template]]</f>
        <v>42</v>
      </c>
      <c r="Y137" s="34" t="str">
        <f ca="1" xml:space="preserve"> IF(WFTracker[[#This Row],[Overdue Time '[Expected-Completion']]]&gt;0, "LATE","ON TIME")</f>
        <v>LATE</v>
      </c>
      <c r="Z137" s="34" t="str">
        <f ca="1">IF(WFTracker[[#This Row],[Overdue Time '[Expected-Completion']]] &gt;= 15, "SUPER LATE", Y137)</f>
        <v>SUPER LATE</v>
      </c>
      <c r="AA137" s="37" t="str">
        <f>IF(WFTracker[[#This Row],[Pre RM Opening Time]]&lt;WFTracker[[#This Row],[Old vs New Order Lead Time WF dead line]], "LATE BY ENG", "ON TIME BY ENG")</f>
        <v>ON TIME BY ENG</v>
      </c>
      <c r="AB137" s="37"/>
      <c r="AC137" s="15" t="str">
        <f>IF(WFTracker[[#This Row],[Competion Date Content]] = FALSE, "C", "I")</f>
        <v>C</v>
      </c>
      <c r="AD1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17</v>
      </c>
      <c r="AE137" s="105" t="str">
        <f ca="1">IF(WFTracker[[#This Row],[Impact Time Post RM]]&gt;0, "IMPACTED", "NOT IMPACTED")</f>
        <v>IMPACTED</v>
      </c>
      <c r="AF137" s="15"/>
      <c r="AG137" s="18"/>
      <c r="AH137" s="14" t="str">
        <f>IF(WFTracker[[#This Row],[Status]]="C", "Closed", IF(WFTracker[[#This Row],[Status]] = "x", "Cancelled", WFTracker[[#This Row],[Impact Time Post RM]]))</f>
        <v>Closed</v>
      </c>
      <c r="AI137" s="14" t="str">
        <f ca="1">IF(WFTracker[[#This Row],[Impact Time Post RM]]&lt;=0,"ON TIME","LATE")</f>
        <v>LATE</v>
      </c>
      <c r="AJ137" s="14" t="s">
        <v>984</v>
      </c>
      <c r="AK137" s="14">
        <v>18</v>
      </c>
      <c r="AL137" s="915">
        <f>IF(WFTracker[[#This Row],[Type]]="MAKE", WFTracker[[#This Row],[Due date]]+Filters!$J$111, WFTracker[[#This Row],[Due date]]+Filters!$J$135)</f>
        <v>45806.072512647552</v>
      </c>
      <c r="AM137" s="102" cm="1">
        <f t="array" ref="AM1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8" spans="1:39" ht="14.45">
      <c r="A138" t="str">
        <f>IF(WFTracker[[#This Row],[Order Number]]="SWBD", "QED2", "PZ4")</f>
        <v>PZ4</v>
      </c>
      <c r="B138" s="21" t="s">
        <v>271</v>
      </c>
      <c r="C138" s="26" t="s">
        <v>834</v>
      </c>
      <c r="D138" s="11" t="str">
        <f>WFTracker[[#This Row],[Order Number]]  &amp; "-" &amp; WFTracker[[#This Row],[Item]]</f>
        <v>0050988425-001260</v>
      </c>
      <c r="E138" s="23" t="s">
        <v>272</v>
      </c>
      <c r="F138" s="12">
        <v>45835</v>
      </c>
      <c r="G138" s="12"/>
      <c r="H138" s="11" t="s">
        <v>273</v>
      </c>
      <c r="I138" s="11" t="s">
        <v>24</v>
      </c>
      <c r="J138" s="13" t="s">
        <v>1134</v>
      </c>
      <c r="K138" s="14" t="s">
        <v>1023</v>
      </c>
      <c r="L138" s="15" t="s">
        <v>40</v>
      </c>
      <c r="M138" s="15" t="s">
        <v>1120</v>
      </c>
      <c r="N138" s="56">
        <v>46002</v>
      </c>
      <c r="O138" s="15">
        <f>NETWORKDAYS.INTL(WFTracker[[#This Row],[Start date]],WFTracker[[#This Row],[RM]],1,Holidays!D286:D301)</f>
        <v>12</v>
      </c>
      <c r="P138" s="12">
        <v>45820</v>
      </c>
      <c r="Q138" s="12">
        <v>45832</v>
      </c>
      <c r="R138" s="12">
        <v>45852</v>
      </c>
      <c r="S138" s="21" t="b">
        <f>ISBLANK(WFTracker[[#This Row],[Completion Date]])</f>
        <v>0</v>
      </c>
      <c r="T138" s="27" t="str">
        <f>TEXT(WFTracker[[#This Row],[Start date]],"mmm-yyyy")</f>
        <v>Jun-2025</v>
      </c>
      <c r="U138" s="11">
        <v>5</v>
      </c>
      <c r="V138" s="11">
        <f>NETWORKDAYS.INTL(WFTracker[[#This Row],[Start date]],WFTracker[[#This Row],[Due date]],1,Holidays!D286:D301)</f>
        <v>9</v>
      </c>
      <c r="W1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23</v>
      </c>
      <c r="X138" s="30">
        <f ca="1">WFTracker[[#This Row],[Active Time]]-WFTracker[[#This Row],[Completion Days Template]]</f>
        <v>14</v>
      </c>
      <c r="Y138" s="34" t="str">
        <f ca="1" xml:space="preserve"> IF(WFTracker[[#This Row],[Overdue Time '[Expected-Completion']]]&gt;0, "LATE","ON TIME")</f>
        <v>LATE</v>
      </c>
      <c r="Z138" s="34" t="str">
        <f ca="1">IF(WFTracker[[#This Row],[Overdue Time '[Expected-Completion']]] &gt;= 15, "SUPER LATE", Y138)</f>
        <v>LATE</v>
      </c>
      <c r="AA138" s="37" t="str">
        <f>IF(WFTracker[[#This Row],[Pre RM Opening Time]]&lt;WFTracker[[#This Row],[Old vs New Order Lead Time WF dead line]], "LATE BY ENG", "ON TIME BY ENG")</f>
        <v>ON TIME BY ENG</v>
      </c>
      <c r="AB138" s="37"/>
      <c r="AC138" s="15" t="str">
        <f>IF(WFTracker[[#This Row],[Competion Date Content]] = FALSE, "C", "I")</f>
        <v>C</v>
      </c>
      <c r="AD1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138" s="105" t="str">
        <f ca="1">IF(WFTracker[[#This Row],[Impact Time Post RM]]&gt;0, "IMPACTED", "NOT IMPACTED")</f>
        <v>IMPACTED</v>
      </c>
      <c r="AF138" s="15"/>
      <c r="AG138" s="18"/>
      <c r="AH138" s="14" t="str">
        <f>IF(WFTracker[[#This Row],[Status]]="C", "Closed", IF(WFTracker[[#This Row],[Status]] = "x", "Cancelled", WFTracker[[#This Row],[Impact Time Post RM]]))</f>
        <v>Closed</v>
      </c>
      <c r="AI138" s="14" t="str">
        <f ca="1">IF(WFTracker[[#This Row],[Impact Time Post RM]]&lt;=0,"ON TIME","LATE")</f>
        <v>LATE</v>
      </c>
      <c r="AJ138" s="14" t="s">
        <v>984</v>
      </c>
      <c r="AK138" s="14">
        <v>17</v>
      </c>
      <c r="AL138" s="915">
        <f>IF(WFTracker[[#This Row],[Type]]="MAKE", WFTracker[[#This Row],[Due date]]+Filters!$J$111, WFTracker[[#This Row],[Due date]]+Filters!$J$135)</f>
        <v>45832.415686274508</v>
      </c>
      <c r="AM138" s="102" cm="1">
        <f t="array" ref="AM1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39" spans="1:39" ht="14.45">
      <c r="A139" t="str">
        <f>IF(WFTracker[[#This Row],[Order Number]]="SWBD", "QED2", "PZ4")</f>
        <v>PZ4</v>
      </c>
      <c r="B139" s="21" t="s">
        <v>312</v>
      </c>
      <c r="C139" s="26" t="s">
        <v>1129</v>
      </c>
      <c r="D139" s="11" t="str">
        <f>WFTracker[[#This Row],[Order Number]]  &amp; "-" &amp; WFTracker[[#This Row],[Item]]</f>
        <v>0050665738-000700&amp;710</v>
      </c>
      <c r="E139" s="23" t="s">
        <v>1039</v>
      </c>
      <c r="F139" s="12">
        <v>45835</v>
      </c>
      <c r="G139" s="12"/>
      <c r="H139" s="11" t="s">
        <v>80</v>
      </c>
      <c r="I139" s="11" t="s">
        <v>260</v>
      </c>
      <c r="J139" s="13" t="s">
        <v>1135</v>
      </c>
      <c r="K139" s="14" t="s">
        <v>1023</v>
      </c>
      <c r="L139" s="15" t="s">
        <v>40</v>
      </c>
      <c r="M139" s="15" t="s">
        <v>1120</v>
      </c>
      <c r="N139" s="56">
        <v>45930</v>
      </c>
      <c r="O139" s="15">
        <f>NETWORKDAYS.INTL(WFTracker[[#This Row],[Start date]],WFTracker[[#This Row],[RM]],1,Holidays!D287:D302)</f>
        <v>12</v>
      </c>
      <c r="P139" s="12">
        <v>45820</v>
      </c>
      <c r="Q139" s="12">
        <v>45832</v>
      </c>
      <c r="R139" s="12">
        <v>45834</v>
      </c>
      <c r="S139" s="21" t="b">
        <f>ISBLANK(WFTracker[[#This Row],[Completion Date]])</f>
        <v>0</v>
      </c>
      <c r="T139" s="27" t="str">
        <f>TEXT(WFTracker[[#This Row],[Start date]],"mmm-yyyy")</f>
        <v>Jun-2025</v>
      </c>
      <c r="U139" s="11">
        <v>5</v>
      </c>
      <c r="V139" s="11">
        <f>NETWORKDAYS.INTL(WFTracker[[#This Row],[Start date]],WFTracker[[#This Row],[Due date]],1,Holidays!D287:D302)</f>
        <v>9</v>
      </c>
      <c r="W1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39" s="30">
        <f ca="1">WFTracker[[#This Row],[Active Time]]-WFTracker[[#This Row],[Completion Days Template]]</f>
        <v>2</v>
      </c>
      <c r="Y139" s="34" t="str">
        <f ca="1" xml:space="preserve"> IF(WFTracker[[#This Row],[Overdue Time '[Expected-Completion']]]&gt;0, "LATE","ON TIME")</f>
        <v>LATE</v>
      </c>
      <c r="Z139" s="34" t="str">
        <f ca="1">IF(WFTracker[[#This Row],[Overdue Time '[Expected-Completion']]] &gt;= 15, "SUPER LATE", Y139)</f>
        <v>LATE</v>
      </c>
      <c r="AA139" s="37" t="str">
        <f>IF(WFTracker[[#This Row],[Pre RM Opening Time]]&lt;WFTracker[[#This Row],[Old vs New Order Lead Time WF dead line]], "LATE BY ENG", "ON TIME BY ENG")</f>
        <v>ON TIME BY ENG</v>
      </c>
      <c r="AB139" s="37"/>
      <c r="AC139" s="15" t="str">
        <f>IF(WFTracker[[#This Row],[Competion Date Content]] = FALSE, "C", "I")</f>
        <v>C</v>
      </c>
      <c r="AD1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139" s="105" t="str">
        <f ca="1">IF(WFTracker[[#This Row],[Impact Time Post RM]]&gt;0, "IMPACTED", "NOT IMPACTED")</f>
        <v>NOT IMPACTED</v>
      </c>
      <c r="AF139" s="15"/>
      <c r="AG139" s="18"/>
      <c r="AH139" s="14" t="str">
        <f>IF(WFTracker[[#This Row],[Status]]="C", "Closed", IF(WFTracker[[#This Row],[Status]] = "x", "Cancelled", WFTracker[[#This Row],[Impact Time Post RM]]))</f>
        <v>Closed</v>
      </c>
      <c r="AI139" s="14" t="str">
        <f ca="1">IF(WFTracker[[#This Row],[Impact Time Post RM]]&lt;=0,"ON TIME","LATE")</f>
        <v>ON TIME</v>
      </c>
      <c r="AJ139" s="14" t="s">
        <v>984</v>
      </c>
      <c r="AK139" s="14">
        <v>17</v>
      </c>
      <c r="AL139" s="915">
        <f>IF(WFTracker[[#This Row],[Type]]="MAKE", WFTracker[[#This Row],[Due date]]+Filters!$J$111, WFTracker[[#This Row],[Due date]]+Filters!$J$135)</f>
        <v>45832.415686274508</v>
      </c>
      <c r="AM139" s="102" cm="1">
        <f t="array" ref="AM1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0" spans="1:39" ht="14.45">
      <c r="A140" t="str">
        <f>IF(WFTracker[[#This Row],[Order Number]]="SWBD", "QED2", "PZ4")</f>
        <v>PZ4</v>
      </c>
      <c r="B140" s="21" t="s">
        <v>302</v>
      </c>
      <c r="C140" s="26" t="s">
        <v>303</v>
      </c>
      <c r="D140" s="11" t="str">
        <f>WFTracker[[#This Row],[Order Number]]  &amp; "-" &amp; WFTracker[[#This Row],[Item]]</f>
        <v>0051020870-000840</v>
      </c>
      <c r="E140" s="23" t="s">
        <v>355</v>
      </c>
      <c r="F140" s="12">
        <v>45849</v>
      </c>
      <c r="G140" s="12"/>
      <c r="H140" s="11" t="s">
        <v>305</v>
      </c>
      <c r="I140" s="11" t="s">
        <v>1132</v>
      </c>
      <c r="J140" s="13" t="s">
        <v>309</v>
      </c>
      <c r="K140" s="14" t="s">
        <v>1023</v>
      </c>
      <c r="L140" s="15" t="s">
        <v>27</v>
      </c>
      <c r="M140" s="15" t="s">
        <v>1123</v>
      </c>
      <c r="N140" s="56">
        <v>46080</v>
      </c>
      <c r="O140" s="15">
        <f>NETWORKDAYS.INTL(WFTracker[[#This Row],[Start date]],WFTracker[[#This Row],[RM]],1,Holidays!D499:D514)</f>
        <v>22</v>
      </c>
      <c r="P140" s="12">
        <v>45820</v>
      </c>
      <c r="Q140" s="12">
        <v>45832</v>
      </c>
      <c r="R140" s="12">
        <v>45832</v>
      </c>
      <c r="S140" s="21" t="b">
        <f>ISBLANK(WFTracker[[#This Row],[Completion Date]])</f>
        <v>0</v>
      </c>
      <c r="T140" s="27" t="str">
        <f>TEXT(WFTracker[[#This Row],[Start date]],"mmm-yyyy")</f>
        <v>Jun-2025</v>
      </c>
      <c r="U140" s="11">
        <v>5</v>
      </c>
      <c r="V140" s="11">
        <f>NETWORKDAYS.INTL(WFTracker[[#This Row],[Start date]],WFTracker[[#This Row],[Due date]],1,Holidays!D499:D514)</f>
        <v>9</v>
      </c>
      <c r="W1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40" s="30">
        <f ca="1">WFTracker[[#This Row],[Active Time]]-WFTracker[[#This Row],[Completion Days Template]]</f>
        <v>0</v>
      </c>
      <c r="Y140" s="34" t="str">
        <f ca="1" xml:space="preserve"> IF(WFTracker[[#This Row],[Overdue Time '[Expected-Completion']]]&gt;0, "LATE","ON TIME")</f>
        <v>ON TIME</v>
      </c>
      <c r="Z140" s="34" t="str">
        <f ca="1">IF(WFTracker[[#This Row],[Overdue Time '[Expected-Completion']]] &gt;= 15, "SUPER LATE", Y140)</f>
        <v>ON TIME</v>
      </c>
      <c r="AA140" s="37" t="str">
        <f>IF(WFTracker[[#This Row],[Pre RM Opening Time]]&lt;WFTracker[[#This Row],[Old vs New Order Lead Time WF dead line]], "LATE BY ENG", "ON TIME BY ENG")</f>
        <v>ON TIME BY ENG</v>
      </c>
      <c r="AB140" s="37"/>
      <c r="AC140" s="15" t="s">
        <v>46</v>
      </c>
      <c r="AD1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140" s="105" t="str">
        <f ca="1">IF(WFTracker[[#This Row],[Impact Time Post RM]]&gt;0, "IMPACTED", "NOT IMPACTED")</f>
        <v>NOT IMPACTED</v>
      </c>
      <c r="AF140" s="15"/>
      <c r="AG140" s="18" t="s">
        <v>1136</v>
      </c>
      <c r="AH140" s="14" t="str">
        <f>IF(WFTracker[[#This Row],[Status]]="C", "Closed", IF(WFTracker[[#This Row],[Status]] = "x", "Cancelled", WFTracker[[#This Row],[Impact Time Post RM]]))</f>
        <v>Cancelled</v>
      </c>
      <c r="AI140" s="14" t="str">
        <f ca="1">IF(WFTracker[[#This Row],[Impact Time Post RM]]&lt;=0,"ON TIME","LATE")</f>
        <v>ON TIME</v>
      </c>
      <c r="AJ140" s="14" t="s">
        <v>984</v>
      </c>
      <c r="AK140" s="14">
        <v>0</v>
      </c>
      <c r="AL140" s="915">
        <f>IF(WFTracker[[#This Row],[Type]]="MAKE", WFTracker[[#This Row],[Due date]]+Filters!$J$111, WFTracker[[#This Row],[Due date]]+Filters!$J$135)</f>
        <v>45835.072512647552</v>
      </c>
      <c r="AM140" s="102" cm="1">
        <f t="array" ref="AM140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141" spans="1:39" ht="14.45">
      <c r="A141" t="str">
        <f>IF(WFTracker[[#This Row],[Order Number]]="SWBD", "QED2", "PZ4")</f>
        <v>PZ4</v>
      </c>
      <c r="B141" s="21" t="s">
        <v>312</v>
      </c>
      <c r="C141" s="26" t="s">
        <v>313</v>
      </c>
      <c r="D141" s="11" t="str">
        <f>WFTracker[[#This Row],[Order Number]]  &amp; "-" &amp; WFTracker[[#This Row],[Item]]</f>
        <v>0050665738-000700</v>
      </c>
      <c r="E141" s="23" t="s">
        <v>1039</v>
      </c>
      <c r="F141" s="12">
        <v>45835</v>
      </c>
      <c r="G141" s="12"/>
      <c r="H141" s="11" t="s">
        <v>80</v>
      </c>
      <c r="I141" s="11" t="s">
        <v>260</v>
      </c>
      <c r="J141" s="13" t="s">
        <v>1137</v>
      </c>
      <c r="K141" s="14" t="s">
        <v>1023</v>
      </c>
      <c r="L141" s="15" t="s">
        <v>27</v>
      </c>
      <c r="M141" s="15" t="s">
        <v>1120</v>
      </c>
      <c r="N141" s="56">
        <v>45930</v>
      </c>
      <c r="O141" s="15">
        <f>NETWORKDAYS.INTL(WFTracker[[#This Row],[Start date]],WFTracker[[#This Row],[RM]],1,Holidays!D259:D274)</f>
        <v>11</v>
      </c>
      <c r="P141" s="12">
        <v>45821</v>
      </c>
      <c r="Q141" s="12">
        <v>45831</v>
      </c>
      <c r="R141" s="12">
        <v>45838</v>
      </c>
      <c r="S141" s="21" t="b">
        <f>ISBLANK(WFTracker[[#This Row],[Completion Date]])</f>
        <v>0</v>
      </c>
      <c r="T141" s="27" t="str">
        <f>TEXT(WFTracker[[#This Row],[Start date]],"mmm-yyyy")</f>
        <v>Jun-2025</v>
      </c>
      <c r="U141" s="11">
        <v>5</v>
      </c>
      <c r="V141" s="11">
        <f>NETWORKDAYS.INTL(WFTracker[[#This Row],[Start date]],WFTracker[[#This Row],[Due date]],1,Holidays!D259:D274)</f>
        <v>7</v>
      </c>
      <c r="W1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41" s="30">
        <f ca="1">WFTracker[[#This Row],[Active Time]]-WFTracker[[#This Row],[Completion Days Template]]</f>
        <v>5</v>
      </c>
      <c r="Y141" s="34" t="str">
        <f ca="1" xml:space="preserve"> IF(WFTracker[[#This Row],[Overdue Time '[Expected-Completion']]]&gt;0, "LATE","ON TIME")</f>
        <v>LATE</v>
      </c>
      <c r="Z141" s="34" t="str">
        <f ca="1">IF(WFTracker[[#This Row],[Overdue Time '[Expected-Completion']]] &gt;= 15, "SUPER LATE", Y141)</f>
        <v>LATE</v>
      </c>
      <c r="AA141" s="37" t="str">
        <f>IF(WFTracker[[#This Row],[Pre RM Opening Time]]&lt;WFTracker[[#This Row],[Old vs New Order Lead Time WF dead line]], "LATE BY ENG", "ON TIME BY ENG")</f>
        <v>ON TIME BY ENG</v>
      </c>
      <c r="AB141" s="37"/>
      <c r="AC141" s="15" t="str">
        <f>IF(WFTracker[[#This Row],[Competion Date Content]] = FALSE, "C", "I")</f>
        <v>C</v>
      </c>
      <c r="AD1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141" s="105" t="str">
        <f ca="1">IF(WFTracker[[#This Row],[Impact Time Post RM]]&gt;0, "IMPACTED", "NOT IMPACTED")</f>
        <v>IMPACTED</v>
      </c>
      <c r="AF141" s="15"/>
      <c r="AG141" s="18"/>
      <c r="AH141" s="14" t="str">
        <f>IF(WFTracker[[#This Row],[Status]]="C", "Closed", IF(WFTracker[[#This Row],[Status]] = "x", "Cancelled", WFTracker[[#This Row],[Impact Time Post RM]]))</f>
        <v>Closed</v>
      </c>
      <c r="AI141" s="14" t="str">
        <f ca="1">IF(WFTracker[[#This Row],[Impact Time Post RM]]&lt;=0,"ON TIME","LATE")</f>
        <v>LATE</v>
      </c>
      <c r="AJ141" s="14" t="s">
        <v>984</v>
      </c>
      <c r="AK141" s="14">
        <v>18</v>
      </c>
      <c r="AL141" s="915">
        <f>IF(WFTracker[[#This Row],[Type]]="MAKE", WFTracker[[#This Row],[Due date]]+Filters!$J$111, WFTracker[[#This Row],[Due date]]+Filters!$J$135)</f>
        <v>45834.072512647552</v>
      </c>
      <c r="AM141" s="102" cm="1">
        <f t="array" ref="AM1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2" spans="1:39" ht="14.45">
      <c r="A142" t="str">
        <f>IF(WFTracker[[#This Row],[Order Number]]="SWBD", "QED2", "PZ4")</f>
        <v>PZ4</v>
      </c>
      <c r="B142" s="21" t="s">
        <v>285</v>
      </c>
      <c r="C142" s="26" t="s">
        <v>286</v>
      </c>
      <c r="D142" s="11" t="str">
        <f>WFTracker[[#This Row],[Order Number]]  &amp; "-" &amp; WFTracker[[#This Row],[Item]]</f>
        <v>0051229472-000100</v>
      </c>
      <c r="E142" s="23" t="s">
        <v>287</v>
      </c>
      <c r="F142" s="12">
        <v>45840</v>
      </c>
      <c r="G142" s="12"/>
      <c r="H142" s="11" t="s">
        <v>36</v>
      </c>
      <c r="I142" s="11" t="s">
        <v>216</v>
      </c>
      <c r="J142" s="13" t="s">
        <v>288</v>
      </c>
      <c r="K142" s="14" t="s">
        <v>1017</v>
      </c>
      <c r="L142" s="15" t="s">
        <v>27</v>
      </c>
      <c r="M142" s="15" t="s">
        <v>1120</v>
      </c>
      <c r="N142" s="56">
        <v>45926</v>
      </c>
      <c r="O142" s="15">
        <f>NETWORKDAYS.INTL(WFTracker[[#This Row],[Start date]],WFTracker[[#This Row],[RM]],1,Holidays!D339:D354)</f>
        <v>14</v>
      </c>
      <c r="P142" s="12">
        <v>45821</v>
      </c>
      <c r="Q142" s="12">
        <v>45828</v>
      </c>
      <c r="R142" s="12">
        <v>45828</v>
      </c>
      <c r="S142" s="27" t="b">
        <f>ISBLANK(WFTracker[[#This Row],[Completion Date]])</f>
        <v>0</v>
      </c>
      <c r="T142" s="27" t="str">
        <f>TEXT(WFTracker[[#This Row],[Start date]],"mmm-yyyy")</f>
        <v>Jun-2025</v>
      </c>
      <c r="U142" s="11">
        <v>5</v>
      </c>
      <c r="V142" s="11">
        <f>NETWORKDAYS.INTL(WFTracker[[#This Row],[Start date]],WFTracker[[#This Row],[Due date]],1,Holidays!D339:D354)</f>
        <v>6</v>
      </c>
      <c r="W1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42" s="30">
        <f ca="1">WFTracker[[#This Row],[Active Time]]-WFTracker[[#This Row],[Completion Days Template]]</f>
        <v>0</v>
      </c>
      <c r="Y142" s="34" t="str">
        <f ca="1" xml:space="preserve"> IF(WFTracker[[#This Row],[Overdue Time '[Expected-Completion']]]&gt;0, "LATE","ON TIME")</f>
        <v>ON TIME</v>
      </c>
      <c r="Z142" s="34" t="str">
        <f ca="1">IF(WFTracker[[#This Row],[Overdue Time '[Expected-Completion']]] &gt;= 15, "SUPER LATE", Y142)</f>
        <v>ON TIME</v>
      </c>
      <c r="AA142" s="37" t="str">
        <f>IF(WFTracker[[#This Row],[Pre RM Opening Time]]&lt;WFTracker[[#This Row],[Old vs New Order Lead Time WF dead line]], "LATE BY ENG", "ON TIME BY ENG")</f>
        <v>ON TIME BY ENG</v>
      </c>
      <c r="AB142" s="37"/>
      <c r="AC142" s="15" t="str">
        <f>IF(WFTracker[[#This Row],[Competion Date Content]] = FALSE, "C", "i")</f>
        <v>C</v>
      </c>
      <c r="AD1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142" s="105" t="str">
        <f ca="1">IF(WFTracker[[#This Row],[Impact Time Post RM]]&gt;0, "IMPACTED", "NOT IMPACTED")</f>
        <v>NOT IMPACTED</v>
      </c>
      <c r="AF142" s="15"/>
      <c r="AG142" s="18"/>
      <c r="AH142" s="14" t="str">
        <f>IF(WFTracker[[#This Row],[Status]]="C", "Closed", IF(WFTracker[[#This Row],[Status]] = "x", "Cancelled", WFTracker[[#This Row],[Impact Time Post RM]]))</f>
        <v>Closed</v>
      </c>
      <c r="AI142" s="14" t="str">
        <f ca="1">IF(WFTracker[[#This Row],[Impact Time Post RM]]&lt;=0,"ON TIME","LATE")</f>
        <v>ON TIME</v>
      </c>
      <c r="AJ142" s="14" t="s">
        <v>984</v>
      </c>
      <c r="AK142" s="14">
        <v>18</v>
      </c>
      <c r="AL142" s="915">
        <f>IF(WFTracker[[#This Row],[Type]]="MAKE", WFTracker[[#This Row],[Due date]]+Filters!$J$111, WFTracker[[#This Row],[Due date]]+Filters!$J$135)</f>
        <v>45831.072512647552</v>
      </c>
      <c r="AM142" s="101" cm="1">
        <f t="array" ref="AM1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3" spans="1:39" ht="14.45">
      <c r="A143" t="str">
        <f>IF(WFTracker[[#This Row],[Order Number]]="SWBD", "QED2", "PZ4")</f>
        <v>PZ4</v>
      </c>
      <c r="B143" s="21" t="s">
        <v>292</v>
      </c>
      <c r="C143" s="26" t="s">
        <v>293</v>
      </c>
      <c r="D143" s="11" t="str">
        <f>WFTracker[[#This Row],[Order Number]]  &amp; "-" &amp; WFTracker[[#This Row],[Item]]</f>
        <v>0051096008-000080</v>
      </c>
      <c r="E143" s="23" t="s">
        <v>294</v>
      </c>
      <c r="F143" s="12">
        <v>45840</v>
      </c>
      <c r="G143" s="12"/>
      <c r="H143" s="11" t="s">
        <v>295</v>
      </c>
      <c r="I143" s="11" t="s">
        <v>264</v>
      </c>
      <c r="J143" s="13" t="s">
        <v>296</v>
      </c>
      <c r="K143" s="14" t="s">
        <v>1017</v>
      </c>
      <c r="L143" s="15" t="s">
        <v>27</v>
      </c>
      <c r="M143" s="15" t="s">
        <v>1123</v>
      </c>
      <c r="N143" s="56">
        <v>45923</v>
      </c>
      <c r="O143" s="15">
        <f>NETWORKDAYS.INTL(WFTracker[[#This Row],[Start date]],WFTracker[[#This Row],[RM]],1,Holidays!D309:D324)</f>
        <v>13</v>
      </c>
      <c r="P143" s="12">
        <v>45823</v>
      </c>
      <c r="Q143" s="12">
        <v>45832</v>
      </c>
      <c r="R143" s="12">
        <v>45834</v>
      </c>
      <c r="S143" s="27" t="b">
        <f>ISBLANK(WFTracker[[#This Row],[Completion Date]])</f>
        <v>0</v>
      </c>
      <c r="T143" s="27" t="str">
        <f>TEXT(WFTracker[[#This Row],[Start date]],"mmm-yyyy")</f>
        <v>Jun-2025</v>
      </c>
      <c r="U143" s="11">
        <v>5</v>
      </c>
      <c r="V143" s="11">
        <f>NETWORKDAYS.INTL(WFTracker[[#This Row],[Start date]],WFTracker[[#This Row],[Due date]],1,Holidays!D309:D324)</f>
        <v>7</v>
      </c>
      <c r="W1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43" s="30">
        <f ca="1">WFTracker[[#This Row],[Active Time]]-WFTracker[[#This Row],[Completion Days Template]]</f>
        <v>2</v>
      </c>
      <c r="Y143" s="34" t="str">
        <f ca="1" xml:space="preserve"> IF(WFTracker[[#This Row],[Overdue Time '[Expected-Completion']]]&gt;0, "LATE","ON TIME")</f>
        <v>LATE</v>
      </c>
      <c r="Z143" s="34" t="str">
        <f ca="1">IF(WFTracker[[#This Row],[Overdue Time '[Expected-Completion']]] &gt;= 15, "SUPER LATE", Y143)</f>
        <v>LATE</v>
      </c>
      <c r="AA143" s="37" t="str">
        <f>IF(WFTracker[[#This Row],[Pre RM Opening Time]]&lt;WFTracker[[#This Row],[Old vs New Order Lead Time WF dead line]], "LATE BY ENG", "ON TIME BY ENG")</f>
        <v>ON TIME BY ENG</v>
      </c>
      <c r="AB143" s="37"/>
      <c r="AC143" s="15" t="str">
        <f>IF(WFTracker[[#This Row],[Competion Date Content]] = FALSE, "C", "i")</f>
        <v>C</v>
      </c>
      <c r="AD1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143" s="105" t="str">
        <f ca="1">IF(WFTracker[[#This Row],[Impact Time Post RM]]&gt;0, "IMPACTED", "NOT IMPACTED")</f>
        <v>NOT IMPACTED</v>
      </c>
      <c r="AF143" s="15"/>
      <c r="AG143" s="18"/>
      <c r="AH143" s="14" t="str">
        <f>IF(WFTracker[[#This Row],[Status]]="C", "Closed", IF(WFTracker[[#This Row],[Status]] = "x", "Cancelled", WFTracker[[#This Row],[Impact Time Post RM]]))</f>
        <v>Closed</v>
      </c>
      <c r="AI143" s="14" t="str">
        <f ca="1">IF(WFTracker[[#This Row],[Impact Time Post RM]]&lt;=0,"ON TIME","LATE")</f>
        <v>ON TIME</v>
      </c>
      <c r="AJ143" s="14" t="s">
        <v>984</v>
      </c>
      <c r="AK143" s="14">
        <v>18</v>
      </c>
      <c r="AL143" s="915">
        <f>IF(WFTracker[[#This Row],[Type]]="MAKE", WFTracker[[#This Row],[Due date]]+Filters!$J$111, WFTracker[[#This Row],[Due date]]+Filters!$J$135)</f>
        <v>45835.072512647552</v>
      </c>
      <c r="AM143" s="101" cm="1">
        <f t="array" ref="AM1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4" spans="1:39" ht="14.45">
      <c r="A144" t="str">
        <f>IF(WFTracker[[#This Row],[Order Number]]="SWBD", "QED2", "PZ4")</f>
        <v>PZ4</v>
      </c>
      <c r="B144" s="21" t="s">
        <v>289</v>
      </c>
      <c r="C144" s="26" t="s">
        <v>282</v>
      </c>
      <c r="D144" s="11" t="str">
        <f>WFTracker[[#This Row],[Order Number]]  &amp; "-" &amp; WFTracker[[#This Row],[Item]]</f>
        <v>0051138733-000070</v>
      </c>
      <c r="E144" s="23" t="s">
        <v>290</v>
      </c>
      <c r="F144" s="12">
        <v>45842</v>
      </c>
      <c r="G144" s="12"/>
      <c r="H144" s="11" t="s">
        <v>259</v>
      </c>
      <c r="I144" s="11" t="s">
        <v>238</v>
      </c>
      <c r="J144" s="13" t="s">
        <v>291</v>
      </c>
      <c r="K144" s="14" t="s">
        <v>1017</v>
      </c>
      <c r="L144" s="15" t="s">
        <v>27</v>
      </c>
      <c r="M144" s="15" t="s">
        <v>1120</v>
      </c>
      <c r="N144" s="56">
        <v>46036</v>
      </c>
      <c r="O144" s="15">
        <f>NETWORKDAYS.INTL(WFTracker[[#This Row],[Start date]],WFTracker[[#This Row],[RM]],1,Holidays!D357:D372)</f>
        <v>15</v>
      </c>
      <c r="P144" s="12">
        <v>45824</v>
      </c>
      <c r="Q144" s="12">
        <v>45832</v>
      </c>
      <c r="R144" s="12">
        <v>45834</v>
      </c>
      <c r="S144" s="27" t="b">
        <f>ISBLANK(WFTracker[[#This Row],[Completion Date]])</f>
        <v>0</v>
      </c>
      <c r="T144" s="27" t="str">
        <f>TEXT(WFTracker[[#This Row],[Start date]],"mmm-yyyy")</f>
        <v>Jun-2025</v>
      </c>
      <c r="U144" s="11">
        <v>5</v>
      </c>
      <c r="V144" s="11">
        <f>NETWORKDAYS.INTL(WFTracker[[#This Row],[Start date]],WFTracker[[#This Row],[Due date]],1,Holidays!D357:D372)</f>
        <v>7</v>
      </c>
      <c r="W1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44" s="30">
        <f ca="1">WFTracker[[#This Row],[Active Time]]-WFTracker[[#This Row],[Completion Days Template]]</f>
        <v>2</v>
      </c>
      <c r="Y144" s="34" t="str">
        <f ca="1" xml:space="preserve"> IF(WFTracker[[#This Row],[Overdue Time '[Expected-Completion']]]&gt;0, "LATE","ON TIME")</f>
        <v>LATE</v>
      </c>
      <c r="Z144" s="34" t="str">
        <f ca="1">IF(WFTracker[[#This Row],[Overdue Time '[Expected-Completion']]] &gt;= 15, "SUPER LATE", Y144)</f>
        <v>LATE</v>
      </c>
      <c r="AA144" s="37" t="str">
        <f>IF(WFTracker[[#This Row],[Pre RM Opening Time]]&lt;WFTracker[[#This Row],[Old vs New Order Lead Time WF dead line]], "LATE BY ENG", "ON TIME BY ENG")</f>
        <v>ON TIME BY ENG</v>
      </c>
      <c r="AB144" s="37"/>
      <c r="AC144" s="15" t="str">
        <f>IF(WFTracker[[#This Row],[Competion Date Content]] = FALSE, "C", "i")</f>
        <v>C</v>
      </c>
      <c r="AD1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144" s="105" t="str">
        <f ca="1">IF(WFTracker[[#This Row],[Impact Time Post RM]]&gt;0, "IMPACTED", "NOT IMPACTED")</f>
        <v>NOT IMPACTED</v>
      </c>
      <c r="AF144" s="15"/>
      <c r="AG144" s="18"/>
      <c r="AH144" s="14" t="str">
        <f>IF(WFTracker[[#This Row],[Status]]="C", "Closed", IF(WFTracker[[#This Row],[Status]] = "x", "Cancelled", WFTracker[[#This Row],[Impact Time Post RM]]))</f>
        <v>Closed</v>
      </c>
      <c r="AI144" s="14" t="str">
        <f ca="1">IF(WFTracker[[#This Row],[Impact Time Post RM]]&lt;=0,"ON TIME","LATE")</f>
        <v>ON TIME</v>
      </c>
      <c r="AJ144" s="14" t="s">
        <v>984</v>
      </c>
      <c r="AK144" s="14">
        <v>18</v>
      </c>
      <c r="AL144" s="915">
        <f>IF(WFTracker[[#This Row],[Type]]="MAKE", WFTracker[[#This Row],[Due date]]+Filters!$J$111, WFTracker[[#This Row],[Due date]]+Filters!$J$135)</f>
        <v>45835.072512647552</v>
      </c>
      <c r="AM144" s="101" cm="1">
        <f t="array" ref="AM1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5" spans="1:39" ht="14.45">
      <c r="A145" t="str">
        <f>IF(WFTracker[[#This Row],[Order Number]]="SWBD", "QED2", "PZ4")</f>
        <v>PZ4</v>
      </c>
      <c r="B145" s="21" t="s">
        <v>302</v>
      </c>
      <c r="C145" s="26" t="s">
        <v>303</v>
      </c>
      <c r="D145" s="11" t="str">
        <f>WFTracker[[#This Row],[Order Number]]  &amp; "-" &amp; WFTracker[[#This Row],[Item]]</f>
        <v>0051020870-000840</v>
      </c>
      <c r="E145" s="23" t="s">
        <v>355</v>
      </c>
      <c r="F145" s="12">
        <v>45849</v>
      </c>
      <c r="G145" s="12"/>
      <c r="H145" s="11" t="s">
        <v>305</v>
      </c>
      <c r="I145" s="11" t="s">
        <v>1132</v>
      </c>
      <c r="J145" s="13" t="s">
        <v>310</v>
      </c>
      <c r="K145" s="14" t="s">
        <v>1023</v>
      </c>
      <c r="L145" s="15" t="s">
        <v>27</v>
      </c>
      <c r="M145" s="15" t="s">
        <v>1123</v>
      </c>
      <c r="N145" s="56">
        <v>46080</v>
      </c>
      <c r="O145" s="15">
        <f>NETWORKDAYS.INTL(WFTracker[[#This Row],[Start date]],WFTracker[[#This Row],[RM]],1,Holidays!D469:D484)</f>
        <v>20</v>
      </c>
      <c r="P145" s="12">
        <v>45824</v>
      </c>
      <c r="Q145" s="12">
        <v>45831</v>
      </c>
      <c r="R145" s="12">
        <v>45833</v>
      </c>
      <c r="S145" s="21" t="b">
        <f>ISBLANK(WFTracker[[#This Row],[Completion Date]])</f>
        <v>0</v>
      </c>
      <c r="T145" s="27" t="str">
        <f>TEXT(WFTracker[[#This Row],[Start date]],"mmm-yyyy")</f>
        <v>Jun-2025</v>
      </c>
      <c r="U145" s="11">
        <v>5</v>
      </c>
      <c r="V145" s="11">
        <f>NETWORKDAYS.INTL(WFTracker[[#This Row],[Start date]],WFTracker[[#This Row],[Due date]],1,Holidays!D469:D484)</f>
        <v>6</v>
      </c>
      <c r="W1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45" s="30">
        <f ca="1">WFTracker[[#This Row],[Active Time]]-WFTracker[[#This Row],[Completion Days Template]]</f>
        <v>2</v>
      </c>
      <c r="Y145" s="34" t="str">
        <f ca="1" xml:space="preserve"> IF(WFTracker[[#This Row],[Overdue Time '[Expected-Completion']]]&gt;0, "LATE","ON TIME")</f>
        <v>LATE</v>
      </c>
      <c r="Z145" s="34" t="str">
        <f ca="1">IF(WFTracker[[#This Row],[Overdue Time '[Expected-Completion']]] &gt;= 15, "SUPER LATE", Y145)</f>
        <v>LATE</v>
      </c>
      <c r="AA145" s="37" t="str">
        <f>IF(WFTracker[[#This Row],[Pre RM Opening Time]]&lt;WFTracker[[#This Row],[Old vs New Order Lead Time WF dead line]], "LATE BY ENG", "ON TIME BY ENG")</f>
        <v>ON TIME BY ENG</v>
      </c>
      <c r="AB145" s="37"/>
      <c r="AC145" s="15" t="str">
        <f>IF(WFTracker[[#This Row],[Competion Date Content]] = FALSE, "C", "I")</f>
        <v>C</v>
      </c>
      <c r="AD1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45" s="105" t="str">
        <f ca="1">IF(WFTracker[[#This Row],[Impact Time Post RM]]&gt;0, "IMPACTED", "NOT IMPACTED")</f>
        <v>NOT IMPACTED</v>
      </c>
      <c r="AF145" s="15"/>
      <c r="AG145" s="18"/>
      <c r="AH145" s="14" t="str">
        <f>IF(WFTracker[[#This Row],[Status]]="C", "Closed", IF(WFTracker[[#This Row],[Status]] = "x", "Cancelled", WFTracker[[#This Row],[Impact Time Post RM]]))</f>
        <v>Closed</v>
      </c>
      <c r="AI145" s="14" t="str">
        <f ca="1">IF(WFTracker[[#This Row],[Impact Time Post RM]]&lt;=0,"ON TIME","LATE")</f>
        <v>ON TIME</v>
      </c>
      <c r="AJ145" s="14" t="s">
        <v>984</v>
      </c>
      <c r="AK145" s="14">
        <v>18</v>
      </c>
      <c r="AL145" s="915">
        <f>IF(WFTracker[[#This Row],[Type]]="MAKE", WFTracker[[#This Row],[Due date]]+Filters!$J$111, WFTracker[[#This Row],[Due date]]+Filters!$J$135)</f>
        <v>45834.072512647552</v>
      </c>
      <c r="AM145" s="102" cm="1">
        <f t="array" ref="AM1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6" spans="1:39" ht="14.45">
      <c r="A146" t="str">
        <f>IF(WFTracker[[#This Row],[Order Number]]="SWBD", "QED2", "PZ4")</f>
        <v>PZ4</v>
      </c>
      <c r="B146" s="21" t="s">
        <v>302</v>
      </c>
      <c r="C146" s="26" t="s">
        <v>303</v>
      </c>
      <c r="D146" s="11" t="str">
        <f>WFTracker[[#This Row],[Order Number]]  &amp; "-" &amp; WFTracker[[#This Row],[Item]]</f>
        <v>0051020870-000840</v>
      </c>
      <c r="E146" s="23" t="s">
        <v>355</v>
      </c>
      <c r="F146" s="12">
        <v>45849</v>
      </c>
      <c r="G146" s="12"/>
      <c r="H146" s="11" t="s">
        <v>305</v>
      </c>
      <c r="I146" s="11" t="s">
        <v>1132</v>
      </c>
      <c r="J146" s="13" t="s">
        <v>311</v>
      </c>
      <c r="K146" s="14" t="s">
        <v>1023</v>
      </c>
      <c r="L146" s="15" t="s">
        <v>27</v>
      </c>
      <c r="M146" s="15" t="s">
        <v>1123</v>
      </c>
      <c r="N146" s="56">
        <v>46080</v>
      </c>
      <c r="O146" s="15">
        <f>NETWORKDAYS.INTL(WFTracker[[#This Row],[Start date]],WFTracker[[#This Row],[RM]],1,Holidays!D470:D485)</f>
        <v>20</v>
      </c>
      <c r="P146" s="12">
        <v>45824</v>
      </c>
      <c r="Q146" s="12">
        <v>45831</v>
      </c>
      <c r="R146" s="12">
        <v>45833</v>
      </c>
      <c r="S146" s="21" t="b">
        <f>ISBLANK(WFTracker[[#This Row],[Completion Date]])</f>
        <v>0</v>
      </c>
      <c r="T146" s="27" t="str">
        <f>TEXT(WFTracker[[#This Row],[Start date]],"mmm-yyyy")</f>
        <v>Jun-2025</v>
      </c>
      <c r="U146" s="11">
        <v>5</v>
      </c>
      <c r="V146" s="11">
        <f>NETWORKDAYS.INTL(WFTracker[[#This Row],[Start date]],WFTracker[[#This Row],[Due date]],1,Holidays!D470:D485)</f>
        <v>6</v>
      </c>
      <c r="W1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46" s="30">
        <f ca="1">WFTracker[[#This Row],[Active Time]]-WFTracker[[#This Row],[Completion Days Template]]</f>
        <v>2</v>
      </c>
      <c r="Y146" s="34" t="str">
        <f ca="1" xml:space="preserve"> IF(WFTracker[[#This Row],[Overdue Time '[Expected-Completion']]]&gt;0, "LATE","ON TIME")</f>
        <v>LATE</v>
      </c>
      <c r="Z146" s="34" t="str">
        <f ca="1">IF(WFTracker[[#This Row],[Overdue Time '[Expected-Completion']]] &gt;= 15, "SUPER LATE", Y146)</f>
        <v>LATE</v>
      </c>
      <c r="AA146" s="37" t="str">
        <f>IF(WFTracker[[#This Row],[Pre RM Opening Time]]&lt;WFTracker[[#This Row],[Old vs New Order Lead Time WF dead line]], "LATE BY ENG", "ON TIME BY ENG")</f>
        <v>ON TIME BY ENG</v>
      </c>
      <c r="AB146" s="37"/>
      <c r="AC146" s="15" t="str">
        <f>IF(WFTracker[[#This Row],[Competion Date Content]] = FALSE, "C", "I")</f>
        <v>C</v>
      </c>
      <c r="AD1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46" s="105" t="str">
        <f ca="1">IF(WFTracker[[#This Row],[Impact Time Post RM]]&gt;0, "IMPACTED", "NOT IMPACTED")</f>
        <v>NOT IMPACTED</v>
      </c>
      <c r="AF146" s="15"/>
      <c r="AG146" s="18"/>
      <c r="AH146" s="14" t="str">
        <f>IF(WFTracker[[#This Row],[Status]]="C", "Closed", IF(WFTracker[[#This Row],[Status]] = "x", "Cancelled", WFTracker[[#This Row],[Impact Time Post RM]]))</f>
        <v>Closed</v>
      </c>
      <c r="AI146" s="14" t="str">
        <f ca="1">IF(WFTracker[[#This Row],[Impact Time Post RM]]&lt;=0,"ON TIME","LATE")</f>
        <v>ON TIME</v>
      </c>
      <c r="AJ146" s="14" t="s">
        <v>984</v>
      </c>
      <c r="AK146" s="14">
        <v>18</v>
      </c>
      <c r="AL146" s="915">
        <f>IF(WFTracker[[#This Row],[Type]]="MAKE", WFTracker[[#This Row],[Due date]]+Filters!$J$111, WFTracker[[#This Row],[Due date]]+Filters!$J$135)</f>
        <v>45834.072512647552</v>
      </c>
      <c r="AM146" s="102" cm="1">
        <f t="array" ref="AM1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7" spans="1:39" ht="14.45">
      <c r="A147" t="str">
        <f>IF(WFTracker[[#This Row],[Order Number]]="SWBD", "QED2", "PZ4")</f>
        <v>PZ4</v>
      </c>
      <c r="B147" s="21" t="s">
        <v>302</v>
      </c>
      <c r="C147" s="26" t="s">
        <v>303</v>
      </c>
      <c r="D147" s="11" t="str">
        <f>WFTracker[[#This Row],[Order Number]]  &amp; "-" &amp; WFTracker[[#This Row],[Item]]</f>
        <v>0051020870-000840</v>
      </c>
      <c r="E147" s="23" t="s">
        <v>355</v>
      </c>
      <c r="F147" s="12">
        <v>45849</v>
      </c>
      <c r="G147" s="12"/>
      <c r="H147" s="11" t="s">
        <v>305</v>
      </c>
      <c r="I147" s="11" t="s">
        <v>1132</v>
      </c>
      <c r="J147" s="13" t="s">
        <v>1138</v>
      </c>
      <c r="K147" s="14" t="s">
        <v>1023</v>
      </c>
      <c r="L147" s="15" t="s">
        <v>27</v>
      </c>
      <c r="M147" s="15" t="s">
        <v>1123</v>
      </c>
      <c r="N147" s="56">
        <v>46080</v>
      </c>
      <c r="O147" s="15">
        <f>NETWORKDAYS.INTL(WFTracker[[#This Row],[Start date]],WFTracker[[#This Row],[RM]],1,Holidays!D471:D486)</f>
        <v>20</v>
      </c>
      <c r="P147" s="12">
        <v>45824</v>
      </c>
      <c r="Q147" s="12">
        <v>45831</v>
      </c>
      <c r="R147" s="12">
        <v>45833</v>
      </c>
      <c r="S147" s="21" t="b">
        <f>ISBLANK(WFTracker[[#This Row],[Completion Date]])</f>
        <v>0</v>
      </c>
      <c r="T147" s="27" t="str">
        <f>TEXT(WFTracker[[#This Row],[Start date]],"mmm-yyyy")</f>
        <v>Jun-2025</v>
      </c>
      <c r="U147" s="11">
        <v>5</v>
      </c>
      <c r="V147" s="11">
        <f>NETWORKDAYS.INTL(WFTracker[[#This Row],[Start date]],WFTracker[[#This Row],[Due date]],1,Holidays!D471:D486)</f>
        <v>6</v>
      </c>
      <c r="W1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47" s="30">
        <f ca="1">WFTracker[[#This Row],[Active Time]]-WFTracker[[#This Row],[Completion Days Template]]</f>
        <v>2</v>
      </c>
      <c r="Y147" s="34" t="str">
        <f ca="1" xml:space="preserve"> IF(WFTracker[[#This Row],[Overdue Time '[Expected-Completion']]]&gt;0, "LATE","ON TIME")</f>
        <v>LATE</v>
      </c>
      <c r="Z147" s="34" t="str">
        <f ca="1">IF(WFTracker[[#This Row],[Overdue Time '[Expected-Completion']]] &gt;= 15, "SUPER LATE", Y147)</f>
        <v>LATE</v>
      </c>
      <c r="AA147" s="37" t="str">
        <f>IF(WFTracker[[#This Row],[Pre RM Opening Time]]&lt;WFTracker[[#This Row],[Old vs New Order Lead Time WF dead line]], "LATE BY ENG", "ON TIME BY ENG")</f>
        <v>ON TIME BY ENG</v>
      </c>
      <c r="AB147" s="37"/>
      <c r="AC147" s="15" t="str">
        <f>IF(WFTracker[[#This Row],[Competion Date Content]] = FALSE, "C", "I")</f>
        <v>C</v>
      </c>
      <c r="AD1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47" s="105" t="str">
        <f ca="1">IF(WFTracker[[#This Row],[Impact Time Post RM]]&gt;0, "IMPACTED", "NOT IMPACTED")</f>
        <v>NOT IMPACTED</v>
      </c>
      <c r="AF147" s="15"/>
      <c r="AG147" s="18"/>
      <c r="AH147" s="14" t="str">
        <f>IF(WFTracker[[#This Row],[Status]]="C", "Closed", IF(WFTracker[[#This Row],[Status]] = "x", "Cancelled", WFTracker[[#This Row],[Impact Time Post RM]]))</f>
        <v>Closed</v>
      </c>
      <c r="AI147" s="14" t="str">
        <f ca="1">IF(WFTracker[[#This Row],[Impact Time Post RM]]&lt;=0,"ON TIME","LATE")</f>
        <v>ON TIME</v>
      </c>
      <c r="AJ147" s="14" t="s">
        <v>984</v>
      </c>
      <c r="AK147" s="14">
        <v>18</v>
      </c>
      <c r="AL147" s="915">
        <f>IF(WFTracker[[#This Row],[Type]]="MAKE", WFTracker[[#This Row],[Due date]]+Filters!$J$111, WFTracker[[#This Row],[Due date]]+Filters!$J$135)</f>
        <v>45834.072512647552</v>
      </c>
      <c r="AM147" s="102" cm="1">
        <f t="array" ref="AM1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8" spans="1:39" ht="14.45">
      <c r="A148" t="str">
        <f>IF(WFTracker[[#This Row],[Order Number]]="SWBD", "QED2", "PZ4")</f>
        <v>PZ4</v>
      </c>
      <c r="B148" s="21" t="s">
        <v>302</v>
      </c>
      <c r="C148" s="26" t="s">
        <v>303</v>
      </c>
      <c r="D148" s="11" t="str">
        <f>WFTracker[[#This Row],[Order Number]]  &amp; "-" &amp; WFTracker[[#This Row],[Item]]</f>
        <v>0051020870-000840</v>
      </c>
      <c r="E148" s="23" t="s">
        <v>355</v>
      </c>
      <c r="F148" s="12">
        <v>45849</v>
      </c>
      <c r="G148" s="12"/>
      <c r="H148" s="11" t="s">
        <v>305</v>
      </c>
      <c r="I148" s="11" t="s">
        <v>1132</v>
      </c>
      <c r="J148" s="13" t="s">
        <v>1139</v>
      </c>
      <c r="K148" s="14" t="s">
        <v>1023</v>
      </c>
      <c r="L148" s="15" t="s">
        <v>27</v>
      </c>
      <c r="M148" s="15" t="s">
        <v>1123</v>
      </c>
      <c r="N148" s="56">
        <v>46080</v>
      </c>
      <c r="O148" s="15">
        <f>NETWORKDAYS.INTL(WFTracker[[#This Row],[Start date]],WFTracker[[#This Row],[RM]],1,Holidays!D472:D487)</f>
        <v>20</v>
      </c>
      <c r="P148" s="12">
        <v>45824</v>
      </c>
      <c r="Q148" s="12">
        <v>45831</v>
      </c>
      <c r="R148" s="12">
        <v>45833</v>
      </c>
      <c r="S148" s="21" t="b">
        <f>ISBLANK(WFTracker[[#This Row],[Completion Date]])</f>
        <v>0</v>
      </c>
      <c r="T148" s="27" t="str">
        <f>TEXT(WFTracker[[#This Row],[Start date]],"mmm-yyyy")</f>
        <v>Jun-2025</v>
      </c>
      <c r="U148" s="11">
        <v>5</v>
      </c>
      <c r="V148" s="11">
        <f>NETWORKDAYS.INTL(WFTracker[[#This Row],[Start date]],WFTracker[[#This Row],[Due date]],1,Holidays!D472:D487)</f>
        <v>6</v>
      </c>
      <c r="W1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48" s="30">
        <f ca="1">WFTracker[[#This Row],[Active Time]]-WFTracker[[#This Row],[Completion Days Template]]</f>
        <v>2</v>
      </c>
      <c r="Y148" s="34" t="str">
        <f ca="1" xml:space="preserve"> IF(WFTracker[[#This Row],[Overdue Time '[Expected-Completion']]]&gt;0, "LATE","ON TIME")</f>
        <v>LATE</v>
      </c>
      <c r="Z148" s="34" t="str">
        <f ca="1">IF(WFTracker[[#This Row],[Overdue Time '[Expected-Completion']]] &gt;= 15, "SUPER LATE", Y148)</f>
        <v>LATE</v>
      </c>
      <c r="AA148" s="37" t="str">
        <f>IF(WFTracker[[#This Row],[Pre RM Opening Time]]&lt;WFTracker[[#This Row],[Old vs New Order Lead Time WF dead line]], "LATE BY ENG", "ON TIME BY ENG")</f>
        <v>ON TIME BY ENG</v>
      </c>
      <c r="AB148" s="37"/>
      <c r="AC148" s="15" t="str">
        <f>IF(WFTracker[[#This Row],[Competion Date Content]] = FALSE, "C", "I")</f>
        <v>C</v>
      </c>
      <c r="AD1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48" s="105" t="str">
        <f ca="1">IF(WFTracker[[#This Row],[Impact Time Post RM]]&gt;0, "IMPACTED", "NOT IMPACTED")</f>
        <v>NOT IMPACTED</v>
      </c>
      <c r="AF148" s="15"/>
      <c r="AG148" s="18"/>
      <c r="AH148" s="14" t="str">
        <f>IF(WFTracker[[#This Row],[Status]]="C", "Closed", IF(WFTracker[[#This Row],[Status]] = "x", "Cancelled", WFTracker[[#This Row],[Impact Time Post RM]]))</f>
        <v>Closed</v>
      </c>
      <c r="AI148" s="14" t="str">
        <f ca="1">IF(WFTracker[[#This Row],[Impact Time Post RM]]&lt;=0,"ON TIME","LATE")</f>
        <v>ON TIME</v>
      </c>
      <c r="AJ148" s="14" t="s">
        <v>984</v>
      </c>
      <c r="AK148" s="14">
        <v>18</v>
      </c>
      <c r="AL148" s="915">
        <f>IF(WFTracker[[#This Row],[Type]]="MAKE", WFTracker[[#This Row],[Due date]]+Filters!$J$111, WFTracker[[#This Row],[Due date]]+Filters!$J$135)</f>
        <v>45834.072512647552</v>
      </c>
      <c r="AM148" s="102" cm="1">
        <f t="array" ref="AM14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49" spans="1:39" ht="14.45">
      <c r="A149" t="str">
        <f>IF(WFTracker[[#This Row],[Order Number]]="SWBD", "QED2", "PZ4")</f>
        <v>PZ4</v>
      </c>
      <c r="B149" s="21" t="s">
        <v>302</v>
      </c>
      <c r="C149" s="26" t="s">
        <v>303</v>
      </c>
      <c r="D149" s="11" t="str">
        <f>WFTracker[[#This Row],[Order Number]]  &amp; "-" &amp; WFTracker[[#This Row],[Item]]</f>
        <v>0051020870-000840</v>
      </c>
      <c r="E149" s="23" t="s">
        <v>355</v>
      </c>
      <c r="F149" s="12">
        <v>45849</v>
      </c>
      <c r="G149" s="12"/>
      <c r="H149" s="11" t="s">
        <v>305</v>
      </c>
      <c r="I149" s="11" t="s">
        <v>1132</v>
      </c>
      <c r="J149" s="13" t="s">
        <v>1140</v>
      </c>
      <c r="K149" s="14" t="s">
        <v>1023</v>
      </c>
      <c r="L149" s="15" t="s">
        <v>27</v>
      </c>
      <c r="M149" s="15" t="s">
        <v>1123</v>
      </c>
      <c r="N149" s="56">
        <v>46080</v>
      </c>
      <c r="O149" s="15">
        <f>NETWORKDAYS.INTL(WFTracker[[#This Row],[Start date]],WFTracker[[#This Row],[RM]],1,Holidays!D473:D488)</f>
        <v>20</v>
      </c>
      <c r="P149" s="12">
        <v>45824</v>
      </c>
      <c r="Q149" s="12">
        <v>45831</v>
      </c>
      <c r="R149" s="12">
        <v>45833</v>
      </c>
      <c r="S149" s="21" t="b">
        <f>ISBLANK(WFTracker[[#This Row],[Completion Date]])</f>
        <v>0</v>
      </c>
      <c r="T149" s="27" t="str">
        <f>TEXT(WFTracker[[#This Row],[Start date]],"mmm-yyyy")</f>
        <v>Jun-2025</v>
      </c>
      <c r="U149" s="11">
        <v>5</v>
      </c>
      <c r="V149" s="11">
        <f>NETWORKDAYS.INTL(WFTracker[[#This Row],[Start date]],WFTracker[[#This Row],[Due date]],1,Holidays!D473:D488)</f>
        <v>6</v>
      </c>
      <c r="W1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49" s="30">
        <f ca="1">WFTracker[[#This Row],[Active Time]]-WFTracker[[#This Row],[Completion Days Template]]</f>
        <v>2</v>
      </c>
      <c r="Y149" s="34" t="str">
        <f ca="1" xml:space="preserve"> IF(WFTracker[[#This Row],[Overdue Time '[Expected-Completion']]]&gt;0, "LATE","ON TIME")</f>
        <v>LATE</v>
      </c>
      <c r="Z149" s="34" t="str">
        <f ca="1">IF(WFTracker[[#This Row],[Overdue Time '[Expected-Completion']]] &gt;= 15, "SUPER LATE", Y149)</f>
        <v>LATE</v>
      </c>
      <c r="AA149" s="37" t="str">
        <f>IF(WFTracker[[#This Row],[Pre RM Opening Time]]&lt;WFTracker[[#This Row],[Old vs New Order Lead Time WF dead line]], "LATE BY ENG", "ON TIME BY ENG")</f>
        <v>ON TIME BY ENG</v>
      </c>
      <c r="AB149" s="37"/>
      <c r="AC149" s="15" t="str">
        <f>IF(WFTracker[[#This Row],[Competion Date Content]] = FALSE, "C", "I")</f>
        <v>C</v>
      </c>
      <c r="AD1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49" s="105" t="str">
        <f ca="1">IF(WFTracker[[#This Row],[Impact Time Post RM]]&gt;0, "IMPACTED", "NOT IMPACTED")</f>
        <v>NOT IMPACTED</v>
      </c>
      <c r="AF149" s="15"/>
      <c r="AG149" s="18"/>
      <c r="AH149" s="14" t="str">
        <f>IF(WFTracker[[#This Row],[Status]]="C", "Closed", IF(WFTracker[[#This Row],[Status]] = "x", "Cancelled", WFTracker[[#This Row],[Impact Time Post RM]]))</f>
        <v>Closed</v>
      </c>
      <c r="AI149" s="14" t="str">
        <f ca="1">IF(WFTracker[[#This Row],[Impact Time Post RM]]&lt;=0,"ON TIME","LATE")</f>
        <v>ON TIME</v>
      </c>
      <c r="AJ149" s="14" t="s">
        <v>984</v>
      </c>
      <c r="AK149" s="14">
        <v>18</v>
      </c>
      <c r="AL149" s="915">
        <f>IF(WFTracker[[#This Row],[Type]]="MAKE", WFTracker[[#This Row],[Due date]]+Filters!$J$111, WFTracker[[#This Row],[Due date]]+Filters!$J$135)</f>
        <v>45834.072512647552</v>
      </c>
      <c r="AM149" s="102" cm="1">
        <f t="array" ref="AM14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0" spans="1:39" ht="14.45">
      <c r="A150" t="str">
        <f>IF(WFTracker[[#This Row],[Order Number]]="SWBD", "QED2", "PZ4")</f>
        <v>PZ4</v>
      </c>
      <c r="B150" s="21" t="s">
        <v>302</v>
      </c>
      <c r="C150" s="26" t="s">
        <v>303</v>
      </c>
      <c r="D150" s="11" t="str">
        <f>WFTracker[[#This Row],[Order Number]]  &amp; "-" &amp; WFTracker[[#This Row],[Item]]</f>
        <v>0051020870-000840</v>
      </c>
      <c r="E150" s="23" t="s">
        <v>355</v>
      </c>
      <c r="F150" s="12">
        <v>45849</v>
      </c>
      <c r="G150" s="12"/>
      <c r="H150" s="11" t="s">
        <v>305</v>
      </c>
      <c r="I150" s="11" t="s">
        <v>1132</v>
      </c>
      <c r="J150" s="13" t="s">
        <v>1141</v>
      </c>
      <c r="K150" s="14" t="s">
        <v>1023</v>
      </c>
      <c r="L150" s="15" t="s">
        <v>27</v>
      </c>
      <c r="M150" s="15" t="s">
        <v>1123</v>
      </c>
      <c r="N150" s="56">
        <v>46080</v>
      </c>
      <c r="O150" s="15">
        <f>NETWORKDAYS.INTL(WFTracker[[#This Row],[Start date]],WFTracker[[#This Row],[RM]],1,Holidays!D474:D489)</f>
        <v>20</v>
      </c>
      <c r="P150" s="12">
        <v>45824</v>
      </c>
      <c r="Q150" s="12">
        <v>45831</v>
      </c>
      <c r="R150" s="12">
        <v>45833</v>
      </c>
      <c r="S150" s="21" t="b">
        <f>ISBLANK(WFTracker[[#This Row],[Completion Date]])</f>
        <v>0</v>
      </c>
      <c r="T150" s="27" t="str">
        <f>TEXT(WFTracker[[#This Row],[Start date]],"mmm-yyyy")</f>
        <v>Jun-2025</v>
      </c>
      <c r="U150" s="11">
        <v>5</v>
      </c>
      <c r="V150" s="11">
        <f>NETWORKDAYS.INTL(WFTracker[[#This Row],[Start date]],WFTracker[[#This Row],[Due date]],1,Holidays!D474:D489)</f>
        <v>6</v>
      </c>
      <c r="W1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50" s="30">
        <f ca="1">WFTracker[[#This Row],[Active Time]]-WFTracker[[#This Row],[Completion Days Template]]</f>
        <v>2</v>
      </c>
      <c r="Y150" s="34" t="str">
        <f ca="1" xml:space="preserve"> IF(WFTracker[[#This Row],[Overdue Time '[Expected-Completion']]]&gt;0, "LATE","ON TIME")</f>
        <v>LATE</v>
      </c>
      <c r="Z150" s="34" t="str">
        <f ca="1">IF(WFTracker[[#This Row],[Overdue Time '[Expected-Completion']]] &gt;= 15, "SUPER LATE", Y150)</f>
        <v>LATE</v>
      </c>
      <c r="AA150" s="37" t="str">
        <f>IF(WFTracker[[#This Row],[Pre RM Opening Time]]&lt;WFTracker[[#This Row],[Old vs New Order Lead Time WF dead line]], "LATE BY ENG", "ON TIME BY ENG")</f>
        <v>ON TIME BY ENG</v>
      </c>
      <c r="AB150" s="37"/>
      <c r="AC150" s="15" t="str">
        <f>IF(WFTracker[[#This Row],[Competion Date Content]] = FALSE, "C", "I")</f>
        <v>C</v>
      </c>
      <c r="AD1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50" s="105" t="str">
        <f ca="1">IF(WFTracker[[#This Row],[Impact Time Post RM]]&gt;0, "IMPACTED", "NOT IMPACTED")</f>
        <v>NOT IMPACTED</v>
      </c>
      <c r="AF150" s="15"/>
      <c r="AG150" s="18"/>
      <c r="AH150" s="14" t="str">
        <f>IF(WFTracker[[#This Row],[Status]]="C", "Closed", IF(WFTracker[[#This Row],[Status]] = "x", "Cancelled", WFTracker[[#This Row],[Impact Time Post RM]]))</f>
        <v>Closed</v>
      </c>
      <c r="AI150" s="14" t="str">
        <f ca="1">IF(WFTracker[[#This Row],[Impact Time Post RM]]&lt;=0,"ON TIME","LATE")</f>
        <v>ON TIME</v>
      </c>
      <c r="AJ150" s="14" t="s">
        <v>984</v>
      </c>
      <c r="AK150" s="14">
        <v>18</v>
      </c>
      <c r="AL150" s="915">
        <f>IF(WFTracker[[#This Row],[Type]]="MAKE", WFTracker[[#This Row],[Due date]]+Filters!$J$111, WFTracker[[#This Row],[Due date]]+Filters!$J$135)</f>
        <v>45834.072512647552</v>
      </c>
      <c r="AM150" s="102" cm="1">
        <f t="array" ref="AM15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1" spans="1:39" ht="14.45">
      <c r="A151" t="str">
        <f>IF(WFTracker[[#This Row],[Order Number]]="SWBD", "QED2", "PZ4")</f>
        <v>PZ4</v>
      </c>
      <c r="B151" s="21" t="s">
        <v>302</v>
      </c>
      <c r="C151" s="26" t="s">
        <v>303</v>
      </c>
      <c r="D151" s="11" t="str">
        <f>WFTracker[[#This Row],[Order Number]]  &amp; "-" &amp; WFTracker[[#This Row],[Item]]</f>
        <v>0051020870-000840</v>
      </c>
      <c r="E151" s="23" t="s">
        <v>355</v>
      </c>
      <c r="F151" s="12">
        <v>45849</v>
      </c>
      <c r="G151" s="12"/>
      <c r="H151" s="11" t="s">
        <v>305</v>
      </c>
      <c r="I151" s="11" t="s">
        <v>1132</v>
      </c>
      <c r="J151" s="13" t="s">
        <v>1142</v>
      </c>
      <c r="K151" s="14" t="s">
        <v>1023</v>
      </c>
      <c r="L151" s="15" t="s">
        <v>27</v>
      </c>
      <c r="M151" s="15" t="s">
        <v>1123</v>
      </c>
      <c r="N151" s="56">
        <v>46080</v>
      </c>
      <c r="O151" s="15">
        <f>NETWORKDAYS.INTL(WFTracker[[#This Row],[Start date]],WFTracker[[#This Row],[RM]],1,Holidays!D475:D490)</f>
        <v>20</v>
      </c>
      <c r="P151" s="12">
        <v>45824</v>
      </c>
      <c r="Q151" s="12">
        <v>45831</v>
      </c>
      <c r="R151" s="12">
        <v>45833</v>
      </c>
      <c r="S151" s="21" t="b">
        <f>ISBLANK(WFTracker[[#This Row],[Completion Date]])</f>
        <v>0</v>
      </c>
      <c r="T151" s="27" t="str">
        <f>TEXT(WFTracker[[#This Row],[Start date]],"mmm-yyyy")</f>
        <v>Jun-2025</v>
      </c>
      <c r="U151" s="11">
        <v>5</v>
      </c>
      <c r="V151" s="11">
        <f>NETWORKDAYS.INTL(WFTracker[[#This Row],[Start date]],WFTracker[[#This Row],[Due date]],1,Holidays!D475:D490)</f>
        <v>6</v>
      </c>
      <c r="W1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51" s="30">
        <f ca="1">WFTracker[[#This Row],[Active Time]]-WFTracker[[#This Row],[Completion Days Template]]</f>
        <v>2</v>
      </c>
      <c r="Y151" s="34" t="str">
        <f ca="1" xml:space="preserve"> IF(WFTracker[[#This Row],[Overdue Time '[Expected-Completion']]]&gt;0, "LATE","ON TIME")</f>
        <v>LATE</v>
      </c>
      <c r="Z151" s="34" t="str">
        <f ca="1">IF(WFTracker[[#This Row],[Overdue Time '[Expected-Completion']]] &gt;= 15, "SUPER LATE", Y151)</f>
        <v>LATE</v>
      </c>
      <c r="AA151" s="37" t="str">
        <f>IF(WFTracker[[#This Row],[Pre RM Opening Time]]&lt;WFTracker[[#This Row],[Old vs New Order Lead Time WF dead line]], "LATE BY ENG", "ON TIME BY ENG")</f>
        <v>ON TIME BY ENG</v>
      </c>
      <c r="AB151" s="37"/>
      <c r="AC151" s="15" t="str">
        <f>IF(WFTracker[[#This Row],[Competion Date Content]] = FALSE, "C", "I")</f>
        <v>C</v>
      </c>
      <c r="AD1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51" s="105" t="str">
        <f ca="1">IF(WFTracker[[#This Row],[Impact Time Post RM]]&gt;0, "IMPACTED", "NOT IMPACTED")</f>
        <v>NOT IMPACTED</v>
      </c>
      <c r="AF151" s="15"/>
      <c r="AG151" s="18"/>
      <c r="AH151" s="14" t="str">
        <f>IF(WFTracker[[#This Row],[Status]]="C", "Closed", IF(WFTracker[[#This Row],[Status]] = "x", "Cancelled", WFTracker[[#This Row],[Impact Time Post RM]]))</f>
        <v>Closed</v>
      </c>
      <c r="AI151" s="14" t="str">
        <f ca="1">IF(WFTracker[[#This Row],[Impact Time Post RM]]&lt;=0,"ON TIME","LATE")</f>
        <v>ON TIME</v>
      </c>
      <c r="AJ151" s="14" t="s">
        <v>984</v>
      </c>
      <c r="AK151" s="14">
        <v>18</v>
      </c>
      <c r="AL151" s="915">
        <f>IF(WFTracker[[#This Row],[Type]]="MAKE", WFTracker[[#This Row],[Due date]]+Filters!$J$111, WFTracker[[#This Row],[Due date]]+Filters!$J$135)</f>
        <v>45834.072512647552</v>
      </c>
      <c r="AM151" s="102" cm="1">
        <f t="array" ref="AM15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2" spans="1:39" ht="14.45">
      <c r="A152" t="str">
        <f>IF(WFTracker[[#This Row],[Order Number]]="SWBD", "QED2", "PZ4")</f>
        <v>PZ4</v>
      </c>
      <c r="B152" s="21" t="s">
        <v>302</v>
      </c>
      <c r="C152" s="26" t="s">
        <v>303</v>
      </c>
      <c r="D152" s="11" t="str">
        <f>WFTracker[[#This Row],[Order Number]]  &amp; "-" &amp; WFTracker[[#This Row],[Item]]</f>
        <v>0051020870-000840</v>
      </c>
      <c r="E152" s="23" t="s">
        <v>355</v>
      </c>
      <c r="F152" s="12">
        <v>45849</v>
      </c>
      <c r="G152" s="12"/>
      <c r="H152" s="11" t="s">
        <v>305</v>
      </c>
      <c r="I152" s="11" t="s">
        <v>1132</v>
      </c>
      <c r="J152" s="13" t="s">
        <v>1143</v>
      </c>
      <c r="K152" s="14" t="s">
        <v>1023</v>
      </c>
      <c r="L152" s="15" t="s">
        <v>27</v>
      </c>
      <c r="M152" s="15" t="s">
        <v>1123</v>
      </c>
      <c r="N152" s="56">
        <v>46080</v>
      </c>
      <c r="O152" s="15">
        <f>NETWORKDAYS.INTL(WFTracker[[#This Row],[Start date]],WFTracker[[#This Row],[RM]],1,Holidays!D476:D491)</f>
        <v>20</v>
      </c>
      <c r="P152" s="12">
        <v>45824</v>
      </c>
      <c r="Q152" s="12">
        <v>45831</v>
      </c>
      <c r="R152" s="12">
        <v>45833</v>
      </c>
      <c r="S152" s="21" t="b">
        <f>ISBLANK(WFTracker[[#This Row],[Completion Date]])</f>
        <v>0</v>
      </c>
      <c r="T152" s="27" t="str">
        <f>TEXT(WFTracker[[#This Row],[Start date]],"mmm-yyyy")</f>
        <v>Jun-2025</v>
      </c>
      <c r="U152" s="11">
        <v>5</v>
      </c>
      <c r="V152" s="11">
        <f>NETWORKDAYS.INTL(WFTracker[[#This Row],[Start date]],WFTracker[[#This Row],[Due date]],1,Holidays!D476:D491)</f>
        <v>6</v>
      </c>
      <c r="W1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52" s="30">
        <f ca="1">WFTracker[[#This Row],[Active Time]]-WFTracker[[#This Row],[Completion Days Template]]</f>
        <v>2</v>
      </c>
      <c r="Y152" s="34" t="str">
        <f ca="1" xml:space="preserve"> IF(WFTracker[[#This Row],[Overdue Time '[Expected-Completion']]]&gt;0, "LATE","ON TIME")</f>
        <v>LATE</v>
      </c>
      <c r="Z152" s="34" t="str">
        <f ca="1">IF(WFTracker[[#This Row],[Overdue Time '[Expected-Completion']]] &gt;= 15, "SUPER LATE", Y152)</f>
        <v>LATE</v>
      </c>
      <c r="AA152" s="37" t="str">
        <f>IF(WFTracker[[#This Row],[Pre RM Opening Time]]&lt;WFTracker[[#This Row],[Old vs New Order Lead Time WF dead line]], "LATE BY ENG", "ON TIME BY ENG")</f>
        <v>ON TIME BY ENG</v>
      </c>
      <c r="AB152" s="37"/>
      <c r="AC152" s="15" t="str">
        <f>IF(WFTracker[[#This Row],[Competion Date Content]] = FALSE, "C", "I")</f>
        <v>C</v>
      </c>
      <c r="AD1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52" s="105" t="str">
        <f ca="1">IF(WFTracker[[#This Row],[Impact Time Post RM]]&gt;0, "IMPACTED", "NOT IMPACTED")</f>
        <v>NOT IMPACTED</v>
      </c>
      <c r="AF152" s="15"/>
      <c r="AG152" s="18"/>
      <c r="AH152" s="14" t="str">
        <f>IF(WFTracker[[#This Row],[Status]]="C", "Closed", IF(WFTracker[[#This Row],[Status]] = "x", "Cancelled", WFTracker[[#This Row],[Impact Time Post RM]]))</f>
        <v>Closed</v>
      </c>
      <c r="AI152" s="14" t="str">
        <f ca="1">IF(WFTracker[[#This Row],[Impact Time Post RM]]&lt;=0,"ON TIME","LATE")</f>
        <v>ON TIME</v>
      </c>
      <c r="AJ152" s="14" t="s">
        <v>984</v>
      </c>
      <c r="AK152" s="14">
        <v>18</v>
      </c>
      <c r="AL152" s="915">
        <f>IF(WFTracker[[#This Row],[Type]]="MAKE", WFTracker[[#This Row],[Due date]]+Filters!$J$111, WFTracker[[#This Row],[Due date]]+Filters!$J$135)</f>
        <v>45834.072512647552</v>
      </c>
      <c r="AM152" s="102" cm="1">
        <f t="array" ref="AM1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3" spans="1:39" ht="14.45">
      <c r="A153" t="str">
        <f>IF(WFTracker[[#This Row],[Order Number]]="SWBD", "QED2", "PZ4")</f>
        <v>PZ4</v>
      </c>
      <c r="B153" s="21" t="s">
        <v>302</v>
      </c>
      <c r="C153" s="26" t="s">
        <v>303</v>
      </c>
      <c r="D153" s="11" t="str">
        <f>WFTracker[[#This Row],[Order Number]]  &amp; "-" &amp; WFTracker[[#This Row],[Item]]</f>
        <v>0051020870-000840</v>
      </c>
      <c r="E153" s="23" t="s">
        <v>355</v>
      </c>
      <c r="F153" s="12">
        <v>45849</v>
      </c>
      <c r="G153" s="12"/>
      <c r="H153" s="11" t="s">
        <v>305</v>
      </c>
      <c r="I153" s="11" t="s">
        <v>1132</v>
      </c>
      <c r="J153" s="13" t="s">
        <v>1144</v>
      </c>
      <c r="K153" s="14" t="s">
        <v>1023</v>
      </c>
      <c r="L153" s="15" t="s">
        <v>27</v>
      </c>
      <c r="M153" s="15" t="s">
        <v>1123</v>
      </c>
      <c r="N153" s="56">
        <v>46080</v>
      </c>
      <c r="O153" s="15">
        <f>NETWORKDAYS.INTL(WFTracker[[#This Row],[Start date]],WFTracker[[#This Row],[RM]],1,Holidays!D477:D492)</f>
        <v>20</v>
      </c>
      <c r="P153" s="12">
        <v>45824</v>
      </c>
      <c r="Q153" s="12">
        <v>45831</v>
      </c>
      <c r="R153" s="12">
        <v>45833</v>
      </c>
      <c r="S153" s="21" t="b">
        <f>ISBLANK(WFTracker[[#This Row],[Completion Date]])</f>
        <v>0</v>
      </c>
      <c r="T153" s="27" t="str">
        <f>TEXT(WFTracker[[#This Row],[Start date]],"mmm-yyyy")</f>
        <v>Jun-2025</v>
      </c>
      <c r="U153" s="11">
        <v>5</v>
      </c>
      <c r="V153" s="11">
        <f>NETWORKDAYS.INTL(WFTracker[[#This Row],[Start date]],WFTracker[[#This Row],[Due date]],1,Holidays!D477:D492)</f>
        <v>6</v>
      </c>
      <c r="W1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53" s="30">
        <f ca="1">WFTracker[[#This Row],[Active Time]]-WFTracker[[#This Row],[Completion Days Template]]</f>
        <v>2</v>
      </c>
      <c r="Y153" s="34" t="str">
        <f ca="1" xml:space="preserve"> IF(WFTracker[[#This Row],[Overdue Time '[Expected-Completion']]]&gt;0, "LATE","ON TIME")</f>
        <v>LATE</v>
      </c>
      <c r="Z153" s="34" t="str">
        <f ca="1">IF(WFTracker[[#This Row],[Overdue Time '[Expected-Completion']]] &gt;= 15, "SUPER LATE", Y153)</f>
        <v>LATE</v>
      </c>
      <c r="AA153" s="37" t="str">
        <f>IF(WFTracker[[#This Row],[Pre RM Opening Time]]&lt;WFTracker[[#This Row],[Old vs New Order Lead Time WF dead line]], "LATE BY ENG", "ON TIME BY ENG")</f>
        <v>ON TIME BY ENG</v>
      </c>
      <c r="AB153" s="37"/>
      <c r="AC153" s="15" t="str">
        <f>IF(WFTracker[[#This Row],[Competion Date Content]] = FALSE, "C", "I")</f>
        <v>C</v>
      </c>
      <c r="AD1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53" s="105" t="str">
        <f ca="1">IF(WFTracker[[#This Row],[Impact Time Post RM]]&gt;0, "IMPACTED", "NOT IMPACTED")</f>
        <v>NOT IMPACTED</v>
      </c>
      <c r="AF153" s="15"/>
      <c r="AG153" s="18"/>
      <c r="AH153" s="14" t="str">
        <f>IF(WFTracker[[#This Row],[Status]]="C", "Closed", IF(WFTracker[[#This Row],[Status]] = "x", "Cancelled", WFTracker[[#This Row],[Impact Time Post RM]]))</f>
        <v>Closed</v>
      </c>
      <c r="AI153" s="14" t="str">
        <f ca="1">IF(WFTracker[[#This Row],[Impact Time Post RM]]&lt;=0,"ON TIME","LATE")</f>
        <v>ON TIME</v>
      </c>
      <c r="AJ153" s="14" t="s">
        <v>984</v>
      </c>
      <c r="AK153" s="14">
        <v>18</v>
      </c>
      <c r="AL153" s="915">
        <f>IF(WFTracker[[#This Row],[Type]]="MAKE", WFTracker[[#This Row],[Due date]]+Filters!$J$111, WFTracker[[#This Row],[Due date]]+Filters!$J$135)</f>
        <v>45834.072512647552</v>
      </c>
      <c r="AM153" s="102" cm="1">
        <f t="array" ref="AM1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4" spans="1:39" ht="14.45">
      <c r="A154" t="str">
        <f>IF(WFTracker[[#This Row],[Order Number]]="SWBD", "QED2", "PZ4")</f>
        <v>PZ4</v>
      </c>
      <c r="B154" s="21" t="s">
        <v>302</v>
      </c>
      <c r="C154" s="26" t="s">
        <v>303</v>
      </c>
      <c r="D154" s="11" t="str">
        <f>WFTracker[[#This Row],[Order Number]]  &amp; "-" &amp; WFTracker[[#This Row],[Item]]</f>
        <v>0051020870-000840</v>
      </c>
      <c r="E154" s="23" t="s">
        <v>355</v>
      </c>
      <c r="F154" s="12">
        <v>45849</v>
      </c>
      <c r="G154" s="12"/>
      <c r="H154" s="11" t="s">
        <v>305</v>
      </c>
      <c r="I154" s="11" t="s">
        <v>1132</v>
      </c>
      <c r="J154" s="13" t="s">
        <v>1145</v>
      </c>
      <c r="K154" s="14" t="s">
        <v>1023</v>
      </c>
      <c r="L154" s="15" t="s">
        <v>27</v>
      </c>
      <c r="M154" s="15" t="s">
        <v>1123</v>
      </c>
      <c r="N154" s="56">
        <v>46080</v>
      </c>
      <c r="O154" s="15">
        <f>NETWORKDAYS.INTL(WFTracker[[#This Row],[Start date]],WFTracker[[#This Row],[RM]],1,Holidays!D478:D493)</f>
        <v>20</v>
      </c>
      <c r="P154" s="12">
        <v>45824</v>
      </c>
      <c r="Q154" s="12">
        <v>45831</v>
      </c>
      <c r="R154" s="12">
        <v>45833</v>
      </c>
      <c r="S154" s="21" t="b">
        <f>ISBLANK(WFTracker[[#This Row],[Completion Date]])</f>
        <v>0</v>
      </c>
      <c r="T154" s="27" t="str">
        <f>TEXT(WFTracker[[#This Row],[Start date]],"mmm-yyyy")</f>
        <v>Jun-2025</v>
      </c>
      <c r="U154" s="11">
        <v>5</v>
      </c>
      <c r="V154" s="11">
        <f>NETWORKDAYS.INTL(WFTracker[[#This Row],[Start date]],WFTracker[[#This Row],[Due date]],1,Holidays!D478:D493)</f>
        <v>6</v>
      </c>
      <c r="W1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54" s="30">
        <f ca="1">WFTracker[[#This Row],[Active Time]]-WFTracker[[#This Row],[Completion Days Template]]</f>
        <v>2</v>
      </c>
      <c r="Y154" s="34" t="str">
        <f ca="1" xml:space="preserve"> IF(WFTracker[[#This Row],[Overdue Time '[Expected-Completion']]]&gt;0, "LATE","ON TIME")</f>
        <v>LATE</v>
      </c>
      <c r="Z154" s="34" t="str">
        <f ca="1">IF(WFTracker[[#This Row],[Overdue Time '[Expected-Completion']]] &gt;= 15, "SUPER LATE", Y154)</f>
        <v>LATE</v>
      </c>
      <c r="AA154" s="37" t="str">
        <f>IF(WFTracker[[#This Row],[Pre RM Opening Time]]&lt;WFTracker[[#This Row],[Old vs New Order Lead Time WF dead line]], "LATE BY ENG", "ON TIME BY ENG")</f>
        <v>ON TIME BY ENG</v>
      </c>
      <c r="AB154" s="37"/>
      <c r="AC154" s="15" t="str">
        <f>IF(WFTracker[[#This Row],[Competion Date Content]] = FALSE, "C", "I")</f>
        <v>C</v>
      </c>
      <c r="AD1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54" s="105" t="str">
        <f ca="1">IF(WFTracker[[#This Row],[Impact Time Post RM]]&gt;0, "IMPACTED", "NOT IMPACTED")</f>
        <v>NOT IMPACTED</v>
      </c>
      <c r="AF154" s="15"/>
      <c r="AG154" s="18"/>
      <c r="AH154" s="14" t="str">
        <f>IF(WFTracker[[#This Row],[Status]]="C", "Closed", IF(WFTracker[[#This Row],[Status]] = "x", "Cancelled", WFTracker[[#This Row],[Impact Time Post RM]]))</f>
        <v>Closed</v>
      </c>
      <c r="AI154" s="14" t="str">
        <f ca="1">IF(WFTracker[[#This Row],[Impact Time Post RM]]&lt;=0,"ON TIME","LATE")</f>
        <v>ON TIME</v>
      </c>
      <c r="AJ154" s="14" t="s">
        <v>984</v>
      </c>
      <c r="AK154" s="14">
        <v>18</v>
      </c>
      <c r="AL154" s="915">
        <f>IF(WFTracker[[#This Row],[Type]]="MAKE", WFTracker[[#This Row],[Due date]]+Filters!$J$111, WFTracker[[#This Row],[Due date]]+Filters!$J$135)</f>
        <v>45834.072512647552</v>
      </c>
      <c r="AM154" s="102" cm="1">
        <f t="array" ref="AM1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5" spans="1:39" ht="14.45">
      <c r="A155" t="str">
        <f>IF(WFTracker[[#This Row],[Order Number]]="SWBD", "QED2", "PZ4")</f>
        <v>PZ4</v>
      </c>
      <c r="B155" s="21" t="s">
        <v>302</v>
      </c>
      <c r="C155" s="26" t="s">
        <v>303</v>
      </c>
      <c r="D155" s="11" t="str">
        <f>WFTracker[[#This Row],[Order Number]]  &amp; "-" &amp; WFTracker[[#This Row],[Item]]</f>
        <v>0051020870-000840</v>
      </c>
      <c r="E155" s="23" t="s">
        <v>355</v>
      </c>
      <c r="F155" s="12">
        <v>45849</v>
      </c>
      <c r="G155" s="12"/>
      <c r="H155" s="11" t="s">
        <v>305</v>
      </c>
      <c r="I155" s="11" t="s">
        <v>1132</v>
      </c>
      <c r="J155" s="13" t="s">
        <v>1146</v>
      </c>
      <c r="K155" s="14" t="s">
        <v>1023</v>
      </c>
      <c r="L155" s="15" t="s">
        <v>27</v>
      </c>
      <c r="M155" s="15" t="s">
        <v>1123</v>
      </c>
      <c r="N155" s="56">
        <v>46080</v>
      </c>
      <c r="O155" s="15">
        <f>NETWORKDAYS.INTL(WFTracker[[#This Row],[Start date]],WFTracker[[#This Row],[RM]],1,Holidays!D479:D494)</f>
        <v>20</v>
      </c>
      <c r="P155" s="12">
        <v>45824</v>
      </c>
      <c r="Q155" s="12">
        <v>45831</v>
      </c>
      <c r="R155" s="12">
        <v>45846</v>
      </c>
      <c r="S155" s="21" t="b">
        <f>ISBLANK(WFTracker[[#This Row],[Completion Date]])</f>
        <v>0</v>
      </c>
      <c r="T155" s="27" t="str">
        <f>TEXT(WFTracker[[#This Row],[Start date]],"mmm-yyyy")</f>
        <v>Jun-2025</v>
      </c>
      <c r="U155" s="11">
        <v>5</v>
      </c>
      <c r="V155" s="11">
        <f>NETWORKDAYS.INTL(WFTracker[[#This Row],[Start date]],WFTracker[[#This Row],[Due date]],1,Holidays!D479:D494)</f>
        <v>6</v>
      </c>
      <c r="W1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155" s="30">
        <f ca="1">WFTracker[[#This Row],[Active Time]]-WFTracker[[#This Row],[Completion Days Template]]</f>
        <v>11</v>
      </c>
      <c r="Y155" s="34" t="str">
        <f ca="1" xml:space="preserve"> IF(WFTracker[[#This Row],[Overdue Time '[Expected-Completion']]]&gt;0, "LATE","ON TIME")</f>
        <v>LATE</v>
      </c>
      <c r="Z155" s="34" t="str">
        <f ca="1">IF(WFTracker[[#This Row],[Overdue Time '[Expected-Completion']]] &gt;= 15, "SUPER LATE", Y155)</f>
        <v>LATE</v>
      </c>
      <c r="AA155" s="37" t="str">
        <f>IF(WFTracker[[#This Row],[Pre RM Opening Time]]&lt;WFTracker[[#This Row],[Old vs New Order Lead Time WF dead line]], "LATE BY ENG", "ON TIME BY ENG")</f>
        <v>ON TIME BY ENG</v>
      </c>
      <c r="AB155" s="37"/>
      <c r="AC155" s="15" t="str">
        <f>IF(WFTracker[[#This Row],[Competion Date Content]] = FALSE, "C", "I")</f>
        <v>C</v>
      </c>
      <c r="AD1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55" s="105" t="str">
        <f ca="1">IF(WFTracker[[#This Row],[Impact Time Post RM]]&gt;0, "IMPACTED", "NOT IMPACTED")</f>
        <v>NOT IMPACTED</v>
      </c>
      <c r="AF155" s="15"/>
      <c r="AG155" s="18"/>
      <c r="AH155" s="14" t="str">
        <f>IF(WFTracker[[#This Row],[Status]]="C", "Closed", IF(WFTracker[[#This Row],[Status]] = "x", "Cancelled", WFTracker[[#This Row],[Impact Time Post RM]]))</f>
        <v>Closed</v>
      </c>
      <c r="AI155" s="14" t="str">
        <f ca="1">IF(WFTracker[[#This Row],[Impact Time Post RM]]&lt;=0,"ON TIME","LATE")</f>
        <v>ON TIME</v>
      </c>
      <c r="AJ155" s="14" t="s">
        <v>984</v>
      </c>
      <c r="AK155" s="14">
        <v>18</v>
      </c>
      <c r="AL155" s="915">
        <f>IF(WFTracker[[#This Row],[Type]]="MAKE", WFTracker[[#This Row],[Due date]]+Filters!$J$111, WFTracker[[#This Row],[Due date]]+Filters!$J$135)</f>
        <v>45834.072512647552</v>
      </c>
      <c r="AM155" s="102" cm="1">
        <f t="array" ref="AM15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6" spans="1:39" ht="14.45">
      <c r="A156" t="str">
        <f>IF(WFTracker[[#This Row],[Order Number]]="SWBD", "QED2", "PZ4")</f>
        <v>PZ4</v>
      </c>
      <c r="B156" s="21" t="s">
        <v>302</v>
      </c>
      <c r="C156" s="26" t="s">
        <v>303</v>
      </c>
      <c r="D156" s="11" t="str">
        <f>WFTracker[[#This Row],[Order Number]]  &amp; "-" &amp; WFTracker[[#This Row],[Item]]</f>
        <v>0051020870-000840</v>
      </c>
      <c r="E156" s="23" t="s">
        <v>355</v>
      </c>
      <c r="F156" s="12">
        <v>45849</v>
      </c>
      <c r="G156" s="12"/>
      <c r="H156" s="11" t="s">
        <v>305</v>
      </c>
      <c r="I156" s="11" t="s">
        <v>1132</v>
      </c>
      <c r="J156" s="13" t="s">
        <v>1147</v>
      </c>
      <c r="K156" s="14" t="s">
        <v>1023</v>
      </c>
      <c r="L156" s="15" t="s">
        <v>27</v>
      </c>
      <c r="M156" s="15" t="s">
        <v>1123</v>
      </c>
      <c r="N156" s="56">
        <v>46080</v>
      </c>
      <c r="O156" s="15">
        <f>NETWORKDAYS.INTL(WFTracker[[#This Row],[Start date]],WFTracker[[#This Row],[RM]],1,Holidays!D480:D495)</f>
        <v>20</v>
      </c>
      <c r="P156" s="12">
        <v>45824</v>
      </c>
      <c r="Q156" s="12">
        <v>45831</v>
      </c>
      <c r="R156" s="12">
        <v>45833</v>
      </c>
      <c r="S156" s="21" t="b">
        <f>ISBLANK(WFTracker[[#This Row],[Completion Date]])</f>
        <v>0</v>
      </c>
      <c r="T156" s="27" t="str">
        <f>TEXT(WFTracker[[#This Row],[Start date]],"mmm-yyyy")</f>
        <v>Jun-2025</v>
      </c>
      <c r="U156" s="11">
        <v>5</v>
      </c>
      <c r="V156" s="11">
        <f>NETWORKDAYS.INTL(WFTracker[[#This Row],[Start date]],WFTracker[[#This Row],[Due date]],1,Holidays!D480:D495)</f>
        <v>6</v>
      </c>
      <c r="W1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56" s="30">
        <f ca="1">WFTracker[[#This Row],[Active Time]]-WFTracker[[#This Row],[Completion Days Template]]</f>
        <v>2</v>
      </c>
      <c r="Y156" s="34" t="str">
        <f ca="1" xml:space="preserve"> IF(WFTracker[[#This Row],[Overdue Time '[Expected-Completion']]]&gt;0, "LATE","ON TIME")</f>
        <v>LATE</v>
      </c>
      <c r="Z156" s="34" t="str">
        <f ca="1">IF(WFTracker[[#This Row],[Overdue Time '[Expected-Completion']]] &gt;= 15, "SUPER LATE", Y156)</f>
        <v>LATE</v>
      </c>
      <c r="AA156" s="37" t="str">
        <f>IF(WFTracker[[#This Row],[Pre RM Opening Time]]&lt;WFTracker[[#This Row],[Old vs New Order Lead Time WF dead line]], "LATE BY ENG", "ON TIME BY ENG")</f>
        <v>ON TIME BY ENG</v>
      </c>
      <c r="AB156" s="37"/>
      <c r="AC156" s="15" t="str">
        <f>IF(WFTracker[[#This Row],[Competion Date Content]] = FALSE, "C", "I")</f>
        <v>C</v>
      </c>
      <c r="AD1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156" s="105" t="str">
        <f ca="1">IF(WFTracker[[#This Row],[Impact Time Post RM]]&gt;0, "IMPACTED", "NOT IMPACTED")</f>
        <v>NOT IMPACTED</v>
      </c>
      <c r="AF156" s="15"/>
      <c r="AG156" s="18"/>
      <c r="AH156" s="14" t="str">
        <f>IF(WFTracker[[#This Row],[Status]]="C", "Closed", IF(WFTracker[[#This Row],[Status]] = "x", "Cancelled", WFTracker[[#This Row],[Impact Time Post RM]]))</f>
        <v>Closed</v>
      </c>
      <c r="AI156" s="14" t="str">
        <f ca="1">IF(WFTracker[[#This Row],[Impact Time Post RM]]&lt;=0,"ON TIME","LATE")</f>
        <v>ON TIME</v>
      </c>
      <c r="AJ156" s="14" t="s">
        <v>984</v>
      </c>
      <c r="AK156" s="14">
        <v>18</v>
      </c>
      <c r="AL156" s="915">
        <f>IF(WFTracker[[#This Row],[Type]]="MAKE", WFTracker[[#This Row],[Due date]]+Filters!$J$111, WFTracker[[#This Row],[Due date]]+Filters!$J$135)</f>
        <v>45834.072512647552</v>
      </c>
      <c r="AM156" s="102" cm="1">
        <f t="array" ref="AM1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7" spans="1:39" ht="14.45">
      <c r="A157" t="str">
        <f>IF(WFTracker[[#This Row],[Order Number]]="SWBD", "QED2", "PZ4")</f>
        <v>PZ4</v>
      </c>
      <c r="B157" s="21" t="s">
        <v>114</v>
      </c>
      <c r="C157" s="26" t="s">
        <v>257</v>
      </c>
      <c r="D157" s="11" t="str">
        <f>WFTracker[[#This Row],[Order Number]]  &amp; "-" &amp; WFTracker[[#This Row],[Item]]</f>
        <v>0050754152-000090</v>
      </c>
      <c r="E157" s="23" t="s">
        <v>116</v>
      </c>
      <c r="F157" s="12">
        <v>45833</v>
      </c>
      <c r="G157" s="12"/>
      <c r="H157" s="11" t="s">
        <v>113</v>
      </c>
      <c r="I157" s="11" t="s">
        <v>186</v>
      </c>
      <c r="J157" s="13" t="s">
        <v>1148</v>
      </c>
      <c r="K157" s="14" t="s">
        <v>1017</v>
      </c>
      <c r="L157" s="15" t="s">
        <v>27</v>
      </c>
      <c r="M157" s="15" t="s">
        <v>1120</v>
      </c>
      <c r="N157" s="56">
        <v>45922</v>
      </c>
      <c r="O157" s="15">
        <f>NETWORKDAYS.INTL(WFTracker[[#This Row],[Start date]],WFTracker[[#This Row],[RM]],1,Holidays!D127:D142)</f>
        <v>7</v>
      </c>
      <c r="P157" s="12">
        <v>45825</v>
      </c>
      <c r="Q157" s="12">
        <v>45833</v>
      </c>
      <c r="R157" s="12">
        <v>45832</v>
      </c>
      <c r="S157" s="21" t="b">
        <f>ISBLANK(WFTracker[[#This Row],[Completion Date]])</f>
        <v>0</v>
      </c>
      <c r="T157" s="27" t="str">
        <f>TEXT(WFTracker[[#This Row],[Start date]],"mmm-yyyy")</f>
        <v>Jun-2025</v>
      </c>
      <c r="U157" s="11">
        <v>5</v>
      </c>
      <c r="V157" s="11">
        <f>NETWORKDAYS.INTL(WFTracker[[#This Row],[Start date]],WFTracker[[#This Row],[Due date]],1,Holidays!D127:D142)</f>
        <v>7</v>
      </c>
      <c r="W1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57" s="30">
        <f ca="1">WFTracker[[#This Row],[Active Time]]-WFTracker[[#This Row],[Completion Days Template]]</f>
        <v>-1</v>
      </c>
      <c r="Y157" s="34" t="str">
        <f ca="1" xml:space="preserve"> IF(WFTracker[[#This Row],[Overdue Time '[Expected-Completion']]]&gt;0, "LATE","ON TIME")</f>
        <v>ON TIME</v>
      </c>
      <c r="Z157" s="34" t="str">
        <f ca="1">IF(WFTracker[[#This Row],[Overdue Time '[Expected-Completion']]] &gt;= 15, "SUPER LATE", Y157)</f>
        <v>ON TIME</v>
      </c>
      <c r="AA157" s="37" t="str">
        <f>IF(WFTracker[[#This Row],[Pre RM Opening Time]]&lt;WFTracker[[#This Row],[Old vs New Order Lead Time WF dead line]], "LATE BY ENG", "ON TIME BY ENG")</f>
        <v>ON TIME BY ENG</v>
      </c>
      <c r="AB157" s="37"/>
      <c r="AC157" s="15" t="s">
        <v>46</v>
      </c>
      <c r="AD1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157" s="105" t="str">
        <f ca="1">IF(WFTracker[[#This Row],[Impact Time Post RM]]&gt;0, "IMPACTED", "NOT IMPACTED")</f>
        <v>NOT IMPACTED</v>
      </c>
      <c r="AF157" s="15"/>
      <c r="AG157" s="18" t="s">
        <v>1149</v>
      </c>
      <c r="AH157" s="14" t="str">
        <f>IF(WFTracker[[#This Row],[Status]]="C", "Closed", IF(WFTracker[[#This Row],[Status]] = "x", "Cancelled", WFTracker[[#This Row],[Impact Time Post RM]]))</f>
        <v>Cancelled</v>
      </c>
      <c r="AI157" s="14" t="str">
        <f ca="1">IF(WFTracker[[#This Row],[Impact Time Post RM]]&lt;=0,"ON TIME","LATE")</f>
        <v>ON TIME</v>
      </c>
      <c r="AJ157" s="14" t="s">
        <v>984</v>
      </c>
      <c r="AK157" s="14">
        <v>0</v>
      </c>
      <c r="AL157" s="915">
        <f>IF(WFTracker[[#This Row],[Type]]="MAKE", WFTracker[[#This Row],[Due date]]+Filters!$J$111, WFTracker[[#This Row],[Due date]]+Filters!$J$135)</f>
        <v>45836.072512647552</v>
      </c>
      <c r="AM157" s="102" cm="1">
        <f t="array" ref="AM157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158" spans="1:39" ht="14.45">
      <c r="A158" t="str">
        <f>IF(WFTracker[[#This Row],[Order Number]]="SWBD", "QED2", "PZ4")</f>
        <v>PZ4</v>
      </c>
      <c r="B158" s="21" t="s">
        <v>333</v>
      </c>
      <c r="C158" s="26" t="s">
        <v>219</v>
      </c>
      <c r="D158" s="11" t="str">
        <f>WFTracker[[#This Row],[Order Number]]  &amp; "-" &amp; WFTracker[[#This Row],[Item]]</f>
        <v>0051283748-000120</v>
      </c>
      <c r="E158" s="23" t="s">
        <v>1042</v>
      </c>
      <c r="F158" s="12">
        <v>45838</v>
      </c>
      <c r="G158" s="12"/>
      <c r="H158" s="11" t="s">
        <v>99</v>
      </c>
      <c r="I158" s="11" t="s">
        <v>264</v>
      </c>
      <c r="J158" s="13" t="s">
        <v>336</v>
      </c>
      <c r="K158" s="14" t="s">
        <v>1023</v>
      </c>
      <c r="L158" s="15" t="s">
        <v>27</v>
      </c>
      <c r="M158" s="15" t="s">
        <v>1120</v>
      </c>
      <c r="N158" s="56">
        <v>45929</v>
      </c>
      <c r="O158" s="15">
        <f>NETWORKDAYS.INTL(WFTracker[[#This Row],[Start date]],WFTracker[[#This Row],[RM]],1,Holidays!D222:D237)</f>
        <v>10</v>
      </c>
      <c r="P158" s="12">
        <v>45825</v>
      </c>
      <c r="Q158" s="12">
        <v>45834</v>
      </c>
      <c r="R158" s="12">
        <v>45833</v>
      </c>
      <c r="S158" s="21" t="b">
        <f>ISBLANK(WFTracker[[#This Row],[Completion Date]])</f>
        <v>0</v>
      </c>
      <c r="T158" s="27" t="str">
        <f>TEXT(WFTracker[[#This Row],[Start date]],"mmm-yyyy")</f>
        <v>Jun-2025</v>
      </c>
      <c r="U158" s="11">
        <v>5</v>
      </c>
      <c r="V158" s="11">
        <f>NETWORKDAYS.INTL(WFTracker[[#This Row],[Start date]],WFTracker[[#This Row],[Due date]],1,Holidays!D222:D237)</f>
        <v>8</v>
      </c>
      <c r="W1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58" s="30">
        <f ca="1">WFTracker[[#This Row],[Active Time]]-WFTracker[[#This Row],[Completion Days Template]]</f>
        <v>-1</v>
      </c>
      <c r="Y158" s="34" t="str">
        <f ca="1" xml:space="preserve"> IF(WFTracker[[#This Row],[Overdue Time '[Expected-Completion']]]&gt;0, "LATE","ON TIME")</f>
        <v>ON TIME</v>
      </c>
      <c r="Z158" s="34" t="str">
        <f ca="1">IF(WFTracker[[#This Row],[Overdue Time '[Expected-Completion']]] &gt;= 15, "SUPER LATE", Y158)</f>
        <v>ON TIME</v>
      </c>
      <c r="AA158" s="37" t="str">
        <f>IF(WFTracker[[#This Row],[Pre RM Opening Time]]&lt;WFTracker[[#This Row],[Old vs New Order Lead Time WF dead line]], "LATE BY ENG", "ON TIME BY ENG")</f>
        <v>ON TIME BY ENG</v>
      </c>
      <c r="AB158" s="37"/>
      <c r="AC158" s="15" t="str">
        <f>IF(WFTracker[[#This Row],[Competion Date Content]] = FALSE, "C", "I")</f>
        <v>C</v>
      </c>
      <c r="AD1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58" s="105" t="str">
        <f ca="1">IF(WFTracker[[#This Row],[Impact Time Post RM]]&gt;0, "IMPACTED", "NOT IMPACTED")</f>
        <v>NOT IMPACTED</v>
      </c>
      <c r="AF158" s="15"/>
      <c r="AG158" s="18"/>
      <c r="AH158" s="14" t="str">
        <f>IF(WFTracker[[#This Row],[Status]]="C", "Closed", IF(WFTracker[[#This Row],[Status]] = "x", "Cancelled", WFTracker[[#This Row],[Impact Time Post RM]]))</f>
        <v>Closed</v>
      </c>
      <c r="AI158" s="14" t="str">
        <f ca="1">IF(WFTracker[[#This Row],[Impact Time Post RM]]&lt;=0,"ON TIME","LATE")</f>
        <v>ON TIME</v>
      </c>
      <c r="AJ158" s="14" t="s">
        <v>984</v>
      </c>
      <c r="AK158" s="14">
        <v>18</v>
      </c>
      <c r="AL158" s="915">
        <f>IF(WFTracker[[#This Row],[Type]]="MAKE", WFTracker[[#This Row],[Due date]]+Filters!$J$111, WFTracker[[#This Row],[Due date]]+Filters!$J$135)</f>
        <v>45837.072512647552</v>
      </c>
      <c r="AM158" s="102" cm="1">
        <f t="array" ref="AM1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59" spans="1:39" ht="14.45">
      <c r="A159" t="str">
        <f>IF(WFTracker[[#This Row],[Order Number]]="SWBD", "QED2", "PZ4")</f>
        <v>PZ4</v>
      </c>
      <c r="B159" s="21" t="s">
        <v>114</v>
      </c>
      <c r="C159" s="26" t="s">
        <v>257</v>
      </c>
      <c r="D159" s="11" t="str">
        <f>WFTracker[[#This Row],[Order Number]]  &amp; "-" &amp; WFTracker[[#This Row],[Item]]</f>
        <v>0050754152-000090</v>
      </c>
      <c r="E159" s="23" t="s">
        <v>116</v>
      </c>
      <c r="F159" s="12">
        <v>45833</v>
      </c>
      <c r="G159" s="12"/>
      <c r="H159" s="11" t="s">
        <v>113</v>
      </c>
      <c r="I159" s="11" t="s">
        <v>186</v>
      </c>
      <c r="J159" s="13" t="s">
        <v>297</v>
      </c>
      <c r="K159" s="14" t="s">
        <v>1017</v>
      </c>
      <c r="L159" s="15" t="s">
        <v>27</v>
      </c>
      <c r="M159" s="15" t="s">
        <v>1120</v>
      </c>
      <c r="N159" s="56">
        <v>45922</v>
      </c>
      <c r="O159" s="15">
        <f>NETWORKDAYS.INTL(WFTracker[[#This Row],[Start date]],WFTracker[[#This Row],[RM]],1,Holidays!D106:D121)</f>
        <v>6</v>
      </c>
      <c r="P159" s="12">
        <v>45826</v>
      </c>
      <c r="Q159" s="12">
        <v>45833</v>
      </c>
      <c r="R159" s="12">
        <v>45833</v>
      </c>
      <c r="S159" s="21" t="b">
        <f>ISBLANK(WFTracker[[#This Row],[Completion Date]])</f>
        <v>0</v>
      </c>
      <c r="T159" s="27" t="str">
        <f>TEXT(WFTracker[[#This Row],[Start date]],"mmm-yyyy")</f>
        <v>Jun-2025</v>
      </c>
      <c r="U159" s="11">
        <v>5</v>
      </c>
      <c r="V159" s="11">
        <f>NETWORKDAYS.INTL(WFTracker[[#This Row],[Start date]],WFTracker[[#This Row],[Due date]],1,Holidays!D106:D121)</f>
        <v>6</v>
      </c>
      <c r="W1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59" s="30">
        <f ca="1">WFTracker[[#This Row],[Active Time]]-WFTracker[[#This Row],[Completion Days Template]]</f>
        <v>0</v>
      </c>
      <c r="Y159" s="34" t="str">
        <f ca="1" xml:space="preserve"> IF(WFTracker[[#This Row],[Overdue Time '[Expected-Completion']]]&gt;0, "LATE","ON TIME")</f>
        <v>ON TIME</v>
      </c>
      <c r="Z159" s="34" t="str">
        <f ca="1">IF(WFTracker[[#This Row],[Overdue Time '[Expected-Completion']]] &gt;= 15, "SUPER LATE", Y159)</f>
        <v>ON TIME</v>
      </c>
      <c r="AA159" s="37" t="str">
        <f>IF(WFTracker[[#This Row],[Pre RM Opening Time]]&lt;WFTracker[[#This Row],[Old vs New Order Lead Time WF dead line]], "LATE BY ENG", "ON TIME BY ENG")</f>
        <v>ON TIME BY ENG</v>
      </c>
      <c r="AB159" s="37"/>
      <c r="AC159" s="15" t="str">
        <f>IF(WFTracker[[#This Row],[Competion Date Content]] = FALSE, "C", "i")</f>
        <v>C</v>
      </c>
      <c r="AD1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59" s="105" t="str">
        <f ca="1">IF(WFTracker[[#This Row],[Impact Time Post RM]]&gt;0, "IMPACTED", "NOT IMPACTED")</f>
        <v>IMPACTED</v>
      </c>
      <c r="AF159" s="15"/>
      <c r="AG159" s="17"/>
      <c r="AH159" s="14" t="str">
        <f>IF(WFTracker[[#This Row],[Status]]="C", "Closed", IF(WFTracker[[#This Row],[Status]] = "x", "Cancelled", WFTracker[[#This Row],[Impact Time Post RM]]))</f>
        <v>Closed</v>
      </c>
      <c r="AI159" s="14" t="str">
        <f ca="1">IF(WFTracker[[#This Row],[Impact Time Post RM]]&lt;=0,"ON TIME","LATE")</f>
        <v>LATE</v>
      </c>
      <c r="AJ159" s="14" t="s">
        <v>984</v>
      </c>
      <c r="AK159" s="14">
        <v>18</v>
      </c>
      <c r="AL159" s="915">
        <f>IF(WFTracker[[#This Row],[Type]]="MAKE", WFTracker[[#This Row],[Due date]]+Filters!$J$111, WFTracker[[#This Row],[Due date]]+Filters!$J$135)</f>
        <v>45836.072512647552</v>
      </c>
      <c r="AM159" s="102" cm="1">
        <f t="array" ref="AM1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0" spans="1:39" ht="14.45">
      <c r="A160" t="str">
        <f>IF(WFTracker[[#This Row],[Order Number]]="SWBD", "QED2", "PZ4")</f>
        <v>PZ4</v>
      </c>
      <c r="B160" s="21" t="s">
        <v>114</v>
      </c>
      <c r="C160" s="26" t="s">
        <v>257</v>
      </c>
      <c r="D160" s="11" t="str">
        <f>WFTracker[[#This Row],[Order Number]]  &amp; "-" &amp; WFTracker[[#This Row],[Item]]</f>
        <v>0050754152-000090</v>
      </c>
      <c r="E160" s="23" t="s">
        <v>116</v>
      </c>
      <c r="F160" s="12">
        <v>45833</v>
      </c>
      <c r="G160" s="12"/>
      <c r="H160" s="11" t="s">
        <v>113</v>
      </c>
      <c r="I160" s="11" t="s">
        <v>186</v>
      </c>
      <c r="J160" s="13" t="s">
        <v>300</v>
      </c>
      <c r="K160" s="14" t="s">
        <v>1017</v>
      </c>
      <c r="L160" s="15" t="s">
        <v>27</v>
      </c>
      <c r="M160" s="15" t="s">
        <v>1120</v>
      </c>
      <c r="N160" s="56">
        <v>45922</v>
      </c>
      <c r="O160" s="15">
        <f>NETWORKDAYS.INTL(WFTracker[[#This Row],[Start date]],WFTracker[[#This Row],[RM]],1,Holidays!D107:D122)</f>
        <v>6</v>
      </c>
      <c r="P160" s="12">
        <v>45826</v>
      </c>
      <c r="Q160" s="12">
        <v>45833</v>
      </c>
      <c r="R160" s="12">
        <v>45843</v>
      </c>
      <c r="S160" s="21" t="b">
        <f>ISBLANK(WFTracker[[#This Row],[Completion Date]])</f>
        <v>0</v>
      </c>
      <c r="T160" s="27" t="str">
        <f>TEXT(WFTracker[[#This Row],[Start date]],"mmm-yyyy")</f>
        <v>Jun-2025</v>
      </c>
      <c r="U160" s="11">
        <v>5</v>
      </c>
      <c r="V160" s="11">
        <f>NETWORKDAYS.INTL(WFTracker[[#This Row],[Start date]],WFTracker[[#This Row],[Due date]],1,Holidays!D107:D122)</f>
        <v>6</v>
      </c>
      <c r="W1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160" s="30">
        <f ca="1">WFTracker[[#This Row],[Active Time]]-WFTracker[[#This Row],[Completion Days Template]]</f>
        <v>7</v>
      </c>
      <c r="Y160" s="34" t="str">
        <f ca="1" xml:space="preserve"> IF(WFTracker[[#This Row],[Overdue Time '[Expected-Completion']]]&gt;0, "LATE","ON TIME")</f>
        <v>LATE</v>
      </c>
      <c r="Z160" s="34" t="str">
        <f ca="1">IF(WFTracker[[#This Row],[Overdue Time '[Expected-Completion']]] &gt;= 15, "SUPER LATE", Y160)</f>
        <v>LATE</v>
      </c>
      <c r="AA160" s="37" t="str">
        <f>IF(WFTracker[[#This Row],[Pre RM Opening Time]]&lt;WFTracker[[#This Row],[Old vs New Order Lead Time WF dead line]], "LATE BY ENG", "ON TIME BY ENG")</f>
        <v>ON TIME BY ENG</v>
      </c>
      <c r="AB160" s="37"/>
      <c r="AC160" s="15" t="str">
        <f>IF(WFTracker[[#This Row],[Competion Date Content]] = FALSE, "C", "i")</f>
        <v>C</v>
      </c>
      <c r="AD1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160" s="105" t="str">
        <f ca="1">IF(WFTracker[[#This Row],[Impact Time Post RM]]&gt;0, "IMPACTED", "NOT IMPACTED")</f>
        <v>IMPACTED</v>
      </c>
      <c r="AF160" s="15"/>
      <c r="AG160" s="18"/>
      <c r="AH160" s="14" t="str">
        <f>IF(WFTracker[[#This Row],[Status]]="C", "Closed", IF(WFTracker[[#This Row],[Status]] = "x", "Cancelled", WFTracker[[#This Row],[Impact Time Post RM]]))</f>
        <v>Closed</v>
      </c>
      <c r="AI160" s="14" t="str">
        <f ca="1">IF(WFTracker[[#This Row],[Impact Time Post RM]]&lt;=0,"ON TIME","LATE")</f>
        <v>LATE</v>
      </c>
      <c r="AJ160" s="14" t="s">
        <v>984</v>
      </c>
      <c r="AK160" s="14">
        <v>18</v>
      </c>
      <c r="AL160" s="915">
        <f>IF(WFTracker[[#This Row],[Type]]="MAKE", WFTracker[[#This Row],[Due date]]+Filters!$J$111, WFTracker[[#This Row],[Due date]]+Filters!$J$135)</f>
        <v>45836.072512647552</v>
      </c>
      <c r="AM160" s="102" cm="1">
        <f t="array" ref="AM1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1" spans="1:39" ht="14.45">
      <c r="A161" t="str">
        <f>IF(WFTracker[[#This Row],[Order Number]]="SWBD", "QED2", "PZ4")</f>
        <v>PZ4</v>
      </c>
      <c r="B161" s="21" t="s">
        <v>114</v>
      </c>
      <c r="C161" s="26" t="s">
        <v>257</v>
      </c>
      <c r="D161" s="11" t="str">
        <f>WFTracker[[#This Row],[Order Number]]  &amp; "-" &amp; WFTracker[[#This Row],[Item]]</f>
        <v>0050754152-000090</v>
      </c>
      <c r="E161" s="23" t="s">
        <v>116</v>
      </c>
      <c r="F161" s="12">
        <v>45833</v>
      </c>
      <c r="G161" s="12"/>
      <c r="H161" s="11" t="s">
        <v>113</v>
      </c>
      <c r="I161" s="11" t="s">
        <v>186</v>
      </c>
      <c r="J161" s="13" t="s">
        <v>299</v>
      </c>
      <c r="K161" s="14" t="s">
        <v>1017</v>
      </c>
      <c r="L161" s="15" t="s">
        <v>27</v>
      </c>
      <c r="M161" s="15" t="s">
        <v>1120</v>
      </c>
      <c r="N161" s="56">
        <v>45922</v>
      </c>
      <c r="O161" s="15">
        <f>NETWORKDAYS.INTL(WFTracker[[#This Row],[Start date]],WFTracker[[#This Row],[RM]],1,Holidays!D108:D123)</f>
        <v>6</v>
      </c>
      <c r="P161" s="12">
        <v>45826</v>
      </c>
      <c r="Q161" s="12">
        <v>45833</v>
      </c>
      <c r="R161" s="12">
        <v>45833</v>
      </c>
      <c r="S161" s="21" t="b">
        <f>ISBLANK(WFTracker[[#This Row],[Completion Date]])</f>
        <v>0</v>
      </c>
      <c r="T161" s="27" t="str">
        <f>TEXT(WFTracker[[#This Row],[Start date]],"mmm-yyyy")</f>
        <v>Jun-2025</v>
      </c>
      <c r="U161" s="11">
        <v>5</v>
      </c>
      <c r="V161" s="11">
        <f>NETWORKDAYS.INTL(WFTracker[[#This Row],[Start date]],WFTracker[[#This Row],[Due date]],1,Holidays!D108:D123)</f>
        <v>6</v>
      </c>
      <c r="W1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61" s="30">
        <f ca="1">WFTracker[[#This Row],[Active Time]]-WFTracker[[#This Row],[Completion Days Template]]</f>
        <v>0</v>
      </c>
      <c r="Y161" s="34" t="str">
        <f ca="1" xml:space="preserve"> IF(WFTracker[[#This Row],[Overdue Time '[Expected-Completion']]]&gt;0, "LATE","ON TIME")</f>
        <v>ON TIME</v>
      </c>
      <c r="Z161" s="34" t="str">
        <f ca="1">IF(WFTracker[[#This Row],[Overdue Time '[Expected-Completion']]] &gt;= 15, "SUPER LATE", Y161)</f>
        <v>ON TIME</v>
      </c>
      <c r="AA161" s="37" t="str">
        <f>IF(WFTracker[[#This Row],[Pre RM Opening Time]]&lt;WFTracker[[#This Row],[Old vs New Order Lead Time WF dead line]], "LATE BY ENG", "ON TIME BY ENG")</f>
        <v>ON TIME BY ENG</v>
      </c>
      <c r="AB161" s="37"/>
      <c r="AC161" s="15" t="str">
        <f>IF(WFTracker[[#This Row],[Competion Date Content]] = FALSE, "C", "i")</f>
        <v>C</v>
      </c>
      <c r="AD1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61" s="105" t="str">
        <f ca="1">IF(WFTracker[[#This Row],[Impact Time Post RM]]&gt;0, "IMPACTED", "NOT IMPACTED")</f>
        <v>IMPACTED</v>
      </c>
      <c r="AF161" s="15"/>
      <c r="AG161" s="18"/>
      <c r="AH161" s="14" t="str">
        <f>IF(WFTracker[[#This Row],[Status]]="C", "Closed", IF(WFTracker[[#This Row],[Status]] = "x", "Cancelled", WFTracker[[#This Row],[Impact Time Post RM]]))</f>
        <v>Closed</v>
      </c>
      <c r="AI161" s="14" t="str">
        <f ca="1">IF(WFTracker[[#This Row],[Impact Time Post RM]]&lt;=0,"ON TIME","LATE")</f>
        <v>LATE</v>
      </c>
      <c r="AJ161" s="14" t="s">
        <v>984</v>
      </c>
      <c r="AK161" s="14">
        <v>18</v>
      </c>
      <c r="AL161" s="915">
        <f>IF(WFTracker[[#This Row],[Type]]="MAKE", WFTracker[[#This Row],[Due date]]+Filters!$J$111, WFTracker[[#This Row],[Due date]]+Filters!$J$135)</f>
        <v>45836.072512647552</v>
      </c>
      <c r="AM161" s="102" cm="1">
        <f t="array" ref="AM1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2" spans="1:39" ht="14.45">
      <c r="A162" t="str">
        <f>IF(WFTracker[[#This Row],[Order Number]]="SWBD", "QED2", "PZ4")</f>
        <v>PZ4</v>
      </c>
      <c r="B162" s="21" t="s">
        <v>114</v>
      </c>
      <c r="C162" s="26" t="s">
        <v>257</v>
      </c>
      <c r="D162" s="11" t="str">
        <f>WFTracker[[#This Row],[Order Number]]  &amp; "-" &amp; WFTracker[[#This Row],[Item]]</f>
        <v>0050754152-000090</v>
      </c>
      <c r="E162" s="23" t="s">
        <v>116</v>
      </c>
      <c r="F162" s="12">
        <v>45833</v>
      </c>
      <c r="G162" s="12"/>
      <c r="H162" s="11" t="s">
        <v>113</v>
      </c>
      <c r="I162" s="11" t="s">
        <v>186</v>
      </c>
      <c r="J162" s="13" t="s">
        <v>301</v>
      </c>
      <c r="K162" s="14" t="s">
        <v>1017</v>
      </c>
      <c r="L162" s="15" t="s">
        <v>27</v>
      </c>
      <c r="M162" s="15" t="s">
        <v>1120</v>
      </c>
      <c r="N162" s="56">
        <v>45922</v>
      </c>
      <c r="O162" s="15">
        <f>NETWORKDAYS.INTL(WFTracker[[#This Row],[Start date]],WFTracker[[#This Row],[RM]],1,Holidays!D109:D124)</f>
        <v>6</v>
      </c>
      <c r="P162" s="12">
        <v>45826</v>
      </c>
      <c r="Q162" s="12">
        <v>45839</v>
      </c>
      <c r="R162" s="12">
        <v>45839</v>
      </c>
      <c r="S162" s="27" t="b">
        <f>ISBLANK(WFTracker[[#This Row],[Completion Date]])</f>
        <v>0</v>
      </c>
      <c r="T162" s="27" t="str">
        <f>TEXT(WFTracker[[#This Row],[Start date]],"mmm-yyyy")</f>
        <v>Jun-2025</v>
      </c>
      <c r="U162" s="11">
        <v>5</v>
      </c>
      <c r="V162" s="11">
        <f>NETWORKDAYS.INTL(WFTracker[[#This Row],[Start date]],WFTracker[[#This Row],[Due date]],1,Holidays!D109:D124)</f>
        <v>10</v>
      </c>
      <c r="W1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62" s="30">
        <f ca="1">WFTracker[[#This Row],[Active Time]]-WFTracker[[#This Row],[Completion Days Template]]</f>
        <v>0</v>
      </c>
      <c r="Y162" s="34" t="str">
        <f ca="1" xml:space="preserve"> IF(WFTracker[[#This Row],[Overdue Time '[Expected-Completion']]]&gt;0, "LATE","ON TIME")</f>
        <v>ON TIME</v>
      </c>
      <c r="Z162" s="34" t="str">
        <f ca="1">IF(WFTracker[[#This Row],[Overdue Time '[Expected-Completion']]] &gt;= 15, "SUPER LATE", Y162)</f>
        <v>ON TIME</v>
      </c>
      <c r="AA162" s="37" t="str">
        <f>IF(WFTracker[[#This Row],[Pre RM Opening Time]]&lt;WFTracker[[#This Row],[Old vs New Order Lead Time WF dead line]], "LATE BY ENG", "ON TIME BY ENG")</f>
        <v>ON TIME BY ENG</v>
      </c>
      <c r="AB162" s="37"/>
      <c r="AC162" s="15" t="str">
        <f>IF(WFTracker[[#This Row],[Competion Date Content]] = FALSE, "C", "i")</f>
        <v>C</v>
      </c>
      <c r="AD1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62" s="105" t="str">
        <f ca="1">IF(WFTracker[[#This Row],[Impact Time Post RM]]&gt;0, "IMPACTED", "NOT IMPACTED")</f>
        <v>IMPACTED</v>
      </c>
      <c r="AF162" s="15"/>
      <c r="AG162" s="18"/>
      <c r="AH162" s="14" t="str">
        <f>IF(WFTracker[[#This Row],[Status]]="C", "Closed", IF(WFTracker[[#This Row],[Status]] = "x", "Cancelled", WFTracker[[#This Row],[Impact Time Post RM]]))</f>
        <v>Closed</v>
      </c>
      <c r="AI162" s="14" t="str">
        <f ca="1">IF(WFTracker[[#This Row],[Impact Time Post RM]]&lt;=0,"ON TIME","LATE")</f>
        <v>LATE</v>
      </c>
      <c r="AJ162" s="14" t="s">
        <v>984</v>
      </c>
      <c r="AK162" s="14">
        <v>18</v>
      </c>
      <c r="AL162" s="915">
        <f>IF(WFTracker[[#This Row],[Type]]="MAKE", WFTracker[[#This Row],[Due date]]+Filters!$J$111, WFTracker[[#This Row],[Due date]]+Filters!$J$135)</f>
        <v>45842.072512647552</v>
      </c>
      <c r="AM162" s="101" cm="1">
        <f t="array" ref="AM1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3" spans="1:39" ht="14.45">
      <c r="A163" t="str">
        <f>IF(WFTracker[[#This Row],[Order Number]]="SWBD", "QED2", "PZ4")</f>
        <v>PZ4</v>
      </c>
      <c r="B163" s="21" t="s">
        <v>312</v>
      </c>
      <c r="C163" s="26" t="s">
        <v>313</v>
      </c>
      <c r="D163" s="11" t="str">
        <f>WFTracker[[#This Row],[Order Number]]  &amp; "-" &amp; WFTracker[[#This Row],[Item]]</f>
        <v>0050665738-000700</v>
      </c>
      <c r="E163" s="23" t="s">
        <v>1039</v>
      </c>
      <c r="F163" s="12">
        <v>45835</v>
      </c>
      <c r="G163" s="12"/>
      <c r="H163" s="11" t="s">
        <v>80</v>
      </c>
      <c r="I163" s="11" t="s">
        <v>260</v>
      </c>
      <c r="J163" s="13" t="s">
        <v>315</v>
      </c>
      <c r="K163" s="14" t="s">
        <v>1017</v>
      </c>
      <c r="L163" s="15" t="s">
        <v>27</v>
      </c>
      <c r="M163" s="15" t="s">
        <v>1120</v>
      </c>
      <c r="N163" s="56">
        <v>45930</v>
      </c>
      <c r="O163" s="15">
        <f>NETWORKDAYS.INTL(WFTracker[[#This Row],[Start date]],WFTracker[[#This Row],[RM]],1,Holidays!D171:D186)</f>
        <v>8</v>
      </c>
      <c r="P163" s="12">
        <v>45826</v>
      </c>
      <c r="Q163" s="12">
        <v>45834</v>
      </c>
      <c r="R163" s="12">
        <v>45833</v>
      </c>
      <c r="S163" s="21" t="b">
        <f>ISBLANK(WFTracker[[#This Row],[Completion Date]])</f>
        <v>0</v>
      </c>
      <c r="T163" s="27" t="str">
        <f>TEXT(WFTracker[[#This Row],[Start date]],"mmm-yyyy")</f>
        <v>Jun-2025</v>
      </c>
      <c r="U163" s="11">
        <v>5</v>
      </c>
      <c r="V163" s="11">
        <f>NETWORKDAYS.INTL(WFTracker[[#This Row],[Start date]],WFTracker[[#This Row],[Due date]],1,Holidays!D171:D186)</f>
        <v>7</v>
      </c>
      <c r="W1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63" s="30">
        <f ca="1">WFTracker[[#This Row],[Active Time]]-WFTracker[[#This Row],[Completion Days Template]]</f>
        <v>-1</v>
      </c>
      <c r="Y163" s="34" t="str">
        <f ca="1" xml:space="preserve"> IF(WFTracker[[#This Row],[Overdue Time '[Expected-Completion']]]&gt;0, "LATE","ON TIME")</f>
        <v>ON TIME</v>
      </c>
      <c r="Z163" s="34" t="str">
        <f ca="1">IF(WFTracker[[#This Row],[Overdue Time '[Expected-Completion']]] &gt;= 15, "SUPER LATE", Y163)</f>
        <v>ON TIME</v>
      </c>
      <c r="AA163" s="37" t="str">
        <f>IF(WFTracker[[#This Row],[Pre RM Opening Time]]&lt;WFTracker[[#This Row],[Old vs New Order Lead Time WF dead line]], "LATE BY ENG", "ON TIME BY ENG")</f>
        <v>ON TIME BY ENG</v>
      </c>
      <c r="AB163" s="37"/>
      <c r="AC163" s="15" t="str">
        <f>IF(WFTracker[[#This Row],[Competion Date Content]] = FALSE, "C", "I")</f>
        <v>C</v>
      </c>
      <c r="AD1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163" s="105" t="str">
        <f ca="1">IF(WFTracker[[#This Row],[Impact Time Post RM]]&gt;0, "IMPACTED", "NOT IMPACTED")</f>
        <v>NOT IMPACTED</v>
      </c>
      <c r="AF163" s="15"/>
      <c r="AG163" s="18"/>
      <c r="AH163" s="14" t="str">
        <f>IF(WFTracker[[#This Row],[Status]]="C", "Closed", IF(WFTracker[[#This Row],[Status]] = "x", "Cancelled", WFTracker[[#This Row],[Impact Time Post RM]]))</f>
        <v>Closed</v>
      </c>
      <c r="AI163" s="14" t="str">
        <f ca="1">IF(WFTracker[[#This Row],[Impact Time Post RM]]&lt;=0,"ON TIME","LATE")</f>
        <v>ON TIME</v>
      </c>
      <c r="AJ163" s="14" t="s">
        <v>984</v>
      </c>
      <c r="AK163" s="14">
        <v>18</v>
      </c>
      <c r="AL163" s="915">
        <f>IF(WFTracker[[#This Row],[Type]]="MAKE", WFTracker[[#This Row],[Due date]]+Filters!$J$111, WFTracker[[#This Row],[Due date]]+Filters!$J$135)</f>
        <v>45837.072512647552</v>
      </c>
      <c r="AM163" s="102" cm="1">
        <f t="array" ref="AM1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4" spans="1:39" ht="14.45">
      <c r="A164" t="str">
        <f>IF(WFTracker[[#This Row],[Order Number]]="SWBD", "QED2", "PZ4")</f>
        <v>PZ4</v>
      </c>
      <c r="B164" s="21" t="s">
        <v>312</v>
      </c>
      <c r="C164" s="26" t="s">
        <v>1129</v>
      </c>
      <c r="D164" s="11" t="str">
        <f>WFTracker[[#This Row],[Order Number]]  &amp; "-" &amp; WFTracker[[#This Row],[Item]]</f>
        <v>0050665738-000700&amp;710</v>
      </c>
      <c r="E164" s="23" t="s">
        <v>1039</v>
      </c>
      <c r="F164" s="12">
        <v>45835</v>
      </c>
      <c r="G164" s="12"/>
      <c r="H164" s="11" t="s">
        <v>80</v>
      </c>
      <c r="I164" s="11" t="s">
        <v>260</v>
      </c>
      <c r="J164" s="13" t="s">
        <v>1150</v>
      </c>
      <c r="K164" s="14" t="s">
        <v>1023</v>
      </c>
      <c r="L164" s="15" t="s">
        <v>40</v>
      </c>
      <c r="M164" s="15" t="s">
        <v>1120</v>
      </c>
      <c r="N164" s="56">
        <v>45930</v>
      </c>
      <c r="O164" s="15">
        <f>NETWORKDAYS.INTL(WFTracker[[#This Row],[Start date]],WFTracker[[#This Row],[RM]],1,Holidays!D128:D143)</f>
        <v>7</v>
      </c>
      <c r="P164" s="12">
        <v>45827</v>
      </c>
      <c r="Q164" s="12">
        <v>45834</v>
      </c>
      <c r="R164" s="12">
        <v>45839</v>
      </c>
      <c r="S164" s="21" t="b">
        <f>ISBLANK(WFTracker[[#This Row],[Completion Date]])</f>
        <v>0</v>
      </c>
      <c r="T164" s="27" t="str">
        <f>TEXT(WFTracker[[#This Row],[Start date]],"mmm-yyyy")</f>
        <v>Jun-2025</v>
      </c>
      <c r="U164" s="11">
        <v>5</v>
      </c>
      <c r="V164" s="11">
        <f>NETWORKDAYS.INTL(WFTracker[[#This Row],[Start date]],WFTracker[[#This Row],[Due date]],1,Holidays!D128:D143)</f>
        <v>6</v>
      </c>
      <c r="W1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64" s="30">
        <f ca="1">WFTracker[[#This Row],[Active Time]]-WFTracker[[#This Row],[Completion Days Template]]</f>
        <v>3</v>
      </c>
      <c r="Y164" s="34" t="str">
        <f ca="1" xml:space="preserve"> IF(WFTracker[[#This Row],[Overdue Time '[Expected-Completion']]]&gt;0, "LATE","ON TIME")</f>
        <v>LATE</v>
      </c>
      <c r="Z164" s="34" t="str">
        <f ca="1">IF(WFTracker[[#This Row],[Overdue Time '[Expected-Completion']]] &gt;= 15, "SUPER LATE", Y164)</f>
        <v>LATE</v>
      </c>
      <c r="AA164" s="37" t="str">
        <f>IF(WFTracker[[#This Row],[Pre RM Opening Time]]&lt;WFTracker[[#This Row],[Old vs New Order Lead Time WF dead line]], "LATE BY ENG", "ON TIME BY ENG")</f>
        <v>ON TIME BY ENG</v>
      </c>
      <c r="AB164" s="37"/>
      <c r="AC164" s="15" t="str">
        <f>IF(WFTracker[[#This Row],[Competion Date Content]] = FALSE, "C", "I")</f>
        <v>C</v>
      </c>
      <c r="AD1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64" s="105" t="str">
        <f ca="1">IF(WFTracker[[#This Row],[Impact Time Post RM]]&gt;0, "IMPACTED", "NOT IMPACTED")</f>
        <v>IMPACTED</v>
      </c>
      <c r="AF164" s="15"/>
      <c r="AG164" s="18"/>
      <c r="AH164" s="14" t="str">
        <f>IF(WFTracker[[#This Row],[Status]]="C", "Closed", IF(WFTracker[[#This Row],[Status]] = "x", "Cancelled", WFTracker[[#This Row],[Impact Time Post RM]]))</f>
        <v>Closed</v>
      </c>
      <c r="AI164" s="14" t="str">
        <f ca="1">IF(WFTracker[[#This Row],[Impact Time Post RM]]&lt;=0,"ON TIME","LATE")</f>
        <v>LATE</v>
      </c>
      <c r="AJ164" s="14" t="s">
        <v>984</v>
      </c>
      <c r="AK164" s="14">
        <v>17</v>
      </c>
      <c r="AL164" s="915">
        <f>IF(WFTracker[[#This Row],[Type]]="MAKE", WFTracker[[#This Row],[Due date]]+Filters!$J$111, WFTracker[[#This Row],[Due date]]+Filters!$J$135)</f>
        <v>45834.415686274508</v>
      </c>
      <c r="AM164" s="102" cm="1">
        <f t="array" ref="AM1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5" spans="1:39" ht="14.45">
      <c r="A165" t="str">
        <f>IF(WFTracker[[#This Row],[Order Number]]="SWBD", "QED2", "PZ4")</f>
        <v>PZ4</v>
      </c>
      <c r="B165" s="21" t="s">
        <v>312</v>
      </c>
      <c r="C165" s="26" t="s">
        <v>1129</v>
      </c>
      <c r="D165" s="11" t="str">
        <f>WFTracker[[#This Row],[Order Number]]  &amp; "-" &amp; WFTracker[[#This Row],[Item]]</f>
        <v>0050665738-000700&amp;710</v>
      </c>
      <c r="E165" s="23" t="s">
        <v>1039</v>
      </c>
      <c r="F165" s="12">
        <v>45835</v>
      </c>
      <c r="G165" s="12"/>
      <c r="H165" s="11" t="s">
        <v>80</v>
      </c>
      <c r="I165" s="11" t="s">
        <v>260</v>
      </c>
      <c r="J165" s="13" t="s">
        <v>1151</v>
      </c>
      <c r="K165" s="14" t="s">
        <v>1023</v>
      </c>
      <c r="L165" s="15" t="s">
        <v>40</v>
      </c>
      <c r="M165" s="15" t="s">
        <v>1120</v>
      </c>
      <c r="N165" s="56">
        <v>45930</v>
      </c>
      <c r="O165" s="15">
        <f>NETWORKDAYS.INTL(WFTracker[[#This Row],[Start date]],WFTracker[[#This Row],[RM]],1,Holidays!D129:D144)</f>
        <v>7</v>
      </c>
      <c r="P165" s="12">
        <v>45827</v>
      </c>
      <c r="Q165" s="12">
        <v>45834</v>
      </c>
      <c r="R165" s="12">
        <v>45839</v>
      </c>
      <c r="S165" s="21" t="b">
        <f>ISBLANK(WFTracker[[#This Row],[Completion Date]])</f>
        <v>0</v>
      </c>
      <c r="T165" s="27" t="str">
        <f>TEXT(WFTracker[[#This Row],[Start date]],"mmm-yyyy")</f>
        <v>Jun-2025</v>
      </c>
      <c r="U165" s="11">
        <v>5</v>
      </c>
      <c r="V165" s="11">
        <f>NETWORKDAYS.INTL(WFTracker[[#This Row],[Start date]],WFTracker[[#This Row],[Due date]],1,Holidays!D129:D144)</f>
        <v>6</v>
      </c>
      <c r="W1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65" s="30">
        <f ca="1">WFTracker[[#This Row],[Active Time]]-WFTracker[[#This Row],[Completion Days Template]]</f>
        <v>3</v>
      </c>
      <c r="Y165" s="34" t="str">
        <f ca="1" xml:space="preserve"> IF(WFTracker[[#This Row],[Overdue Time '[Expected-Completion']]]&gt;0, "LATE","ON TIME")</f>
        <v>LATE</v>
      </c>
      <c r="Z165" s="34" t="str">
        <f ca="1">IF(WFTracker[[#This Row],[Overdue Time '[Expected-Completion']]] &gt;= 15, "SUPER LATE", Y165)</f>
        <v>LATE</v>
      </c>
      <c r="AA165" s="37" t="str">
        <f>IF(WFTracker[[#This Row],[Pre RM Opening Time]]&lt;WFTracker[[#This Row],[Old vs New Order Lead Time WF dead line]], "LATE BY ENG", "ON TIME BY ENG")</f>
        <v>ON TIME BY ENG</v>
      </c>
      <c r="AB165" s="37"/>
      <c r="AC165" s="15" t="str">
        <f>IF(WFTracker[[#This Row],[Competion Date Content]] = FALSE, "C", "I")</f>
        <v>C</v>
      </c>
      <c r="AD1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165" s="105" t="str">
        <f ca="1">IF(WFTracker[[#This Row],[Impact Time Post RM]]&gt;0, "IMPACTED", "NOT IMPACTED")</f>
        <v>IMPACTED</v>
      </c>
      <c r="AF165" s="15"/>
      <c r="AG165" s="18"/>
      <c r="AH165" s="14" t="str">
        <f>IF(WFTracker[[#This Row],[Status]]="C", "Closed", IF(WFTracker[[#This Row],[Status]] = "x", "Cancelled", WFTracker[[#This Row],[Impact Time Post RM]]))</f>
        <v>Closed</v>
      </c>
      <c r="AI165" s="14" t="str">
        <f ca="1">IF(WFTracker[[#This Row],[Impact Time Post RM]]&lt;=0,"ON TIME","LATE")</f>
        <v>LATE</v>
      </c>
      <c r="AJ165" s="14" t="s">
        <v>984</v>
      </c>
      <c r="AK165" s="14">
        <v>17</v>
      </c>
      <c r="AL165" s="915">
        <f>IF(WFTracker[[#This Row],[Type]]="MAKE", WFTracker[[#This Row],[Due date]]+Filters!$J$111, WFTracker[[#This Row],[Due date]]+Filters!$J$135)</f>
        <v>45834.415686274508</v>
      </c>
      <c r="AM165" s="102" cm="1">
        <f t="array" ref="AM1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6" spans="1:39" ht="14.45">
      <c r="A166" t="str">
        <f>IF(WFTracker[[#This Row],[Order Number]]="SWBD", "QED2", "PZ4")</f>
        <v>PZ4</v>
      </c>
      <c r="B166" s="21" t="s">
        <v>312</v>
      </c>
      <c r="C166" s="26" t="s">
        <v>313</v>
      </c>
      <c r="D166" s="11" t="str">
        <f>WFTracker[[#This Row],[Order Number]]  &amp; "-" &amp; WFTracker[[#This Row],[Item]]</f>
        <v>0050665738-000700</v>
      </c>
      <c r="E166" s="23" t="s">
        <v>1039</v>
      </c>
      <c r="F166" s="12">
        <v>45835</v>
      </c>
      <c r="G166" s="12"/>
      <c r="H166" s="11" t="s">
        <v>80</v>
      </c>
      <c r="I166" s="11" t="s">
        <v>260</v>
      </c>
      <c r="J166" s="13" t="s">
        <v>317</v>
      </c>
      <c r="K166" s="14" t="s">
        <v>1017</v>
      </c>
      <c r="L166" s="15" t="s">
        <v>27</v>
      </c>
      <c r="M166" s="15" t="s">
        <v>1120</v>
      </c>
      <c r="N166" s="56">
        <v>45930</v>
      </c>
      <c r="O166" s="15">
        <f>NETWORKDAYS.INTL(WFTracker[[#This Row],[Start date]],WFTracker[[#This Row],[RM]],1,Holidays!D130:D145)</f>
        <v>7</v>
      </c>
      <c r="P166" s="12">
        <v>45827</v>
      </c>
      <c r="Q166" s="12">
        <v>45834</v>
      </c>
      <c r="R166" s="12">
        <v>45833</v>
      </c>
      <c r="S166" s="21" t="b">
        <f>ISBLANK(WFTracker[[#This Row],[Completion Date]])</f>
        <v>0</v>
      </c>
      <c r="T166" s="27" t="str">
        <f>TEXT(WFTracker[[#This Row],[Start date]],"mmm-yyyy")</f>
        <v>Jun-2025</v>
      </c>
      <c r="U166" s="11">
        <v>5</v>
      </c>
      <c r="V166" s="11">
        <f>NETWORKDAYS.INTL(WFTracker[[#This Row],[Start date]],WFTracker[[#This Row],[Due date]],1,Holidays!D130:D145)</f>
        <v>6</v>
      </c>
      <c r="W1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166" s="30">
        <f ca="1">WFTracker[[#This Row],[Active Time]]-WFTracker[[#This Row],[Completion Days Template]]</f>
        <v>-1</v>
      </c>
      <c r="Y166" s="34" t="str">
        <f ca="1" xml:space="preserve"> IF(WFTracker[[#This Row],[Overdue Time '[Expected-Completion']]]&gt;0, "LATE","ON TIME")</f>
        <v>ON TIME</v>
      </c>
      <c r="Z166" s="34" t="str">
        <f ca="1">IF(WFTracker[[#This Row],[Overdue Time '[Expected-Completion']]] &gt;= 15, "SUPER LATE", Y166)</f>
        <v>ON TIME</v>
      </c>
      <c r="AA166" s="37" t="str">
        <f>IF(WFTracker[[#This Row],[Pre RM Opening Time]]&lt;WFTracker[[#This Row],[Old vs New Order Lead Time WF dead line]], "LATE BY ENG", "ON TIME BY ENG")</f>
        <v>ON TIME BY ENG</v>
      </c>
      <c r="AB166" s="37"/>
      <c r="AC166" s="15" t="str">
        <f>IF(WFTracker[[#This Row],[Competion Date Content]] = FALSE, "C", "I")</f>
        <v>C</v>
      </c>
      <c r="AD1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166" s="105" t="str">
        <f ca="1">IF(WFTracker[[#This Row],[Impact Time Post RM]]&gt;0, "IMPACTED", "NOT IMPACTED")</f>
        <v>NOT IMPACTED</v>
      </c>
      <c r="AF166" s="15"/>
      <c r="AG166" s="18"/>
      <c r="AH166" s="14" t="str">
        <f>IF(WFTracker[[#This Row],[Status]]="C", "Closed", IF(WFTracker[[#This Row],[Status]] = "x", "Cancelled", WFTracker[[#This Row],[Impact Time Post RM]]))</f>
        <v>Closed</v>
      </c>
      <c r="AI166" s="14" t="str">
        <f ca="1">IF(WFTracker[[#This Row],[Impact Time Post RM]]&lt;=0,"ON TIME","LATE")</f>
        <v>ON TIME</v>
      </c>
      <c r="AJ166" s="14" t="s">
        <v>984</v>
      </c>
      <c r="AK166" s="14">
        <v>18</v>
      </c>
      <c r="AL166" s="915">
        <f>IF(WFTracker[[#This Row],[Type]]="MAKE", WFTracker[[#This Row],[Due date]]+Filters!$J$111, WFTracker[[#This Row],[Due date]]+Filters!$J$135)</f>
        <v>45837.072512647552</v>
      </c>
      <c r="AM166" s="102" cm="1">
        <f t="array" ref="AM16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7" spans="1:39" ht="14.45">
      <c r="A167" t="str">
        <f>IF(WFTracker[[#This Row],[Order Number]]="SWBD", "QED2", "PZ4")</f>
        <v>PZ4</v>
      </c>
      <c r="B167" s="21" t="s">
        <v>312</v>
      </c>
      <c r="C167" s="26" t="s">
        <v>313</v>
      </c>
      <c r="D167" s="11" t="str">
        <f>WFTracker[[#This Row],[Order Number]]  &amp; "-" &amp; WFTracker[[#This Row],[Item]]</f>
        <v>0050665738-000700</v>
      </c>
      <c r="E167" s="23" t="s">
        <v>1039</v>
      </c>
      <c r="F167" s="12">
        <v>45835</v>
      </c>
      <c r="G167" s="12"/>
      <c r="H167" s="11" t="s">
        <v>80</v>
      </c>
      <c r="I167" s="11" t="s">
        <v>260</v>
      </c>
      <c r="J167" s="13" t="s">
        <v>316</v>
      </c>
      <c r="K167" s="14" t="s">
        <v>1017</v>
      </c>
      <c r="L167" s="15" t="s">
        <v>27</v>
      </c>
      <c r="M167" s="15" t="s">
        <v>1120</v>
      </c>
      <c r="N167" s="56">
        <v>45930</v>
      </c>
      <c r="O167" s="15">
        <f>NETWORKDAYS.INTL(WFTracker[[#This Row],[Start date]],WFTracker[[#This Row],[RM]],1,Holidays!D131:D146)</f>
        <v>7</v>
      </c>
      <c r="P167" s="12">
        <v>45827</v>
      </c>
      <c r="Q167" s="12">
        <v>45834</v>
      </c>
      <c r="R167" s="12">
        <v>45843</v>
      </c>
      <c r="S167" s="21" t="b">
        <f>ISBLANK(WFTracker[[#This Row],[Completion Date]])</f>
        <v>0</v>
      </c>
      <c r="T167" s="27" t="str">
        <f>TEXT(WFTracker[[#This Row],[Start date]],"mmm-yyyy")</f>
        <v>Jun-2025</v>
      </c>
      <c r="U167" s="11">
        <v>5</v>
      </c>
      <c r="V167" s="11">
        <f>NETWORKDAYS.INTL(WFTracker[[#This Row],[Start date]],WFTracker[[#This Row],[Due date]],1,Holidays!D131:D146)</f>
        <v>6</v>
      </c>
      <c r="W1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67" s="30">
        <f ca="1">WFTracker[[#This Row],[Active Time]]-WFTracker[[#This Row],[Completion Days Template]]</f>
        <v>6</v>
      </c>
      <c r="Y167" s="34" t="str">
        <f ca="1" xml:space="preserve"> IF(WFTracker[[#This Row],[Overdue Time '[Expected-Completion']]]&gt;0, "LATE","ON TIME")</f>
        <v>LATE</v>
      </c>
      <c r="Z167" s="34" t="str">
        <f ca="1">IF(WFTracker[[#This Row],[Overdue Time '[Expected-Completion']]] &gt;= 15, "SUPER LATE", Y167)</f>
        <v>LATE</v>
      </c>
      <c r="AA167" s="37" t="str">
        <f>IF(WFTracker[[#This Row],[Pre RM Opening Time]]&lt;WFTracker[[#This Row],[Old vs New Order Lead Time WF dead line]], "LATE BY ENG", "ON TIME BY ENG")</f>
        <v>ON TIME BY ENG</v>
      </c>
      <c r="AB167" s="37"/>
      <c r="AC167" s="15" t="str">
        <f>IF(WFTracker[[#This Row],[Competion Date Content]] = FALSE, "C", "I")</f>
        <v>C</v>
      </c>
      <c r="AD1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167" s="105" t="str">
        <f ca="1">IF(WFTracker[[#This Row],[Impact Time Post RM]]&gt;0, "IMPACTED", "NOT IMPACTED")</f>
        <v>IMPACTED</v>
      </c>
      <c r="AF167" s="15"/>
      <c r="AG167" s="18"/>
      <c r="AH167" s="14" t="str">
        <f>IF(WFTracker[[#This Row],[Status]]="C", "Closed", IF(WFTracker[[#This Row],[Status]] = "x", "Cancelled", WFTracker[[#This Row],[Impact Time Post RM]]))</f>
        <v>Closed</v>
      </c>
      <c r="AI167" s="14" t="str">
        <f ca="1">IF(WFTracker[[#This Row],[Impact Time Post RM]]&lt;=0,"ON TIME","LATE")</f>
        <v>LATE</v>
      </c>
      <c r="AJ167" s="14" t="s">
        <v>984</v>
      </c>
      <c r="AK167" s="14">
        <v>18</v>
      </c>
      <c r="AL167" s="915">
        <f>IF(WFTracker[[#This Row],[Type]]="MAKE", WFTracker[[#This Row],[Due date]]+Filters!$J$111, WFTracker[[#This Row],[Due date]]+Filters!$J$135)</f>
        <v>45837.072512647552</v>
      </c>
      <c r="AM167" s="102" cm="1">
        <f t="array" ref="AM1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8" spans="1:39" ht="14.45">
      <c r="A168" t="str">
        <f>IF(WFTracker[[#This Row],[Order Number]]="SWBD", "QED2", "PZ4")</f>
        <v>PZ4</v>
      </c>
      <c r="B168" s="21" t="s">
        <v>319</v>
      </c>
      <c r="C168" s="26" t="s">
        <v>320</v>
      </c>
      <c r="D168" s="11" t="str">
        <f>WFTracker[[#This Row],[Order Number]]  &amp; "-" &amp; WFTracker[[#This Row],[Item]]</f>
        <v>0051022459-004500</v>
      </c>
      <c r="E168" s="23" t="s">
        <v>321</v>
      </c>
      <c r="F168" s="12">
        <v>45835</v>
      </c>
      <c r="G168" s="12"/>
      <c r="H168" s="11" t="s">
        <v>129</v>
      </c>
      <c r="I168" s="11" t="s">
        <v>132</v>
      </c>
      <c r="J168" s="13" t="s">
        <v>322</v>
      </c>
      <c r="K168" s="14" t="s">
        <v>1017</v>
      </c>
      <c r="L168" s="15" t="s">
        <v>27</v>
      </c>
      <c r="M168" s="15" t="s">
        <v>1120</v>
      </c>
      <c r="N168" s="56">
        <v>45944</v>
      </c>
      <c r="O168" s="15">
        <f>NETWORKDAYS.INTL(WFTracker[[#This Row],[Start date]],WFTracker[[#This Row],[RM]],1,Holidays!D92:D107)</f>
        <v>5</v>
      </c>
      <c r="P168" s="12">
        <v>45831</v>
      </c>
      <c r="Q168" s="12">
        <v>45838</v>
      </c>
      <c r="R168" s="12">
        <v>45841</v>
      </c>
      <c r="S168" s="27" t="b">
        <f>ISBLANK(WFTracker[[#This Row],[Completion Date]])</f>
        <v>0</v>
      </c>
      <c r="T168" s="27" t="str">
        <f>TEXT(WFTracker[[#This Row],[Start date]],"mmm-yyyy")</f>
        <v>Jun-2025</v>
      </c>
      <c r="U168" s="11">
        <v>5</v>
      </c>
      <c r="V168" s="11">
        <f>NETWORKDAYS.INTL(WFTracker[[#This Row],[Start date]],WFTracker[[#This Row],[Due date]],1,Holidays!D92:D107)</f>
        <v>6</v>
      </c>
      <c r="W1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68" s="30">
        <f ca="1">WFTracker[[#This Row],[Active Time]]-WFTracker[[#This Row],[Completion Days Template]]</f>
        <v>3</v>
      </c>
      <c r="Y168" s="34" t="str">
        <f ca="1" xml:space="preserve"> IF(WFTracker[[#This Row],[Overdue Time '[Expected-Completion']]]&gt;0, "LATE","ON TIME")</f>
        <v>LATE</v>
      </c>
      <c r="Z168" s="34" t="str">
        <f ca="1">IF(WFTracker[[#This Row],[Overdue Time '[Expected-Completion']]] &gt;= 15, "SUPER LATE", Y168)</f>
        <v>LATE</v>
      </c>
      <c r="AA168" s="37" t="str">
        <f>IF(WFTracker[[#This Row],[Pre RM Opening Time]]&lt;WFTracker[[#This Row],[Old vs New Order Lead Time WF dead line]], "LATE BY ENG", "ON TIME BY ENG")</f>
        <v>ON TIME BY ENG</v>
      </c>
      <c r="AB168" s="37"/>
      <c r="AC168" s="15" t="str">
        <f>IF(WFTracker[[#This Row],[Competion Date Content]] = FALSE, "C", "i")</f>
        <v>C</v>
      </c>
      <c r="AD1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68" s="105" t="str">
        <f ca="1">IF(WFTracker[[#This Row],[Impact Time Post RM]]&gt;0, "IMPACTED", "NOT IMPACTED")</f>
        <v>IMPACTED</v>
      </c>
      <c r="AF168" s="15"/>
      <c r="AG168" s="18"/>
      <c r="AH168" s="14" t="str">
        <f>IF(WFTracker[[#This Row],[Status]]="C", "Closed", IF(WFTracker[[#This Row],[Status]] = "x", "Cancelled", WFTracker[[#This Row],[Impact Time Post RM]]))</f>
        <v>Closed</v>
      </c>
      <c r="AI168" s="14" t="str">
        <f ca="1">IF(WFTracker[[#This Row],[Impact Time Post RM]]&lt;=0,"ON TIME","LATE")</f>
        <v>LATE</v>
      </c>
      <c r="AJ168" s="14" t="s">
        <v>984</v>
      </c>
      <c r="AK168" s="14">
        <v>18</v>
      </c>
      <c r="AL168" s="915">
        <f>IF(WFTracker[[#This Row],[Type]]="MAKE", WFTracker[[#This Row],[Due date]]+Filters!$J$111, WFTracker[[#This Row],[Due date]]+Filters!$J$135)</f>
        <v>45841.072512647552</v>
      </c>
      <c r="AM168" s="101" cm="1">
        <f t="array" ref="AM1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69" spans="1:39" ht="14.45">
      <c r="A169" t="str">
        <f>IF(WFTracker[[#This Row],[Order Number]]="SWBD", "QED2", "PZ4")</f>
        <v>PZ4</v>
      </c>
      <c r="B169" s="21" t="s">
        <v>302</v>
      </c>
      <c r="C169" s="26" t="s">
        <v>303</v>
      </c>
      <c r="D169" s="11" t="str">
        <f>WFTracker[[#This Row],[Order Number]]  &amp; "-" &amp; WFTracker[[#This Row],[Item]]</f>
        <v>0051020870-000840</v>
      </c>
      <c r="E169" s="23" t="s">
        <v>355</v>
      </c>
      <c r="F169" s="12">
        <v>45849</v>
      </c>
      <c r="G169" s="12"/>
      <c r="H169" s="11" t="s">
        <v>947</v>
      </c>
      <c r="I169" s="11" t="s">
        <v>1132</v>
      </c>
      <c r="J169" s="13" t="s">
        <v>306</v>
      </c>
      <c r="K169" s="14" t="s">
        <v>1017</v>
      </c>
      <c r="L169" s="15" t="s">
        <v>27</v>
      </c>
      <c r="M169" s="15" t="s">
        <v>1123</v>
      </c>
      <c r="N169" s="56">
        <v>46080</v>
      </c>
      <c r="O169" s="15">
        <f>NETWORKDAYS.INTL(WFTracker[[#This Row],[Start date]],WFTracker[[#This Row],[RM]],1,Holidays!D340:D355)</f>
        <v>14</v>
      </c>
      <c r="P169" s="12">
        <v>45832</v>
      </c>
      <c r="Q169" s="12">
        <v>45841</v>
      </c>
      <c r="R169" s="12">
        <v>45846</v>
      </c>
      <c r="S169" s="21" t="b">
        <f>ISBLANK(WFTracker[[#This Row],[Completion Date]])</f>
        <v>0</v>
      </c>
      <c r="T169" s="27" t="str">
        <f>TEXT(WFTracker[[#This Row],[Start date]],"mmm-yyyy")</f>
        <v>Jun-2025</v>
      </c>
      <c r="U169" s="11">
        <v>5</v>
      </c>
      <c r="V169" s="11">
        <f>NETWORKDAYS.INTL(WFTracker[[#This Row],[Start date]],WFTracker[[#This Row],[Due date]],1,Holidays!D340:D355)</f>
        <v>8</v>
      </c>
      <c r="W1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69" s="30">
        <f ca="1">WFTracker[[#This Row],[Active Time]]-WFTracker[[#This Row],[Completion Days Template]]</f>
        <v>3</v>
      </c>
      <c r="Y169" s="34" t="str">
        <f ca="1" xml:space="preserve"> IF(WFTracker[[#This Row],[Overdue Time '[Expected-Completion']]]&gt;0, "LATE","ON TIME")</f>
        <v>LATE</v>
      </c>
      <c r="Z169" s="34" t="str">
        <f ca="1">IF(WFTracker[[#This Row],[Overdue Time '[Expected-Completion']]] &gt;= 15, "SUPER LATE", Y169)</f>
        <v>LATE</v>
      </c>
      <c r="AA169" s="37" t="str">
        <f>IF(WFTracker[[#This Row],[Pre RM Opening Time]]&lt;WFTracker[[#This Row],[Old vs New Order Lead Time WF dead line]], "LATE BY ENG", "ON TIME BY ENG")</f>
        <v>ON TIME BY ENG</v>
      </c>
      <c r="AB169" s="37"/>
      <c r="AC169" s="15" t="str">
        <f>IF(WFTracker[[#This Row],[Competion Date Content]] = FALSE, "C", "I")</f>
        <v>C</v>
      </c>
      <c r="AD1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69" s="105" t="str">
        <f ca="1">IF(WFTracker[[#This Row],[Impact Time Post RM]]&gt;0, "IMPACTED", "NOT IMPACTED")</f>
        <v>NOT IMPACTED</v>
      </c>
      <c r="AF169" s="15"/>
      <c r="AG169" s="18"/>
      <c r="AH169" s="14" t="str">
        <f>IF(WFTracker[[#This Row],[Status]]="C", "Closed", IF(WFTracker[[#This Row],[Status]] = "x", "Cancelled", WFTracker[[#This Row],[Impact Time Post RM]]))</f>
        <v>Closed</v>
      </c>
      <c r="AI169" s="14" t="str">
        <f ca="1">IF(WFTracker[[#This Row],[Impact Time Post RM]]&lt;=0,"ON TIME","LATE")</f>
        <v>ON TIME</v>
      </c>
      <c r="AJ169" s="14" t="s">
        <v>984</v>
      </c>
      <c r="AK169" s="14">
        <v>18</v>
      </c>
      <c r="AL169" s="915">
        <f>IF(WFTracker[[#This Row],[Type]]="MAKE", WFTracker[[#This Row],[Due date]]+Filters!$J$111, WFTracker[[#This Row],[Due date]]+Filters!$J$135)</f>
        <v>45844.072512647552</v>
      </c>
      <c r="AM169" s="102" cm="1">
        <f t="array" ref="AM1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0" spans="1:39" ht="14.45">
      <c r="A170" t="str">
        <f>IF(WFTracker[[#This Row],[Order Number]]="SWBD", "QED2", "PZ4")</f>
        <v>PZ4</v>
      </c>
      <c r="B170" s="21" t="s">
        <v>302</v>
      </c>
      <c r="C170" s="26" t="s">
        <v>303</v>
      </c>
      <c r="D170" s="11" t="str">
        <f>WFTracker[[#This Row],[Order Number]]  &amp; "-" &amp; WFTracker[[#This Row],[Item]]</f>
        <v>0051020870-000840</v>
      </c>
      <c r="E170" s="23" t="s">
        <v>355</v>
      </c>
      <c r="F170" s="12">
        <v>45849</v>
      </c>
      <c r="G170" s="12"/>
      <c r="H170" s="11" t="s">
        <v>947</v>
      </c>
      <c r="I170" s="11" t="s">
        <v>1132</v>
      </c>
      <c r="J170" s="13" t="s">
        <v>308</v>
      </c>
      <c r="K170" s="14" t="s">
        <v>1023</v>
      </c>
      <c r="L170" s="15" t="s">
        <v>27</v>
      </c>
      <c r="M170" s="15" t="s">
        <v>1123</v>
      </c>
      <c r="N170" s="56">
        <v>46080</v>
      </c>
      <c r="O170" s="15">
        <f>NETWORKDAYS.INTL(WFTracker[[#This Row],[Start date]],WFTracker[[#This Row],[RM]],1,Holidays!D341:D356)</f>
        <v>14</v>
      </c>
      <c r="P170" s="12">
        <v>45832</v>
      </c>
      <c r="Q170" s="12">
        <v>45841</v>
      </c>
      <c r="R170" s="12">
        <v>45854</v>
      </c>
      <c r="S170" s="21" t="b">
        <f>ISBLANK(WFTracker[[#This Row],[Completion Date]])</f>
        <v>0</v>
      </c>
      <c r="T170" s="27" t="str">
        <f>TEXT(WFTracker[[#This Row],[Start date]],"mmm-yyyy")</f>
        <v>Jun-2025</v>
      </c>
      <c r="U170" s="11">
        <v>5</v>
      </c>
      <c r="V170" s="11">
        <f>NETWORKDAYS.INTL(WFTracker[[#This Row],[Start date]],WFTracker[[#This Row],[Due date]],1,Holidays!D341:D356)</f>
        <v>8</v>
      </c>
      <c r="W1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170" s="30">
        <f ca="1">WFTracker[[#This Row],[Active Time]]-WFTracker[[#This Row],[Completion Days Template]]</f>
        <v>9</v>
      </c>
      <c r="Y170" s="34" t="str">
        <f ca="1" xml:space="preserve"> IF(WFTracker[[#This Row],[Overdue Time '[Expected-Completion']]]&gt;0, "LATE","ON TIME")</f>
        <v>LATE</v>
      </c>
      <c r="Z170" s="34" t="str">
        <f ca="1">IF(WFTracker[[#This Row],[Overdue Time '[Expected-Completion']]] &gt;= 15, "SUPER LATE", Y170)</f>
        <v>LATE</v>
      </c>
      <c r="AA170" s="37" t="str">
        <f>IF(WFTracker[[#This Row],[Pre RM Opening Time]]&lt;WFTracker[[#This Row],[Old vs New Order Lead Time WF dead line]], "LATE BY ENG", "ON TIME BY ENG")</f>
        <v>ON TIME BY ENG</v>
      </c>
      <c r="AB170" s="37"/>
      <c r="AC170" s="15" t="str">
        <f>IF(WFTracker[[#This Row],[Competion Date Content]] = FALSE, "C", "I")</f>
        <v>C</v>
      </c>
      <c r="AD1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170" s="105" t="str">
        <f ca="1">IF(WFTracker[[#This Row],[Impact Time Post RM]]&gt;0, "IMPACTED", "NOT IMPACTED")</f>
        <v>IMPACTED</v>
      </c>
      <c r="AF170" s="15"/>
      <c r="AG170" s="18"/>
      <c r="AH170" s="14" t="str">
        <f>IF(WFTracker[[#This Row],[Status]]="C", "Closed", IF(WFTracker[[#This Row],[Status]] = "x", "Cancelled", WFTracker[[#This Row],[Impact Time Post RM]]))</f>
        <v>Closed</v>
      </c>
      <c r="AI170" s="14" t="str">
        <f ca="1">IF(WFTracker[[#This Row],[Impact Time Post RM]]&lt;=0,"ON TIME","LATE")</f>
        <v>LATE</v>
      </c>
      <c r="AJ170" s="14" t="s">
        <v>984</v>
      </c>
      <c r="AK170" s="14">
        <v>18</v>
      </c>
      <c r="AL170" s="915">
        <f>IF(WFTracker[[#This Row],[Type]]="MAKE", WFTracker[[#This Row],[Due date]]+Filters!$J$111, WFTracker[[#This Row],[Due date]]+Filters!$J$135)</f>
        <v>45844.072512647552</v>
      </c>
      <c r="AM170" s="102" cm="1">
        <f t="array" ref="AM1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1" spans="1:39" ht="14.45">
      <c r="A171" t="str">
        <f>IF(WFTracker[[#This Row],[Order Number]]="SWBD", "QED2", "PZ4")</f>
        <v>PZ4</v>
      </c>
      <c r="B171" s="21" t="s">
        <v>339</v>
      </c>
      <c r="C171" s="26" t="s">
        <v>135</v>
      </c>
      <c r="D171" s="11" t="str">
        <f>WFTracker[[#This Row],[Order Number]]  &amp; "-" &amp; WFTracker[[#This Row],[Item]]</f>
        <v>0051383209-000010</v>
      </c>
      <c r="E171" s="23" t="s">
        <v>340</v>
      </c>
      <c r="F171" s="12">
        <v>45848</v>
      </c>
      <c r="G171" s="12"/>
      <c r="H171" s="11" t="s">
        <v>273</v>
      </c>
      <c r="I171" s="11" t="s">
        <v>241</v>
      </c>
      <c r="J171" s="13" t="s">
        <v>343</v>
      </c>
      <c r="K171" s="14" t="s">
        <v>1017</v>
      </c>
      <c r="L171" s="15" t="s">
        <v>27</v>
      </c>
      <c r="M171" s="15" t="s">
        <v>1120</v>
      </c>
      <c r="N171" s="56">
        <v>45950</v>
      </c>
      <c r="O171" s="15">
        <f>NETWORKDAYS.INTL(WFTracker[[#This Row],[Start date]],WFTracker[[#This Row],[RM]],1,Holidays!D288:D303)</f>
        <v>12</v>
      </c>
      <c r="P171" s="12">
        <v>45833</v>
      </c>
      <c r="Q171" s="12">
        <v>45841</v>
      </c>
      <c r="R171" s="12">
        <v>45854</v>
      </c>
      <c r="S171" s="27" t="b">
        <f>ISBLANK(WFTracker[[#This Row],[Completion Date]])</f>
        <v>0</v>
      </c>
      <c r="T171" s="27" t="str">
        <f>TEXT(WFTracker[[#This Row],[Start date]],"mmm-yyyy")</f>
        <v>Jun-2025</v>
      </c>
      <c r="U171" s="11">
        <v>5</v>
      </c>
      <c r="V171" s="11">
        <f>NETWORKDAYS.INTL(WFTracker[[#This Row],[Start date]],WFTracker[[#This Row],[Due date]],1,Holidays!D288:D303)</f>
        <v>7</v>
      </c>
      <c r="W1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171" s="30">
        <f ca="1">WFTracker[[#This Row],[Active Time]]-WFTracker[[#This Row],[Completion Days Template]]</f>
        <v>9</v>
      </c>
      <c r="Y171" s="34" t="str">
        <f ca="1" xml:space="preserve"> IF(WFTracker[[#This Row],[Overdue Time '[Expected-Completion']]]&gt;0, "LATE","ON TIME")</f>
        <v>LATE</v>
      </c>
      <c r="Z171" s="34" t="str">
        <f ca="1">IF(WFTracker[[#This Row],[Overdue Time '[Expected-Completion']]] &gt;= 15, "SUPER LATE", Y171)</f>
        <v>LATE</v>
      </c>
      <c r="AA171" s="37" t="str">
        <f>IF(WFTracker[[#This Row],[Pre RM Opening Time]]&lt;WFTracker[[#This Row],[Old vs New Order Lead Time WF dead line]], "LATE BY ENG", "ON TIME BY ENG")</f>
        <v>ON TIME BY ENG</v>
      </c>
      <c r="AB171" s="37"/>
      <c r="AC171" s="15" t="str">
        <f>IF(WFTracker[[#This Row],[Competion Date Content]] = FALSE, "C", "I")</f>
        <v>C</v>
      </c>
      <c r="AD1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171" s="105" t="str">
        <f ca="1">IF(WFTracker[[#This Row],[Impact Time Post RM]]&gt;0, "IMPACTED", "NOT IMPACTED")</f>
        <v>IMPACTED</v>
      </c>
      <c r="AF171" s="15"/>
      <c r="AG171" s="18"/>
      <c r="AH171" s="14" t="str">
        <f>IF(WFTracker[[#This Row],[Status]]="C", "Closed", IF(WFTracker[[#This Row],[Status]] = "x", "Cancelled", WFTracker[[#This Row],[Impact Time Post RM]]))</f>
        <v>Closed</v>
      </c>
      <c r="AI171" s="14" t="str">
        <f ca="1">IF(WFTracker[[#This Row],[Impact Time Post RM]]&lt;=0,"ON TIME","LATE")</f>
        <v>LATE</v>
      </c>
      <c r="AJ171" s="14" t="s">
        <v>984</v>
      </c>
      <c r="AK171" s="14">
        <v>18</v>
      </c>
      <c r="AL171" s="915">
        <f>IF(WFTracker[[#This Row],[Type]]="MAKE", WFTracker[[#This Row],[Due date]]+Filters!$J$111, WFTracker[[#This Row],[Due date]]+Filters!$J$135)</f>
        <v>45844.072512647552</v>
      </c>
      <c r="AM171" s="101" cm="1">
        <f t="array" ref="AM1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2" spans="1:39" ht="14.45">
      <c r="A172" t="str">
        <f>IF(WFTracker[[#This Row],[Order Number]]="SWBD", "QED2", "PZ4")</f>
        <v>PZ4</v>
      </c>
      <c r="B172" s="21" t="s">
        <v>302</v>
      </c>
      <c r="C172" s="26" t="s">
        <v>303</v>
      </c>
      <c r="D172" s="11" t="str">
        <f>WFTracker[[#This Row],[Order Number]]  &amp; "-" &amp; WFTracker[[#This Row],[Item]]</f>
        <v>0051020870-000840</v>
      </c>
      <c r="E172" s="23" t="s">
        <v>355</v>
      </c>
      <c r="F172" s="12">
        <v>45849</v>
      </c>
      <c r="G172" s="12"/>
      <c r="H172" s="11" t="s">
        <v>305</v>
      </c>
      <c r="I172" s="11" t="s">
        <v>1132</v>
      </c>
      <c r="J172" s="13" t="s">
        <v>1152</v>
      </c>
      <c r="K172" s="14" t="s">
        <v>1023</v>
      </c>
      <c r="L172" s="15" t="s">
        <v>27</v>
      </c>
      <c r="M172" s="15" t="s">
        <v>1123</v>
      </c>
      <c r="N172" s="56">
        <v>46080</v>
      </c>
      <c r="O172" s="15">
        <f>NETWORKDAYS.INTL(WFTracker[[#This Row],[Start date]],WFTracker[[#This Row],[RM]],1,Holidays!D310:D325)</f>
        <v>13</v>
      </c>
      <c r="P172" s="12">
        <v>45833</v>
      </c>
      <c r="Q172" s="12">
        <v>45840</v>
      </c>
      <c r="R172" s="12">
        <v>45846</v>
      </c>
      <c r="S172" s="21" t="b">
        <f>ISBLANK(WFTracker[[#This Row],[Completion Date]])</f>
        <v>0</v>
      </c>
      <c r="T172" s="27" t="str">
        <f>TEXT(WFTracker[[#This Row],[Start date]],"mmm-yyyy")</f>
        <v>Jun-2025</v>
      </c>
      <c r="U172" s="11">
        <v>5</v>
      </c>
      <c r="V172" s="11">
        <f>NETWORKDAYS.INTL(WFTracker[[#This Row],[Start date]],WFTracker[[#This Row],[Due date]],1,Holidays!D310:D325)</f>
        <v>6</v>
      </c>
      <c r="W1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72" s="30">
        <f ca="1">WFTracker[[#This Row],[Active Time]]-WFTracker[[#This Row],[Completion Days Template]]</f>
        <v>4</v>
      </c>
      <c r="Y172" s="34" t="str">
        <f ca="1" xml:space="preserve"> IF(WFTracker[[#This Row],[Overdue Time '[Expected-Completion']]]&gt;0, "LATE","ON TIME")</f>
        <v>LATE</v>
      </c>
      <c r="Z172" s="34" t="str">
        <f ca="1">IF(WFTracker[[#This Row],[Overdue Time '[Expected-Completion']]] &gt;= 15, "SUPER LATE", Y172)</f>
        <v>LATE</v>
      </c>
      <c r="AA172" s="37" t="str">
        <f>IF(WFTracker[[#This Row],[Pre RM Opening Time]]&lt;WFTracker[[#This Row],[Old vs New Order Lead Time WF dead line]], "LATE BY ENG", "ON TIME BY ENG")</f>
        <v>ON TIME BY ENG</v>
      </c>
      <c r="AB172" s="37"/>
      <c r="AC172" s="15" t="str">
        <f>IF(WFTracker[[#This Row],[Competion Date Content]] = FALSE, "C", "I")</f>
        <v>C</v>
      </c>
      <c r="AD1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72" s="105" t="str">
        <f ca="1">IF(WFTracker[[#This Row],[Impact Time Post RM]]&gt;0, "IMPACTED", "NOT IMPACTED")</f>
        <v>NOT IMPACTED</v>
      </c>
      <c r="AF172" s="15"/>
      <c r="AG172" s="18"/>
      <c r="AH172" s="14" t="str">
        <f>IF(WFTracker[[#This Row],[Status]]="C", "Closed", IF(WFTracker[[#This Row],[Status]] = "x", "Cancelled", WFTracker[[#This Row],[Impact Time Post RM]]))</f>
        <v>Closed</v>
      </c>
      <c r="AI172" s="14" t="str">
        <f ca="1">IF(WFTracker[[#This Row],[Impact Time Post RM]]&lt;=0,"ON TIME","LATE")</f>
        <v>ON TIME</v>
      </c>
      <c r="AJ172" s="14" t="s">
        <v>984</v>
      </c>
      <c r="AK172" s="14">
        <v>18</v>
      </c>
      <c r="AL172" s="915">
        <f>IF(WFTracker[[#This Row],[Type]]="MAKE", WFTracker[[#This Row],[Due date]]+Filters!$J$111, WFTracker[[#This Row],[Due date]]+Filters!$J$135)</f>
        <v>45843.072512647552</v>
      </c>
      <c r="AM172" s="102" cm="1">
        <f t="array" ref="AM1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3" spans="1:39" ht="14.45">
      <c r="A173" t="str">
        <f>IF(WFTracker[[#This Row],[Order Number]]="SWBD", "QED2", "PZ4")</f>
        <v>PZ4</v>
      </c>
      <c r="B173" s="21" t="s">
        <v>384</v>
      </c>
      <c r="C173" s="26" t="s">
        <v>1153</v>
      </c>
      <c r="D173" s="11" t="str">
        <f>WFTracker[[#This Row],[Order Number]]  &amp; "-" &amp; WFTracker[[#This Row],[Item]]</f>
        <v>0051306085-000280&amp;000290 </v>
      </c>
      <c r="E173" s="23" t="s">
        <v>350</v>
      </c>
      <c r="F173" s="12">
        <v>45849</v>
      </c>
      <c r="G173" s="12"/>
      <c r="H173" s="11" t="s">
        <v>252</v>
      </c>
      <c r="I173" s="11" t="s">
        <v>1154</v>
      </c>
      <c r="J173" s="13" t="s">
        <v>1155</v>
      </c>
      <c r="K173" s="14" t="s">
        <v>1023</v>
      </c>
      <c r="L173" s="15" t="s">
        <v>27</v>
      </c>
      <c r="M173" s="15" t="s">
        <v>1120</v>
      </c>
      <c r="N173" s="56">
        <v>45957</v>
      </c>
      <c r="O173" s="15">
        <f>NETWORKDAYS.INTL(WFTracker[[#This Row],[Start date]],WFTracker[[#This Row],[RM]],1,Holidays!D311:D326)</f>
        <v>13</v>
      </c>
      <c r="P173" s="12">
        <v>45833</v>
      </c>
      <c r="Q173" s="12">
        <v>45841</v>
      </c>
      <c r="R173" s="12">
        <v>45846</v>
      </c>
      <c r="S173" s="21" t="b">
        <f>ISBLANK(WFTracker[[#This Row],[Completion Date]])</f>
        <v>0</v>
      </c>
      <c r="T173" s="27" t="str">
        <f>TEXT(WFTracker[[#This Row],[Start date]],"mmm-yyyy")</f>
        <v>Jun-2025</v>
      </c>
      <c r="U173" s="11">
        <v>5</v>
      </c>
      <c r="V173" s="11">
        <f>NETWORKDAYS.INTL(WFTracker[[#This Row],[Start date]],WFTracker[[#This Row],[Due date]],1,Holidays!D311:D326)</f>
        <v>7</v>
      </c>
      <c r="W1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73" s="30">
        <f ca="1">WFTracker[[#This Row],[Active Time]]-WFTracker[[#This Row],[Completion Days Template]]</f>
        <v>3</v>
      </c>
      <c r="Y173" s="34" t="str">
        <f ca="1" xml:space="preserve"> IF(WFTracker[[#This Row],[Overdue Time '[Expected-Completion']]]&gt;0, "LATE","ON TIME")</f>
        <v>LATE</v>
      </c>
      <c r="Z173" s="34" t="str">
        <f ca="1">IF(WFTracker[[#This Row],[Overdue Time '[Expected-Completion']]] &gt;= 15, "SUPER LATE", Y173)</f>
        <v>LATE</v>
      </c>
      <c r="AA173" s="37" t="str">
        <f>IF(WFTracker[[#This Row],[Pre RM Opening Time]]&lt;WFTracker[[#This Row],[Old vs New Order Lead Time WF dead line]], "LATE BY ENG", "ON TIME BY ENG")</f>
        <v>ON TIME BY ENG</v>
      </c>
      <c r="AB173" s="37"/>
      <c r="AC173" s="15" t="str">
        <f>IF(WFTracker[[#This Row],[Competion Date Content]] = FALSE, "C", "I")</f>
        <v>C</v>
      </c>
      <c r="AD1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173" s="105" t="str">
        <f ca="1">IF(WFTracker[[#This Row],[Impact Time Post RM]]&gt;0, "IMPACTED", "NOT IMPACTED")</f>
        <v>NOT IMPACTED</v>
      </c>
      <c r="AF173" s="15"/>
      <c r="AG173" s="18"/>
      <c r="AH173" s="14" t="str">
        <f>IF(WFTracker[[#This Row],[Status]]="C", "Closed", IF(WFTracker[[#This Row],[Status]] = "x", "Cancelled", WFTracker[[#This Row],[Impact Time Post RM]]))</f>
        <v>Closed</v>
      </c>
      <c r="AI173" s="14" t="str">
        <f ca="1">IF(WFTracker[[#This Row],[Impact Time Post RM]]&lt;=0,"ON TIME","LATE")</f>
        <v>ON TIME</v>
      </c>
      <c r="AJ173" s="14" t="s">
        <v>984</v>
      </c>
      <c r="AK173" s="14">
        <v>18</v>
      </c>
      <c r="AL173" s="915">
        <f>IF(WFTracker[[#This Row],[Type]]="MAKE", WFTracker[[#This Row],[Due date]]+Filters!$J$111, WFTracker[[#This Row],[Due date]]+Filters!$J$135)</f>
        <v>45844.072512647552</v>
      </c>
      <c r="AM173" s="102" cm="1">
        <f t="array" ref="AM1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4" spans="1:39" ht="14.45">
      <c r="A174" t="str">
        <f>IF(WFTracker[[#This Row],[Order Number]]="SWBD", "QED2", "PZ4")</f>
        <v>PZ4</v>
      </c>
      <c r="B174" s="21" t="s">
        <v>379</v>
      </c>
      <c r="C174" s="26" t="s">
        <v>219</v>
      </c>
      <c r="D174" s="11" t="str">
        <f>WFTracker[[#This Row],[Order Number]]  &amp; "-" &amp; WFTracker[[#This Row],[Item]]</f>
        <v>0051427096-000120</v>
      </c>
      <c r="E174" s="23" t="s">
        <v>380</v>
      </c>
      <c r="F174" s="12">
        <v>45868</v>
      </c>
      <c r="G174" s="12"/>
      <c r="H174" s="11" t="s">
        <v>259</v>
      </c>
      <c r="I174" s="11" t="s">
        <v>260</v>
      </c>
      <c r="J174" s="13" t="s">
        <v>1156</v>
      </c>
      <c r="K174" s="14" t="s">
        <v>1023</v>
      </c>
      <c r="L174" s="15" t="s">
        <v>27</v>
      </c>
      <c r="M174" s="15" t="s">
        <v>1120</v>
      </c>
      <c r="N174" s="56">
        <v>45953</v>
      </c>
      <c r="O174" s="15">
        <f>NETWORKDAYS.INTL(WFTracker[[#This Row],[Start date]],WFTracker[[#This Row],[RM]],1,Holidays!D520:D535)</f>
        <v>26</v>
      </c>
      <c r="P174" s="12">
        <v>45833</v>
      </c>
      <c r="Q174" s="12">
        <v>45841</v>
      </c>
      <c r="R174" s="12">
        <v>45847</v>
      </c>
      <c r="S174" s="21" t="b">
        <f>ISBLANK(WFTracker[[#This Row],[Completion Date]])</f>
        <v>0</v>
      </c>
      <c r="T174" s="27" t="str">
        <f>TEXT(WFTracker[[#This Row],[Start date]],"mmm-yyyy")</f>
        <v>Jun-2025</v>
      </c>
      <c r="U174" s="11">
        <v>5</v>
      </c>
      <c r="V174" s="11">
        <f>NETWORKDAYS.INTL(WFTracker[[#This Row],[Start date]],WFTracker[[#This Row],[Due date]],1,Holidays!D520:D535)</f>
        <v>7</v>
      </c>
      <c r="W1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74" s="30">
        <f ca="1">WFTracker[[#This Row],[Active Time]]-WFTracker[[#This Row],[Completion Days Template]]</f>
        <v>4</v>
      </c>
      <c r="Y174" s="34" t="str">
        <f ca="1" xml:space="preserve"> IF(WFTracker[[#This Row],[Overdue Time '[Expected-Completion']]]&gt;0, "LATE","ON TIME")</f>
        <v>LATE</v>
      </c>
      <c r="Z174" s="34" t="str">
        <f ca="1">IF(WFTracker[[#This Row],[Overdue Time '[Expected-Completion']]] &gt;= 15, "SUPER LATE", Y174)</f>
        <v>LATE</v>
      </c>
      <c r="AA174" s="37" t="str">
        <f>IF(WFTracker[[#This Row],[Pre RM Opening Time]]&lt;WFTracker[[#This Row],[Old vs New Order Lead Time WF dead line]], "LATE BY ENG", "ON TIME BY ENG")</f>
        <v>ON TIME BY ENG</v>
      </c>
      <c r="AB174" s="37"/>
      <c r="AC174" s="15" t="str">
        <f>IF(WFTracker[[#This Row],[Competion Date Content]] = FALSE, "C", "I")</f>
        <v>C</v>
      </c>
      <c r="AD1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174" s="105" t="str">
        <f ca="1">IF(WFTracker[[#This Row],[Impact Time Post RM]]&gt;0, "IMPACTED", "NOT IMPACTED")</f>
        <v>NOT IMPACTED</v>
      </c>
      <c r="AF174" s="15"/>
      <c r="AG174" s="18"/>
      <c r="AH174" s="14" t="str">
        <f>IF(WFTracker[[#This Row],[Status]]="C", "Closed", IF(WFTracker[[#This Row],[Status]] = "x", "Cancelled", WFTracker[[#This Row],[Impact Time Post RM]]))</f>
        <v>Closed</v>
      </c>
      <c r="AI174" s="14" t="str">
        <f ca="1">IF(WFTracker[[#This Row],[Impact Time Post RM]]&lt;=0,"ON TIME","LATE")</f>
        <v>ON TIME</v>
      </c>
      <c r="AJ174" s="14" t="s">
        <v>984</v>
      </c>
      <c r="AK174" s="14">
        <v>18</v>
      </c>
      <c r="AL174" s="915">
        <f>IF(WFTracker[[#This Row],[Type]]="MAKE", WFTracker[[#This Row],[Due date]]+Filters!$J$111, WFTracker[[#This Row],[Due date]]+Filters!$J$135)</f>
        <v>45844.072512647552</v>
      </c>
      <c r="AM174" s="102" cm="1">
        <f t="array" ref="AM1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5" spans="1:39" ht="14.45">
      <c r="A175" t="str">
        <f>IF(WFTracker[[#This Row],[Order Number]]="SWBD", "QED2", "PZ4")</f>
        <v>PZ4</v>
      </c>
      <c r="B175" s="21" t="s">
        <v>333</v>
      </c>
      <c r="C175" s="26" t="s">
        <v>219</v>
      </c>
      <c r="D175" s="11" t="str">
        <f>WFTracker[[#This Row],[Order Number]]  &amp; "-" &amp; WFTracker[[#This Row],[Item]]</f>
        <v>0051283748-000120</v>
      </c>
      <c r="E175" s="23" t="s">
        <v>1042</v>
      </c>
      <c r="F175" s="12">
        <v>45838</v>
      </c>
      <c r="G175" s="12"/>
      <c r="H175" s="11" t="s">
        <v>99</v>
      </c>
      <c r="I175" s="11" t="s">
        <v>264</v>
      </c>
      <c r="J175" s="13" t="s">
        <v>335</v>
      </c>
      <c r="K175" s="14" t="s">
        <v>1017</v>
      </c>
      <c r="L175" s="15" t="s">
        <v>27</v>
      </c>
      <c r="M175" s="15" t="s">
        <v>1120</v>
      </c>
      <c r="N175" s="56">
        <v>45929</v>
      </c>
      <c r="O175" s="15">
        <f>NETWORKDAYS.INTL(WFTracker[[#This Row],[Start date]],WFTracker[[#This Row],[RM]],1,Holidays!D77:D92)</f>
        <v>3</v>
      </c>
      <c r="P175" s="12">
        <v>45834</v>
      </c>
      <c r="Q175" s="12">
        <v>45842</v>
      </c>
      <c r="R175" s="12">
        <v>45852</v>
      </c>
      <c r="S175" s="27" t="b">
        <f>ISBLANK(WFTracker[[#This Row],[Completion Date]])</f>
        <v>0</v>
      </c>
      <c r="T175" s="27" t="str">
        <f>TEXT(WFTracker[[#This Row],[Start date]],"mmm-yyyy")</f>
        <v>Jun-2025</v>
      </c>
      <c r="U175" s="11">
        <v>5</v>
      </c>
      <c r="V175" s="11">
        <f>NETWORKDAYS.INTL(WFTracker[[#This Row],[Start date]],WFTracker[[#This Row],[Due date]],1,Holidays!D77:D92)</f>
        <v>7</v>
      </c>
      <c r="W1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175" s="30">
        <f ca="1">WFTracker[[#This Row],[Active Time]]-WFTracker[[#This Row],[Completion Days Template]]</f>
        <v>6</v>
      </c>
      <c r="Y175" s="34" t="str">
        <f ca="1" xml:space="preserve"> IF(WFTracker[[#This Row],[Overdue Time '[Expected-Completion']]]&gt;0, "LATE","ON TIME")</f>
        <v>LATE</v>
      </c>
      <c r="Z175" s="34" t="str">
        <f ca="1">IF(WFTracker[[#This Row],[Overdue Time '[Expected-Completion']]] &gt;= 15, "SUPER LATE", Y175)</f>
        <v>LATE</v>
      </c>
      <c r="AA175" s="37" t="str">
        <f>IF(WFTracker[[#This Row],[Pre RM Opening Time]]&lt;WFTracker[[#This Row],[Old vs New Order Lead Time WF dead line]], "LATE BY ENG", "ON TIME BY ENG")</f>
        <v>LATE BY ENG</v>
      </c>
      <c r="AB175" s="37"/>
      <c r="AC175" s="15" t="str">
        <f>IF(WFTracker[[#This Row],[Competion Date Content]] = FALSE, "C", "I")</f>
        <v>C</v>
      </c>
      <c r="AD1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175" s="105" t="str">
        <f ca="1">IF(WFTracker[[#This Row],[Impact Time Post RM]]&gt;0, "IMPACTED", "NOT IMPACTED")</f>
        <v>IMPACTED</v>
      </c>
      <c r="AF175" s="15"/>
      <c r="AG175" s="18"/>
      <c r="AH175" s="14" t="str">
        <f>IF(WFTracker[[#This Row],[Status]]="C", "Closed", IF(WFTracker[[#This Row],[Status]] = "x", "Cancelled", WFTracker[[#This Row],[Impact Time Post RM]]))</f>
        <v>Closed</v>
      </c>
      <c r="AI175" s="14" t="str">
        <f ca="1">IF(WFTracker[[#This Row],[Impact Time Post RM]]&lt;=0,"ON TIME","LATE")</f>
        <v>LATE</v>
      </c>
      <c r="AJ175" s="14" t="s">
        <v>984</v>
      </c>
      <c r="AK175" s="14">
        <v>18</v>
      </c>
      <c r="AL175" s="915">
        <f>IF(WFTracker[[#This Row],[Type]]="MAKE", WFTracker[[#This Row],[Due date]]+Filters!$J$111, WFTracker[[#This Row],[Due date]]+Filters!$J$135)</f>
        <v>45845.072512647552</v>
      </c>
      <c r="AM175" s="101" cm="1">
        <f t="array" ref="AM1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6" spans="1:39" ht="14.45">
      <c r="A176" t="str">
        <f>IF(WFTracker[[#This Row],[Order Number]]="SWBD", "QED2", "PZ4")</f>
        <v>PZ4</v>
      </c>
      <c r="B176" s="21" t="s">
        <v>339</v>
      </c>
      <c r="C176" s="26" t="s">
        <v>135</v>
      </c>
      <c r="D176" s="11" t="str">
        <f>WFTracker[[#This Row],[Order Number]]  &amp; "-" &amp; WFTracker[[#This Row],[Item]]</f>
        <v>0051383209-000010</v>
      </c>
      <c r="E176" s="23" t="s">
        <v>340</v>
      </c>
      <c r="F176" s="12">
        <v>45848</v>
      </c>
      <c r="G176" s="12"/>
      <c r="H176" s="11" t="s">
        <v>273</v>
      </c>
      <c r="I176" s="11" t="s">
        <v>241</v>
      </c>
      <c r="J176" s="13" t="s">
        <v>348</v>
      </c>
      <c r="K176" s="14" t="s">
        <v>1017</v>
      </c>
      <c r="L176" s="15" t="s">
        <v>27</v>
      </c>
      <c r="M176" s="15" t="s">
        <v>1120</v>
      </c>
      <c r="N176" s="56">
        <v>45950</v>
      </c>
      <c r="O176" s="15">
        <f>NETWORKDAYS.INTL(WFTracker[[#This Row],[Start date]],WFTracker[[#This Row],[RM]],1,Holidays!D260:D275)</f>
        <v>11</v>
      </c>
      <c r="P176" s="12">
        <v>45834</v>
      </c>
      <c r="Q176" s="12">
        <v>45841</v>
      </c>
      <c r="R176" s="12">
        <v>45850</v>
      </c>
      <c r="S176" s="27" t="b">
        <f>ISBLANK(WFTracker[[#This Row],[Completion Date]])</f>
        <v>0</v>
      </c>
      <c r="T176" s="27" t="str">
        <f>TEXT(WFTracker[[#This Row],[Start date]],"mmm-yyyy")</f>
        <v>Jun-2025</v>
      </c>
      <c r="U176" s="11">
        <v>5</v>
      </c>
      <c r="V176" s="11">
        <f>NETWORKDAYS.INTL(WFTracker[[#This Row],[Start date]],WFTracker[[#This Row],[Due date]],1,Holidays!D260:D275)</f>
        <v>6</v>
      </c>
      <c r="W1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76" s="30">
        <f ca="1">WFTracker[[#This Row],[Active Time]]-WFTracker[[#This Row],[Completion Days Template]]</f>
        <v>6</v>
      </c>
      <c r="Y176" s="34" t="str">
        <f ca="1" xml:space="preserve"> IF(WFTracker[[#This Row],[Overdue Time '[Expected-Completion']]]&gt;0, "LATE","ON TIME")</f>
        <v>LATE</v>
      </c>
      <c r="Z176" s="34" t="str">
        <f ca="1">IF(WFTracker[[#This Row],[Overdue Time '[Expected-Completion']]] &gt;= 15, "SUPER LATE", Y176)</f>
        <v>LATE</v>
      </c>
      <c r="AA176" s="37" t="str">
        <f>IF(WFTracker[[#This Row],[Pre RM Opening Time]]&lt;WFTracker[[#This Row],[Old vs New Order Lead Time WF dead line]], "LATE BY ENG", "ON TIME BY ENG")</f>
        <v>ON TIME BY ENG</v>
      </c>
      <c r="AB176" s="37"/>
      <c r="AC176" s="15" t="str">
        <f>IF(WFTracker[[#This Row],[Competion Date Content]] = FALSE, "C", "I")</f>
        <v>C</v>
      </c>
      <c r="AD1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176" s="105" t="str">
        <f ca="1">IF(WFTracker[[#This Row],[Impact Time Post RM]]&gt;0, "IMPACTED", "NOT IMPACTED")</f>
        <v>IMPACTED</v>
      </c>
      <c r="AF176" s="15"/>
      <c r="AG176" s="18"/>
      <c r="AH176" s="14" t="str">
        <f>IF(WFTracker[[#This Row],[Status]]="C", "Closed", IF(WFTracker[[#This Row],[Status]] = "x", "Cancelled", WFTracker[[#This Row],[Impact Time Post RM]]))</f>
        <v>Closed</v>
      </c>
      <c r="AI176" s="14" t="str">
        <f ca="1">IF(WFTracker[[#This Row],[Impact Time Post RM]]&lt;=0,"ON TIME","LATE")</f>
        <v>LATE</v>
      </c>
      <c r="AJ176" s="14" t="s">
        <v>984</v>
      </c>
      <c r="AK176" s="14">
        <v>18</v>
      </c>
      <c r="AL176" s="915">
        <f>IF(WFTracker[[#This Row],[Type]]="MAKE", WFTracker[[#This Row],[Due date]]+Filters!$J$111, WFTracker[[#This Row],[Due date]]+Filters!$J$135)</f>
        <v>45844.072512647552</v>
      </c>
      <c r="AM176" s="101" cm="1">
        <f t="array" ref="AM1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7" spans="1:39" ht="14.45">
      <c r="A177" t="str">
        <f>IF(WFTracker[[#This Row],[Order Number]]="SWBD", "QED2", "PZ4")</f>
        <v>PZ4</v>
      </c>
      <c r="B177" s="21" t="s">
        <v>339</v>
      </c>
      <c r="C177" s="26" t="s">
        <v>135</v>
      </c>
      <c r="D177" s="11" t="str">
        <f>WFTracker[[#This Row],[Order Number]]  &amp; "-" &amp; WFTracker[[#This Row],[Item]]</f>
        <v>0051383209-000010</v>
      </c>
      <c r="E177" s="23" t="s">
        <v>340</v>
      </c>
      <c r="F177" s="12">
        <v>45848</v>
      </c>
      <c r="G177" s="12"/>
      <c r="H177" s="11" t="s">
        <v>273</v>
      </c>
      <c r="I177" s="11" t="s">
        <v>241</v>
      </c>
      <c r="J177" s="13" t="s">
        <v>344</v>
      </c>
      <c r="K177" s="14" t="s">
        <v>1017</v>
      </c>
      <c r="L177" s="15" t="s">
        <v>27</v>
      </c>
      <c r="M177" s="29" t="s">
        <v>1120</v>
      </c>
      <c r="N177" s="56">
        <v>45950</v>
      </c>
      <c r="O177" s="15">
        <f>NETWORKDAYS.INTL(WFTracker[[#This Row],[Start date]],WFTracker[[#This Row],[RM]],1,Holidays!D261:D276)</f>
        <v>11</v>
      </c>
      <c r="P177" s="12">
        <v>45834</v>
      </c>
      <c r="Q177" s="12">
        <v>45841</v>
      </c>
      <c r="R177" s="12">
        <v>45860</v>
      </c>
      <c r="S177" s="27" t="b">
        <f>ISBLANK(WFTracker[[#This Row],[Completion Date]])</f>
        <v>0</v>
      </c>
      <c r="T177" s="27" t="str">
        <f>TEXT(WFTracker[[#This Row],[Start date]],"mmm-yyyy")</f>
        <v>Jun-2025</v>
      </c>
      <c r="U177" s="11">
        <v>5</v>
      </c>
      <c r="V177" s="11">
        <f>NETWORKDAYS.INTL(WFTracker[[#This Row],[Start date]],WFTracker[[#This Row],[Due date]],1,Holidays!D261:D276)</f>
        <v>6</v>
      </c>
      <c r="W1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177" s="30">
        <f ca="1">WFTracker[[#This Row],[Active Time]]-WFTracker[[#This Row],[Completion Days Template]]</f>
        <v>13</v>
      </c>
      <c r="Y177" s="34" t="str">
        <f ca="1" xml:space="preserve"> IF(WFTracker[[#This Row],[Overdue Time '[Expected-Completion']]]&gt;0, "LATE","ON TIME")</f>
        <v>LATE</v>
      </c>
      <c r="Z177" s="34" t="str">
        <f ca="1">IF(WFTracker[[#This Row],[Overdue Time '[Expected-Completion']]] &gt;= 15, "SUPER LATE", Y177)</f>
        <v>LATE</v>
      </c>
      <c r="AA177" s="37" t="str">
        <f>IF(WFTracker[[#This Row],[Pre RM Opening Time]]&lt;WFTracker[[#This Row],[Old vs New Order Lead Time WF dead line]], "LATE BY ENG", "ON TIME BY ENG")</f>
        <v>ON TIME BY ENG</v>
      </c>
      <c r="AB177" s="37"/>
      <c r="AC177" s="15" t="str">
        <f>IF(WFTracker[[#This Row],[Competion Date Content]] = FALSE, "C", "I")</f>
        <v>C</v>
      </c>
      <c r="AD1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177" s="105" t="str">
        <f ca="1">IF(WFTracker[[#This Row],[Impact Time Post RM]]&gt;0, "IMPACTED", "NOT IMPACTED")</f>
        <v>IMPACTED</v>
      </c>
      <c r="AF177" s="15"/>
      <c r="AG177" s="18"/>
      <c r="AH177" s="14" t="str">
        <f>IF(WFTracker[[#This Row],[Status]]="C", "Closed", IF(WFTracker[[#This Row],[Status]] = "x", "Cancelled", WFTracker[[#This Row],[Impact Time Post RM]]))</f>
        <v>Closed</v>
      </c>
      <c r="AI177" s="14" t="str">
        <f ca="1">IF(WFTracker[[#This Row],[Impact Time Post RM]]&lt;=0,"ON TIME","LATE")</f>
        <v>LATE</v>
      </c>
      <c r="AJ177" s="14" t="s">
        <v>984</v>
      </c>
      <c r="AK177" s="14">
        <v>18</v>
      </c>
      <c r="AL177" s="915">
        <f>IF(WFTracker[[#This Row],[Type]]="MAKE", WFTracker[[#This Row],[Due date]]+Filters!$J$111, WFTracker[[#This Row],[Due date]]+Filters!$J$135)</f>
        <v>45844.072512647552</v>
      </c>
      <c r="AM177" s="101" cm="1">
        <f t="array" ref="AM1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8" spans="1:39" ht="14.45">
      <c r="A178" t="str">
        <f>IF(WFTracker[[#This Row],[Order Number]]="SWBD", "QED2", "PZ4")</f>
        <v>PZ4</v>
      </c>
      <c r="B178" t="s">
        <v>339</v>
      </c>
      <c r="C178" s="39" t="s">
        <v>135</v>
      </c>
      <c r="D178" s="11" t="str">
        <f>WFTracker[[#This Row],[Order Number]]  &amp; "-" &amp; WFTracker[[#This Row],[Item]]</f>
        <v>0051383209-000010</v>
      </c>
      <c r="E178" s="23" t="s">
        <v>340</v>
      </c>
      <c r="F178" s="12">
        <v>45848</v>
      </c>
      <c r="G178" s="12"/>
      <c r="H178" s="11" t="s">
        <v>273</v>
      </c>
      <c r="I178" s="11" t="s">
        <v>241</v>
      </c>
      <c r="J178" s="13" t="s">
        <v>345</v>
      </c>
      <c r="K178" s="14" t="s">
        <v>1017</v>
      </c>
      <c r="L178" s="15" t="s">
        <v>27</v>
      </c>
      <c r="M178" s="15" t="s">
        <v>1120</v>
      </c>
      <c r="N178" s="56">
        <v>45950</v>
      </c>
      <c r="O178" s="15">
        <f>NETWORKDAYS.INTL(WFTracker[[#This Row],[Start date]],WFTracker[[#This Row],[RM]],1,Holidays!D262:D277)</f>
        <v>11</v>
      </c>
      <c r="P178" s="12">
        <v>45834</v>
      </c>
      <c r="Q178" s="12">
        <v>45841</v>
      </c>
      <c r="R178" s="12">
        <v>45848</v>
      </c>
      <c r="S178" s="27" t="b">
        <f>ISBLANK(WFTracker[[#This Row],[Completion Date]])</f>
        <v>0</v>
      </c>
      <c r="T178" s="27" t="str">
        <f>TEXT(WFTracker[[#This Row],[Start date]],"mmm-yyyy")</f>
        <v>Jun-2025</v>
      </c>
      <c r="U178" s="11">
        <v>5</v>
      </c>
      <c r="V178" s="11">
        <f>NETWORKDAYS.INTL(WFTracker[[#This Row],[Start date]],WFTracker[[#This Row],[Due date]],1,Holidays!D262:D277)</f>
        <v>6</v>
      </c>
      <c r="W1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78" s="30">
        <f ca="1">WFTracker[[#This Row],[Active Time]]-WFTracker[[#This Row],[Completion Days Template]]</f>
        <v>5</v>
      </c>
      <c r="Y178" s="34" t="str">
        <f ca="1" xml:space="preserve"> IF(WFTracker[[#This Row],[Overdue Time '[Expected-Completion']]]&gt;0, "LATE","ON TIME")</f>
        <v>LATE</v>
      </c>
      <c r="Z178" s="34" t="str">
        <f ca="1">IF(WFTracker[[#This Row],[Overdue Time '[Expected-Completion']]] &gt;= 15, "SUPER LATE", Y178)</f>
        <v>LATE</v>
      </c>
      <c r="AA178" s="37" t="str">
        <f>IF(WFTracker[[#This Row],[Pre RM Opening Time]]&lt;WFTracker[[#This Row],[Old vs New Order Lead Time WF dead line]], "LATE BY ENG", "ON TIME BY ENG")</f>
        <v>ON TIME BY ENG</v>
      </c>
      <c r="AB178" s="37"/>
      <c r="AC178" s="15" t="str">
        <f>IF(WFTracker[[#This Row],[Competion Date Content]] = FALSE, "C", "I")</f>
        <v>C</v>
      </c>
      <c r="AD1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178" s="105" t="str">
        <f ca="1">IF(WFTracker[[#This Row],[Impact Time Post RM]]&gt;0, "IMPACTED", "NOT IMPACTED")</f>
        <v>IMPACTED</v>
      </c>
      <c r="AF178" s="15"/>
      <c r="AG178" s="18"/>
      <c r="AH178" s="14" t="str">
        <f>IF(WFTracker[[#This Row],[Status]]="C", "Closed", IF(WFTracker[[#This Row],[Status]] = "x", "Cancelled", WFTracker[[#This Row],[Impact Time Post RM]]))</f>
        <v>Closed</v>
      </c>
      <c r="AI178" s="14" t="str">
        <f ca="1">IF(WFTracker[[#This Row],[Impact Time Post RM]]&lt;=0,"ON TIME","LATE")</f>
        <v>LATE</v>
      </c>
      <c r="AJ178" s="14" t="s">
        <v>984</v>
      </c>
      <c r="AK178" s="14">
        <v>18</v>
      </c>
      <c r="AL178" s="915">
        <f>IF(WFTracker[[#This Row],[Type]]="MAKE", WFTracker[[#This Row],[Due date]]+Filters!$J$111, WFTracker[[#This Row],[Due date]]+Filters!$J$135)</f>
        <v>45844.072512647552</v>
      </c>
      <c r="AM178" s="101" cm="1">
        <f t="array" ref="AM17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79" spans="1:39" ht="14.45">
      <c r="A179" t="str">
        <f>IF(WFTracker[[#This Row],[Order Number]]="SWBD", "QED2", "PZ4")</f>
        <v>PZ4</v>
      </c>
      <c r="B179" s="21" t="s">
        <v>339</v>
      </c>
      <c r="C179" s="26" t="s">
        <v>135</v>
      </c>
      <c r="D179" s="11" t="str">
        <f>WFTracker[[#This Row],[Order Number]]  &amp; "-" &amp; WFTracker[[#This Row],[Item]]</f>
        <v>0051383209-000010</v>
      </c>
      <c r="E179" s="23" t="s">
        <v>340</v>
      </c>
      <c r="F179" s="12">
        <v>45848</v>
      </c>
      <c r="G179" s="12"/>
      <c r="H179" s="11" t="s">
        <v>273</v>
      </c>
      <c r="I179" s="11" t="s">
        <v>241</v>
      </c>
      <c r="J179" s="13" t="s">
        <v>341</v>
      </c>
      <c r="K179" s="14" t="s">
        <v>1017</v>
      </c>
      <c r="L179" s="15" t="s">
        <v>40</v>
      </c>
      <c r="M179" s="15" t="s">
        <v>1120</v>
      </c>
      <c r="N179" s="56">
        <v>45950</v>
      </c>
      <c r="O179" s="15">
        <f>NETWORKDAYS.INTL(WFTracker[[#This Row],[Start date]],WFTracker[[#This Row],[RM]],1,Holidays!D263:D278)</f>
        <v>11</v>
      </c>
      <c r="P179" s="12">
        <v>45834</v>
      </c>
      <c r="Q179" s="12">
        <v>45846</v>
      </c>
      <c r="R179" s="12">
        <v>45850</v>
      </c>
      <c r="S179" s="27" t="b">
        <f>ISBLANK(WFTracker[[#This Row],[Completion Date]])</f>
        <v>0</v>
      </c>
      <c r="T179" s="27" t="str">
        <f>TEXT(WFTracker[[#This Row],[Start date]],"mmm-yyyy")</f>
        <v>Jun-2025</v>
      </c>
      <c r="U179" s="11">
        <v>5</v>
      </c>
      <c r="V179" s="11">
        <f>NETWORKDAYS.INTL(WFTracker[[#This Row],[Start date]],WFTracker[[#This Row],[Due date]],1,Holidays!D263:D278)</f>
        <v>9</v>
      </c>
      <c r="W1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79" s="30">
        <f ca="1">WFTracker[[#This Row],[Active Time]]-WFTracker[[#This Row],[Completion Days Template]]</f>
        <v>3</v>
      </c>
      <c r="Y179" s="34" t="str">
        <f ca="1" xml:space="preserve"> IF(WFTracker[[#This Row],[Overdue Time '[Expected-Completion']]]&gt;0, "LATE","ON TIME")</f>
        <v>LATE</v>
      </c>
      <c r="Z179" s="34" t="str">
        <f ca="1">IF(WFTracker[[#This Row],[Overdue Time '[Expected-Completion']]] &gt;= 15, "SUPER LATE", Y179)</f>
        <v>LATE</v>
      </c>
      <c r="AA179" s="37" t="str">
        <f>IF(WFTracker[[#This Row],[Pre RM Opening Time]]&lt;WFTracker[[#This Row],[Old vs New Order Lead Time WF dead line]], "LATE BY ENG", "ON TIME BY ENG")</f>
        <v>ON TIME BY ENG</v>
      </c>
      <c r="AB179" s="37"/>
      <c r="AC179" s="15" t="str">
        <f>IF(WFTracker[[#This Row],[Competion Date Content]] = FALSE, "C", "I")</f>
        <v>C</v>
      </c>
      <c r="AD1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179" s="105" t="str">
        <f ca="1">IF(WFTracker[[#This Row],[Impact Time Post RM]]&gt;0, "IMPACTED", "NOT IMPACTED")</f>
        <v>IMPACTED</v>
      </c>
      <c r="AF179" s="15"/>
      <c r="AG179" s="18"/>
      <c r="AH179" s="14" t="str">
        <f>IF(WFTracker[[#This Row],[Status]]="C", "Closed", IF(WFTracker[[#This Row],[Status]] = "x", "Cancelled", WFTracker[[#This Row],[Impact Time Post RM]]))</f>
        <v>Closed</v>
      </c>
      <c r="AI179" s="14" t="str">
        <f ca="1">IF(WFTracker[[#This Row],[Impact Time Post RM]]&lt;=0,"ON TIME","LATE")</f>
        <v>LATE</v>
      </c>
      <c r="AJ179" s="14" t="s">
        <v>984</v>
      </c>
      <c r="AK179" s="14">
        <v>17</v>
      </c>
      <c r="AL179" s="915">
        <f>IF(WFTracker[[#This Row],[Type]]="MAKE", WFTracker[[#This Row],[Due date]]+Filters!$J$111, WFTracker[[#This Row],[Due date]]+Filters!$J$135)</f>
        <v>45846.415686274508</v>
      </c>
      <c r="AM179" s="101" cm="1">
        <f t="array" ref="AM1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0" spans="1:39" ht="14.45">
      <c r="A180" t="str">
        <f>IF(WFTracker[[#This Row],[Order Number]]="SWBD", "QED2", "PZ4")</f>
        <v>PZ4</v>
      </c>
      <c r="B180" s="21" t="s">
        <v>228</v>
      </c>
      <c r="C180" s="26" t="s">
        <v>135</v>
      </c>
      <c r="D180" s="11" t="str">
        <f>WFTracker[[#This Row],[Order Number]]  &amp; "-" &amp; WFTracker[[#This Row],[Item]]</f>
        <v>0051004478-000010</v>
      </c>
      <c r="E180" s="23" t="s">
        <v>1030</v>
      </c>
      <c r="F180" s="12">
        <v>45800</v>
      </c>
      <c r="G180" s="12"/>
      <c r="H180" s="11" t="s">
        <v>113</v>
      </c>
      <c r="I180" s="11" t="s">
        <v>24</v>
      </c>
      <c r="J180" s="13" t="s">
        <v>233</v>
      </c>
      <c r="K180" s="14" t="s">
        <v>1017</v>
      </c>
      <c r="L180" s="15" t="s">
        <v>27</v>
      </c>
      <c r="M180" s="15" t="s">
        <v>1120</v>
      </c>
      <c r="N180" s="56">
        <v>45939</v>
      </c>
      <c r="O180" s="15">
        <f>NETWORKDAYS.INTL(WFTracker[[#This Row],[Start date]],WFTracker[[#This Row],[RM]],1,Holidays!D264:D279)</f>
        <v>-28</v>
      </c>
      <c r="P180" s="12">
        <v>45839</v>
      </c>
      <c r="Q180" s="12">
        <v>45846</v>
      </c>
      <c r="R180" s="12">
        <v>45854</v>
      </c>
      <c r="S180" s="21" t="b">
        <f>ISBLANK(WFTracker[[#This Row],[Completion Date]])</f>
        <v>0</v>
      </c>
      <c r="T180" s="27" t="str">
        <f>TEXT(WFTracker[[#This Row],[Start date]],"mmm-yyyy")</f>
        <v>Jul-2025</v>
      </c>
      <c r="U180" s="11">
        <v>5</v>
      </c>
      <c r="V180" s="11">
        <f>NETWORKDAYS.INTL(WFTracker[[#This Row],[Start date]],WFTracker[[#This Row],[Due date]],1,Holidays!D264:D279)</f>
        <v>6</v>
      </c>
      <c r="W1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80" s="30">
        <f ca="1">WFTracker[[#This Row],[Active Time]]-WFTracker[[#This Row],[Completion Days Template]]</f>
        <v>6</v>
      </c>
      <c r="Y180" s="34" t="str">
        <f ca="1" xml:space="preserve"> IF(WFTracker[[#This Row],[Overdue Time '[Expected-Completion']]]&gt;0, "LATE","ON TIME")</f>
        <v>LATE</v>
      </c>
      <c r="Z180" s="34" t="str">
        <f ca="1">IF(WFTracker[[#This Row],[Overdue Time '[Expected-Completion']]] &gt;= 15, "SUPER LATE", Y180)</f>
        <v>LATE</v>
      </c>
      <c r="AA180" s="37" t="str">
        <f>IF(WFTracker[[#This Row],[Pre RM Opening Time]]&lt;WFTracker[[#This Row],[Old vs New Order Lead Time WF dead line]], "LATE BY ENG", "ON TIME BY ENG")</f>
        <v>LATE BY ENG</v>
      </c>
      <c r="AB180" s="37"/>
      <c r="AC180" s="15" t="str">
        <f>IF(WFTracker[[#This Row],[Competion Date Content]] = FALSE, "C", "I")</f>
        <v>C</v>
      </c>
      <c r="AD1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39</v>
      </c>
      <c r="AE180" s="105" t="str">
        <f ca="1">IF(WFTracker[[#This Row],[Impact Time Post RM]]&gt;0, "IMPACTED", "NOT IMPACTED")</f>
        <v>IMPACTED</v>
      </c>
      <c r="AF180" s="15"/>
      <c r="AG180" s="18"/>
      <c r="AH180" s="14" t="str">
        <f>IF(WFTracker[[#This Row],[Status]]="C", "Closed", IF(WFTracker[[#This Row],[Status]] = "x", "Cancelled", WFTracker[[#This Row],[Impact Time Post RM]]))</f>
        <v>Closed</v>
      </c>
      <c r="AI180" s="14" t="str">
        <f ca="1">IF(WFTracker[[#This Row],[Impact Time Post RM]]&lt;=0,"ON TIME","LATE")</f>
        <v>LATE</v>
      </c>
      <c r="AJ180" s="14" t="s">
        <v>984</v>
      </c>
      <c r="AK180" s="14">
        <v>18</v>
      </c>
      <c r="AL180" s="915">
        <f>IF(WFTracker[[#This Row],[Type]]="MAKE", WFTracker[[#This Row],[Due date]]+Filters!$J$111, WFTracker[[#This Row],[Due date]]+Filters!$J$135)</f>
        <v>45849.072512647552</v>
      </c>
      <c r="AM180" s="102" cm="1">
        <f t="array" ref="AM1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1" spans="1:39" ht="14.45">
      <c r="A181" t="str">
        <f>IF(WFTracker[[#This Row],[Order Number]]="SWBD", "QED2", "PZ4")</f>
        <v>PZ4</v>
      </c>
      <c r="B181" s="21" t="s">
        <v>384</v>
      </c>
      <c r="C181" s="26" t="s">
        <v>389</v>
      </c>
      <c r="D181" s="11" t="str">
        <f>WFTracker[[#This Row],[Order Number]]  &amp; "-" &amp; WFTracker[[#This Row],[Item]]</f>
        <v>0051306085-000300</v>
      </c>
      <c r="E181" s="23" t="s">
        <v>350</v>
      </c>
      <c r="F181" s="12">
        <v>45891</v>
      </c>
      <c r="G181" s="12"/>
      <c r="H181" s="11" t="s">
        <v>259</v>
      </c>
      <c r="I181" s="11" t="s">
        <v>1154</v>
      </c>
      <c r="J181" s="13" t="s">
        <v>1157</v>
      </c>
      <c r="K181" s="14" t="s">
        <v>1023</v>
      </c>
      <c r="L181" s="15" t="s">
        <v>27</v>
      </c>
      <c r="M181" s="15" t="s">
        <v>1120</v>
      </c>
      <c r="N181" s="56">
        <v>45789</v>
      </c>
      <c r="O181" s="15">
        <f>NETWORKDAYS.INTL(WFTracker[[#This Row],[Start date]],WFTracker[[#This Row],[RM]],1,Holidays!D603:D618)</f>
        <v>38</v>
      </c>
      <c r="P181" s="12">
        <v>45840</v>
      </c>
      <c r="Q181" s="12">
        <v>45847</v>
      </c>
      <c r="R181" s="12">
        <v>45847</v>
      </c>
      <c r="S181" s="21" t="b">
        <f>ISBLANK(WFTracker[[#This Row],[Completion Date]])</f>
        <v>0</v>
      </c>
      <c r="T181" s="27" t="str">
        <f>TEXT(WFTracker[[#This Row],[Start date]],"mmm-yyyy")</f>
        <v>Jul-2025</v>
      </c>
      <c r="U181" s="11">
        <v>5</v>
      </c>
      <c r="V181" s="11">
        <f>NETWORKDAYS.INTL(WFTracker[[#This Row],[Start date]],WFTracker[[#This Row],[Due date]],1,Holidays!D603:D618)</f>
        <v>6</v>
      </c>
      <c r="W1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81" s="30">
        <f ca="1">WFTracker[[#This Row],[Active Time]]-WFTracker[[#This Row],[Completion Days Template]]</f>
        <v>0</v>
      </c>
      <c r="Y181" s="34" t="str">
        <f ca="1" xml:space="preserve"> IF(WFTracker[[#This Row],[Overdue Time '[Expected-Completion']]]&gt;0, "LATE","ON TIME")</f>
        <v>ON TIME</v>
      </c>
      <c r="Z181" s="34" t="str">
        <f ca="1">IF(WFTracker[[#This Row],[Overdue Time '[Expected-Completion']]] &gt;= 15, "SUPER LATE", Y181)</f>
        <v>ON TIME</v>
      </c>
      <c r="AA181" s="37" t="str">
        <f>IF(WFTracker[[#This Row],[Pre RM Opening Time]]&lt;WFTracker[[#This Row],[Old vs New Order Lead Time WF dead line]], "LATE BY ENG", "ON TIME BY ENG")</f>
        <v>ON TIME BY ENG</v>
      </c>
      <c r="AB181" s="37"/>
      <c r="AC181" s="15" t="str">
        <f>IF(WFTracker[[#This Row],[Competion Date Content]] = FALSE, "C", "I")</f>
        <v>C</v>
      </c>
      <c r="AD1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-33</v>
      </c>
      <c r="AE181" s="105" t="str">
        <f ca="1">IF(WFTracker[[#This Row],[Impact Time Post RM]]&gt;0, "IMPACTED", "NOT IMPACTED")</f>
        <v>NOT IMPACTED</v>
      </c>
      <c r="AF181" s="15"/>
      <c r="AG181" s="18"/>
      <c r="AH181" s="14" t="str">
        <f>IF(WFTracker[[#This Row],[Status]]="C", "Closed", IF(WFTracker[[#This Row],[Status]] = "x", "Cancelled", WFTracker[[#This Row],[Impact Time Post RM]]))</f>
        <v>Closed</v>
      </c>
      <c r="AI181" s="14" t="str">
        <f ca="1">IF(WFTracker[[#This Row],[Impact Time Post RM]]&lt;=0,"ON TIME","LATE")</f>
        <v>ON TIME</v>
      </c>
      <c r="AJ181" s="14" t="s">
        <v>984</v>
      </c>
      <c r="AK181" s="14">
        <v>18</v>
      </c>
      <c r="AL181" s="915">
        <f>IF(WFTracker[[#This Row],[Type]]="MAKE", WFTracker[[#This Row],[Due date]]+Filters!$J$111, WFTracker[[#This Row],[Due date]]+Filters!$J$135)</f>
        <v>45850.072512647552</v>
      </c>
      <c r="AM181" s="102" cm="1">
        <f t="array" ref="AM1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2" spans="1:39" ht="14.45">
      <c r="A182" t="str">
        <f>IF(WFTracker[[#This Row],[Order Number]]="SWBD", "QED2", "PZ4")</f>
        <v>PZ4</v>
      </c>
      <c r="B182" s="21" t="s">
        <v>384</v>
      </c>
      <c r="C182" s="26" t="s">
        <v>389</v>
      </c>
      <c r="D182" s="11" t="str">
        <f>WFTracker[[#This Row],[Order Number]]  &amp; "-" &amp; WFTracker[[#This Row],[Item]]</f>
        <v>0051306085-000300</v>
      </c>
      <c r="E182" s="23" t="s">
        <v>350</v>
      </c>
      <c r="F182" s="12">
        <v>45891</v>
      </c>
      <c r="G182" s="12"/>
      <c r="H182" s="11" t="s">
        <v>259</v>
      </c>
      <c r="I182" s="11" t="s">
        <v>1154</v>
      </c>
      <c r="J182" s="13" t="s">
        <v>1158</v>
      </c>
      <c r="K182" s="14" t="s">
        <v>1023</v>
      </c>
      <c r="L182" s="15" t="s">
        <v>27</v>
      </c>
      <c r="M182" s="15" t="s">
        <v>1120</v>
      </c>
      <c r="N182" s="56">
        <v>45789</v>
      </c>
      <c r="O182" s="15">
        <f>NETWORKDAYS.INTL(WFTracker[[#This Row],[Start date]],WFTracker[[#This Row],[RM]],1,Holidays!D604:D619)</f>
        <v>38</v>
      </c>
      <c r="P182" s="12">
        <v>45840</v>
      </c>
      <c r="Q182" s="12">
        <v>45847</v>
      </c>
      <c r="R182" s="12">
        <v>45847</v>
      </c>
      <c r="S182" s="21" t="b">
        <f>ISBLANK(WFTracker[[#This Row],[Completion Date]])</f>
        <v>0</v>
      </c>
      <c r="T182" s="27" t="str">
        <f>TEXT(WFTracker[[#This Row],[Start date]],"mmm-yyyy")</f>
        <v>Jul-2025</v>
      </c>
      <c r="U182" s="11">
        <v>5</v>
      </c>
      <c r="V182" s="11">
        <f>NETWORKDAYS.INTL(WFTracker[[#This Row],[Start date]],WFTracker[[#This Row],[Due date]],1,Holidays!D604:D619)</f>
        <v>6</v>
      </c>
      <c r="W1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82" s="30">
        <f ca="1">WFTracker[[#This Row],[Active Time]]-WFTracker[[#This Row],[Completion Days Template]]</f>
        <v>0</v>
      </c>
      <c r="Y182" s="34" t="str">
        <f ca="1" xml:space="preserve"> IF(WFTracker[[#This Row],[Overdue Time '[Expected-Completion']]]&gt;0, "LATE","ON TIME")</f>
        <v>ON TIME</v>
      </c>
      <c r="Z182" s="34" t="str">
        <f ca="1">IF(WFTracker[[#This Row],[Overdue Time '[Expected-Completion']]] &gt;= 15, "SUPER LATE", Y182)</f>
        <v>ON TIME</v>
      </c>
      <c r="AA182" s="37" t="str">
        <f>IF(WFTracker[[#This Row],[Pre RM Opening Time]]&lt;WFTracker[[#This Row],[Old vs New Order Lead Time WF dead line]], "LATE BY ENG", "ON TIME BY ENG")</f>
        <v>ON TIME BY ENG</v>
      </c>
      <c r="AB182" s="37"/>
      <c r="AC182" s="15" t="str">
        <f>IF(WFTracker[[#This Row],[Competion Date Content]] = FALSE, "C", "I")</f>
        <v>C</v>
      </c>
      <c r="AD1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-33</v>
      </c>
      <c r="AE182" s="105" t="str">
        <f ca="1">IF(WFTracker[[#This Row],[Impact Time Post RM]]&gt;0, "IMPACTED", "NOT IMPACTED")</f>
        <v>NOT IMPACTED</v>
      </c>
      <c r="AF182" s="15"/>
      <c r="AG182" s="18"/>
      <c r="AH182" s="14" t="str">
        <f>IF(WFTracker[[#This Row],[Status]]="C", "Closed", IF(WFTracker[[#This Row],[Status]] = "x", "Cancelled", WFTracker[[#This Row],[Impact Time Post RM]]))</f>
        <v>Closed</v>
      </c>
      <c r="AI182" s="14" t="str">
        <f ca="1">IF(WFTracker[[#This Row],[Impact Time Post RM]]&lt;=0,"ON TIME","LATE")</f>
        <v>ON TIME</v>
      </c>
      <c r="AJ182" s="14" t="s">
        <v>984</v>
      </c>
      <c r="AK182" s="14">
        <v>18</v>
      </c>
      <c r="AL182" s="915">
        <f>IF(WFTracker[[#This Row],[Type]]="MAKE", WFTracker[[#This Row],[Due date]]+Filters!$J$111, WFTracker[[#This Row],[Due date]]+Filters!$J$135)</f>
        <v>45850.072512647552</v>
      </c>
      <c r="AM182" s="102" cm="1">
        <f t="array" ref="AM1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3" spans="1:39" ht="14.45">
      <c r="A183" t="str">
        <f>IF(WFTracker[[#This Row],[Order Number]]="SWBD", "QED2", "PZ4")</f>
        <v>PZ4</v>
      </c>
      <c r="B183" s="21" t="s">
        <v>384</v>
      </c>
      <c r="C183" s="26" t="s">
        <v>389</v>
      </c>
      <c r="D183" s="11" t="str">
        <f>WFTracker[[#This Row],[Order Number]]  &amp; "-" &amp; WFTracker[[#This Row],[Item]]</f>
        <v>0051306085-000300</v>
      </c>
      <c r="E183" s="23" t="s">
        <v>350</v>
      </c>
      <c r="F183" s="12">
        <v>45891</v>
      </c>
      <c r="G183" s="12"/>
      <c r="H183" s="11" t="s">
        <v>259</v>
      </c>
      <c r="I183" s="11" t="s">
        <v>1154</v>
      </c>
      <c r="J183" s="13" t="s">
        <v>1159</v>
      </c>
      <c r="K183" s="14" t="s">
        <v>1023</v>
      </c>
      <c r="L183" s="15" t="s">
        <v>27</v>
      </c>
      <c r="M183" s="15" t="s">
        <v>1120</v>
      </c>
      <c r="N183" s="56">
        <v>45789</v>
      </c>
      <c r="O183" s="15">
        <f>NETWORKDAYS.INTL(WFTracker[[#This Row],[Start date]],WFTracker[[#This Row],[RM]],1,Holidays!D605:D620)</f>
        <v>38</v>
      </c>
      <c r="P183" s="12">
        <v>45840</v>
      </c>
      <c r="Q183" s="12">
        <v>45847</v>
      </c>
      <c r="R183" s="12">
        <v>45855</v>
      </c>
      <c r="S183" s="21" t="b">
        <f>ISBLANK(WFTracker[[#This Row],[Completion Date]])</f>
        <v>0</v>
      </c>
      <c r="T183" s="27" t="str">
        <f>TEXT(WFTracker[[#This Row],[Start date]],"mmm-yyyy")</f>
        <v>Jul-2025</v>
      </c>
      <c r="U183" s="11">
        <v>5</v>
      </c>
      <c r="V183" s="11">
        <f>NETWORKDAYS.INTL(WFTracker[[#This Row],[Start date]],WFTracker[[#This Row],[Due date]],1,Holidays!D605:D620)</f>
        <v>6</v>
      </c>
      <c r="W1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83" s="30">
        <f ca="1">WFTracker[[#This Row],[Active Time]]-WFTracker[[#This Row],[Completion Days Template]]</f>
        <v>6</v>
      </c>
      <c r="Y183" s="34" t="str">
        <f ca="1" xml:space="preserve"> IF(WFTracker[[#This Row],[Overdue Time '[Expected-Completion']]]&gt;0, "LATE","ON TIME")</f>
        <v>LATE</v>
      </c>
      <c r="Z183" s="34" t="str">
        <f ca="1">IF(WFTracker[[#This Row],[Overdue Time '[Expected-Completion']]] &gt;= 15, "SUPER LATE", Y183)</f>
        <v>LATE</v>
      </c>
      <c r="AA183" s="37" t="str">
        <f>IF(WFTracker[[#This Row],[Pre RM Opening Time]]&lt;WFTracker[[#This Row],[Old vs New Order Lead Time WF dead line]], "LATE BY ENG", "ON TIME BY ENG")</f>
        <v>ON TIME BY ENG</v>
      </c>
      <c r="AB183" s="37"/>
      <c r="AC183" s="15" t="str">
        <f>IF(WFTracker[[#This Row],[Competion Date Content]] = FALSE, "C", "I")</f>
        <v>C</v>
      </c>
      <c r="AD1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183" s="105" t="str">
        <f ca="1">IF(WFTracker[[#This Row],[Impact Time Post RM]]&gt;0, "IMPACTED", "NOT IMPACTED")</f>
        <v>NOT IMPACTED</v>
      </c>
      <c r="AF183" s="15"/>
      <c r="AG183" s="18"/>
      <c r="AH183" s="14" t="str">
        <f>IF(WFTracker[[#This Row],[Status]]="C", "Closed", IF(WFTracker[[#This Row],[Status]] = "x", "Cancelled", WFTracker[[#This Row],[Impact Time Post RM]]))</f>
        <v>Closed</v>
      </c>
      <c r="AI183" s="14" t="str">
        <f ca="1">IF(WFTracker[[#This Row],[Impact Time Post RM]]&lt;=0,"ON TIME","LATE")</f>
        <v>ON TIME</v>
      </c>
      <c r="AJ183" s="14" t="s">
        <v>984</v>
      </c>
      <c r="AK183" s="14">
        <v>18</v>
      </c>
      <c r="AL183" s="915">
        <f>IF(WFTracker[[#This Row],[Type]]="MAKE", WFTracker[[#This Row],[Due date]]+Filters!$J$111, WFTracker[[#This Row],[Due date]]+Filters!$J$135)</f>
        <v>45850.072512647552</v>
      </c>
      <c r="AM183" s="102" cm="1">
        <f t="array" ref="AM1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4" spans="1:39" ht="14.45">
      <c r="A184" t="str">
        <f>IF(WFTracker[[#This Row],[Order Number]]="SWBD", "QED2", "PZ4")</f>
        <v>PZ4</v>
      </c>
      <c r="B184" s="21" t="s">
        <v>384</v>
      </c>
      <c r="C184" s="26" t="s">
        <v>389</v>
      </c>
      <c r="D184" s="11" t="str">
        <f>WFTracker[[#This Row],[Order Number]]  &amp; "-" &amp; WFTracker[[#This Row],[Item]]</f>
        <v>0051306085-000300</v>
      </c>
      <c r="E184" s="23" t="s">
        <v>350</v>
      </c>
      <c r="F184" s="12">
        <v>45891</v>
      </c>
      <c r="G184" s="12"/>
      <c r="H184" s="11" t="s">
        <v>259</v>
      </c>
      <c r="I184" s="11" t="s">
        <v>1154</v>
      </c>
      <c r="J184" s="13" t="s">
        <v>1160</v>
      </c>
      <c r="K184" s="14" t="s">
        <v>1023</v>
      </c>
      <c r="L184" s="15" t="s">
        <v>40</v>
      </c>
      <c r="M184" s="15" t="s">
        <v>1120</v>
      </c>
      <c r="N184" s="56">
        <v>45789</v>
      </c>
      <c r="O184" s="15">
        <f>NETWORKDAYS.INTL(WFTracker[[#This Row],[Start date]],WFTracker[[#This Row],[RM]],1,Holidays!D606:D621)</f>
        <v>38</v>
      </c>
      <c r="P184" s="12">
        <v>45840</v>
      </c>
      <c r="Q184" s="12">
        <v>45852</v>
      </c>
      <c r="R184" s="12">
        <v>45852</v>
      </c>
      <c r="S184" s="21" t="b">
        <f>ISBLANK(WFTracker[[#This Row],[Completion Date]])</f>
        <v>0</v>
      </c>
      <c r="T184" s="27" t="str">
        <f>TEXT(WFTracker[[#This Row],[Start date]],"mmm-yyyy")</f>
        <v>Jul-2025</v>
      </c>
      <c r="U184" s="11">
        <v>5</v>
      </c>
      <c r="V184" s="11">
        <f>NETWORKDAYS.INTL(WFTracker[[#This Row],[Start date]],WFTracker[[#This Row],[Due date]],1,Holidays!D606:D621)</f>
        <v>9</v>
      </c>
      <c r="W1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84" s="30">
        <f ca="1">WFTracker[[#This Row],[Active Time]]-WFTracker[[#This Row],[Completion Days Template]]</f>
        <v>0</v>
      </c>
      <c r="Y184" s="34" t="str">
        <f ca="1" xml:space="preserve"> IF(WFTracker[[#This Row],[Overdue Time '[Expected-Completion']]]&gt;0, "LATE","ON TIME")</f>
        <v>ON TIME</v>
      </c>
      <c r="Z184" s="34" t="str">
        <f ca="1">IF(WFTracker[[#This Row],[Overdue Time '[Expected-Completion']]] &gt;= 15, "SUPER LATE", Y184)</f>
        <v>ON TIME</v>
      </c>
      <c r="AA184" s="37" t="str">
        <f>IF(WFTracker[[#This Row],[Pre RM Opening Time]]&lt;WFTracker[[#This Row],[Old vs New Order Lead Time WF dead line]], "LATE BY ENG", "ON TIME BY ENG")</f>
        <v>ON TIME BY ENG</v>
      </c>
      <c r="AB184" s="37"/>
      <c r="AC184" s="15" t="str">
        <f>IF(WFTracker[[#This Row],[Competion Date Content]] = FALSE, "C", "I")</f>
        <v>C</v>
      </c>
      <c r="AD1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-30</v>
      </c>
      <c r="AE184" s="105" t="str">
        <f ca="1">IF(WFTracker[[#This Row],[Impact Time Post RM]]&gt;0, "IMPACTED", "NOT IMPACTED")</f>
        <v>NOT IMPACTED</v>
      </c>
      <c r="AF184" s="15"/>
      <c r="AG184" s="18"/>
      <c r="AH184" s="14" t="str">
        <f>IF(WFTracker[[#This Row],[Status]]="C", "Closed", IF(WFTracker[[#This Row],[Status]] = "x", "Cancelled", WFTracker[[#This Row],[Impact Time Post RM]]))</f>
        <v>Closed</v>
      </c>
      <c r="AI184" s="14" t="str">
        <f ca="1">IF(WFTracker[[#This Row],[Impact Time Post RM]]&lt;=0,"ON TIME","LATE")</f>
        <v>ON TIME</v>
      </c>
      <c r="AJ184" s="14" t="s">
        <v>984</v>
      </c>
      <c r="AK184" s="14">
        <v>17</v>
      </c>
      <c r="AL184" s="915">
        <f>IF(WFTracker[[#This Row],[Type]]="MAKE", WFTracker[[#This Row],[Due date]]+Filters!$J$111, WFTracker[[#This Row],[Due date]]+Filters!$J$135)</f>
        <v>45852.415686274508</v>
      </c>
      <c r="AM184" s="102" cm="1">
        <f t="array" ref="AM1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5" spans="1:39" ht="14.45">
      <c r="A185" t="str">
        <f>IF(WFTracker[[#This Row],[Order Number]]="SWBD", "QED2", "PZ4")</f>
        <v>PZ4</v>
      </c>
      <c r="B185" s="21" t="s">
        <v>302</v>
      </c>
      <c r="C185" s="26" t="s">
        <v>303</v>
      </c>
      <c r="D185" s="11" t="str">
        <f>WFTracker[[#This Row],[Order Number]]  &amp; "-" &amp; WFTracker[[#This Row],[Item]]</f>
        <v>0051020870-000840</v>
      </c>
      <c r="E185" s="23" t="s">
        <v>355</v>
      </c>
      <c r="F185" s="12">
        <v>45849</v>
      </c>
      <c r="G185" s="12"/>
      <c r="H185" s="11" t="s">
        <v>305</v>
      </c>
      <c r="I185" s="11" t="s">
        <v>1132</v>
      </c>
      <c r="J185" s="13" t="s">
        <v>1161</v>
      </c>
      <c r="K185" s="14" t="s">
        <v>1023</v>
      </c>
      <c r="L185" s="15" t="s">
        <v>27</v>
      </c>
      <c r="M185" s="15" t="s">
        <v>1123</v>
      </c>
      <c r="N185" s="56">
        <v>46080</v>
      </c>
      <c r="O185" s="15">
        <f>NETWORKDAYS.INTL(WFTracker[[#This Row],[Start date]],WFTracker[[#This Row],[RM]],1,Holidays!D132:D147)</f>
        <v>7</v>
      </c>
      <c r="P185" s="12">
        <v>45841</v>
      </c>
      <c r="Q185" s="12">
        <v>45849</v>
      </c>
      <c r="R185" s="12">
        <v>45854</v>
      </c>
      <c r="S185" s="27" t="b">
        <f>ISBLANK(WFTracker[[#This Row],[Completion Date]])</f>
        <v>0</v>
      </c>
      <c r="T185" s="27" t="str">
        <f>TEXT(WFTracker[[#This Row],[Start date]],"mmm-yyyy")</f>
        <v>Jul-2025</v>
      </c>
      <c r="U185" s="11">
        <v>5</v>
      </c>
      <c r="V185" s="11">
        <f>NETWORKDAYS.INTL(WFTracker[[#This Row],[Start date]],WFTracker[[#This Row],[Due date]],1,Holidays!D132:D147)</f>
        <v>7</v>
      </c>
      <c r="W1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185" s="30">
        <f ca="1">WFTracker[[#This Row],[Active Time]]-WFTracker[[#This Row],[Completion Days Template]]</f>
        <v>3</v>
      </c>
      <c r="Y185" s="34" t="str">
        <f ca="1" xml:space="preserve"> IF(WFTracker[[#This Row],[Overdue Time '[Expected-Completion']]]&gt;0, "LATE","ON TIME")</f>
        <v>LATE</v>
      </c>
      <c r="Z185" s="34" t="str">
        <f ca="1">IF(WFTracker[[#This Row],[Overdue Time '[Expected-Completion']]] &gt;= 15, "SUPER LATE", Y185)</f>
        <v>LATE</v>
      </c>
      <c r="AA185" s="37" t="str">
        <f>IF(WFTracker[[#This Row],[Pre RM Opening Time]]&lt;WFTracker[[#This Row],[Old vs New Order Lead Time WF dead line]], "LATE BY ENG", "ON TIME BY ENG")</f>
        <v>ON TIME BY ENG</v>
      </c>
      <c r="AB185" s="37"/>
      <c r="AC185" s="15" t="str">
        <f>IF(WFTracker[[#This Row],[Competion Date Content]] = FALSE, "C", "I")</f>
        <v>C</v>
      </c>
      <c r="AD1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185" s="105" t="str">
        <f ca="1">IF(WFTracker[[#This Row],[Impact Time Post RM]]&gt;0, "IMPACTED", "NOT IMPACTED")</f>
        <v>IMPACTED</v>
      </c>
      <c r="AF185" s="15"/>
      <c r="AG185" s="18"/>
      <c r="AH185" s="14" t="str">
        <f>IF(WFTracker[[#This Row],[Status]]="C", "Closed", IF(WFTracker[[#This Row],[Status]] = "x", "Cancelled", WFTracker[[#This Row],[Impact Time Post RM]]))</f>
        <v>Closed</v>
      </c>
      <c r="AI185" s="14" t="str">
        <f ca="1">IF(WFTracker[[#This Row],[Impact Time Post RM]]&lt;=0,"ON TIME","LATE")</f>
        <v>LATE</v>
      </c>
      <c r="AJ185" s="14" t="s">
        <v>984</v>
      </c>
      <c r="AK185" s="14">
        <v>18</v>
      </c>
      <c r="AL185" s="915">
        <f>IF(WFTracker[[#This Row],[Type]]="MAKE", WFTracker[[#This Row],[Due date]]+Filters!$J$111, WFTracker[[#This Row],[Due date]]+Filters!$J$135)</f>
        <v>45852.072512647552</v>
      </c>
      <c r="AM185" s="102" cm="1">
        <f t="array" ref="AM18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6" spans="1:39" ht="14.45">
      <c r="A186" t="str">
        <f>IF(WFTracker[[#This Row],[Order Number]]="SWBD", "QED2", "PZ4")</f>
        <v>PZ4</v>
      </c>
      <c r="B186" s="21" t="s">
        <v>302</v>
      </c>
      <c r="C186" s="26" t="s">
        <v>303</v>
      </c>
      <c r="D186" s="11" t="str">
        <f>WFTracker[[#This Row],[Order Number]]  &amp; "-" &amp; WFTracker[[#This Row],[Item]]</f>
        <v>0051020870-000840</v>
      </c>
      <c r="E186" s="23" t="s">
        <v>355</v>
      </c>
      <c r="F186" s="12">
        <v>45849</v>
      </c>
      <c r="G186" s="12"/>
      <c r="H186" s="11" t="s">
        <v>305</v>
      </c>
      <c r="I186" s="11" t="s">
        <v>1132</v>
      </c>
      <c r="J186" s="13" t="s">
        <v>1162</v>
      </c>
      <c r="K186" s="14" t="s">
        <v>1023</v>
      </c>
      <c r="L186" s="15" t="s">
        <v>40</v>
      </c>
      <c r="M186" s="15" t="s">
        <v>1123</v>
      </c>
      <c r="N186" s="56">
        <v>46080</v>
      </c>
      <c r="O186" s="15">
        <f>NETWORKDAYS.INTL(WFTracker[[#This Row],[Start date]],WFTracker[[#This Row],[RM]],1,Holidays!D133:D148)</f>
        <v>7</v>
      </c>
      <c r="P186" s="12">
        <v>45841</v>
      </c>
      <c r="Q186" s="12">
        <v>45853</v>
      </c>
      <c r="R186" s="12">
        <v>45852</v>
      </c>
      <c r="S186" s="27" t="b">
        <f>ISBLANK(WFTracker[[#This Row],[Completion Date]])</f>
        <v>0</v>
      </c>
      <c r="T186" s="27" t="str">
        <f>TEXT(WFTracker[[#This Row],[Start date]],"mmm-yyyy")</f>
        <v>Jul-2025</v>
      </c>
      <c r="U186" s="11">
        <v>5</v>
      </c>
      <c r="V186" s="11">
        <f>NETWORKDAYS.INTL(WFTracker[[#This Row],[Start date]],WFTracker[[#This Row],[Due date]],1,Holidays!D133:D148)</f>
        <v>9</v>
      </c>
      <c r="W1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186" s="30">
        <f ca="1">WFTracker[[#This Row],[Active Time]]-WFTracker[[#This Row],[Completion Days Template]]</f>
        <v>-1</v>
      </c>
      <c r="Y186" s="34" t="str">
        <f ca="1" xml:space="preserve"> IF(WFTracker[[#This Row],[Overdue Time '[Expected-Completion']]]&gt;0, "LATE","ON TIME")</f>
        <v>ON TIME</v>
      </c>
      <c r="Z186" s="34" t="str">
        <f ca="1">IF(WFTracker[[#This Row],[Overdue Time '[Expected-Completion']]] &gt;= 15, "SUPER LATE", Y186)</f>
        <v>ON TIME</v>
      </c>
      <c r="AA186" s="37" t="str">
        <f>IF(WFTracker[[#This Row],[Pre RM Opening Time]]&lt;WFTracker[[#This Row],[Old vs New Order Lead Time WF dead line]], "LATE BY ENG", "ON TIME BY ENG")</f>
        <v>ON TIME BY ENG</v>
      </c>
      <c r="AB186" s="37"/>
      <c r="AC186" s="15" t="str">
        <f>IF(WFTracker[[#This Row],[Competion Date Content]] = FALSE, "C", "I")</f>
        <v>C</v>
      </c>
      <c r="AD1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186" s="31" t="str">
        <f ca="1">IF(WFTracker[[#This Row],[Impact Time Post RM]]&gt;0, "IMPACTED", "NOT IMPACTED")</f>
        <v>IMPACTED</v>
      </c>
      <c r="AF186" s="15"/>
      <c r="AG186" s="18"/>
      <c r="AH186" s="14" t="str">
        <f>IF(WFTracker[[#This Row],[Status]]="C", "Closed", IF(WFTracker[[#This Row],[Status]] = "x", "Cancelled", WFTracker[[#This Row],[Impact Time Post RM]]))</f>
        <v>Closed</v>
      </c>
      <c r="AI186" s="14" t="str">
        <f ca="1">IF(WFTracker[[#This Row],[Impact Time Post RM]]&lt;=0,"ON TIME","LATE")</f>
        <v>LATE</v>
      </c>
      <c r="AJ186" s="14" t="s">
        <v>984</v>
      </c>
      <c r="AK186" s="14">
        <v>17</v>
      </c>
      <c r="AL186" s="915">
        <f>IF(WFTracker[[#This Row],[Type]]="MAKE", WFTracker[[#This Row],[Due date]]+Filters!$J$111, WFTracker[[#This Row],[Due date]]+Filters!$J$135)</f>
        <v>45853.415686274508</v>
      </c>
      <c r="AM186" s="102" cm="1">
        <f t="array" ref="AM1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7" spans="1:39" ht="14.45">
      <c r="A187" t="str">
        <f>IF(WFTracker[[#This Row],[Order Number]]="SWBD", "QED2", "PZ4")</f>
        <v>PZ4</v>
      </c>
      <c r="B187" s="21" t="s">
        <v>353</v>
      </c>
      <c r="C187" s="26" t="s">
        <v>135</v>
      </c>
      <c r="D187" s="11" t="str">
        <f>WFTracker[[#This Row],[Order Number]]  &amp; "-" &amp; WFTracker[[#This Row],[Item]]</f>
        <v>0051296915-000010</v>
      </c>
      <c r="E187" s="23" t="s">
        <v>354</v>
      </c>
      <c r="F187" s="12">
        <v>45869</v>
      </c>
      <c r="G187" s="12"/>
      <c r="H187" s="11" t="s">
        <v>80</v>
      </c>
      <c r="I187" s="11" t="s">
        <v>111</v>
      </c>
      <c r="J187" s="13" t="s">
        <v>1163</v>
      </c>
      <c r="K187" s="14" t="s">
        <v>1023</v>
      </c>
      <c r="L187" s="15" t="s">
        <v>27</v>
      </c>
      <c r="M187" s="15" t="s">
        <v>1120</v>
      </c>
      <c r="N187" s="56">
        <v>45982</v>
      </c>
      <c r="O187" s="15">
        <f>NETWORKDAYS.INTL(WFTracker[[#This Row],[Start date]],WFTracker[[#This Row],[RM]],1,Holidays!D489:D504)</f>
        <v>21</v>
      </c>
      <c r="P187" s="12">
        <v>45841</v>
      </c>
      <c r="Q187" s="12">
        <v>45852</v>
      </c>
      <c r="R187" s="12">
        <v>45856</v>
      </c>
      <c r="S187" s="27" t="b">
        <f>ISBLANK(WFTracker[[#This Row],[Completion Date]])</f>
        <v>0</v>
      </c>
      <c r="T187" s="27" t="str">
        <f>TEXT(WFTracker[[#This Row],[Start date]],"mmm-yyyy")</f>
        <v>Jul-2025</v>
      </c>
      <c r="U187" s="11">
        <v>5</v>
      </c>
      <c r="V187" s="11">
        <f>NETWORKDAYS.INTL(WFTracker[[#This Row],[Start date]],WFTracker[[#This Row],[Due date]],1,Holidays!D489:D504)</f>
        <v>8</v>
      </c>
      <c r="W1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87" s="30">
        <f ca="1">WFTracker[[#This Row],[Active Time]]-WFTracker[[#This Row],[Completion Days Template]]</f>
        <v>4</v>
      </c>
      <c r="Y187" s="34" t="str">
        <f ca="1" xml:space="preserve"> IF(WFTracker[[#This Row],[Overdue Time '[Expected-Completion']]]&gt;0, "LATE","ON TIME")</f>
        <v>LATE</v>
      </c>
      <c r="Z187" s="34" t="str">
        <f ca="1">IF(WFTracker[[#This Row],[Overdue Time '[Expected-Completion']]] &gt;= 15, "SUPER LATE", Y187)</f>
        <v>LATE</v>
      </c>
      <c r="AA187" s="37" t="str">
        <f>IF(WFTracker[[#This Row],[Pre RM Opening Time]]&lt;WFTracker[[#This Row],[Old vs New Order Lead Time WF dead line]], "LATE BY ENG", "ON TIME BY ENG")</f>
        <v>ON TIME BY ENG</v>
      </c>
      <c r="AB187" s="37"/>
      <c r="AC187" s="15" t="str">
        <f>IF(WFTracker[[#This Row],[Competion Date Content]] = FALSE, "C", "I")</f>
        <v>C</v>
      </c>
      <c r="AD1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187" s="105" t="str">
        <f ca="1">IF(WFTracker[[#This Row],[Impact Time Post RM]]&gt;0, "IMPACTED", "NOT IMPACTED")</f>
        <v>NOT IMPACTED</v>
      </c>
      <c r="AF187" s="15"/>
      <c r="AG187" s="18"/>
      <c r="AH187" s="14" t="str">
        <f>IF(WFTracker[[#This Row],[Status]]="C", "Closed", IF(WFTracker[[#This Row],[Status]] = "x", "Cancelled", WFTracker[[#This Row],[Impact Time Post RM]]))</f>
        <v>Closed</v>
      </c>
      <c r="AI187" s="14" t="str">
        <f ca="1">IF(WFTracker[[#This Row],[Impact Time Post RM]]&lt;=0,"ON TIME","LATE")</f>
        <v>ON TIME</v>
      </c>
      <c r="AJ187" s="14" t="s">
        <v>984</v>
      </c>
      <c r="AK187" s="14">
        <v>18</v>
      </c>
      <c r="AL187" s="915">
        <f>IF(WFTracker[[#This Row],[Type]]="MAKE", WFTracker[[#This Row],[Due date]]+Filters!$J$111, WFTracker[[#This Row],[Due date]]+Filters!$J$135)</f>
        <v>45855.072512647552</v>
      </c>
      <c r="AM187" s="102" cm="1">
        <f t="array" ref="AM1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8" spans="1:39" ht="14.45">
      <c r="A188" t="str">
        <f>IF(WFTracker[[#This Row],[Order Number]]="SWBD", "QED2", "PZ4")</f>
        <v>PZ4</v>
      </c>
      <c r="B188" s="21" t="s">
        <v>353</v>
      </c>
      <c r="C188" s="26" t="s">
        <v>135</v>
      </c>
      <c r="D188" s="11" t="str">
        <f>WFTracker[[#This Row],[Order Number]]  &amp; "-" &amp; WFTracker[[#This Row],[Item]]</f>
        <v>0051296915-000010</v>
      </c>
      <c r="E188" s="23" t="s">
        <v>354</v>
      </c>
      <c r="F188" s="12">
        <v>45869</v>
      </c>
      <c r="G188" s="12"/>
      <c r="H188" s="11" t="s">
        <v>80</v>
      </c>
      <c r="I188" s="11" t="s">
        <v>111</v>
      </c>
      <c r="J188" s="13" t="s">
        <v>1164</v>
      </c>
      <c r="K188" s="14" t="s">
        <v>1023</v>
      </c>
      <c r="L188" s="15" t="s">
        <v>40</v>
      </c>
      <c r="M188" s="15" t="s">
        <v>1120</v>
      </c>
      <c r="N188" s="56">
        <v>45982</v>
      </c>
      <c r="O188" s="15">
        <f>NETWORKDAYS.INTL(WFTracker[[#This Row],[Start date]],WFTracker[[#This Row],[RM]],1,Holidays!D490:D505)</f>
        <v>21</v>
      </c>
      <c r="P188" s="12">
        <v>45841</v>
      </c>
      <c r="Q188" s="12">
        <v>45855</v>
      </c>
      <c r="R188" s="12">
        <v>45855</v>
      </c>
      <c r="S188" s="27" t="b">
        <f>ISBLANK(WFTracker[[#This Row],[Completion Date]])</f>
        <v>0</v>
      </c>
      <c r="T188" s="27" t="str">
        <f>TEXT(WFTracker[[#This Row],[Start date]],"mmm-yyyy")</f>
        <v>Jul-2025</v>
      </c>
      <c r="U188" s="11">
        <v>5</v>
      </c>
      <c r="V188" s="11">
        <f>NETWORKDAYS.INTL(WFTracker[[#This Row],[Start date]],WFTracker[[#This Row],[Due date]],1,Holidays!D490:D505)</f>
        <v>11</v>
      </c>
      <c r="W1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88" s="30">
        <f ca="1">WFTracker[[#This Row],[Active Time]]-WFTracker[[#This Row],[Completion Days Template]]</f>
        <v>0</v>
      </c>
      <c r="Y188" s="34" t="str">
        <f ca="1" xml:space="preserve"> IF(WFTracker[[#This Row],[Overdue Time '[Expected-Completion']]]&gt;0, "LATE","ON TIME")</f>
        <v>ON TIME</v>
      </c>
      <c r="Z188" s="34" t="str">
        <f ca="1">IF(WFTracker[[#This Row],[Overdue Time '[Expected-Completion']]] &gt;= 15, "SUPER LATE", Y188)</f>
        <v>ON TIME</v>
      </c>
      <c r="AA188" s="37" t="str">
        <f>IF(WFTracker[[#This Row],[Pre RM Opening Time]]&lt;WFTracker[[#This Row],[Old vs New Order Lead Time WF dead line]], "LATE BY ENG", "ON TIME BY ENG")</f>
        <v>ON TIME BY ENG</v>
      </c>
      <c r="AB188" s="37"/>
      <c r="AC188" s="15" t="str">
        <f>IF(WFTracker[[#This Row],[Competion Date Content]] = FALSE, "C", "I")</f>
        <v>C</v>
      </c>
      <c r="AD1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188" s="105" t="str">
        <f ca="1">IF(WFTracker[[#This Row],[Impact Time Post RM]]&gt;0, "IMPACTED", "NOT IMPACTED")</f>
        <v>NOT IMPACTED</v>
      </c>
      <c r="AF188" s="15"/>
      <c r="AG188" s="18"/>
      <c r="AH188" s="14" t="str">
        <f>IF(WFTracker[[#This Row],[Status]]="C", "Closed", IF(WFTracker[[#This Row],[Status]] = "x", "Cancelled", WFTracker[[#This Row],[Impact Time Post RM]]))</f>
        <v>Closed</v>
      </c>
      <c r="AI188" s="14" t="str">
        <f ca="1">IF(WFTracker[[#This Row],[Impact Time Post RM]]&lt;=0,"ON TIME","LATE")</f>
        <v>ON TIME</v>
      </c>
      <c r="AJ188" s="14" t="s">
        <v>984</v>
      </c>
      <c r="AK188" s="14">
        <v>17</v>
      </c>
      <c r="AL188" s="915">
        <f>IF(WFTracker[[#This Row],[Type]]="MAKE", WFTracker[[#This Row],[Due date]]+Filters!$J$111, WFTracker[[#This Row],[Due date]]+Filters!$J$135)</f>
        <v>45855.415686274508</v>
      </c>
      <c r="AM188" s="102" cm="1">
        <f t="array" ref="AM1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89" spans="1:39" ht="14.45">
      <c r="A189" t="str">
        <f>IF(WFTracker[[#This Row],[Order Number]]="SWBD", "QED2", "PZ4")</f>
        <v>PZ4</v>
      </c>
      <c r="B189" t="s">
        <v>357</v>
      </c>
      <c r="C189" s="39" t="s">
        <v>1165</v>
      </c>
      <c r="D189" s="11" t="str">
        <f>WFTracker[[#This Row],[Order Number]]  &amp; "-" &amp; WFTracker[[#This Row],[Item]]</f>
        <v>0050866188-004960</v>
      </c>
      <c r="E189" s="23" t="s">
        <v>359</v>
      </c>
      <c r="F189" s="12">
        <v>45849</v>
      </c>
      <c r="G189" s="12"/>
      <c r="H189" s="11" t="s">
        <v>117</v>
      </c>
      <c r="I189" s="11" t="s">
        <v>111</v>
      </c>
      <c r="J189" s="13" t="s">
        <v>360</v>
      </c>
      <c r="K189" s="14" t="s">
        <v>1017</v>
      </c>
      <c r="L189" s="15" t="s">
        <v>40</v>
      </c>
      <c r="M189" s="15" t="s">
        <v>1120</v>
      </c>
      <c r="N189" s="56">
        <v>45950</v>
      </c>
      <c r="O189" s="15">
        <f>NETWORKDAYS.INTL(WFTracker[[#This Row],[Start date]],WFTracker[[#This Row],[RM]],1,Holidays!D93:D108)</f>
        <v>5</v>
      </c>
      <c r="P189" s="12">
        <v>45844</v>
      </c>
      <c r="Q189" s="12">
        <v>45853</v>
      </c>
      <c r="R189" s="12">
        <v>45867</v>
      </c>
      <c r="S189" s="27" t="b">
        <f>ISBLANK(WFTracker[[#This Row],[Completion Date]])</f>
        <v>0</v>
      </c>
      <c r="T189" s="27" t="str">
        <f>TEXT(WFTracker[[#This Row],[Start date]],"mmm-yyyy")</f>
        <v>Jul-2025</v>
      </c>
      <c r="U189" s="11">
        <v>5</v>
      </c>
      <c r="V189" s="11">
        <f>NETWORKDAYS.INTL(WFTracker[[#This Row],[Start date]],WFTracker[[#This Row],[Due date]],1,Holidays!D93:D108)</f>
        <v>7</v>
      </c>
      <c r="W1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189" s="30">
        <f ca="1">WFTracker[[#This Row],[Active Time]]-WFTracker[[#This Row],[Completion Days Template]]</f>
        <v>10</v>
      </c>
      <c r="Y189" s="34" t="str">
        <f ca="1" xml:space="preserve"> IF(WFTracker[[#This Row],[Overdue Time '[Expected-Completion']]]&gt;0, "LATE","ON TIME")</f>
        <v>LATE</v>
      </c>
      <c r="Z189" s="34" t="str">
        <f ca="1">IF(WFTracker[[#This Row],[Overdue Time '[Expected-Completion']]] &gt;= 15, "SUPER LATE", Y189)</f>
        <v>LATE</v>
      </c>
      <c r="AA189" s="37" t="str">
        <f>IF(WFTracker[[#This Row],[Pre RM Opening Time]]&lt;WFTracker[[#This Row],[Old vs New Order Lead Time WF dead line]], "LATE BY ENG", "ON TIME BY ENG")</f>
        <v>ON TIME BY ENG</v>
      </c>
      <c r="AB189" s="37"/>
      <c r="AC189" s="15" t="str">
        <f>IF(WFTracker[[#This Row],[Competion Date Content]] = FALSE, "C", "I")</f>
        <v>C</v>
      </c>
      <c r="AD1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13</v>
      </c>
      <c r="AE189" s="105" t="str">
        <f ca="1">IF(WFTracker[[#This Row],[Impact Time Post RM]]&gt;0, "IMPACTED", "NOT IMPACTED")</f>
        <v>IMPACTED</v>
      </c>
      <c r="AF189" s="15"/>
      <c r="AG189" s="18"/>
      <c r="AH189" s="14" t="str">
        <f>IF(WFTracker[[#This Row],[Status]]="C", "Closed", IF(WFTracker[[#This Row],[Status]] = "x", "Cancelled", WFTracker[[#This Row],[Impact Time Post RM]]))</f>
        <v>Closed</v>
      </c>
      <c r="AI189" s="14" t="str">
        <f ca="1">IF(WFTracker[[#This Row],[Impact Time Post RM]]&lt;=0,"ON TIME","LATE")</f>
        <v>LATE</v>
      </c>
      <c r="AJ189" s="14" t="s">
        <v>984</v>
      </c>
      <c r="AK189" s="14">
        <v>17</v>
      </c>
      <c r="AL189" s="915">
        <f>IF(WFTracker[[#This Row],[Type]]="MAKE", WFTracker[[#This Row],[Due date]]+Filters!$J$111, WFTracker[[#This Row],[Due date]]+Filters!$J$135)</f>
        <v>45853.415686274508</v>
      </c>
      <c r="AM189" s="101" cm="1">
        <f t="array" ref="AM1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0" spans="1:39" ht="14.45">
      <c r="A190" t="str">
        <f>IF(WFTracker[[#This Row],[Order Number]]="SWBD", "QED2", "PZ4")</f>
        <v>PZ4</v>
      </c>
      <c r="B190" s="21" t="s">
        <v>333</v>
      </c>
      <c r="C190" s="26" t="s">
        <v>219</v>
      </c>
      <c r="D190" s="11" t="str">
        <f>WFTracker[[#This Row],[Order Number]]  &amp; "-" &amp; WFTracker[[#This Row],[Item]]</f>
        <v>0051283748-000120</v>
      </c>
      <c r="E190" s="23" t="s">
        <v>1042</v>
      </c>
      <c r="F190" s="12">
        <v>45838</v>
      </c>
      <c r="G190" s="12"/>
      <c r="H190" s="11" t="s">
        <v>99</v>
      </c>
      <c r="I190" s="11" t="s">
        <v>264</v>
      </c>
      <c r="J190" s="13" t="s">
        <v>338</v>
      </c>
      <c r="K190" s="14" t="s">
        <v>1017</v>
      </c>
      <c r="L190" s="15" t="s">
        <v>27</v>
      </c>
      <c r="M190" s="15" t="s">
        <v>1120</v>
      </c>
      <c r="N190" s="56">
        <v>45929</v>
      </c>
      <c r="O190" s="15">
        <f>NETWORKDAYS.INTL(WFTracker[[#This Row],[Start date]],WFTracker[[#This Row],[RM]],1,Holidays!D46:D61)</f>
        <v>-6</v>
      </c>
      <c r="P190" s="12">
        <v>45845</v>
      </c>
      <c r="Q190" s="12">
        <v>45853</v>
      </c>
      <c r="R190" s="12">
        <v>45849</v>
      </c>
      <c r="S190" s="27" t="b">
        <f>ISBLANK(WFTracker[[#This Row],[Completion Date]])</f>
        <v>0</v>
      </c>
      <c r="T190" s="27" t="str">
        <f>TEXT(WFTracker[[#This Row],[Start date]],"mmm-yyyy")</f>
        <v>Jul-2025</v>
      </c>
      <c r="U190" s="11">
        <v>5</v>
      </c>
      <c r="V190" s="11">
        <f>NETWORKDAYS.INTL(WFTracker[[#This Row],[Start date]],WFTracker[[#This Row],[Due date]],1,Holidays!D46:D61)</f>
        <v>7</v>
      </c>
      <c r="W1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190" s="30">
        <f ca="1">WFTracker[[#This Row],[Active Time]]-WFTracker[[#This Row],[Completion Days Template]]</f>
        <v>-2</v>
      </c>
      <c r="Y190" s="34" t="str">
        <f ca="1" xml:space="preserve"> IF(WFTracker[[#This Row],[Overdue Time '[Expected-Completion']]]&gt;0, "LATE","ON TIME")</f>
        <v>ON TIME</v>
      </c>
      <c r="Z190" s="34" t="str">
        <f ca="1">IF(WFTracker[[#This Row],[Overdue Time '[Expected-Completion']]] &gt;= 15, "SUPER LATE", Y190)</f>
        <v>ON TIME</v>
      </c>
      <c r="AA190" s="37" t="str">
        <f>IF(WFTracker[[#This Row],[Pre RM Opening Time]]&lt;WFTracker[[#This Row],[Old vs New Order Lead Time WF dead line]], "LATE BY ENG", "ON TIME BY ENG")</f>
        <v>LATE BY ENG</v>
      </c>
      <c r="AB190" s="37"/>
      <c r="AC190" s="15" t="str">
        <f>IF(WFTracker[[#This Row],[Competion Date Content]] = FALSE, "C", "I")</f>
        <v>C</v>
      </c>
      <c r="AD1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190" s="105" t="str">
        <f ca="1">IF(WFTracker[[#This Row],[Impact Time Post RM]]&gt;0, "IMPACTED", "NOT IMPACTED")</f>
        <v>IMPACTED</v>
      </c>
      <c r="AF190" s="15"/>
      <c r="AG190" s="18"/>
      <c r="AH190" s="14" t="str">
        <f>IF(WFTracker[[#This Row],[Status]]="C", "Closed", IF(WFTracker[[#This Row],[Status]] = "x", "Cancelled", WFTracker[[#This Row],[Impact Time Post RM]]))</f>
        <v>Closed</v>
      </c>
      <c r="AI190" s="14" t="str">
        <f ca="1">IF(WFTracker[[#This Row],[Impact Time Post RM]]&lt;=0,"ON TIME","LATE")</f>
        <v>LATE</v>
      </c>
      <c r="AJ190" s="14" t="s">
        <v>984</v>
      </c>
      <c r="AK190" s="14">
        <v>18</v>
      </c>
      <c r="AL190" s="915">
        <f>IF(WFTracker[[#This Row],[Type]]="MAKE", WFTracker[[#This Row],[Due date]]+Filters!$J$111, WFTracker[[#This Row],[Due date]]+Filters!$J$135)</f>
        <v>45856.072512647552</v>
      </c>
      <c r="AM190" s="102" cm="1">
        <f t="array" ref="AM1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1" spans="1:39" ht="14.45">
      <c r="A191" t="str">
        <f>IF(WFTracker[[#This Row],[Order Number]]="SWBD", "QED2", "PZ4")</f>
        <v>PZ4</v>
      </c>
      <c r="B191" s="21" t="s">
        <v>357</v>
      </c>
      <c r="C191" s="26" t="s">
        <v>358</v>
      </c>
      <c r="D191" s="11" t="str">
        <f>WFTracker[[#This Row],[Order Number]]  &amp; "-" &amp; WFTracker[[#This Row],[Item]]</f>
        <v>0050866188-004690</v>
      </c>
      <c r="E191" s="23" t="s">
        <v>359</v>
      </c>
      <c r="F191" s="12">
        <v>45849</v>
      </c>
      <c r="G191" s="12"/>
      <c r="H191" s="11" t="s">
        <v>117</v>
      </c>
      <c r="I191" s="11" t="s">
        <v>111</v>
      </c>
      <c r="J191" s="13" t="s">
        <v>364</v>
      </c>
      <c r="K191" s="14" t="s">
        <v>1017</v>
      </c>
      <c r="L191" s="15" t="s">
        <v>27</v>
      </c>
      <c r="M191" s="15" t="s">
        <v>1120</v>
      </c>
      <c r="N191" s="56">
        <v>45950</v>
      </c>
      <c r="O191" s="15">
        <f>NETWORKDAYS.INTL(WFTracker[[#This Row],[Start date]],WFTracker[[#This Row],[RM]],1,Holidays!D94:D109)</f>
        <v>5</v>
      </c>
      <c r="P191" s="12">
        <v>45845</v>
      </c>
      <c r="Q191" s="12">
        <v>45852</v>
      </c>
      <c r="R191" s="12">
        <v>45860</v>
      </c>
      <c r="S191" s="27" t="b">
        <f>ISBLANK(WFTracker[[#This Row],[Completion Date]])</f>
        <v>0</v>
      </c>
      <c r="T191" s="27" t="str">
        <f>TEXT(WFTracker[[#This Row],[Start date]],"mmm-yyyy")</f>
        <v>Jul-2025</v>
      </c>
      <c r="U191" s="11">
        <v>5</v>
      </c>
      <c r="V191" s="11">
        <f>NETWORKDAYS.INTL(WFTracker[[#This Row],[Start date]],WFTracker[[#This Row],[Due date]],1,Holidays!D94:D109)</f>
        <v>6</v>
      </c>
      <c r="W1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91" s="30">
        <f ca="1">WFTracker[[#This Row],[Active Time]]-WFTracker[[#This Row],[Completion Days Template]]</f>
        <v>6</v>
      </c>
      <c r="Y191" s="34" t="str">
        <f ca="1" xml:space="preserve"> IF(WFTracker[[#This Row],[Overdue Time '[Expected-Completion']]]&gt;0, "LATE","ON TIME")</f>
        <v>LATE</v>
      </c>
      <c r="Z191" s="34" t="str">
        <f ca="1">IF(WFTracker[[#This Row],[Overdue Time '[Expected-Completion']]] &gt;= 15, "SUPER LATE", Y191)</f>
        <v>LATE</v>
      </c>
      <c r="AA191" s="37" t="str">
        <f>IF(WFTracker[[#This Row],[Pre RM Opening Time]]&lt;WFTracker[[#This Row],[Old vs New Order Lead Time WF dead line]], "LATE BY ENG", "ON TIME BY ENG")</f>
        <v>ON TIME BY ENG</v>
      </c>
      <c r="AB191" s="37"/>
      <c r="AC191" s="15" t="str">
        <f>IF(WFTracker[[#This Row],[Competion Date Content]] = FALSE, "C", "i")</f>
        <v>C</v>
      </c>
      <c r="AD1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191" s="105" t="str">
        <f ca="1">IF(WFTracker[[#This Row],[Impact Time Post RM]]&gt;0, "IMPACTED", "NOT IMPACTED")</f>
        <v>IMPACTED</v>
      </c>
      <c r="AF191" s="15"/>
      <c r="AG191" s="18"/>
      <c r="AH191" s="14" t="str">
        <f>IF(WFTracker[[#This Row],[Status]]="C", "Closed", IF(WFTracker[[#This Row],[Status]] = "x", "Cancelled", WFTracker[[#This Row],[Impact Time Post RM]]))</f>
        <v>Closed</v>
      </c>
      <c r="AI191" s="14" t="str">
        <f ca="1">IF(WFTracker[[#This Row],[Impact Time Post RM]]&lt;=0,"ON TIME","LATE")</f>
        <v>LATE</v>
      </c>
      <c r="AJ191" s="14" t="s">
        <v>984</v>
      </c>
      <c r="AK191" s="14">
        <v>18</v>
      </c>
      <c r="AL191" s="915">
        <f>IF(WFTracker[[#This Row],[Type]]="MAKE", WFTracker[[#This Row],[Due date]]+Filters!$J$111, WFTracker[[#This Row],[Due date]]+Filters!$J$135)</f>
        <v>45855.072512647552</v>
      </c>
      <c r="AM191" s="101" cm="1">
        <f t="array" ref="AM1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2" spans="1:39" ht="14.45">
      <c r="A192" t="str">
        <f>IF(WFTracker[[#This Row],[Order Number]]="SWBD", "QED2", "PZ4")</f>
        <v>PZ4</v>
      </c>
      <c r="B192" s="21" t="s">
        <v>357</v>
      </c>
      <c r="C192" s="26" t="s">
        <v>358</v>
      </c>
      <c r="D192" s="11" t="str">
        <f>WFTracker[[#This Row],[Order Number]]  &amp; "-" &amp; WFTracker[[#This Row],[Item]]</f>
        <v>0050866188-004690</v>
      </c>
      <c r="E192" s="23" t="s">
        <v>359</v>
      </c>
      <c r="F192" s="12">
        <v>45849</v>
      </c>
      <c r="G192" s="12"/>
      <c r="H192" s="11" t="s">
        <v>117</v>
      </c>
      <c r="I192" s="11" t="s">
        <v>111</v>
      </c>
      <c r="J192" s="13" t="s">
        <v>361</v>
      </c>
      <c r="K192" s="14" t="s">
        <v>1017</v>
      </c>
      <c r="L192" s="15" t="s">
        <v>40</v>
      </c>
      <c r="M192" s="15" t="s">
        <v>1120</v>
      </c>
      <c r="N192" s="56">
        <v>45950</v>
      </c>
      <c r="O192" s="15">
        <f>NETWORKDAYS.INTL(WFTracker[[#This Row],[Start date]],WFTracker[[#This Row],[RM]],1,Holidays!D95:D110)</f>
        <v>5</v>
      </c>
      <c r="P192" s="12">
        <v>45845</v>
      </c>
      <c r="Q192" s="12">
        <v>45855</v>
      </c>
      <c r="R192" s="12">
        <v>45859</v>
      </c>
      <c r="S192" s="27" t="b">
        <f>ISBLANK(WFTracker[[#This Row],[Completion Date]])</f>
        <v>0</v>
      </c>
      <c r="T192" s="27" t="str">
        <f>TEXT(WFTracker[[#This Row],[Start date]],"mmm-yyyy")</f>
        <v>Jul-2025</v>
      </c>
      <c r="U192" s="11">
        <v>5</v>
      </c>
      <c r="V192" s="11">
        <f>NETWORKDAYS.INTL(WFTracker[[#This Row],[Start date]],WFTracker[[#This Row],[Due date]],1,Holidays!D95:D110)</f>
        <v>9</v>
      </c>
      <c r="W1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192" s="30">
        <f ca="1">WFTracker[[#This Row],[Active Time]]-WFTracker[[#This Row],[Completion Days Template]]</f>
        <v>2</v>
      </c>
      <c r="Y192" s="34" t="str">
        <f ca="1" xml:space="preserve"> IF(WFTracker[[#This Row],[Overdue Time '[Expected-Completion']]]&gt;0, "LATE","ON TIME")</f>
        <v>LATE</v>
      </c>
      <c r="Z192" s="34" t="str">
        <f ca="1">IF(WFTracker[[#This Row],[Overdue Time '[Expected-Completion']]] &gt;= 15, "SUPER LATE", Y192)</f>
        <v>LATE</v>
      </c>
      <c r="AA192" s="37" t="str">
        <f>IF(WFTracker[[#This Row],[Pre RM Opening Time]]&lt;WFTracker[[#This Row],[Old vs New Order Lead Time WF dead line]], "LATE BY ENG", "ON TIME BY ENG")</f>
        <v>ON TIME BY ENG</v>
      </c>
      <c r="AB192" s="37"/>
      <c r="AC192" s="15" t="str">
        <f>IF(WFTracker[[#This Row],[Competion Date Content]] = FALSE, "C", "i")</f>
        <v>C</v>
      </c>
      <c r="AD1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192" s="105" t="str">
        <f ca="1">IF(WFTracker[[#This Row],[Impact Time Post RM]]&gt;0, "IMPACTED", "NOT IMPACTED")</f>
        <v>IMPACTED</v>
      </c>
      <c r="AF192" s="15"/>
      <c r="AG192" s="18"/>
      <c r="AH192" s="14" t="str">
        <f>IF(WFTracker[[#This Row],[Status]]="C", "Closed", IF(WFTracker[[#This Row],[Status]] = "x", "Cancelled", WFTracker[[#This Row],[Impact Time Post RM]]))</f>
        <v>Closed</v>
      </c>
      <c r="AI192" s="14" t="str">
        <f ca="1">IF(WFTracker[[#This Row],[Impact Time Post RM]]&lt;=0,"ON TIME","LATE")</f>
        <v>LATE</v>
      </c>
      <c r="AJ192" s="14" t="s">
        <v>984</v>
      </c>
      <c r="AK192" s="14">
        <v>17</v>
      </c>
      <c r="AL192" s="915">
        <f>IF(WFTracker[[#This Row],[Type]]="MAKE", WFTracker[[#This Row],[Due date]]+Filters!$J$111, WFTracker[[#This Row],[Due date]]+Filters!$J$135)</f>
        <v>45855.415686274508</v>
      </c>
      <c r="AM192" s="101" cm="1">
        <f t="array" ref="AM1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3" spans="1:39" ht="14.45">
      <c r="A193" t="str">
        <f>IF(WFTracker[[#This Row],[Order Number]]="SWBD", "QED2", "PZ4")</f>
        <v>PZ4</v>
      </c>
      <c r="B193" s="21" t="s">
        <v>734</v>
      </c>
      <c r="C193" s="26" t="s">
        <v>135</v>
      </c>
      <c r="D193" s="11" t="str">
        <f>WFTracker[[#This Row],[Order Number]]  &amp; "-" &amp; WFTracker[[#This Row],[Item]]</f>
        <v>0051461793-000010</v>
      </c>
      <c r="E193" s="23" t="s">
        <v>735</v>
      </c>
      <c r="F193" s="12">
        <v>45838</v>
      </c>
      <c r="G193" s="12">
        <v>46031</v>
      </c>
      <c r="H193" s="11" t="s">
        <v>156</v>
      </c>
      <c r="I193" s="11" t="s">
        <v>984</v>
      </c>
      <c r="J193" s="13" t="s">
        <v>1166</v>
      </c>
      <c r="K193" s="14" t="s">
        <v>1023</v>
      </c>
      <c r="L193" s="15" t="s">
        <v>27</v>
      </c>
      <c r="M193" s="15" t="s">
        <v>1120</v>
      </c>
      <c r="N193" s="57">
        <v>46098</v>
      </c>
      <c r="O193" s="15">
        <f>NETWORKDAYS.INTL(WFTracker[[#This Row],[Start date]],WFTracker[[#This Row],[RM]],1,Holidays!D42:D57)</f>
        <v>-8</v>
      </c>
      <c r="P193" s="12">
        <v>45847</v>
      </c>
      <c r="Q193" s="12">
        <v>45854</v>
      </c>
      <c r="R193" s="12">
        <v>45855</v>
      </c>
      <c r="S193" s="27" t="b">
        <f>ISBLANK(WFTracker[[#This Row],[Completion Date]])</f>
        <v>0</v>
      </c>
      <c r="T193" s="27" t="str">
        <f>TEXT(WFTracker[[#This Row],[Start date]],"mmm-yyyy")</f>
        <v>Jul-2025</v>
      </c>
      <c r="U193" s="11">
        <v>5</v>
      </c>
      <c r="V193" s="11">
        <f>NETWORKDAYS.INTL(WFTracker[[#This Row],[Start date]],WFTracker[[#This Row],[Due date]],1,Holidays!D42:D57)</f>
        <v>6</v>
      </c>
      <c r="W1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93" s="30">
        <f ca="1">WFTracker[[#This Row],[Active Time]]-WFTracker[[#This Row],[Completion Days Template]]</f>
        <v>1</v>
      </c>
      <c r="Y193" s="34" t="str">
        <f ca="1" xml:space="preserve"> IF(WFTracker[[#This Row],[Overdue Time '[Expected-Completion']]]&gt;0, "LATE","ON TIME")</f>
        <v>LATE</v>
      </c>
      <c r="Z193" s="34" t="str">
        <f ca="1">IF(WFTracker[[#This Row],[Overdue Time '[Expected-Completion']]] &gt;= 15, "SUPER LATE", Y193)</f>
        <v>LATE</v>
      </c>
      <c r="AA193" s="37" t="str">
        <f>IF(WFTracker[[#This Row],[Pre RM Opening Time]]&lt;WFTracker[[#This Row],[Old vs New Order Lead Time WF dead line]], "LATE BY ENG", "ON TIME BY ENG")</f>
        <v>LATE BY ENG</v>
      </c>
      <c r="AB193" s="37"/>
      <c r="AC193" s="15" t="str">
        <f>IF(WFTracker[[#This Row],[Competion Date Content]] = FALSE, "C", "I")</f>
        <v>C</v>
      </c>
      <c r="AD1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14</v>
      </c>
      <c r="AE193" s="105" t="str">
        <f ca="1">IF(WFTracker[[#This Row],[Impact Time Post RM]]&gt;0, "IMPACTED", "NOT IMPACTED")</f>
        <v>IMPACTED</v>
      </c>
      <c r="AF193" s="15"/>
      <c r="AG193" s="18"/>
      <c r="AH193" s="14" t="str">
        <f>IF(WFTracker[[#This Row],[Status]]="C", "Closed", IF(WFTracker[[#This Row],[Status]] = "x", "Cancelled", WFTracker[[#This Row],[Impact Time Post RM]]))</f>
        <v>Closed</v>
      </c>
      <c r="AI193" s="14" t="str">
        <f ca="1">IF(WFTracker[[#This Row],[Impact Time Post RM]]&lt;=0,"ON TIME","LATE")</f>
        <v>LATE</v>
      </c>
      <c r="AJ193" s="14" t="s">
        <v>984</v>
      </c>
      <c r="AK193" s="14">
        <v>18</v>
      </c>
      <c r="AL193" s="915">
        <f>IF(WFTracker[[#This Row],[Type]]="MAKE", WFTracker[[#This Row],[Due date]]+Filters!$J$111, WFTracker[[#This Row],[Due date]]+Filters!$J$135)</f>
        <v>45857.072512647552</v>
      </c>
      <c r="AM193" s="101" cm="1">
        <f t="array" ref="AM1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4" spans="1:39" ht="14.45">
      <c r="A194" t="str">
        <f>IF(WFTracker[[#This Row],[Order Number]]="SWBD", "QED2", "PZ4")</f>
        <v>PZ4</v>
      </c>
      <c r="B194" s="21" t="s">
        <v>734</v>
      </c>
      <c r="C194" s="26" t="s">
        <v>135</v>
      </c>
      <c r="D194" s="11" t="str">
        <f>WFTracker[[#This Row],[Order Number]]  &amp; "-" &amp; WFTracker[[#This Row],[Item]]</f>
        <v>0051461793-000010</v>
      </c>
      <c r="E194" s="23" t="s">
        <v>735</v>
      </c>
      <c r="F194" s="12">
        <v>45891</v>
      </c>
      <c r="G194" s="12">
        <v>46031</v>
      </c>
      <c r="H194" s="11" t="s">
        <v>156</v>
      </c>
      <c r="I194" s="11" t="s">
        <v>984</v>
      </c>
      <c r="J194" s="13" t="s">
        <v>1167</v>
      </c>
      <c r="K194" s="14" t="s">
        <v>1023</v>
      </c>
      <c r="L194" s="15" t="s">
        <v>40</v>
      </c>
      <c r="M194" s="15" t="s">
        <v>1120</v>
      </c>
      <c r="N194" s="57">
        <v>46098</v>
      </c>
      <c r="O194" s="15">
        <f>NETWORKDAYS.INTL(WFTracker[[#This Row],[Start date]],WFTracker[[#This Row],[RM]],1,Holidays!D584:D599)</f>
        <v>33</v>
      </c>
      <c r="P194" s="12">
        <v>45847</v>
      </c>
      <c r="Q194" s="12">
        <v>45859</v>
      </c>
      <c r="R194" s="12">
        <v>45855</v>
      </c>
      <c r="S194" s="27" t="b">
        <f>ISBLANK(WFTracker[[#This Row],[Completion Date]])</f>
        <v>0</v>
      </c>
      <c r="T194" s="27" t="str">
        <f>TEXT(WFTracker[[#This Row],[Start date]],"mmm-yyyy")</f>
        <v>Jul-2025</v>
      </c>
      <c r="U194" s="11">
        <v>5</v>
      </c>
      <c r="V194" s="11">
        <f>NETWORKDAYS.INTL(WFTracker[[#This Row],[Start date]],WFTracker[[#This Row],[Due date]],1,Holidays!D584:D599)</f>
        <v>9</v>
      </c>
      <c r="W1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194" s="30">
        <f ca="1">WFTracker[[#This Row],[Active Time]]-WFTracker[[#This Row],[Completion Days Template]]</f>
        <v>-2</v>
      </c>
      <c r="Y194" s="34" t="str">
        <f ca="1" xml:space="preserve"> IF(WFTracker[[#This Row],[Overdue Time '[Expected-Completion']]]&gt;0, "LATE","ON TIME")</f>
        <v>ON TIME</v>
      </c>
      <c r="Z194" s="34" t="str">
        <f ca="1">IF(WFTracker[[#This Row],[Overdue Time '[Expected-Completion']]] &gt;= 15, "SUPER LATE", Y194)</f>
        <v>ON TIME</v>
      </c>
      <c r="AA194" s="37" t="str">
        <f>IF(WFTracker[[#This Row],[Pre RM Opening Time]]&lt;WFTracker[[#This Row],[Old vs New Order Lead Time WF dead line]], "LATE BY ENG", "ON TIME BY ENG")</f>
        <v>ON TIME BY ENG</v>
      </c>
      <c r="AB194" s="37"/>
      <c r="AC194" s="15" t="str">
        <f>IF(WFTracker[[#This Row],[Competion Date Content]] = FALSE, "C", "I")</f>
        <v>C</v>
      </c>
      <c r="AD1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194" s="31" t="str">
        <f ca="1">IF(WFTracker[[#This Row],[Impact Time Post RM]]&gt;0, "IMPACTED", "NOT IMPACTED")</f>
        <v>NOT IMPACTED</v>
      </c>
      <c r="AF194" s="15"/>
      <c r="AG194" s="18"/>
      <c r="AH194" s="14" t="str">
        <f>IF(WFTracker[[#This Row],[Status]]="C", "Closed", IF(WFTracker[[#This Row],[Status]] = "x", "Cancelled", WFTracker[[#This Row],[Impact Time Post RM]]))</f>
        <v>Closed</v>
      </c>
      <c r="AI194" s="14" t="str">
        <f ca="1">IF(WFTracker[[#This Row],[Impact Time Post RM]]&lt;=0,"ON TIME","LATE")</f>
        <v>ON TIME</v>
      </c>
      <c r="AJ194" s="14" t="s">
        <v>984</v>
      </c>
      <c r="AK194" s="14">
        <v>17</v>
      </c>
      <c r="AL194" s="915">
        <f>IF(WFTracker[[#This Row],[Type]]="MAKE", WFTracker[[#This Row],[Due date]]+Filters!$J$111, WFTracker[[#This Row],[Due date]]+Filters!$J$135)</f>
        <v>45859.415686274508</v>
      </c>
      <c r="AM194" s="101" cm="1">
        <f t="array" ref="AM19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5" spans="1:39" ht="14.45">
      <c r="A195" t="str">
        <f>IF(WFTracker[[#This Row],[Order Number]]="SWBD", "QED2", "PZ4")</f>
        <v>PZ4</v>
      </c>
      <c r="B195" t="s">
        <v>1168</v>
      </c>
      <c r="C195" s="39" t="s">
        <v>385</v>
      </c>
      <c r="D195" s="11" t="str">
        <f>WFTracker[[#This Row],[Order Number]]  &amp; "-" &amp; WFTracker[[#This Row],[Item]]</f>
        <v>0051306085
-000310</v>
      </c>
      <c r="E195" s="23" t="s">
        <v>350</v>
      </c>
      <c r="F195" s="12">
        <v>45891</v>
      </c>
      <c r="G195" s="12"/>
      <c r="H195" s="11" t="s">
        <v>259</v>
      </c>
      <c r="I195" s="11" t="s">
        <v>1154</v>
      </c>
      <c r="J195" s="13" t="s">
        <v>1169</v>
      </c>
      <c r="K195" s="14" t="s">
        <v>1023</v>
      </c>
      <c r="L195" s="15" t="s">
        <v>40</v>
      </c>
      <c r="M195" s="15" t="s">
        <v>1120</v>
      </c>
      <c r="N195" s="56">
        <v>45789</v>
      </c>
      <c r="O195" s="15">
        <f>NETWORKDAYS.INTL(WFTracker[[#This Row],[Start date]],WFTracker[[#This Row],[RM]],1,Holidays!D580:D595)</f>
        <v>32</v>
      </c>
      <c r="P195" s="12">
        <v>45848</v>
      </c>
      <c r="Q195" s="12">
        <v>45860</v>
      </c>
      <c r="R195" s="12">
        <v>45867</v>
      </c>
      <c r="S195" s="27" t="b">
        <f>ISBLANK(WFTracker[[#This Row],[Completion Date]])</f>
        <v>0</v>
      </c>
      <c r="T195" s="27" t="str">
        <f>TEXT(WFTracker[[#This Row],[Start date]],"mmm-yyyy")</f>
        <v>Jul-2025</v>
      </c>
      <c r="U195" s="11">
        <v>5</v>
      </c>
      <c r="V195" s="11">
        <f>NETWORKDAYS.INTL(WFTracker[[#This Row],[Start date]],WFTracker[[#This Row],[Due date]],1,Holidays!D580:D595)</f>
        <v>9</v>
      </c>
      <c r="W1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195" s="30">
        <f ca="1">WFTracker[[#This Row],[Active Time]]-WFTracker[[#This Row],[Completion Days Template]]</f>
        <v>5</v>
      </c>
      <c r="Y195" s="34" t="str">
        <f ca="1" xml:space="preserve"> IF(WFTracker[[#This Row],[Overdue Time '[Expected-Completion']]]&gt;0, "LATE","ON TIME")</f>
        <v>LATE</v>
      </c>
      <c r="Z195" s="34" t="str">
        <f ca="1">IF(WFTracker[[#This Row],[Overdue Time '[Expected-Completion']]] &gt;= 15, "SUPER LATE", Y195)</f>
        <v>LATE</v>
      </c>
      <c r="AA195" s="37" t="str">
        <f>IF(WFTracker[[#This Row],[Pre RM Opening Time]]&lt;WFTracker[[#This Row],[Old vs New Order Lead Time WF dead line]], "LATE BY ENG", "ON TIME BY ENG")</f>
        <v>ON TIME BY ENG</v>
      </c>
      <c r="AB195" s="37"/>
      <c r="AC195" s="15" t="str">
        <f>IF(WFTracker[[#This Row],[Competion Date Content]] = FALSE, "C", "I")</f>
        <v>C</v>
      </c>
      <c r="AD1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-19</v>
      </c>
      <c r="AE195" s="105" t="str">
        <f ca="1">IF(WFTracker[[#This Row],[Impact Time Post RM]]&gt;0, "IMPACTED", "NOT IMPACTED")</f>
        <v>NOT IMPACTED</v>
      </c>
      <c r="AF195" s="15"/>
      <c r="AG195" s="18"/>
      <c r="AH195" s="14" t="str">
        <f>IF(WFTracker[[#This Row],[Status]]="C", "Closed", IF(WFTracker[[#This Row],[Status]] = "x", "Cancelled", WFTracker[[#This Row],[Impact Time Post RM]]))</f>
        <v>Closed</v>
      </c>
      <c r="AI195" s="14" t="str">
        <f ca="1">IF(WFTracker[[#This Row],[Impact Time Post RM]]&lt;=0,"ON TIME","LATE")</f>
        <v>ON TIME</v>
      </c>
      <c r="AJ195" s="14" t="s">
        <v>984</v>
      </c>
      <c r="AK195" s="14">
        <v>17</v>
      </c>
      <c r="AL195" s="915">
        <f>IF(WFTracker[[#This Row],[Type]]="MAKE", WFTracker[[#This Row],[Due date]]+Filters!$J$111, WFTracker[[#This Row],[Due date]]+Filters!$J$135)</f>
        <v>45860.415686274508</v>
      </c>
      <c r="AM195" s="101" cm="1">
        <f t="array" ref="AM1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6" spans="1:39" ht="14.45">
      <c r="A196" t="str">
        <f>IF(WFTracker[[#This Row],[Order Number]]="SWBD", "QED2", "PZ4")</f>
        <v>PZ4</v>
      </c>
      <c r="B196" t="s">
        <v>1168</v>
      </c>
      <c r="C196" s="39" t="s">
        <v>385</v>
      </c>
      <c r="D196" s="11" t="str">
        <f>WFTracker[[#This Row],[Order Number]]  &amp; "-" &amp; WFTracker[[#This Row],[Item]]</f>
        <v>0051306085
-000310</v>
      </c>
      <c r="E196" s="23" t="s">
        <v>340</v>
      </c>
      <c r="F196" s="12">
        <v>45848</v>
      </c>
      <c r="G196" s="12"/>
      <c r="H196" s="11" t="s">
        <v>273</v>
      </c>
      <c r="I196" s="11" t="s">
        <v>241</v>
      </c>
      <c r="J196" s="13" t="s">
        <v>346</v>
      </c>
      <c r="K196" s="14" t="s">
        <v>1023</v>
      </c>
      <c r="L196" s="15" t="s">
        <v>40</v>
      </c>
      <c r="M196" s="15" t="s">
        <v>1120</v>
      </c>
      <c r="N196" s="56">
        <v>45950</v>
      </c>
      <c r="O196" s="15">
        <f>NETWORKDAYS.INTL(WFTracker[[#This Row],[Start date]],WFTracker[[#This Row],[RM]],1,Holidays!D56:D71)</f>
        <v>-3</v>
      </c>
      <c r="P196" s="12">
        <v>45852</v>
      </c>
      <c r="Q196" s="12">
        <v>45862</v>
      </c>
      <c r="R196" s="12">
        <v>45859</v>
      </c>
      <c r="S196" s="27" t="b">
        <f>ISBLANK(WFTracker[[#This Row],[Completion Date]])</f>
        <v>0</v>
      </c>
      <c r="T196" s="27" t="str">
        <f>TEXT(WFTracker[[#This Row],[Start date]],"mmm-yyyy")</f>
        <v>Jul-2025</v>
      </c>
      <c r="U196" s="11">
        <v>5</v>
      </c>
      <c r="V196" s="11">
        <f>NETWORKDAYS.INTL(WFTracker[[#This Row],[Start date]],WFTracker[[#This Row],[Due date]],1,Holidays!D56:D71)</f>
        <v>9</v>
      </c>
      <c r="W1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96" s="30">
        <f ca="1">WFTracker[[#This Row],[Active Time]]-WFTracker[[#This Row],[Completion Days Template]]</f>
        <v>-3</v>
      </c>
      <c r="Y196" s="34" t="str">
        <f ca="1" xml:space="preserve"> IF(WFTracker[[#This Row],[Overdue Time '[Expected-Completion']]]&gt;0, "LATE","ON TIME")</f>
        <v>ON TIME</v>
      </c>
      <c r="Z196" s="34" t="str">
        <f ca="1">IF(WFTracker[[#This Row],[Overdue Time '[Expected-Completion']]] &gt;= 15, "SUPER LATE", Y196)</f>
        <v>ON TIME</v>
      </c>
      <c r="AA196" s="37" t="str">
        <f>IF(WFTracker[[#This Row],[Pre RM Opening Time]]&lt;WFTracker[[#This Row],[Old vs New Order Lead Time WF dead line]], "LATE BY ENG", "ON TIME BY ENG")</f>
        <v>LATE BY ENG</v>
      </c>
      <c r="AB196" s="37"/>
      <c r="AC196" s="15" t="str">
        <f>IF(WFTracker[[#This Row],[Competion Date Content]] = FALSE, "C", "I")</f>
        <v>C</v>
      </c>
      <c r="AD1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196" s="31" t="str">
        <f ca="1">IF(WFTracker[[#This Row],[Impact Time Post RM]]&gt;0, "IMPACTED", "NOT IMPACTED")</f>
        <v>IMPACTED</v>
      </c>
      <c r="AF196" s="15"/>
      <c r="AG196" s="18"/>
      <c r="AH196" s="14" t="str">
        <f>IF(WFTracker[[#This Row],[Status]]="C", "Closed", IF(WFTracker[[#This Row],[Status]] = "x", "Cancelled", WFTracker[[#This Row],[Impact Time Post RM]]))</f>
        <v>Closed</v>
      </c>
      <c r="AI196" s="14" t="str">
        <f ca="1">IF(WFTracker[[#This Row],[Impact Time Post RM]]&lt;=0,"ON TIME","LATE")</f>
        <v>LATE</v>
      </c>
      <c r="AJ196" s="14" t="s">
        <v>984</v>
      </c>
      <c r="AK196" s="14">
        <v>17</v>
      </c>
      <c r="AL196" s="915">
        <f>IF(WFTracker[[#This Row],[Type]]="MAKE", WFTracker[[#This Row],[Due date]]+Filters!$J$111, WFTracker[[#This Row],[Due date]]+Filters!$J$135)</f>
        <v>45862.415686274508</v>
      </c>
      <c r="AM196" s="101" cm="1">
        <f t="array" ref="AM1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7" spans="1:39" ht="14.45">
      <c r="A197" t="str">
        <f>IF(WFTracker[[#This Row],[Order Number]]="SWBD", "QED2", "PZ4")</f>
        <v>PZ4</v>
      </c>
      <c r="B197" t="s">
        <v>1168</v>
      </c>
      <c r="C197" s="39" t="s">
        <v>385</v>
      </c>
      <c r="D197" s="11" t="str">
        <f>WFTracker[[#This Row],[Order Number]]  &amp; "-" &amp; WFTracker[[#This Row],[Item]]</f>
        <v>0051306085
-000310</v>
      </c>
      <c r="E197" s="23" t="s">
        <v>350</v>
      </c>
      <c r="F197" s="12">
        <v>45891</v>
      </c>
      <c r="G197" s="12"/>
      <c r="H197" s="11" t="s">
        <v>259</v>
      </c>
      <c r="I197" s="11" t="s">
        <v>1154</v>
      </c>
      <c r="J197" s="13" t="s">
        <v>1170</v>
      </c>
      <c r="K197" s="14" t="s">
        <v>1023</v>
      </c>
      <c r="L197" s="15" t="s">
        <v>40</v>
      </c>
      <c r="M197" s="15" t="s">
        <v>1120</v>
      </c>
      <c r="N197" s="56">
        <v>45789</v>
      </c>
      <c r="O197" s="15">
        <f>NETWORKDAYS.INTL(WFTracker[[#This Row],[Start date]],WFTracker[[#This Row],[RM]],1,Holidays!D566:D581)</f>
        <v>30</v>
      </c>
      <c r="P197" s="12">
        <v>45852</v>
      </c>
      <c r="Q197" s="12">
        <v>45862</v>
      </c>
      <c r="R197" s="12">
        <v>45859</v>
      </c>
      <c r="S197" s="27" t="b">
        <f>ISBLANK(WFTracker[[#This Row],[Completion Date]])</f>
        <v>0</v>
      </c>
      <c r="T197" s="27" t="str">
        <f>TEXT(WFTracker[[#This Row],[Start date]],"mmm-yyyy")</f>
        <v>Jul-2025</v>
      </c>
      <c r="U197" s="11">
        <v>5</v>
      </c>
      <c r="V197" s="11">
        <f>NETWORKDAYS.INTL(WFTracker[[#This Row],[Start date]],WFTracker[[#This Row],[Due date]],1,Holidays!D566:D581)</f>
        <v>9</v>
      </c>
      <c r="W1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197" s="30">
        <f ca="1">WFTracker[[#This Row],[Active Time]]-WFTracker[[#This Row],[Completion Days Template]]</f>
        <v>-3</v>
      </c>
      <c r="Y197" s="34" t="str">
        <f ca="1" xml:space="preserve"> IF(WFTracker[[#This Row],[Overdue Time '[Expected-Completion']]]&gt;0, "LATE","ON TIME")</f>
        <v>ON TIME</v>
      </c>
      <c r="Z197" s="34" t="str">
        <f ca="1">IF(WFTracker[[#This Row],[Overdue Time '[Expected-Completion']]] &gt;= 15, "SUPER LATE", Y197)</f>
        <v>ON TIME</v>
      </c>
      <c r="AA197" s="37" t="str">
        <f>IF(WFTracker[[#This Row],[Pre RM Opening Time]]&lt;WFTracker[[#This Row],[Old vs New Order Lead Time WF dead line]], "LATE BY ENG", "ON TIME BY ENG")</f>
        <v>ON TIME BY ENG</v>
      </c>
      <c r="AB197" s="37"/>
      <c r="AC197" s="15" t="str">
        <f>IF(WFTracker[[#This Row],[Competion Date Content]] = FALSE, "C", "I")</f>
        <v>C</v>
      </c>
      <c r="AD1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-25</v>
      </c>
      <c r="AE197" s="31" t="str">
        <f ca="1">IF(WFTracker[[#This Row],[Impact Time Post RM]]&gt;0, "IMPACTED", "NOT IMPACTED")</f>
        <v>NOT IMPACTED</v>
      </c>
      <c r="AF197" s="15"/>
      <c r="AG197" s="18"/>
      <c r="AH197" s="14" t="str">
        <f>IF(WFTracker[[#This Row],[Status]]="C", "Closed", IF(WFTracker[[#This Row],[Status]] = "x", "Cancelled", WFTracker[[#This Row],[Impact Time Post RM]]))</f>
        <v>Closed</v>
      </c>
      <c r="AI197" s="14" t="str">
        <f ca="1">IF(WFTracker[[#This Row],[Impact Time Post RM]]&lt;=0,"ON TIME","LATE")</f>
        <v>ON TIME</v>
      </c>
      <c r="AJ197" s="14" t="s">
        <v>984</v>
      </c>
      <c r="AK197" s="14">
        <v>17</v>
      </c>
      <c r="AL197" s="915">
        <f>IF(WFTracker[[#This Row],[Type]]="MAKE", WFTracker[[#This Row],[Due date]]+Filters!$J$111, WFTracker[[#This Row],[Due date]]+Filters!$J$135)</f>
        <v>45862.415686274508</v>
      </c>
      <c r="AM197" s="101" cm="1">
        <f t="array" ref="AM1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8" spans="1:39" ht="14.45">
      <c r="A198" t="str">
        <f>IF(WFTracker[[#This Row],[Order Number]]="SWBD", "QED2", "PZ4")</f>
        <v>PZ4</v>
      </c>
      <c r="B198" t="s">
        <v>357</v>
      </c>
      <c r="C198" s="39" t="s">
        <v>1165</v>
      </c>
      <c r="D198" s="11" t="str">
        <f>WFTracker[[#This Row],[Order Number]]  &amp; "-" &amp; WFTracker[[#This Row],[Item]]</f>
        <v>0050866188-004960</v>
      </c>
      <c r="E198" s="23" t="s">
        <v>359</v>
      </c>
      <c r="F198" s="12">
        <v>45849</v>
      </c>
      <c r="G198" s="12"/>
      <c r="H198" s="11" t="s">
        <v>117</v>
      </c>
      <c r="I198" s="11" t="s">
        <v>111</v>
      </c>
      <c r="J198" s="13" t="s">
        <v>362</v>
      </c>
      <c r="K198" s="14" t="s">
        <v>1017</v>
      </c>
      <c r="L198" s="15" t="s">
        <v>40</v>
      </c>
      <c r="M198" s="15" t="s">
        <v>1120</v>
      </c>
      <c r="N198" s="56">
        <v>45950</v>
      </c>
      <c r="O198" s="15">
        <f>NETWORKDAYS.INTL(WFTracker[[#This Row],[Start date]],WFTracker[[#This Row],[RM]],1,Holidays!D57:D72)</f>
        <v>-3</v>
      </c>
      <c r="P198" s="12">
        <v>45853</v>
      </c>
      <c r="Q198" s="12">
        <v>45863</v>
      </c>
      <c r="R198" s="12">
        <v>45868</v>
      </c>
      <c r="S198" s="27" t="b">
        <f>ISBLANK(WFTracker[[#This Row],[Completion Date]])</f>
        <v>0</v>
      </c>
      <c r="T198" s="27" t="str">
        <f>TEXT(WFTracker[[#This Row],[Start date]],"mmm-yyyy")</f>
        <v>Jul-2025</v>
      </c>
      <c r="U198" s="11">
        <v>5</v>
      </c>
      <c r="V198" s="11">
        <f>NETWORKDAYS.INTL(WFTracker[[#This Row],[Start date]],WFTracker[[#This Row],[Due date]],1,Holidays!D57:D72)</f>
        <v>9</v>
      </c>
      <c r="W1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198" s="30">
        <f ca="1">WFTracker[[#This Row],[Active Time]]-WFTracker[[#This Row],[Completion Days Template]]</f>
        <v>3</v>
      </c>
      <c r="Y198" s="34" t="str">
        <f ca="1" xml:space="preserve"> IF(WFTracker[[#This Row],[Overdue Time '[Expected-Completion']]]&gt;0, "LATE","ON TIME")</f>
        <v>LATE</v>
      </c>
      <c r="Z198" s="34" t="str">
        <f ca="1">IF(WFTracker[[#This Row],[Overdue Time '[Expected-Completion']]] &gt;= 15, "SUPER LATE", Y198)</f>
        <v>LATE</v>
      </c>
      <c r="AA198" s="37" t="str">
        <f>IF(WFTracker[[#This Row],[Pre RM Opening Time]]&lt;WFTracker[[#This Row],[Old vs New Order Lead Time WF dead line]], "LATE BY ENG", "ON TIME BY ENG")</f>
        <v>LATE BY ENG</v>
      </c>
      <c r="AB198" s="37"/>
      <c r="AC198" s="15" t="str">
        <f>IF(WFTracker[[#This Row],[Competion Date Content]] = FALSE, "C", "I")</f>
        <v>C</v>
      </c>
      <c r="AD1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14</v>
      </c>
      <c r="AE198" s="105" t="str">
        <f ca="1">IF(WFTracker[[#This Row],[Impact Time Post RM]]&gt;0, "IMPACTED", "NOT IMPACTED")</f>
        <v>IMPACTED</v>
      </c>
      <c r="AF198" s="15"/>
      <c r="AG198" s="18"/>
      <c r="AH198" s="14" t="str">
        <f>IF(WFTracker[[#This Row],[Status]]="C", "Closed", IF(WFTracker[[#This Row],[Status]] = "x", "Cancelled", WFTracker[[#This Row],[Impact Time Post RM]]))</f>
        <v>Closed</v>
      </c>
      <c r="AI198" s="14" t="str">
        <f ca="1">IF(WFTracker[[#This Row],[Impact Time Post RM]]&lt;=0,"ON TIME","LATE")</f>
        <v>LATE</v>
      </c>
      <c r="AJ198" s="14" t="s">
        <v>984</v>
      </c>
      <c r="AK198" s="14">
        <v>17</v>
      </c>
      <c r="AL198" s="915">
        <f>IF(WFTracker[[#This Row],[Type]]="MAKE", WFTracker[[#This Row],[Due date]]+Filters!$J$111, WFTracker[[#This Row],[Due date]]+Filters!$J$135)</f>
        <v>45863.415686274508</v>
      </c>
      <c r="AM198" s="101" cm="1">
        <f t="array" ref="AM19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199" spans="1:39" ht="14.45">
      <c r="A199" t="str">
        <f>IF(WFTracker[[#This Row],[Order Number]]="SWBD", "QED2", "PZ4")</f>
        <v>PZ4</v>
      </c>
      <c r="B199" s="21" t="s">
        <v>365</v>
      </c>
      <c r="C199" s="26" t="s">
        <v>366</v>
      </c>
      <c r="D199" s="11" t="str">
        <f>WFTracker[[#This Row],[Order Number]]  &amp; "-" &amp; WFTracker[[#This Row],[Item]]</f>
        <v>0050728484-018570</v>
      </c>
      <c r="E199" s="23" t="s">
        <v>613</v>
      </c>
      <c r="F199" s="12">
        <v>45896</v>
      </c>
      <c r="G199" s="12"/>
      <c r="H199" s="11" t="s">
        <v>156</v>
      </c>
      <c r="I199" s="11" t="s">
        <v>37</v>
      </c>
      <c r="J199" s="13" t="s">
        <v>378</v>
      </c>
      <c r="K199" s="14" t="s">
        <v>1017</v>
      </c>
      <c r="L199" s="15" t="s">
        <v>27</v>
      </c>
      <c r="M199" s="15" t="s">
        <v>1120</v>
      </c>
      <c r="N199" s="56">
        <v>45986</v>
      </c>
      <c r="O199" s="15">
        <f>NETWORKDAYS.INTL(WFTracker[[#This Row],[Start date]],WFTracker[[#This Row],[RM]],1,Holidays!D581:D596)</f>
        <v>32</v>
      </c>
      <c r="P199" s="12">
        <v>45853</v>
      </c>
      <c r="Q199" s="12">
        <v>45861</v>
      </c>
      <c r="R199" s="12">
        <v>45863</v>
      </c>
      <c r="S199" s="27" t="b">
        <f>ISBLANK(WFTracker[[#This Row],[Completion Date]])</f>
        <v>0</v>
      </c>
      <c r="T199" s="27" t="str">
        <f>TEXT(WFTracker[[#This Row],[Start date]],"mmm-yyyy")</f>
        <v>Jul-2025</v>
      </c>
      <c r="U199" s="11">
        <v>5</v>
      </c>
      <c r="V199" s="11">
        <f>NETWORKDAYS.INTL(WFTracker[[#This Row],[Start date]],WFTracker[[#This Row],[Due date]],1,Holidays!D581:D596)</f>
        <v>7</v>
      </c>
      <c r="W1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199" s="30">
        <f ca="1">WFTracker[[#This Row],[Active Time]]-WFTracker[[#This Row],[Completion Days Template]]</f>
        <v>2</v>
      </c>
      <c r="Y199" s="34" t="str">
        <f ca="1" xml:space="preserve"> IF(WFTracker[[#This Row],[Overdue Time '[Expected-Completion']]]&gt;0, "LATE","ON TIME")</f>
        <v>LATE</v>
      </c>
      <c r="Z199" s="34" t="str">
        <f ca="1">IF(WFTracker[[#This Row],[Overdue Time '[Expected-Completion']]] &gt;= 15, "SUPER LATE", Y199)</f>
        <v>LATE</v>
      </c>
      <c r="AA199" s="37" t="str">
        <f>IF(WFTracker[[#This Row],[Pre RM Opening Time]]&lt;WFTracker[[#This Row],[Old vs New Order Lead Time WF dead line]], "LATE BY ENG", "ON TIME BY ENG")</f>
        <v>ON TIME BY ENG</v>
      </c>
      <c r="AB199" s="37"/>
      <c r="AC199" s="15" t="str">
        <f>IF(WFTracker[[#This Row],[Competion Date Content]] = FALSE, "C", "I")</f>
        <v>C</v>
      </c>
      <c r="AD1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199" s="105" t="str">
        <f ca="1">IF(WFTracker[[#This Row],[Impact Time Post RM]]&gt;0, "IMPACTED", "NOT IMPACTED")</f>
        <v>NOT IMPACTED</v>
      </c>
      <c r="AF199" s="15"/>
      <c r="AG199" s="18"/>
      <c r="AH199" s="14" t="str">
        <f>IF(WFTracker[[#This Row],[Status]]="C", "Closed", IF(WFTracker[[#This Row],[Status]] = "x", "Cancelled", WFTracker[[#This Row],[Impact Time Post RM]]))</f>
        <v>Closed</v>
      </c>
      <c r="AI199" s="14" t="str">
        <f ca="1">IF(WFTracker[[#This Row],[Impact Time Post RM]]&lt;=0,"ON TIME","LATE")</f>
        <v>ON TIME</v>
      </c>
      <c r="AJ199" s="14" t="s">
        <v>984</v>
      </c>
      <c r="AK199" s="14">
        <v>18</v>
      </c>
      <c r="AL199" s="915">
        <f>IF(WFTracker[[#This Row],[Type]]="MAKE", WFTracker[[#This Row],[Due date]]+Filters!$J$111, WFTracker[[#This Row],[Due date]]+Filters!$J$135)</f>
        <v>45864.072512647552</v>
      </c>
      <c r="AM199" s="101" cm="1">
        <f t="array" ref="AM1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0" spans="1:39" ht="14.45">
      <c r="A200" t="str">
        <f>IF(WFTracker[[#This Row],[Order Number]]="SWBD", "QED2", "PZ4")</f>
        <v>PZ4</v>
      </c>
      <c r="B200" s="21" t="s">
        <v>365</v>
      </c>
      <c r="C200" s="26" t="s">
        <v>366</v>
      </c>
      <c r="D200" s="11" t="str">
        <f>WFTracker[[#This Row],[Order Number]]  &amp; "-" &amp; WFTracker[[#This Row],[Item]]</f>
        <v>0050728484-018570</v>
      </c>
      <c r="E200" s="23" t="s">
        <v>613</v>
      </c>
      <c r="F200" s="12">
        <v>45896</v>
      </c>
      <c r="G200" s="12"/>
      <c r="H200" s="11" t="s">
        <v>156</v>
      </c>
      <c r="I200" s="11" t="s">
        <v>37</v>
      </c>
      <c r="J200" s="13" t="s">
        <v>376</v>
      </c>
      <c r="K200" s="14" t="s">
        <v>1017</v>
      </c>
      <c r="L200" s="15" t="s">
        <v>27</v>
      </c>
      <c r="M200" s="15" t="s">
        <v>1120</v>
      </c>
      <c r="N200" s="56">
        <v>45986</v>
      </c>
      <c r="O200" s="15">
        <f>NETWORKDAYS.INTL(WFTracker[[#This Row],[Start date]],WFTracker[[#This Row],[RM]],1,Holidays!D582:D597)</f>
        <v>32</v>
      </c>
      <c r="P200" s="12">
        <v>45853</v>
      </c>
      <c r="Q200" s="12">
        <v>45861</v>
      </c>
      <c r="R200" s="12">
        <v>45863</v>
      </c>
      <c r="S200" s="27" t="b">
        <f>ISBLANK(WFTracker[[#This Row],[Completion Date]])</f>
        <v>0</v>
      </c>
      <c r="T200" s="27" t="str">
        <f>TEXT(WFTracker[[#This Row],[Start date]],"mmm-yyyy")</f>
        <v>Jul-2025</v>
      </c>
      <c r="U200" s="11">
        <v>5</v>
      </c>
      <c r="V200" s="11">
        <f>NETWORKDAYS.INTL(WFTracker[[#This Row],[Start date]],WFTracker[[#This Row],[Due date]],1,Holidays!D582:D597)</f>
        <v>7</v>
      </c>
      <c r="W2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00" s="30">
        <f ca="1">WFTracker[[#This Row],[Active Time]]-WFTracker[[#This Row],[Completion Days Template]]</f>
        <v>2</v>
      </c>
      <c r="Y200" s="34" t="str">
        <f ca="1" xml:space="preserve"> IF(WFTracker[[#This Row],[Overdue Time '[Expected-Completion']]]&gt;0, "LATE","ON TIME")</f>
        <v>LATE</v>
      </c>
      <c r="Z200" s="34" t="str">
        <f ca="1">IF(WFTracker[[#This Row],[Overdue Time '[Expected-Completion']]] &gt;= 15, "SUPER LATE", Y200)</f>
        <v>LATE</v>
      </c>
      <c r="AA200" s="37" t="str">
        <f>IF(WFTracker[[#This Row],[Pre RM Opening Time]]&lt;WFTracker[[#This Row],[Old vs New Order Lead Time WF dead line]], "LATE BY ENG", "ON TIME BY ENG")</f>
        <v>ON TIME BY ENG</v>
      </c>
      <c r="AB200" s="37"/>
      <c r="AC200" s="15" t="str">
        <f>IF(WFTracker[[#This Row],[Competion Date Content]] = FALSE, "C", "I")</f>
        <v>C</v>
      </c>
      <c r="AD2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200" s="105" t="str">
        <f ca="1">IF(WFTracker[[#This Row],[Impact Time Post RM]]&gt;0, "IMPACTED", "NOT IMPACTED")</f>
        <v>NOT IMPACTED</v>
      </c>
      <c r="AF200" s="15"/>
      <c r="AG200" s="18"/>
      <c r="AH200" s="14" t="str">
        <f>IF(WFTracker[[#This Row],[Status]]="C", "Closed", IF(WFTracker[[#This Row],[Status]] = "x", "Cancelled", WFTracker[[#This Row],[Impact Time Post RM]]))</f>
        <v>Closed</v>
      </c>
      <c r="AI200" s="14" t="str">
        <f ca="1">IF(WFTracker[[#This Row],[Impact Time Post RM]]&lt;=0,"ON TIME","LATE")</f>
        <v>ON TIME</v>
      </c>
      <c r="AJ200" s="14" t="s">
        <v>984</v>
      </c>
      <c r="AK200" s="14">
        <v>18</v>
      </c>
      <c r="AL200" s="915">
        <f>IF(WFTracker[[#This Row],[Type]]="MAKE", WFTracker[[#This Row],[Due date]]+Filters!$J$111, WFTracker[[#This Row],[Due date]]+Filters!$J$135)</f>
        <v>45864.072512647552</v>
      </c>
      <c r="AM200" s="101" cm="1">
        <f t="array" ref="AM2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1" spans="1:39" ht="14.45">
      <c r="A201" t="str">
        <f>IF(WFTracker[[#This Row],[Order Number]]="SWBD", "QED2", "PZ4")</f>
        <v>PZ4</v>
      </c>
      <c r="B201" s="21" t="s">
        <v>379</v>
      </c>
      <c r="C201" s="26" t="s">
        <v>219</v>
      </c>
      <c r="D201" s="11" t="str">
        <f>WFTracker[[#This Row],[Order Number]]  &amp; "-" &amp; WFTracker[[#This Row],[Item]]</f>
        <v>0051427096-000120</v>
      </c>
      <c r="E201" s="23" t="s">
        <v>380</v>
      </c>
      <c r="F201" s="12">
        <v>45856</v>
      </c>
      <c r="G201" s="12"/>
      <c r="H201" s="11" t="s">
        <v>259</v>
      </c>
      <c r="I201" s="11" t="s">
        <v>260</v>
      </c>
      <c r="J201" s="13" t="s">
        <v>381</v>
      </c>
      <c r="K201" s="14" t="s">
        <v>1017</v>
      </c>
      <c r="L201" s="15" t="s">
        <v>27</v>
      </c>
      <c r="M201" s="15" t="s">
        <v>1120</v>
      </c>
      <c r="N201" s="56">
        <v>45953</v>
      </c>
      <c r="O201" s="15">
        <f>NETWORKDAYS.INTL(WFTracker[[#This Row],[Start date]],WFTracker[[#This Row],[RM]],1,Holidays!D65:D80)</f>
        <v>1</v>
      </c>
      <c r="P201" s="12">
        <v>45856</v>
      </c>
      <c r="Q201" s="12">
        <v>45863</v>
      </c>
      <c r="R201" s="12">
        <v>45867</v>
      </c>
      <c r="S201" s="27" t="b">
        <f>ISBLANK(WFTracker[[#This Row],[Completion Date]])</f>
        <v>0</v>
      </c>
      <c r="T201" s="27" t="str">
        <f>TEXT(WFTracker[[#This Row],[Start date]],"mmm-yyyy")</f>
        <v>Jul-2025</v>
      </c>
      <c r="U201" s="11">
        <v>5</v>
      </c>
      <c r="V201" s="11">
        <f>NETWORKDAYS.INTL(WFTracker[[#This Row],[Start date]],WFTracker[[#This Row],[Due date]],1,Holidays!D65:D80)</f>
        <v>6</v>
      </c>
      <c r="W2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01" s="30">
        <f ca="1">WFTracker[[#This Row],[Active Time]]-WFTracker[[#This Row],[Completion Days Template]]</f>
        <v>2</v>
      </c>
      <c r="Y201" s="34" t="str">
        <f ca="1" xml:space="preserve"> IF(WFTracker[[#This Row],[Overdue Time '[Expected-Completion']]]&gt;0, "LATE","ON TIME")</f>
        <v>LATE</v>
      </c>
      <c r="Z201" s="34" t="str">
        <f ca="1">IF(WFTracker[[#This Row],[Overdue Time '[Expected-Completion']]] &gt;= 15, "SUPER LATE", Y201)</f>
        <v>LATE</v>
      </c>
      <c r="AA201" s="37" t="str">
        <f>IF(WFTracker[[#This Row],[Pre RM Opening Time]]&lt;WFTracker[[#This Row],[Old vs New Order Lead Time WF dead line]], "LATE BY ENG", "ON TIME BY ENG")</f>
        <v>LATE BY ENG</v>
      </c>
      <c r="AB201" s="37"/>
      <c r="AC201" s="15" t="s">
        <v>29</v>
      </c>
      <c r="AD2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201" s="105" t="str">
        <f ca="1">IF(WFTracker[[#This Row],[Impact Time Post RM]]&gt;0, "IMPACTED", "NOT IMPACTED")</f>
        <v>IMPACTED</v>
      </c>
      <c r="AF201" s="15"/>
      <c r="AG201" s="18"/>
      <c r="AH201" s="14" t="str">
        <f>IF(WFTracker[[#This Row],[Status]]="C", "Closed", IF(WFTracker[[#This Row],[Status]] = "x", "Cancelled", WFTracker[[#This Row],[Impact Time Post RM]]))</f>
        <v>Closed</v>
      </c>
      <c r="AI201" s="14" t="str">
        <f ca="1">IF(WFTracker[[#This Row],[Impact Time Post RM]]&lt;=0,"ON TIME","LATE")</f>
        <v>LATE</v>
      </c>
      <c r="AJ201" s="14" t="s">
        <v>984</v>
      </c>
      <c r="AK201" s="14">
        <v>18</v>
      </c>
      <c r="AL201" s="915">
        <f>IF(WFTracker[[#This Row],[Type]]="MAKE", WFTracker[[#This Row],[Due date]]+Filters!$J$111, WFTracker[[#This Row],[Due date]]+Filters!$J$135)</f>
        <v>45866.072512647552</v>
      </c>
      <c r="AM201" s="101" cm="1">
        <f t="array" ref="AM2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2" spans="1:39" ht="14.45">
      <c r="A202" t="str">
        <f>IF(WFTracker[[#This Row],[Order Number]]="SWBD", "QED2", "PZ4")</f>
        <v>PZ4</v>
      </c>
      <c r="B202" s="21" t="s">
        <v>379</v>
      </c>
      <c r="C202" s="26" t="s">
        <v>219</v>
      </c>
      <c r="D202" s="11" t="str">
        <f>WFTracker[[#This Row],[Order Number]]  &amp; "-" &amp; WFTracker[[#This Row],[Item]]</f>
        <v>0051427096-000120</v>
      </c>
      <c r="E202" s="23" t="s">
        <v>380</v>
      </c>
      <c r="F202" s="12">
        <v>45868</v>
      </c>
      <c r="G202" s="12"/>
      <c r="H202" s="11" t="s">
        <v>259</v>
      </c>
      <c r="I202" s="11" t="s">
        <v>260</v>
      </c>
      <c r="J202" s="13" t="s">
        <v>383</v>
      </c>
      <c r="K202" s="14" t="s">
        <v>1017</v>
      </c>
      <c r="L202" s="15" t="s">
        <v>27</v>
      </c>
      <c r="M202" s="15" t="s">
        <v>1120</v>
      </c>
      <c r="N202" s="56">
        <v>45953</v>
      </c>
      <c r="O202" s="15">
        <f>NETWORKDAYS.INTL(WFTracker[[#This Row],[Start date]],WFTracker[[#This Row],[RM]],1,Holidays!D192:D207)</f>
        <v>9</v>
      </c>
      <c r="P202" s="12">
        <v>45856</v>
      </c>
      <c r="Q202" s="12">
        <v>45863</v>
      </c>
      <c r="R202" s="12">
        <v>45867</v>
      </c>
      <c r="S202" s="27" t="b">
        <f>ISBLANK(WFTracker[[#This Row],[Completion Date]])</f>
        <v>0</v>
      </c>
      <c r="T202" s="27" t="str">
        <f>TEXT(WFTracker[[#This Row],[Start date]],"mmm-yyyy")</f>
        <v>Jul-2025</v>
      </c>
      <c r="U202" s="11">
        <v>5</v>
      </c>
      <c r="V202" s="11">
        <f>NETWORKDAYS.INTL(WFTracker[[#This Row],[Start date]],WFTracker[[#This Row],[Due date]],1,Holidays!D192:D207)</f>
        <v>6</v>
      </c>
      <c r="W2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02" s="30">
        <f ca="1">WFTracker[[#This Row],[Active Time]]-WFTracker[[#This Row],[Completion Days Template]]</f>
        <v>2</v>
      </c>
      <c r="Y202" s="34" t="str">
        <f ca="1" xml:space="preserve"> IF(WFTracker[[#This Row],[Overdue Time '[Expected-Completion']]]&gt;0, "LATE","ON TIME")</f>
        <v>LATE</v>
      </c>
      <c r="Z202" s="34" t="str">
        <f ca="1">IF(WFTracker[[#This Row],[Overdue Time '[Expected-Completion']]] &gt;= 15, "SUPER LATE", Y202)</f>
        <v>LATE</v>
      </c>
      <c r="AA202" s="37" t="str">
        <f>IF(WFTracker[[#This Row],[Pre RM Opening Time]]&lt;WFTracker[[#This Row],[Old vs New Order Lead Time WF dead line]], "LATE BY ENG", "ON TIME BY ENG")</f>
        <v>ON TIME BY ENG</v>
      </c>
      <c r="AB202" s="37"/>
      <c r="AC202" s="15" t="str">
        <f>IF(WFTracker[[#This Row],[Competion Date Content]] = FALSE, "C", "I")</f>
        <v>C</v>
      </c>
      <c r="AD2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202" s="105" t="str">
        <f ca="1">IF(WFTracker[[#This Row],[Impact Time Post RM]]&gt;0, "IMPACTED", "NOT IMPACTED")</f>
        <v>NOT IMPACTED</v>
      </c>
      <c r="AF202" s="15"/>
      <c r="AG202" s="18"/>
      <c r="AH202" s="14" t="str">
        <f>IF(WFTracker[[#This Row],[Status]]="C", "Closed", IF(WFTracker[[#This Row],[Status]] = "x", "Cancelled", WFTracker[[#This Row],[Impact Time Post RM]]))</f>
        <v>Closed</v>
      </c>
      <c r="AI202" s="14" t="str">
        <f ca="1">IF(WFTracker[[#This Row],[Impact Time Post RM]]&lt;=0,"ON TIME","LATE")</f>
        <v>ON TIME</v>
      </c>
      <c r="AJ202" s="14" t="s">
        <v>984</v>
      </c>
      <c r="AK202" s="14">
        <v>18</v>
      </c>
      <c r="AL202" s="915">
        <f>IF(WFTracker[[#This Row],[Type]]="MAKE", WFTracker[[#This Row],[Due date]]+Filters!$J$111, WFTracker[[#This Row],[Due date]]+Filters!$J$135)</f>
        <v>45866.072512647552</v>
      </c>
      <c r="AM202" s="101" cm="1">
        <f t="array" ref="AM2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3" spans="1:39" ht="14.45">
      <c r="A203" t="str">
        <f>IF(WFTracker[[#This Row],[Order Number]]="SWBD", "QED2", "PZ4")</f>
        <v>PZ4</v>
      </c>
      <c r="B203" s="21" t="s">
        <v>365</v>
      </c>
      <c r="C203" s="26" t="s">
        <v>366</v>
      </c>
      <c r="D203" s="11" t="str">
        <f>WFTracker[[#This Row],[Order Number]]  &amp; "-" &amp; WFTracker[[#This Row],[Item]]</f>
        <v>0050728484-018570</v>
      </c>
      <c r="E203" s="23" t="s">
        <v>613</v>
      </c>
      <c r="F203" s="12">
        <v>45896</v>
      </c>
      <c r="G203" s="12"/>
      <c r="H203" s="11" t="s">
        <v>156</v>
      </c>
      <c r="I203" s="11" t="s">
        <v>37</v>
      </c>
      <c r="J203" s="13" t="s">
        <v>1171</v>
      </c>
      <c r="K203" s="14" t="s">
        <v>1023</v>
      </c>
      <c r="L203" s="15" t="s">
        <v>27</v>
      </c>
      <c r="M203" s="15" t="s">
        <v>1120</v>
      </c>
      <c r="N203" s="56">
        <v>45986</v>
      </c>
      <c r="O203" s="15">
        <f>NETWORKDAYS.INTL(WFTracker[[#This Row],[Start date]],WFTracker[[#This Row],[RM]],1,Holidays!D554:D569)</f>
        <v>29</v>
      </c>
      <c r="P203" s="12">
        <v>45856</v>
      </c>
      <c r="Q203" s="12">
        <v>45866</v>
      </c>
      <c r="R203" s="12">
        <v>45873</v>
      </c>
      <c r="S203" s="27" t="b">
        <f>ISBLANK(WFTracker[[#This Row],[Completion Date]])</f>
        <v>0</v>
      </c>
      <c r="T203" s="27" t="str">
        <f>TEXT(WFTracker[[#This Row],[Start date]],"mmm-yyyy")</f>
        <v>Jul-2025</v>
      </c>
      <c r="U203" s="11">
        <v>5</v>
      </c>
      <c r="V203" s="11">
        <f>NETWORKDAYS.INTL(WFTracker[[#This Row],[Start date]],WFTracker[[#This Row],[Due date]],1,Holidays!D554:D569)</f>
        <v>7</v>
      </c>
      <c r="W2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03" s="30">
        <f ca="1">WFTracker[[#This Row],[Active Time]]-WFTracker[[#This Row],[Completion Days Template]]</f>
        <v>5</v>
      </c>
      <c r="Y203" s="34" t="str">
        <f ca="1" xml:space="preserve"> IF(WFTracker[[#This Row],[Overdue Time '[Expected-Completion']]]&gt;0, "LATE","ON TIME")</f>
        <v>LATE</v>
      </c>
      <c r="Z203" s="34" t="str">
        <f ca="1">IF(WFTracker[[#This Row],[Overdue Time '[Expected-Completion']]] &gt;= 15, "SUPER LATE", Y203)</f>
        <v>LATE</v>
      </c>
      <c r="AA203" s="37" t="str">
        <f>IF(WFTracker[[#This Row],[Pre RM Opening Time]]&lt;WFTracker[[#This Row],[Old vs New Order Lead Time WF dead line]], "LATE BY ENG", "ON TIME BY ENG")</f>
        <v>ON TIME BY ENG</v>
      </c>
      <c r="AB203" s="37"/>
      <c r="AC203" s="15" t="str">
        <f>IF(WFTracker[[#This Row],[Competion Date Content]] = FALSE, "C", "I")</f>
        <v>C</v>
      </c>
      <c r="AD2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203" s="105" t="str">
        <f ca="1">IF(WFTracker[[#This Row],[Impact Time Post RM]]&gt;0, "IMPACTED", "NOT IMPACTED")</f>
        <v>NOT IMPACTED</v>
      </c>
      <c r="AF203" s="15"/>
      <c r="AG203" s="18"/>
      <c r="AH203" s="14" t="str">
        <f>IF(WFTracker[[#This Row],[Status]]="C", "Closed", IF(WFTracker[[#This Row],[Status]] = "x", "Cancelled", WFTracker[[#This Row],[Impact Time Post RM]]))</f>
        <v>Closed</v>
      </c>
      <c r="AI203" s="14" t="str">
        <f ca="1">IF(WFTracker[[#This Row],[Impact Time Post RM]]&lt;=0,"ON TIME","LATE")</f>
        <v>ON TIME</v>
      </c>
      <c r="AJ203" s="14" t="s">
        <v>984</v>
      </c>
      <c r="AK203" s="14">
        <v>18</v>
      </c>
      <c r="AL203" s="915">
        <f>IF(WFTracker[[#This Row],[Type]]="MAKE", WFTracker[[#This Row],[Due date]]+Filters!$J$111, WFTracker[[#This Row],[Due date]]+Filters!$J$135)</f>
        <v>45869.072512647552</v>
      </c>
      <c r="AM203" s="101" cm="1">
        <f t="array" ref="AM2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4" spans="1:39" ht="14.45">
      <c r="A204" t="str">
        <f>IF(WFTracker[[#This Row],[Order Number]]="SWBD", "QED2", "PZ4")</f>
        <v>PZ4</v>
      </c>
      <c r="B204" s="21" t="s">
        <v>365</v>
      </c>
      <c r="C204" s="26" t="s">
        <v>366</v>
      </c>
      <c r="D204" s="11" t="str">
        <f>WFTracker[[#This Row],[Order Number]]  &amp; "-" &amp; WFTracker[[#This Row],[Item]]</f>
        <v>0050728484-018570</v>
      </c>
      <c r="E204" s="23" t="s">
        <v>613</v>
      </c>
      <c r="F204" s="12">
        <v>45896</v>
      </c>
      <c r="G204" s="12"/>
      <c r="H204" s="11" t="s">
        <v>156</v>
      </c>
      <c r="I204" s="11" t="s">
        <v>37</v>
      </c>
      <c r="J204" s="13" t="s">
        <v>1172</v>
      </c>
      <c r="K204" s="14" t="s">
        <v>1023</v>
      </c>
      <c r="L204" s="15" t="s">
        <v>27</v>
      </c>
      <c r="M204" s="15" t="s">
        <v>1120</v>
      </c>
      <c r="N204" s="56">
        <v>45986</v>
      </c>
      <c r="O204" s="15">
        <f>NETWORKDAYS.INTL(WFTracker[[#This Row],[Start date]],WFTracker[[#This Row],[RM]],1,Holidays!D555:D570)</f>
        <v>29</v>
      </c>
      <c r="P204" s="12">
        <v>45856</v>
      </c>
      <c r="Q204" s="12">
        <v>45866</v>
      </c>
      <c r="R204" s="12">
        <v>45875</v>
      </c>
      <c r="S204" s="27" t="b">
        <f>ISBLANK(WFTracker[[#This Row],[Completion Date]])</f>
        <v>0</v>
      </c>
      <c r="T204" s="27" t="str">
        <f>TEXT(WFTracker[[#This Row],[Start date]],"mmm-yyyy")</f>
        <v>Jul-2025</v>
      </c>
      <c r="U204" s="11">
        <v>5</v>
      </c>
      <c r="V204" s="11">
        <f>NETWORKDAYS.INTL(WFTracker[[#This Row],[Start date]],WFTracker[[#This Row],[Due date]],1,Holidays!D555:D570)</f>
        <v>7</v>
      </c>
      <c r="W2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204" s="30">
        <f ca="1">WFTracker[[#This Row],[Active Time]]-WFTracker[[#This Row],[Completion Days Template]]</f>
        <v>7</v>
      </c>
      <c r="Y204" s="34" t="str">
        <f ca="1" xml:space="preserve"> IF(WFTracker[[#This Row],[Overdue Time '[Expected-Completion']]]&gt;0, "LATE","ON TIME")</f>
        <v>LATE</v>
      </c>
      <c r="Z204" s="34" t="str">
        <f ca="1">IF(WFTracker[[#This Row],[Overdue Time '[Expected-Completion']]] &gt;= 15, "SUPER LATE", Y204)</f>
        <v>LATE</v>
      </c>
      <c r="AA204" s="37" t="str">
        <f>IF(WFTracker[[#This Row],[Pre RM Opening Time]]&lt;WFTracker[[#This Row],[Old vs New Order Lead Time WF dead line]], "LATE BY ENG", "ON TIME BY ENG")</f>
        <v>ON TIME BY ENG</v>
      </c>
      <c r="AB204" s="37"/>
      <c r="AC204" s="15" t="str">
        <f>IF(WFTracker[[#This Row],[Competion Date Content]] = FALSE, "C", "I")</f>
        <v>C</v>
      </c>
      <c r="AD2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204" s="105" t="str">
        <f ca="1">IF(WFTracker[[#This Row],[Impact Time Post RM]]&gt;0, "IMPACTED", "NOT IMPACTED")</f>
        <v>NOT IMPACTED</v>
      </c>
      <c r="AF204" s="15"/>
      <c r="AG204" s="18"/>
      <c r="AH204" s="14" t="str">
        <f>IF(WFTracker[[#This Row],[Status]]="C", "Closed", IF(WFTracker[[#This Row],[Status]] = "x", "Cancelled", WFTracker[[#This Row],[Impact Time Post RM]]))</f>
        <v>Closed</v>
      </c>
      <c r="AI204" s="14" t="str">
        <f ca="1">IF(WFTracker[[#This Row],[Impact Time Post RM]]&lt;=0,"ON TIME","LATE")</f>
        <v>ON TIME</v>
      </c>
      <c r="AJ204" s="14" t="s">
        <v>984</v>
      </c>
      <c r="AK204" s="14">
        <v>18</v>
      </c>
      <c r="AL204" s="915">
        <f>IF(WFTracker[[#This Row],[Type]]="MAKE", WFTracker[[#This Row],[Due date]]+Filters!$J$111, WFTracker[[#This Row],[Due date]]+Filters!$J$135)</f>
        <v>45869.072512647552</v>
      </c>
      <c r="AM204" s="101" cm="1">
        <f t="array" ref="AM2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5" spans="1:39" ht="14.45">
      <c r="A205" t="str">
        <f>IF(WFTracker[[#This Row],[Order Number]]="SWBD", "QED2", "PZ4")</f>
        <v>PZ4</v>
      </c>
      <c r="B205" s="21" t="s">
        <v>365</v>
      </c>
      <c r="C205" s="26" t="s">
        <v>366</v>
      </c>
      <c r="D205" s="11" t="str">
        <f>WFTracker[[#This Row],[Order Number]]  &amp; "-" &amp; WFTracker[[#This Row],[Item]]</f>
        <v>0050728484-018570</v>
      </c>
      <c r="E205" s="23" t="s">
        <v>613</v>
      </c>
      <c r="F205" s="12">
        <v>45896</v>
      </c>
      <c r="G205" s="12"/>
      <c r="H205" s="11" t="s">
        <v>156</v>
      </c>
      <c r="I205" s="11" t="s">
        <v>37</v>
      </c>
      <c r="J205" s="13" t="s">
        <v>1173</v>
      </c>
      <c r="K205" s="14" t="s">
        <v>1023</v>
      </c>
      <c r="L205" s="15" t="s">
        <v>27</v>
      </c>
      <c r="M205" s="15" t="s">
        <v>1120</v>
      </c>
      <c r="N205" s="56">
        <v>45986</v>
      </c>
      <c r="O205" s="15">
        <f>NETWORKDAYS.INTL(WFTracker[[#This Row],[Start date]],WFTracker[[#This Row],[RM]],1,Holidays!D556:D571)</f>
        <v>29</v>
      </c>
      <c r="P205" s="12">
        <v>45856</v>
      </c>
      <c r="Q205" s="12">
        <v>45866</v>
      </c>
      <c r="R205" s="12">
        <v>45873</v>
      </c>
      <c r="S205" s="27" t="b">
        <f>ISBLANK(WFTracker[[#This Row],[Completion Date]])</f>
        <v>0</v>
      </c>
      <c r="T205" s="27" t="str">
        <f>TEXT(WFTracker[[#This Row],[Start date]],"mmm-yyyy")</f>
        <v>Jul-2025</v>
      </c>
      <c r="U205" s="11">
        <v>5</v>
      </c>
      <c r="V205" s="11">
        <f>NETWORKDAYS.INTL(WFTracker[[#This Row],[Start date]],WFTracker[[#This Row],[Due date]],1,Holidays!D556:D571)</f>
        <v>7</v>
      </c>
      <c r="W2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05" s="30">
        <f ca="1">WFTracker[[#This Row],[Active Time]]-WFTracker[[#This Row],[Completion Days Template]]</f>
        <v>5</v>
      </c>
      <c r="Y205" s="34" t="str">
        <f ca="1" xml:space="preserve"> IF(WFTracker[[#This Row],[Overdue Time '[Expected-Completion']]]&gt;0, "LATE","ON TIME")</f>
        <v>LATE</v>
      </c>
      <c r="Z205" s="34" t="str">
        <f ca="1">IF(WFTracker[[#This Row],[Overdue Time '[Expected-Completion']]] &gt;= 15, "SUPER LATE", Y205)</f>
        <v>LATE</v>
      </c>
      <c r="AA205" s="37" t="str">
        <f>IF(WFTracker[[#This Row],[Pre RM Opening Time]]&lt;WFTracker[[#This Row],[Old vs New Order Lead Time WF dead line]], "LATE BY ENG", "ON TIME BY ENG")</f>
        <v>ON TIME BY ENG</v>
      </c>
      <c r="AB205" s="37"/>
      <c r="AC205" s="15" t="str">
        <f>IF(WFTracker[[#This Row],[Competion Date Content]] = FALSE, "C", "I")</f>
        <v>C</v>
      </c>
      <c r="AD2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205" s="105" t="str">
        <f ca="1">IF(WFTracker[[#This Row],[Impact Time Post RM]]&gt;0, "IMPACTED", "NOT IMPACTED")</f>
        <v>NOT IMPACTED</v>
      </c>
      <c r="AF205" s="15"/>
      <c r="AG205" s="18"/>
      <c r="AH205" s="14" t="str">
        <f>IF(WFTracker[[#This Row],[Status]]="C", "Closed", IF(WFTracker[[#This Row],[Status]] = "x", "Cancelled", WFTracker[[#This Row],[Impact Time Post RM]]))</f>
        <v>Closed</v>
      </c>
      <c r="AI205" s="14" t="str">
        <f ca="1">IF(WFTracker[[#This Row],[Impact Time Post RM]]&lt;=0,"ON TIME","LATE")</f>
        <v>ON TIME</v>
      </c>
      <c r="AJ205" s="14" t="s">
        <v>984</v>
      </c>
      <c r="AK205" s="14">
        <v>18</v>
      </c>
      <c r="AL205" s="915">
        <f>IF(WFTracker[[#This Row],[Type]]="MAKE", WFTracker[[#This Row],[Due date]]+Filters!$J$111, WFTracker[[#This Row],[Due date]]+Filters!$J$135)</f>
        <v>45869.072512647552</v>
      </c>
      <c r="AM205" s="101" cm="1">
        <f t="array" ref="AM2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6" spans="1:39" ht="14.45">
      <c r="A206" t="str">
        <f>IF(WFTracker[[#This Row],[Order Number]]="SWBD", "QED2", "PZ4")</f>
        <v>PZ4</v>
      </c>
      <c r="B206" s="21" t="s">
        <v>365</v>
      </c>
      <c r="C206" s="26" t="s">
        <v>366</v>
      </c>
      <c r="D206" s="11" t="str">
        <f>WFTracker[[#This Row],[Order Number]]  &amp; "-" &amp; WFTracker[[#This Row],[Item]]</f>
        <v>0050728484-018570</v>
      </c>
      <c r="E206" s="23" t="s">
        <v>613</v>
      </c>
      <c r="F206" s="12">
        <v>45896</v>
      </c>
      <c r="G206" s="12"/>
      <c r="H206" s="11" t="s">
        <v>156</v>
      </c>
      <c r="I206" s="11" t="s">
        <v>37</v>
      </c>
      <c r="J206" s="13" t="s">
        <v>1174</v>
      </c>
      <c r="K206" s="14" t="s">
        <v>1023</v>
      </c>
      <c r="L206" s="15" t="s">
        <v>27</v>
      </c>
      <c r="M206" s="15" t="s">
        <v>1120</v>
      </c>
      <c r="N206" s="56">
        <v>45986</v>
      </c>
      <c r="O206" s="15">
        <f>NETWORKDAYS.INTL(WFTracker[[#This Row],[Start date]],WFTracker[[#This Row],[RM]],1,Holidays!D557:D572)</f>
        <v>29</v>
      </c>
      <c r="P206" s="12">
        <v>45856</v>
      </c>
      <c r="Q206" s="12">
        <v>45866</v>
      </c>
      <c r="R206" s="12">
        <v>45880</v>
      </c>
      <c r="S206" s="27" t="b">
        <f>ISBLANK(WFTracker[[#This Row],[Completion Date]])</f>
        <v>0</v>
      </c>
      <c r="T206" s="27" t="str">
        <f>TEXT(WFTracker[[#This Row],[Start date]],"mmm-yyyy")</f>
        <v>Jul-2025</v>
      </c>
      <c r="U206" s="11">
        <v>5</v>
      </c>
      <c r="V206" s="11">
        <f>NETWORKDAYS.INTL(WFTracker[[#This Row],[Start date]],WFTracker[[#This Row],[Due date]],1,Holidays!D557:D572)</f>
        <v>7</v>
      </c>
      <c r="W2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206" s="30">
        <f ca="1">WFTracker[[#This Row],[Active Time]]-WFTracker[[#This Row],[Completion Days Template]]</f>
        <v>10</v>
      </c>
      <c r="Y206" s="28" t="str">
        <f ca="1" xml:space="preserve"> IF(WFTracker[[#This Row],[Overdue Time '[Expected-Completion']]]&gt;0, "LATE","ON TIME")</f>
        <v>LATE</v>
      </c>
      <c r="Z206" s="28" t="str">
        <f ca="1">IF(WFTracker[[#This Row],[Overdue Time '[Expected-Completion']]] &gt;= 15, "SUPER LATE", Y206)</f>
        <v>LATE</v>
      </c>
      <c r="AA206" s="37" t="str">
        <f>IF(WFTracker[[#This Row],[Pre RM Opening Time]]&lt;WFTracker[[#This Row],[Old vs New Order Lead Time WF dead line]], "LATE BY ENG", "ON TIME BY ENG")</f>
        <v>ON TIME BY ENG</v>
      </c>
      <c r="AB206" s="37"/>
      <c r="AC206" s="15" t="str">
        <f>IF(WFTracker[[#This Row],[Competion Date Content]] = FALSE, "C", "I")</f>
        <v>C</v>
      </c>
      <c r="AD2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206" s="105" t="str">
        <f ca="1">IF(WFTracker[[#This Row],[Impact Time Post RM]]&gt;0, "IMPACTED", "NOT IMPACTED")</f>
        <v>NOT IMPACTED</v>
      </c>
      <c r="AF206" s="37"/>
      <c r="AG206" s="18"/>
      <c r="AH206" s="14" t="str">
        <f>IF(WFTracker[[#This Row],[Status]]="C", "Closed", IF(WFTracker[[#This Row],[Status]] = "x", "Cancelled", WFTracker[[#This Row],[Impact Time Post RM]]))</f>
        <v>Closed</v>
      </c>
      <c r="AI206" s="14" t="str">
        <f ca="1">IF(WFTracker[[#This Row],[Impact Time Post RM]]&lt;=0,"ON TIME","LATE")</f>
        <v>ON TIME</v>
      </c>
      <c r="AJ206" s="14" t="s">
        <v>984</v>
      </c>
      <c r="AK206" s="14">
        <v>18</v>
      </c>
      <c r="AL206" s="915">
        <f>IF(WFTracker[[#This Row],[Type]]="MAKE", WFTracker[[#This Row],[Due date]]+Filters!$J$111, WFTracker[[#This Row],[Due date]]+Filters!$J$135)</f>
        <v>45869.072512647552</v>
      </c>
      <c r="AM206" s="102" cm="1">
        <f t="array" ref="AM2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7" spans="1:39" ht="14.45">
      <c r="A207" t="str">
        <f>IF(WFTracker[[#This Row],[Order Number]]="SWBD", "QED2", "PZ4")</f>
        <v>PZ4</v>
      </c>
      <c r="B207" s="21" t="s">
        <v>365</v>
      </c>
      <c r="C207" s="26" t="s">
        <v>366</v>
      </c>
      <c r="D207" s="11" t="str">
        <f>WFTracker[[#This Row],[Order Number]]  &amp; "-" &amp; WFTracker[[#This Row],[Item]]</f>
        <v>0050728484-018570</v>
      </c>
      <c r="E207" s="23" t="s">
        <v>613</v>
      </c>
      <c r="F207" s="12">
        <v>45896</v>
      </c>
      <c r="G207" s="12"/>
      <c r="H207" s="11" t="s">
        <v>156</v>
      </c>
      <c r="I207" s="11" t="s">
        <v>37</v>
      </c>
      <c r="J207" s="13" t="s">
        <v>1175</v>
      </c>
      <c r="K207" s="14" t="s">
        <v>1023</v>
      </c>
      <c r="L207" s="15" t="s">
        <v>27</v>
      </c>
      <c r="M207" s="15" t="s">
        <v>1120</v>
      </c>
      <c r="N207" s="56">
        <v>45986</v>
      </c>
      <c r="O207" s="15">
        <f>NETWORKDAYS.INTL(WFTracker[[#This Row],[Start date]],WFTracker[[#This Row],[RM]],1,Holidays!D558:D573)</f>
        <v>29</v>
      </c>
      <c r="P207" s="12">
        <v>45856</v>
      </c>
      <c r="Q207" s="12">
        <v>45866</v>
      </c>
      <c r="R207" s="12">
        <v>45861</v>
      </c>
      <c r="S207" s="27" t="b">
        <f>ISBLANK(WFTracker[[#This Row],[Completion Date]])</f>
        <v>0</v>
      </c>
      <c r="T207" s="27" t="str">
        <f>TEXT(WFTracker[[#This Row],[Start date]],"mmm-yyyy")</f>
        <v>Jul-2025</v>
      </c>
      <c r="U207" s="11">
        <v>5</v>
      </c>
      <c r="V207" s="11">
        <f>NETWORKDAYS.INTL(WFTracker[[#This Row],[Start date]],WFTracker[[#This Row],[Due date]],1,Holidays!D558:D573)</f>
        <v>7</v>
      </c>
      <c r="W2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207" s="30">
        <f ca="1">WFTracker[[#This Row],[Active Time]]-WFTracker[[#This Row],[Completion Days Template]]</f>
        <v>-3</v>
      </c>
      <c r="Y207" s="34" t="str">
        <f ca="1" xml:space="preserve"> IF(WFTracker[[#This Row],[Overdue Time '[Expected-Completion']]]&gt;0, "LATE","ON TIME")</f>
        <v>ON TIME</v>
      </c>
      <c r="Z207" s="34" t="str">
        <f ca="1">IF(WFTracker[[#This Row],[Overdue Time '[Expected-Completion']]] &gt;= 15, "SUPER LATE", Y207)</f>
        <v>ON TIME</v>
      </c>
      <c r="AA207" s="37" t="str">
        <f>IF(WFTracker[[#This Row],[Pre RM Opening Time]]&lt;WFTracker[[#This Row],[Old vs New Order Lead Time WF dead line]], "LATE BY ENG", "ON TIME BY ENG")</f>
        <v>ON TIME BY ENG</v>
      </c>
      <c r="AB207" s="37"/>
      <c r="AC207" s="15" t="s">
        <v>46</v>
      </c>
      <c r="AD2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-26</v>
      </c>
      <c r="AE207" s="105" t="str">
        <f ca="1">IF(WFTracker[[#This Row],[Impact Time Post RM]]&gt;0, "IMPACTED", "NOT IMPACTED")</f>
        <v>NOT IMPACTED</v>
      </c>
      <c r="AF207" s="15"/>
      <c r="AG207" s="18"/>
      <c r="AH207" s="14" t="str">
        <f>IF(WFTracker[[#This Row],[Status]]="C", "Closed", IF(WFTracker[[#This Row],[Status]] = "x", "Cancelled", WFTracker[[#This Row],[Impact Time Post RM]]))</f>
        <v>Cancelled</v>
      </c>
      <c r="AI207" s="14" t="str">
        <f ca="1">IF(WFTracker[[#This Row],[Impact Time Post RM]]&lt;=0,"ON TIME","LATE")</f>
        <v>ON TIME</v>
      </c>
      <c r="AJ207" s="14" t="s">
        <v>984</v>
      </c>
      <c r="AK207" s="14">
        <v>0</v>
      </c>
      <c r="AL207" s="915">
        <f>IF(WFTracker[[#This Row],[Type]]="MAKE", WFTracker[[#This Row],[Due date]]+Filters!$J$111, WFTracker[[#This Row],[Due date]]+Filters!$J$135)</f>
        <v>45869.072512647552</v>
      </c>
      <c r="AM207" s="101" cm="1">
        <f t="array" ref="AM207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08" spans="1:39" ht="14.45">
      <c r="A208" t="str">
        <f>IF(WFTracker[[#This Row],[Order Number]]="SWBD", "QED2", "PZ4")</f>
        <v>PZ4</v>
      </c>
      <c r="B208" s="21" t="s">
        <v>271</v>
      </c>
      <c r="C208" s="26" t="s">
        <v>834</v>
      </c>
      <c r="D208" s="11" t="str">
        <f>WFTracker[[#This Row],[Order Number]]  &amp; "-" &amp; WFTracker[[#This Row],[Item]]</f>
        <v>0050988425-001260</v>
      </c>
      <c r="E208" s="23" t="s">
        <v>272</v>
      </c>
      <c r="F208" s="12">
        <v>45944</v>
      </c>
      <c r="G208" s="12"/>
      <c r="H208" s="11" t="s">
        <v>273</v>
      </c>
      <c r="I208" s="11" t="s">
        <v>24</v>
      </c>
      <c r="J208" s="13" t="s">
        <v>1176</v>
      </c>
      <c r="K208" s="14" t="s">
        <v>1023</v>
      </c>
      <c r="L208" s="15" t="s">
        <v>27</v>
      </c>
      <c r="M208" s="15" t="s">
        <v>1120</v>
      </c>
      <c r="N208" s="56">
        <v>46002</v>
      </c>
      <c r="O208" s="15">
        <f>NETWORKDAYS.INTL(WFTracker[[#This Row],[Start date]],WFTracker[[#This Row],[RM]],1,Holidays!D34:D47)</f>
        <v>61</v>
      </c>
      <c r="P208" s="12">
        <v>45860</v>
      </c>
      <c r="Q208" s="12">
        <v>45867</v>
      </c>
      <c r="R208" s="12">
        <v>45869</v>
      </c>
      <c r="S208" s="27" t="b">
        <f>ISBLANK(WFTracker[[#This Row],[Completion Date]])</f>
        <v>0</v>
      </c>
      <c r="T208" s="27" t="str">
        <f>TEXT(WFTracker[[#This Row],[Start date]],"mmm-yyyy")</f>
        <v>Jul-2025</v>
      </c>
      <c r="U208" s="11">
        <v>5</v>
      </c>
      <c r="V208" s="11">
        <f>NETWORKDAYS.INTL(WFTracker[[#This Row],[Start date]],WFTracker[[#This Row],[Due date]],1,Holidays!D34:D47)</f>
        <v>6</v>
      </c>
      <c r="W2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08" s="30">
        <f ca="1">WFTracker[[#This Row],[Active Time]]-WFTracker[[#This Row],[Completion Days Template]]</f>
        <v>2</v>
      </c>
      <c r="Y208" s="34" t="str">
        <f ca="1" xml:space="preserve"> IF(WFTracker[[#This Row],[Overdue Time '[Expected-Completion']]]&gt;0, "LATE","ON TIME")</f>
        <v>LATE</v>
      </c>
      <c r="Z208" s="34" t="str">
        <f ca="1">IF(WFTracker[[#This Row],[Overdue Time '[Expected-Completion']]] &gt;= 15, "SUPER LATE", Y208)</f>
        <v>LATE</v>
      </c>
      <c r="AA208" s="37" t="str">
        <f>IF(WFTracker[[#This Row],[Pre RM Opening Time]]&lt;WFTracker[[#This Row],[Old vs New Order Lead Time WF dead line]], "LATE BY ENG", "ON TIME BY ENG")</f>
        <v>ON TIME BY ENG</v>
      </c>
      <c r="AB208" s="37"/>
      <c r="AC208" s="15" t="str">
        <f>IF(WFTracker[[#This Row],[Competion Date Content]] = FALSE, "C", "I")</f>
        <v>C</v>
      </c>
      <c r="AD2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-53</v>
      </c>
      <c r="AE208" s="105" t="str">
        <f ca="1">IF(WFTracker[[#This Row],[Impact Time Post RM]]&gt;0, "IMPACTED", "NOT IMPACTED")</f>
        <v>NOT IMPACTED</v>
      </c>
      <c r="AF208" s="15"/>
      <c r="AG208" s="18"/>
      <c r="AH208" s="14" t="str">
        <f>IF(WFTracker[[#This Row],[Status]]="C", "Closed", IF(WFTracker[[#This Row],[Status]] = "x", "Cancelled", WFTracker[[#This Row],[Impact Time Post RM]]))</f>
        <v>Closed</v>
      </c>
      <c r="AI208" s="14" t="str">
        <f ca="1">IF(WFTracker[[#This Row],[Impact Time Post RM]]&lt;=0,"ON TIME","LATE")</f>
        <v>ON TIME</v>
      </c>
      <c r="AJ208" s="14" t="s">
        <v>984</v>
      </c>
      <c r="AK208" s="14">
        <v>18</v>
      </c>
      <c r="AL208" s="915">
        <f>IF(WFTracker[[#This Row],[Type]]="MAKE", WFTracker[[#This Row],[Due date]]+Filters!$J$111, WFTracker[[#This Row],[Due date]]+Filters!$J$135)</f>
        <v>45870.072512647552</v>
      </c>
      <c r="AM208" s="101" cm="1">
        <f t="array" ref="AM20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09" spans="1:39" ht="14.45">
      <c r="A209" t="str">
        <f>IF(WFTracker[[#This Row],[Order Number]]="SWBD", "QED2", "PZ4")</f>
        <v>PZ4</v>
      </c>
      <c r="B209" s="21" t="s">
        <v>271</v>
      </c>
      <c r="C209" s="26" t="s">
        <v>834</v>
      </c>
      <c r="D209" s="11" t="str">
        <f>WFTracker[[#This Row],[Order Number]]  &amp; "-" &amp; WFTracker[[#This Row],[Item]]</f>
        <v>0050988425-001260</v>
      </c>
      <c r="E209" s="23" t="s">
        <v>272</v>
      </c>
      <c r="F209" s="12">
        <v>45944</v>
      </c>
      <c r="G209" s="12"/>
      <c r="H209" s="11" t="s">
        <v>273</v>
      </c>
      <c r="I209" s="11" t="s">
        <v>24</v>
      </c>
      <c r="J209" s="13" t="s">
        <v>1177</v>
      </c>
      <c r="K209" s="14" t="s">
        <v>1023</v>
      </c>
      <c r="L209" s="15" t="s">
        <v>27</v>
      </c>
      <c r="M209" s="15" t="s">
        <v>1120</v>
      </c>
      <c r="N209" s="56">
        <v>46002</v>
      </c>
      <c r="O209" s="15">
        <f>NETWORKDAYS.INTL(WFTracker[[#This Row],[Start date]],WFTracker[[#This Row],[RM]],1,Holidays!D35:D48)</f>
        <v>61</v>
      </c>
      <c r="P209" s="12">
        <v>45860</v>
      </c>
      <c r="Q209" s="12">
        <v>45867</v>
      </c>
      <c r="R209" s="12">
        <v>45869</v>
      </c>
      <c r="S209" s="27" t="b">
        <f>ISBLANK(WFTracker[[#This Row],[Completion Date]])</f>
        <v>0</v>
      </c>
      <c r="T209" s="27" t="str">
        <f>TEXT(WFTracker[[#This Row],[Start date]],"mmm-yyyy")</f>
        <v>Jul-2025</v>
      </c>
      <c r="U209" s="11">
        <v>5</v>
      </c>
      <c r="V209" s="11">
        <f>NETWORKDAYS.INTL(WFTracker[[#This Row],[Start date]],WFTracker[[#This Row],[Due date]],1,Holidays!D35:D48)</f>
        <v>6</v>
      </c>
      <c r="W2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09" s="30">
        <f ca="1">WFTracker[[#This Row],[Active Time]]-WFTracker[[#This Row],[Completion Days Template]]</f>
        <v>2</v>
      </c>
      <c r="Y209" s="34" t="str">
        <f ca="1" xml:space="preserve"> IF(WFTracker[[#This Row],[Overdue Time '[Expected-Completion']]]&gt;0, "LATE","ON TIME")</f>
        <v>LATE</v>
      </c>
      <c r="Z209" s="34" t="str">
        <f ca="1">IF(WFTracker[[#This Row],[Overdue Time '[Expected-Completion']]] &gt;= 15, "SUPER LATE", Y209)</f>
        <v>LATE</v>
      </c>
      <c r="AA209" s="37" t="str">
        <f>IF(WFTracker[[#This Row],[Pre RM Opening Time]]&lt;WFTracker[[#This Row],[Old vs New Order Lead Time WF dead line]], "LATE BY ENG", "ON TIME BY ENG")</f>
        <v>ON TIME BY ENG</v>
      </c>
      <c r="AB209" s="37"/>
      <c r="AC209" s="15" t="str">
        <f>IF(WFTracker[[#This Row],[Competion Date Content]] = FALSE, "C", "I")</f>
        <v>C</v>
      </c>
      <c r="AD2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-53</v>
      </c>
      <c r="AE209" s="105" t="str">
        <f ca="1">IF(WFTracker[[#This Row],[Impact Time Post RM]]&gt;0, "IMPACTED", "NOT IMPACTED")</f>
        <v>NOT IMPACTED</v>
      </c>
      <c r="AF209" s="15"/>
      <c r="AG209" s="18"/>
      <c r="AH209" s="14" t="str">
        <f>IF(WFTracker[[#This Row],[Status]]="C", "Closed", IF(WFTracker[[#This Row],[Status]] = "x", "Cancelled", WFTracker[[#This Row],[Impact Time Post RM]]))</f>
        <v>Closed</v>
      </c>
      <c r="AI209" s="14" t="str">
        <f ca="1">IF(WFTracker[[#This Row],[Impact Time Post RM]]&lt;=0,"ON TIME","LATE")</f>
        <v>ON TIME</v>
      </c>
      <c r="AJ209" s="14" t="s">
        <v>984</v>
      </c>
      <c r="AK209" s="14">
        <v>18</v>
      </c>
      <c r="AL209" s="915">
        <f>IF(WFTracker[[#This Row],[Type]]="MAKE", WFTracker[[#This Row],[Due date]]+Filters!$J$111, WFTracker[[#This Row],[Due date]]+Filters!$J$135)</f>
        <v>45870.072512647552</v>
      </c>
      <c r="AM209" s="101" cm="1">
        <f t="array" ref="AM2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0" spans="1:39" ht="14.45">
      <c r="A210" t="str">
        <f>IF(WFTracker[[#This Row],[Order Number]]="SWBD", "QED2", "PZ4")</f>
        <v>PZ4</v>
      </c>
      <c r="B210" s="21" t="s">
        <v>271</v>
      </c>
      <c r="C210" s="26" t="s">
        <v>834</v>
      </c>
      <c r="D210" s="11" t="str">
        <f>WFTracker[[#This Row],[Order Number]]  &amp; "-" &amp; WFTracker[[#This Row],[Item]]</f>
        <v>0050988425-001260</v>
      </c>
      <c r="E210" s="23" t="s">
        <v>272</v>
      </c>
      <c r="F210" s="12">
        <v>45944</v>
      </c>
      <c r="G210" s="12"/>
      <c r="H210" s="11" t="s">
        <v>273</v>
      </c>
      <c r="I210" s="11" t="s">
        <v>24</v>
      </c>
      <c r="J210" s="13" t="s">
        <v>1178</v>
      </c>
      <c r="K210" s="14" t="s">
        <v>1023</v>
      </c>
      <c r="L210" s="15" t="s">
        <v>27</v>
      </c>
      <c r="M210" s="15" t="s">
        <v>1120</v>
      </c>
      <c r="N210" s="56">
        <v>46002</v>
      </c>
      <c r="O210" s="15">
        <f>NETWORKDAYS.INTL(WFTracker[[#This Row],[Start date]],WFTracker[[#This Row],[RM]],1,Holidays!D36:D49)</f>
        <v>61</v>
      </c>
      <c r="P210" s="12">
        <v>45860</v>
      </c>
      <c r="Q210" s="12">
        <v>45867</v>
      </c>
      <c r="R210" s="12">
        <v>45869</v>
      </c>
      <c r="S210" s="27" t="b">
        <f>ISBLANK(WFTracker[[#This Row],[Completion Date]])</f>
        <v>0</v>
      </c>
      <c r="T210" s="27" t="str">
        <f>TEXT(WFTracker[[#This Row],[Start date]],"mmm-yyyy")</f>
        <v>Jul-2025</v>
      </c>
      <c r="U210" s="11">
        <v>5</v>
      </c>
      <c r="V210" s="11">
        <f>NETWORKDAYS.INTL(WFTracker[[#This Row],[Start date]],WFTracker[[#This Row],[Due date]],1,Holidays!D36:D49)</f>
        <v>6</v>
      </c>
      <c r="W2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10" s="30">
        <f ca="1">WFTracker[[#This Row],[Active Time]]-WFTracker[[#This Row],[Completion Days Template]]</f>
        <v>2</v>
      </c>
      <c r="Y210" s="34" t="str">
        <f ca="1" xml:space="preserve"> IF(WFTracker[[#This Row],[Overdue Time '[Expected-Completion']]]&gt;0, "LATE","ON TIME")</f>
        <v>LATE</v>
      </c>
      <c r="Z210" s="34" t="str">
        <f ca="1">IF(WFTracker[[#This Row],[Overdue Time '[Expected-Completion']]] &gt;= 15, "SUPER LATE", Y210)</f>
        <v>LATE</v>
      </c>
      <c r="AA210" s="37" t="str">
        <f>IF(WFTracker[[#This Row],[Pre RM Opening Time]]&lt;WFTracker[[#This Row],[Old vs New Order Lead Time WF dead line]], "LATE BY ENG", "ON TIME BY ENG")</f>
        <v>ON TIME BY ENG</v>
      </c>
      <c r="AB210" s="37"/>
      <c r="AC210" s="15" t="str">
        <f>IF(WFTracker[[#This Row],[Competion Date Content]] = FALSE, "C", "I")</f>
        <v>C</v>
      </c>
      <c r="AD2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-53</v>
      </c>
      <c r="AE210" s="105" t="str">
        <f ca="1">IF(WFTracker[[#This Row],[Impact Time Post RM]]&gt;0, "IMPACTED", "NOT IMPACTED")</f>
        <v>NOT IMPACTED</v>
      </c>
      <c r="AF210" s="15"/>
      <c r="AG210" s="18"/>
      <c r="AH210" s="14" t="str">
        <f>IF(WFTracker[[#This Row],[Status]]="C", "Closed", IF(WFTracker[[#This Row],[Status]] = "x", "Cancelled", WFTracker[[#This Row],[Impact Time Post RM]]))</f>
        <v>Closed</v>
      </c>
      <c r="AI210" s="14" t="str">
        <f ca="1">IF(WFTracker[[#This Row],[Impact Time Post RM]]&lt;=0,"ON TIME","LATE")</f>
        <v>ON TIME</v>
      </c>
      <c r="AJ210" s="14" t="s">
        <v>984</v>
      </c>
      <c r="AK210" s="14">
        <v>18</v>
      </c>
      <c r="AL210" s="915">
        <f>IF(WFTracker[[#This Row],[Type]]="MAKE", WFTracker[[#This Row],[Due date]]+Filters!$J$111, WFTracker[[#This Row],[Due date]]+Filters!$J$135)</f>
        <v>45870.072512647552</v>
      </c>
      <c r="AM210" s="101" cm="1">
        <f t="array" ref="AM2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1" spans="1:39" ht="14.45">
      <c r="A211" t="str">
        <f>IF(WFTracker[[#This Row],[Order Number]]="SWBD", "QED2", "PZ4")</f>
        <v>PZ4</v>
      </c>
      <c r="B211" s="21" t="s">
        <v>271</v>
      </c>
      <c r="C211" s="26" t="s">
        <v>834</v>
      </c>
      <c r="D211" s="11" t="str">
        <f>WFTracker[[#This Row],[Order Number]]  &amp; "-" &amp; WFTracker[[#This Row],[Item]]</f>
        <v>0050988425-001260</v>
      </c>
      <c r="E211" s="23" t="s">
        <v>272</v>
      </c>
      <c r="F211" s="12">
        <v>45944</v>
      </c>
      <c r="G211" s="12"/>
      <c r="H211" s="11" t="s">
        <v>273</v>
      </c>
      <c r="I211" s="11" t="s">
        <v>24</v>
      </c>
      <c r="J211" s="13" t="s">
        <v>1179</v>
      </c>
      <c r="K211" s="14" t="s">
        <v>1023</v>
      </c>
      <c r="L211" s="15" t="s">
        <v>27</v>
      </c>
      <c r="M211" s="15" t="s">
        <v>1120</v>
      </c>
      <c r="N211" s="56">
        <v>46002</v>
      </c>
      <c r="O211" s="15">
        <f>NETWORKDAYS.INTL(WFTracker[[#This Row],[Start date]],WFTracker[[#This Row],[RM]],1,Holidays!D37:D50)</f>
        <v>61</v>
      </c>
      <c r="P211" s="12">
        <v>45860</v>
      </c>
      <c r="Q211" s="12">
        <v>45873</v>
      </c>
      <c r="R211" s="12">
        <v>45867</v>
      </c>
      <c r="S211" s="27" t="b">
        <f>ISBLANK(WFTracker[[#This Row],[Completion Date]])</f>
        <v>0</v>
      </c>
      <c r="T211" s="27" t="str">
        <f>TEXT(WFTracker[[#This Row],[Start date]],"mmm-yyyy")</f>
        <v>Jul-2025</v>
      </c>
      <c r="U211" s="11">
        <v>5</v>
      </c>
      <c r="V211" s="11">
        <f>NETWORKDAYS.INTL(WFTracker[[#This Row],[Start date]],WFTracker[[#This Row],[Due date]],1,Holidays!D37:D50)</f>
        <v>10</v>
      </c>
      <c r="W2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11" s="30">
        <f ca="1">WFTracker[[#This Row],[Active Time]]-WFTracker[[#This Row],[Completion Days Template]]</f>
        <v>-4</v>
      </c>
      <c r="Y211" s="34" t="str">
        <f ca="1" xml:space="preserve"> IF(WFTracker[[#This Row],[Overdue Time '[Expected-Completion']]]&gt;0, "LATE","ON TIME")</f>
        <v>ON TIME</v>
      </c>
      <c r="Z211" s="34" t="str">
        <f ca="1">IF(WFTracker[[#This Row],[Overdue Time '[Expected-Completion']]] &gt;= 15, "SUPER LATE", Y211)</f>
        <v>ON TIME</v>
      </c>
      <c r="AA211" s="37" t="str">
        <f>IF(WFTracker[[#This Row],[Pre RM Opening Time]]&lt;WFTracker[[#This Row],[Old vs New Order Lead Time WF dead line]], "LATE BY ENG", "ON TIME BY ENG")</f>
        <v>ON TIME BY ENG</v>
      </c>
      <c r="AB211" s="37"/>
      <c r="AC211" s="15" t="str">
        <f>IF(WFTracker[[#This Row],[Competion Date Content]] = FALSE, "C", "I")</f>
        <v>C</v>
      </c>
      <c r="AD2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-55</v>
      </c>
      <c r="AE211" s="105" t="str">
        <f ca="1">IF(WFTracker[[#This Row],[Impact Time Post RM]]&gt;0, "IMPACTED", "NOT IMPACTED")</f>
        <v>NOT IMPACTED</v>
      </c>
      <c r="AF211" s="15"/>
      <c r="AG211" s="18"/>
      <c r="AH211" s="14" t="str">
        <f>IF(WFTracker[[#This Row],[Status]]="C", "Closed", IF(WFTracker[[#This Row],[Status]] = "x", "Cancelled", WFTracker[[#This Row],[Impact Time Post RM]]))</f>
        <v>Closed</v>
      </c>
      <c r="AI211" s="14" t="str">
        <f ca="1">IF(WFTracker[[#This Row],[Impact Time Post RM]]&lt;=0,"ON TIME","LATE")</f>
        <v>ON TIME</v>
      </c>
      <c r="AJ211" s="14" t="s">
        <v>984</v>
      </c>
      <c r="AK211" s="14">
        <v>18</v>
      </c>
      <c r="AL211" s="915">
        <f>IF(WFTracker[[#This Row],[Type]]="MAKE", WFTracker[[#This Row],[Due date]]+Filters!$J$111, WFTracker[[#This Row],[Due date]]+Filters!$J$135)</f>
        <v>45876.072512647552</v>
      </c>
      <c r="AM211" s="101" cm="1">
        <f t="array" ref="AM2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2" spans="1:39" ht="14.45">
      <c r="A212" t="str">
        <f>IF(WFTracker[[#This Row],[Order Number]]="SWBD", "QED2", "PZ4")</f>
        <v>PZ4</v>
      </c>
      <c r="B212" s="21" t="s">
        <v>401</v>
      </c>
      <c r="C212" s="26" t="s">
        <v>135</v>
      </c>
      <c r="D212" s="11" t="str">
        <f>WFTracker[[#This Row],[Order Number]]  &amp; "-" &amp; WFTracker[[#This Row],[Item]]</f>
        <v>0051199001-000010</v>
      </c>
      <c r="E212" s="23" t="s">
        <v>1020</v>
      </c>
      <c r="F212" s="12">
        <v>45877</v>
      </c>
      <c r="G212" s="12"/>
      <c r="H212" s="11" t="s">
        <v>237</v>
      </c>
      <c r="I212" s="11" t="s">
        <v>1132</v>
      </c>
      <c r="J212" s="13" t="s">
        <v>1180</v>
      </c>
      <c r="K212" s="14" t="s">
        <v>1023</v>
      </c>
      <c r="L212" s="15" t="s">
        <v>27</v>
      </c>
      <c r="M212" s="15" t="s">
        <v>1181</v>
      </c>
      <c r="N212" s="56">
        <v>45987</v>
      </c>
      <c r="O212" s="15">
        <f>NETWORKDAYS.INTL(WFTracker[[#This Row],[Start date]],WFTracker[[#This Row],[RM]],1,Holidays!D312:D327)</f>
        <v>13</v>
      </c>
      <c r="P212" s="12">
        <v>45861</v>
      </c>
      <c r="Q212" s="12">
        <v>45868</v>
      </c>
      <c r="R212" s="12">
        <v>45869</v>
      </c>
      <c r="S212" s="27" t="b">
        <f>ISBLANK(WFTracker[[#This Row],[Completion Date]])</f>
        <v>0</v>
      </c>
      <c r="T212" s="27" t="str">
        <f>TEXT(WFTracker[[#This Row],[Start date]],"mmm-yyyy")</f>
        <v>Jul-2025</v>
      </c>
      <c r="U212" s="11">
        <v>5</v>
      </c>
      <c r="V212" s="11">
        <f>NETWORKDAYS.INTL(WFTracker[[#This Row],[Start date]],WFTracker[[#This Row],[Due date]],1,Holidays!D312:D327)</f>
        <v>6</v>
      </c>
      <c r="W2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12" s="30">
        <f ca="1">WFTracker[[#This Row],[Active Time]]-WFTracker[[#This Row],[Completion Days Template]]</f>
        <v>1</v>
      </c>
      <c r="Y212" s="34" t="str">
        <f ca="1" xml:space="preserve"> IF(WFTracker[[#This Row],[Overdue Time '[Expected-Completion']]]&gt;0, "LATE","ON TIME")</f>
        <v>LATE</v>
      </c>
      <c r="Z212" s="34" t="str">
        <f ca="1">IF(WFTracker[[#This Row],[Overdue Time '[Expected-Completion']]] &gt;= 15, "SUPER LATE", Y212)</f>
        <v>LATE</v>
      </c>
      <c r="AA212" s="37" t="str">
        <f>IF(WFTracker[[#This Row],[Pre RM Opening Time]]&lt;WFTracker[[#This Row],[Old vs New Order Lead Time WF dead line]], "LATE BY ENG", "ON TIME BY ENG")</f>
        <v>ON TIME BY ENG</v>
      </c>
      <c r="AB212" s="37"/>
      <c r="AC212" s="15" t="str">
        <f>IF(WFTracker[[#This Row],[Competion Date Content]] = FALSE, "C", "I")</f>
        <v>C</v>
      </c>
      <c r="AD2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212" s="105" t="str">
        <f ca="1">IF(WFTracker[[#This Row],[Impact Time Post RM]]&gt;0, "IMPACTED", "NOT IMPACTED")</f>
        <v>NOT IMPACTED</v>
      </c>
      <c r="AF212" s="15"/>
      <c r="AG212" s="18"/>
      <c r="AH212" s="14" t="str">
        <f>IF(WFTracker[[#This Row],[Status]]="C", "Closed", IF(WFTracker[[#This Row],[Status]] = "x", "Cancelled", WFTracker[[#This Row],[Impact Time Post RM]]))</f>
        <v>Closed</v>
      </c>
      <c r="AI212" s="14" t="str">
        <f ca="1">IF(WFTracker[[#This Row],[Impact Time Post RM]]&lt;=0,"ON TIME","LATE")</f>
        <v>ON TIME</v>
      </c>
      <c r="AJ212" s="14" t="s">
        <v>984</v>
      </c>
      <c r="AK212" s="14">
        <v>18</v>
      </c>
      <c r="AL212" s="915">
        <f>IF(WFTracker[[#This Row],[Type]]="MAKE", WFTracker[[#This Row],[Due date]]+Filters!$J$111, WFTracker[[#This Row],[Due date]]+Filters!$J$135)</f>
        <v>45871.072512647552</v>
      </c>
      <c r="AM212" s="101" cm="1">
        <f t="array" ref="AM2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3" spans="1:39" ht="14.45">
      <c r="A213" t="str">
        <f>IF(WFTracker[[#This Row],[Order Number]]="SWBD", "QED2", "PZ4")</f>
        <v>PZ4</v>
      </c>
      <c r="B213" s="21" t="s">
        <v>401</v>
      </c>
      <c r="C213" s="26" t="s">
        <v>135</v>
      </c>
      <c r="D213" s="11" t="str">
        <f>WFTracker[[#This Row],[Order Number]]  &amp; "-" &amp; WFTracker[[#This Row],[Item]]</f>
        <v>0051199001-000010</v>
      </c>
      <c r="E213" s="23" t="s">
        <v>1020</v>
      </c>
      <c r="F213" s="12">
        <v>45877</v>
      </c>
      <c r="G213" s="12"/>
      <c r="H213" s="11" t="s">
        <v>237</v>
      </c>
      <c r="I213" s="11" t="s">
        <v>1132</v>
      </c>
      <c r="J213" s="13" t="s">
        <v>1182</v>
      </c>
      <c r="K213" s="14" t="s">
        <v>1023</v>
      </c>
      <c r="L213" s="15" t="s">
        <v>40</v>
      </c>
      <c r="M213" s="15" t="s">
        <v>1181</v>
      </c>
      <c r="N213" s="56">
        <v>45987</v>
      </c>
      <c r="O213" s="15">
        <f>NETWORKDAYS.INTL(WFTracker[[#This Row],[Start date]],WFTracker[[#This Row],[RM]],1,Holidays!D313:D328)</f>
        <v>13</v>
      </c>
      <c r="P213" s="12">
        <v>45861</v>
      </c>
      <c r="Q213" s="12">
        <v>45870</v>
      </c>
      <c r="R213" s="12">
        <v>45882</v>
      </c>
      <c r="S213" s="27" t="b">
        <f>ISBLANK(WFTracker[[#This Row],[Completion Date]])</f>
        <v>0</v>
      </c>
      <c r="T213" s="27" t="str">
        <f>TEXT(WFTracker[[#This Row],[Start date]],"mmm-yyyy")</f>
        <v>Jul-2025</v>
      </c>
      <c r="U213" s="11">
        <v>5</v>
      </c>
      <c r="V213" s="11">
        <f>NETWORKDAYS.INTL(WFTracker[[#This Row],[Start date]],WFTracker[[#This Row],[Due date]],1,Holidays!D313:D328)</f>
        <v>8</v>
      </c>
      <c r="W2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213" s="30">
        <f ca="1">WFTracker[[#This Row],[Active Time]]-WFTracker[[#This Row],[Completion Days Template]]</f>
        <v>8</v>
      </c>
      <c r="Y213" s="34" t="str">
        <f ca="1" xml:space="preserve"> IF(WFTracker[[#This Row],[Overdue Time '[Expected-Completion']]]&gt;0, "LATE","ON TIME")</f>
        <v>LATE</v>
      </c>
      <c r="Z213" s="34" t="str">
        <f ca="1">IF(WFTracker[[#This Row],[Overdue Time '[Expected-Completion']]] &gt;= 15, "SUPER LATE", Y213)</f>
        <v>LATE</v>
      </c>
      <c r="AA213" s="37" t="str">
        <f>IF(WFTracker[[#This Row],[Pre RM Opening Time]]&lt;WFTracker[[#This Row],[Old vs New Order Lead Time WF dead line]], "LATE BY ENG", "ON TIME BY ENG")</f>
        <v>ON TIME BY ENG</v>
      </c>
      <c r="AB213" s="37"/>
      <c r="AC213" s="15" t="str">
        <f>IF(WFTracker[[#This Row],[Competion Date Content]] = FALSE, "C", "I")</f>
        <v>C</v>
      </c>
      <c r="AD2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213" s="105" t="str">
        <f ca="1">IF(WFTracker[[#This Row],[Impact Time Post RM]]&gt;0, "IMPACTED", "NOT IMPACTED")</f>
        <v>IMPACTED</v>
      </c>
      <c r="AF213" s="15"/>
      <c r="AG213" s="18"/>
      <c r="AH213" s="14" t="str">
        <f>IF(WFTracker[[#This Row],[Status]]="C", "Closed", IF(WFTracker[[#This Row],[Status]] = "x", "Cancelled", WFTracker[[#This Row],[Impact Time Post RM]]))</f>
        <v>Closed</v>
      </c>
      <c r="AI213" s="14" t="str">
        <f ca="1">IF(WFTracker[[#This Row],[Impact Time Post RM]]&lt;=0,"ON TIME","LATE")</f>
        <v>LATE</v>
      </c>
      <c r="AJ213" s="14" t="s">
        <v>984</v>
      </c>
      <c r="AK213" s="14">
        <v>17</v>
      </c>
      <c r="AL213" s="915">
        <f>IF(WFTracker[[#This Row],[Type]]="MAKE", WFTracker[[#This Row],[Due date]]+Filters!$J$111, WFTracker[[#This Row],[Due date]]+Filters!$J$135)</f>
        <v>45870.415686274508</v>
      </c>
      <c r="AM213" s="102" cm="1">
        <f t="array" ref="AM2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4" spans="1:39" ht="14.45">
      <c r="A214" t="str">
        <f>IF(WFTracker[[#This Row],[Order Number]]="SWBD", "QED2", "PZ4")</f>
        <v>PZ4</v>
      </c>
      <c r="B214" s="21" t="s">
        <v>401</v>
      </c>
      <c r="C214" s="26" t="s">
        <v>135</v>
      </c>
      <c r="D214" s="11" t="str">
        <f>WFTracker[[#This Row],[Order Number]]  &amp; "-" &amp; WFTracker[[#This Row],[Item]]</f>
        <v>0051199001-000010</v>
      </c>
      <c r="E214" s="23" t="s">
        <v>1020</v>
      </c>
      <c r="F214" s="12">
        <v>45877</v>
      </c>
      <c r="G214" s="12"/>
      <c r="H214" s="11" t="s">
        <v>237</v>
      </c>
      <c r="I214" s="11" t="s">
        <v>1132</v>
      </c>
      <c r="J214" s="13" t="s">
        <v>1183</v>
      </c>
      <c r="K214" s="14" t="s">
        <v>1023</v>
      </c>
      <c r="L214" s="15" t="s">
        <v>40</v>
      </c>
      <c r="M214" s="15" t="s">
        <v>1181</v>
      </c>
      <c r="N214" s="56">
        <v>45987</v>
      </c>
      <c r="O214" s="15">
        <f>NETWORKDAYS.INTL(WFTracker[[#This Row],[Start date]],WFTracker[[#This Row],[RM]],1,Holidays!D314:D329)</f>
        <v>13</v>
      </c>
      <c r="P214" s="12">
        <v>45861</v>
      </c>
      <c r="Q214" s="12">
        <v>45873</v>
      </c>
      <c r="R214" s="12">
        <v>45882</v>
      </c>
      <c r="S214" s="27" t="b">
        <f>ISBLANK(WFTracker[[#This Row],[Completion Date]])</f>
        <v>0</v>
      </c>
      <c r="T214" s="27" t="str">
        <f>TEXT(WFTracker[[#This Row],[Start date]],"mmm-yyyy")</f>
        <v>Jul-2025</v>
      </c>
      <c r="U214" s="11">
        <v>5</v>
      </c>
      <c r="V214" s="11">
        <f>NETWORKDAYS.INTL(WFTracker[[#This Row],[Start date]],WFTracker[[#This Row],[Due date]],1,Holidays!D314:D329)</f>
        <v>9</v>
      </c>
      <c r="W2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214" s="30">
        <f ca="1">WFTracker[[#This Row],[Active Time]]-WFTracker[[#This Row],[Completion Days Template]]</f>
        <v>7</v>
      </c>
      <c r="Y214" s="34" t="str">
        <f ca="1" xml:space="preserve"> IF(WFTracker[[#This Row],[Overdue Time '[Expected-Completion']]]&gt;0, "LATE","ON TIME")</f>
        <v>LATE</v>
      </c>
      <c r="Z214" s="34" t="str">
        <f ca="1">IF(WFTracker[[#This Row],[Overdue Time '[Expected-Completion']]] &gt;= 15, "SUPER LATE", Y214)</f>
        <v>LATE</v>
      </c>
      <c r="AA214" s="37" t="str">
        <f>IF(WFTracker[[#This Row],[Pre RM Opening Time]]&lt;WFTracker[[#This Row],[Old vs New Order Lead Time WF dead line]], "LATE BY ENG", "ON TIME BY ENG")</f>
        <v>ON TIME BY ENG</v>
      </c>
      <c r="AB214" s="37"/>
      <c r="AC214" s="15" t="str">
        <f>IF(WFTracker[[#This Row],[Competion Date Content]] = FALSE, "C", "I")</f>
        <v>C</v>
      </c>
      <c r="AD2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214" s="105" t="str">
        <f ca="1">IF(WFTracker[[#This Row],[Impact Time Post RM]]&gt;0, "IMPACTED", "NOT IMPACTED")</f>
        <v>IMPACTED</v>
      </c>
      <c r="AF214" s="15"/>
      <c r="AG214" s="18"/>
      <c r="AH214" s="14" t="str">
        <f>IF(WFTracker[[#This Row],[Status]]="C", "Closed", IF(WFTracker[[#This Row],[Status]] = "x", "Cancelled", WFTracker[[#This Row],[Impact Time Post RM]]))</f>
        <v>Closed</v>
      </c>
      <c r="AI214" s="14" t="str">
        <f ca="1">IF(WFTracker[[#This Row],[Impact Time Post RM]]&lt;=0,"ON TIME","LATE")</f>
        <v>LATE</v>
      </c>
      <c r="AJ214" s="14" t="s">
        <v>984</v>
      </c>
      <c r="AK214" s="14">
        <v>17</v>
      </c>
      <c r="AL214" s="915">
        <f>IF(WFTracker[[#This Row],[Type]]="MAKE", WFTracker[[#This Row],[Due date]]+Filters!$J$111, WFTracker[[#This Row],[Due date]]+Filters!$J$135)</f>
        <v>45873.415686274508</v>
      </c>
      <c r="AM214" s="102" cm="1">
        <f t="array" ref="AM2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5" spans="1:39" ht="14.45">
      <c r="A215" t="str">
        <f>IF(WFTracker[[#This Row],[Order Number]]="SWBD", "QED2", "PZ4")</f>
        <v>PZ4</v>
      </c>
      <c r="B215" s="21" t="s">
        <v>401</v>
      </c>
      <c r="C215" s="26" t="s">
        <v>135</v>
      </c>
      <c r="D215" s="11" t="str">
        <f>WFTracker[[#This Row],[Order Number]]  &amp; "-" &amp; WFTracker[[#This Row],[Item]]</f>
        <v>0051199001-000010</v>
      </c>
      <c r="E215" s="23" t="s">
        <v>1020</v>
      </c>
      <c r="F215" s="12">
        <v>45877</v>
      </c>
      <c r="G215" s="12"/>
      <c r="H215" s="11" t="s">
        <v>237</v>
      </c>
      <c r="I215" s="11" t="s">
        <v>1132</v>
      </c>
      <c r="J215" s="13" t="s">
        <v>1184</v>
      </c>
      <c r="K215" s="14" t="s">
        <v>1023</v>
      </c>
      <c r="L215" s="15" t="s">
        <v>40</v>
      </c>
      <c r="M215" s="15" t="s">
        <v>1181</v>
      </c>
      <c r="N215" s="56">
        <v>45987</v>
      </c>
      <c r="O215" s="15">
        <f>NETWORKDAYS.INTL(WFTracker[[#This Row],[Start date]],WFTracker[[#This Row],[RM]],1,Holidays!D315:D330)</f>
        <v>13</v>
      </c>
      <c r="P215" s="12">
        <v>45861</v>
      </c>
      <c r="Q215" s="12">
        <v>45874</v>
      </c>
      <c r="R215" s="12">
        <v>45868</v>
      </c>
      <c r="S215" s="27" t="b">
        <f>ISBLANK(WFTracker[[#This Row],[Completion Date]])</f>
        <v>0</v>
      </c>
      <c r="T215" s="27" t="str">
        <f>TEXT(WFTracker[[#This Row],[Start date]],"mmm-yyyy")</f>
        <v>Jul-2025</v>
      </c>
      <c r="U215" s="11">
        <v>5</v>
      </c>
      <c r="V215" s="11">
        <f>NETWORKDAYS.INTL(WFTracker[[#This Row],[Start date]],WFTracker[[#This Row],[Due date]],1,Holidays!D315:D330)</f>
        <v>10</v>
      </c>
      <c r="W2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15" s="30">
        <f ca="1">WFTracker[[#This Row],[Active Time]]-WFTracker[[#This Row],[Completion Days Template]]</f>
        <v>-4</v>
      </c>
      <c r="Y215" s="34" t="str">
        <f ca="1" xml:space="preserve"> IF(WFTracker[[#This Row],[Overdue Time '[Expected-Completion']]]&gt;0, "LATE","ON TIME")</f>
        <v>ON TIME</v>
      </c>
      <c r="Z215" s="34" t="str">
        <f ca="1">IF(WFTracker[[#This Row],[Overdue Time '[Expected-Completion']]] &gt;= 15, "SUPER LATE", Y215)</f>
        <v>ON TIME</v>
      </c>
      <c r="AA215" s="37" t="str">
        <f>IF(WFTracker[[#This Row],[Pre RM Opening Time]]&lt;WFTracker[[#This Row],[Old vs New Order Lead Time WF dead line]], "LATE BY ENG", "ON TIME BY ENG")</f>
        <v>ON TIME BY ENG</v>
      </c>
      <c r="AB215" s="37"/>
      <c r="AC215" s="15" t="str">
        <f>IF(WFTracker[[#This Row],[Competion Date Content]] = FALSE, "C", "I")</f>
        <v>C</v>
      </c>
      <c r="AD2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15" s="31" t="str">
        <f ca="1">IF(WFTracker[[#This Row],[Impact Time Post RM]]&gt;0, "IMPACTED", "NOT IMPACTED")</f>
        <v>NOT IMPACTED</v>
      </c>
      <c r="AF215" s="15"/>
      <c r="AG215" s="18"/>
      <c r="AH215" s="14" t="str">
        <f>IF(WFTracker[[#This Row],[Status]]="C", "Closed", IF(WFTracker[[#This Row],[Status]] = "x", "Cancelled", WFTracker[[#This Row],[Impact Time Post RM]]))</f>
        <v>Closed</v>
      </c>
      <c r="AI215" s="14" t="str">
        <f ca="1">IF(WFTracker[[#This Row],[Impact Time Post RM]]&lt;=0,"ON TIME","LATE")</f>
        <v>ON TIME</v>
      </c>
      <c r="AJ215" s="14" t="s">
        <v>984</v>
      </c>
      <c r="AK215" s="14">
        <v>17</v>
      </c>
      <c r="AL215" s="915">
        <f>IF(WFTracker[[#This Row],[Type]]="MAKE", WFTracker[[#This Row],[Due date]]+Filters!$J$111, WFTracker[[#This Row],[Due date]]+Filters!$J$135)</f>
        <v>45874.415686274508</v>
      </c>
      <c r="AM215" s="101" cm="1">
        <f t="array" ref="AM2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6" spans="1:39" ht="14.45">
      <c r="A216" t="str">
        <f>IF(WFTracker[[#This Row],[Order Number]]="SWBD", "QED2", "PZ4")</f>
        <v>PZ4</v>
      </c>
      <c r="B216" s="21" t="s">
        <v>401</v>
      </c>
      <c r="C216" s="26" t="s">
        <v>135</v>
      </c>
      <c r="D216" s="11" t="str">
        <f>WFTracker[[#This Row],[Order Number]]  &amp; "-" &amp; WFTracker[[#This Row],[Item]]</f>
        <v>0051199001-000010</v>
      </c>
      <c r="E216" s="23" t="s">
        <v>1020</v>
      </c>
      <c r="F216" s="12">
        <v>45877</v>
      </c>
      <c r="G216" s="12"/>
      <c r="H216" s="11" t="s">
        <v>237</v>
      </c>
      <c r="I216" s="11" t="s">
        <v>1132</v>
      </c>
      <c r="J216" s="13" t="s">
        <v>1185</v>
      </c>
      <c r="K216" s="14" t="s">
        <v>1023</v>
      </c>
      <c r="L216" s="15" t="s">
        <v>40</v>
      </c>
      <c r="M216" s="15" t="s">
        <v>1181</v>
      </c>
      <c r="N216" s="56">
        <v>45987</v>
      </c>
      <c r="O216" s="15">
        <f>NETWORKDAYS.INTL(WFTracker[[#This Row],[Start date]],WFTracker[[#This Row],[RM]],1,Holidays!D316:D331)</f>
        <v>13</v>
      </c>
      <c r="P216" s="12">
        <v>45861</v>
      </c>
      <c r="Q216" s="12">
        <v>45875</v>
      </c>
      <c r="R216" s="12">
        <v>45868</v>
      </c>
      <c r="S216" s="27" t="b">
        <f>ISBLANK(WFTracker[[#This Row],[Completion Date]])</f>
        <v>0</v>
      </c>
      <c r="T216" s="27" t="str">
        <f>TEXT(WFTracker[[#This Row],[Start date]],"mmm-yyyy")</f>
        <v>Jul-2025</v>
      </c>
      <c r="U216" s="11">
        <v>5</v>
      </c>
      <c r="V216" s="11">
        <f>NETWORKDAYS.INTL(WFTracker[[#This Row],[Start date]],WFTracker[[#This Row],[Due date]],1,Holidays!D316:D331)</f>
        <v>11</v>
      </c>
      <c r="W2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16" s="30">
        <f ca="1">WFTracker[[#This Row],[Active Time]]-WFTracker[[#This Row],[Completion Days Template]]</f>
        <v>-5</v>
      </c>
      <c r="Y216" s="34" t="str">
        <f ca="1" xml:space="preserve"> IF(WFTracker[[#This Row],[Overdue Time '[Expected-Completion']]]&gt;0, "LATE","ON TIME")</f>
        <v>ON TIME</v>
      </c>
      <c r="Z216" s="34" t="str">
        <f ca="1">IF(WFTracker[[#This Row],[Overdue Time '[Expected-Completion']]] &gt;= 15, "SUPER LATE", Y216)</f>
        <v>ON TIME</v>
      </c>
      <c r="AA216" s="37" t="str">
        <f>IF(WFTracker[[#This Row],[Pre RM Opening Time]]&lt;WFTracker[[#This Row],[Old vs New Order Lead Time WF dead line]], "LATE BY ENG", "ON TIME BY ENG")</f>
        <v>ON TIME BY ENG</v>
      </c>
      <c r="AB216" s="37"/>
      <c r="AC216" s="15" t="str">
        <f>IF(WFTracker[[#This Row],[Competion Date Content]] = FALSE, "C", "I")</f>
        <v>C</v>
      </c>
      <c r="AD2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16" s="31" t="str">
        <f ca="1">IF(WFTracker[[#This Row],[Impact Time Post RM]]&gt;0, "IMPACTED", "NOT IMPACTED")</f>
        <v>NOT IMPACTED</v>
      </c>
      <c r="AF216" s="15"/>
      <c r="AG216" s="18"/>
      <c r="AH216" s="14" t="str">
        <f>IF(WFTracker[[#This Row],[Status]]="C", "Closed", IF(WFTracker[[#This Row],[Status]] = "x", "Cancelled", WFTracker[[#This Row],[Impact Time Post RM]]))</f>
        <v>Closed</v>
      </c>
      <c r="AI216" s="14" t="str">
        <f ca="1">IF(WFTracker[[#This Row],[Impact Time Post RM]]&lt;=0,"ON TIME","LATE")</f>
        <v>ON TIME</v>
      </c>
      <c r="AJ216" s="14" t="s">
        <v>984</v>
      </c>
      <c r="AK216" s="14">
        <v>17</v>
      </c>
      <c r="AL216" s="915">
        <f>IF(WFTracker[[#This Row],[Type]]="MAKE", WFTracker[[#This Row],[Due date]]+Filters!$J$111, WFTracker[[#This Row],[Due date]]+Filters!$J$135)</f>
        <v>45875.415686274508</v>
      </c>
      <c r="AM216" s="101" cm="1">
        <f t="array" ref="AM2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7" spans="1:39" ht="14.45">
      <c r="A217" t="str">
        <f>IF(WFTracker[[#This Row],[Order Number]]="SWBD", "QED2", "PZ4")</f>
        <v>PZ4</v>
      </c>
      <c r="B217" s="21" t="s">
        <v>401</v>
      </c>
      <c r="C217" s="26" t="s">
        <v>135</v>
      </c>
      <c r="D217" s="11" t="str">
        <f>WFTracker[[#This Row],[Order Number]]  &amp; "-" &amp; WFTracker[[#This Row],[Item]]</f>
        <v>0051199001-000010</v>
      </c>
      <c r="E217" s="23" t="s">
        <v>1020</v>
      </c>
      <c r="F217" s="12">
        <v>45877</v>
      </c>
      <c r="G217" s="12"/>
      <c r="H217" s="11" t="s">
        <v>237</v>
      </c>
      <c r="I217" s="11" t="s">
        <v>1132</v>
      </c>
      <c r="J217" s="13" t="s">
        <v>1186</v>
      </c>
      <c r="K217" s="14" t="s">
        <v>1023</v>
      </c>
      <c r="L217" s="15" t="s">
        <v>40</v>
      </c>
      <c r="M217" s="15" t="s">
        <v>1181</v>
      </c>
      <c r="N217" s="56">
        <v>45987</v>
      </c>
      <c r="O217" s="15">
        <f>NETWORKDAYS.INTL(WFTracker[[#This Row],[Start date]],WFTracker[[#This Row],[RM]],1,Holidays!D317:D332)</f>
        <v>13</v>
      </c>
      <c r="P217" s="12">
        <v>45861</v>
      </c>
      <c r="Q217" s="12">
        <v>45876</v>
      </c>
      <c r="R217" s="12">
        <v>45868</v>
      </c>
      <c r="S217" s="27" t="b">
        <f>ISBLANK(WFTracker[[#This Row],[Completion Date]])</f>
        <v>0</v>
      </c>
      <c r="T217" s="27" t="str">
        <f>TEXT(WFTracker[[#This Row],[Start date]],"mmm-yyyy")</f>
        <v>Jul-2025</v>
      </c>
      <c r="U217" s="11">
        <v>5</v>
      </c>
      <c r="V217" s="11">
        <f>NETWORKDAYS.INTL(WFTracker[[#This Row],[Start date]],WFTracker[[#This Row],[Due date]],1,Holidays!D317:D332)</f>
        <v>12</v>
      </c>
      <c r="W2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17" s="30">
        <f ca="1">WFTracker[[#This Row],[Active Time]]-WFTracker[[#This Row],[Completion Days Template]]</f>
        <v>-6</v>
      </c>
      <c r="Y217" s="34" t="str">
        <f ca="1" xml:space="preserve"> IF(WFTracker[[#This Row],[Overdue Time '[Expected-Completion']]]&gt;0, "LATE","ON TIME")</f>
        <v>ON TIME</v>
      </c>
      <c r="Z217" s="34" t="str">
        <f ca="1">IF(WFTracker[[#This Row],[Overdue Time '[Expected-Completion']]] &gt;= 15, "SUPER LATE", Y217)</f>
        <v>ON TIME</v>
      </c>
      <c r="AA217" s="37" t="str">
        <f>IF(WFTracker[[#This Row],[Pre RM Opening Time]]&lt;WFTracker[[#This Row],[Old vs New Order Lead Time WF dead line]], "LATE BY ENG", "ON TIME BY ENG")</f>
        <v>ON TIME BY ENG</v>
      </c>
      <c r="AB217" s="37"/>
      <c r="AC217" s="15" t="str">
        <f>IF(WFTracker[[#This Row],[Competion Date Content]] = FALSE, "C", "I")</f>
        <v>C</v>
      </c>
      <c r="AD2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17" s="31" t="str">
        <f ca="1">IF(WFTracker[[#This Row],[Impact Time Post RM]]&gt;0, "IMPACTED", "NOT IMPACTED")</f>
        <v>NOT IMPACTED</v>
      </c>
      <c r="AF217" s="15"/>
      <c r="AG217" s="18"/>
      <c r="AH217" s="14" t="str">
        <f>IF(WFTracker[[#This Row],[Status]]="C", "Closed", IF(WFTracker[[#This Row],[Status]] = "x", "Cancelled", WFTracker[[#This Row],[Impact Time Post RM]]))</f>
        <v>Closed</v>
      </c>
      <c r="AI217" s="14" t="str">
        <f ca="1">IF(WFTracker[[#This Row],[Impact Time Post RM]]&lt;=0,"ON TIME","LATE")</f>
        <v>ON TIME</v>
      </c>
      <c r="AJ217" s="14" t="s">
        <v>984</v>
      </c>
      <c r="AK217" s="14">
        <v>17</v>
      </c>
      <c r="AL217" s="915">
        <f>IF(WFTracker[[#This Row],[Type]]="MAKE", WFTracker[[#This Row],[Due date]]+Filters!$J$111, WFTracker[[#This Row],[Due date]]+Filters!$J$135)</f>
        <v>45876.415686274508</v>
      </c>
      <c r="AM217" s="101" cm="1">
        <f t="array" ref="AM2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8" spans="1:39" ht="14.45">
      <c r="A218" t="str">
        <f>IF(WFTracker[[#This Row],[Order Number]]="SWBD", "QED2", "PZ4")</f>
        <v>PZ4</v>
      </c>
      <c r="B218" s="35" t="s">
        <v>431</v>
      </c>
      <c r="C218" s="26" t="s">
        <v>1187</v>
      </c>
      <c r="D218" s="11" t="str">
        <f>WFTracker[[#This Row],[Order Number]]  &amp; "-" &amp; WFTracker[[#This Row],[Item]]</f>
        <v>0051072452-000020&amp;000470</v>
      </c>
      <c r="E218" s="23" t="s">
        <v>1021</v>
      </c>
      <c r="F218" s="12">
        <v>45898</v>
      </c>
      <c r="G218" s="12"/>
      <c r="H218" s="11" t="s">
        <v>295</v>
      </c>
      <c r="I218" s="11" t="s">
        <v>111</v>
      </c>
      <c r="J218" s="13" t="s">
        <v>1188</v>
      </c>
      <c r="K218" s="14" t="s">
        <v>1023</v>
      </c>
      <c r="L218" s="15" t="s">
        <v>27</v>
      </c>
      <c r="M218" s="15" t="s">
        <v>1120</v>
      </c>
      <c r="N218" s="56">
        <v>46008</v>
      </c>
      <c r="O218" s="15">
        <f>NETWORKDAYS.INTL(WFTracker[[#This Row],[Start date]],WFTracker[[#This Row],[RM]],1,Holidays!D536:D551)</f>
        <v>27</v>
      </c>
      <c r="P218" s="12">
        <v>45862</v>
      </c>
      <c r="Q218" s="12">
        <v>45873</v>
      </c>
      <c r="R218" s="12">
        <v>45880</v>
      </c>
      <c r="S218" s="27" t="b">
        <f>ISBLANK(WFTracker[[#This Row],[Completion Date]])</f>
        <v>0</v>
      </c>
      <c r="T218" s="27" t="str">
        <f>TEXT(WFTracker[[#This Row],[Start date]],"mmm-yyyy")</f>
        <v>Jul-2025</v>
      </c>
      <c r="U218" s="11">
        <v>5</v>
      </c>
      <c r="V218" s="11">
        <f>NETWORKDAYS.INTL(WFTracker[[#This Row],[Start date]],WFTracker[[#This Row],[Due date]],1,Holidays!D536:D551)</f>
        <v>8</v>
      </c>
      <c r="W2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218" s="30">
        <f ca="1">WFTracker[[#This Row],[Active Time]]-WFTracker[[#This Row],[Completion Days Template]]</f>
        <v>5</v>
      </c>
      <c r="Y218" s="34" t="str">
        <f ca="1" xml:space="preserve"> IF(WFTracker[[#This Row],[Overdue Time '[Expected-Completion']]]&gt;0, "LATE","ON TIME")</f>
        <v>LATE</v>
      </c>
      <c r="Z218" s="34" t="str">
        <f ca="1">IF(WFTracker[[#This Row],[Overdue Time '[Expected-Completion']]] &gt;= 15, "SUPER LATE", Y218)</f>
        <v>LATE</v>
      </c>
      <c r="AA218" s="37" t="str">
        <f>IF(WFTracker[[#This Row],[Pre RM Opening Time]]&lt;WFTracker[[#This Row],[Old vs New Order Lead Time WF dead line]], "LATE BY ENG", "ON TIME BY ENG")</f>
        <v>ON TIME BY ENG</v>
      </c>
      <c r="AB218" s="37"/>
      <c r="AC218" s="15" t="str">
        <f>IF(WFTracker[[#This Row],[Competion Date Content]] = FALSE, "C", "I")</f>
        <v>C</v>
      </c>
      <c r="AD2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-15</v>
      </c>
      <c r="AE218" s="105" t="str">
        <f ca="1">IF(WFTracker[[#This Row],[Impact Time Post RM]]&gt;0, "IMPACTED", "NOT IMPACTED")</f>
        <v>NOT IMPACTED</v>
      </c>
      <c r="AF218" s="15"/>
      <c r="AG218" s="18"/>
      <c r="AH218" s="14" t="str">
        <f>IF(WFTracker[[#This Row],[Status]]="C", "Closed", IF(WFTracker[[#This Row],[Status]] = "x", "Cancelled", WFTracker[[#This Row],[Impact Time Post RM]]))</f>
        <v>Closed</v>
      </c>
      <c r="AI218" s="14" t="str">
        <f ca="1">IF(WFTracker[[#This Row],[Impact Time Post RM]]&lt;=0,"ON TIME","LATE")</f>
        <v>ON TIME</v>
      </c>
      <c r="AJ218" s="14" t="s">
        <v>984</v>
      </c>
      <c r="AK218" s="14">
        <v>18</v>
      </c>
      <c r="AL218" s="915">
        <f>IF(WFTracker[[#This Row],[Type]]="MAKE", WFTracker[[#This Row],[Due date]]+Filters!$J$111, WFTracker[[#This Row],[Due date]]+Filters!$J$135)</f>
        <v>45876.072512647552</v>
      </c>
      <c r="AM218" s="103" cm="1">
        <f t="array" ref="AM2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19" spans="1:39" ht="14.45">
      <c r="A219" t="str">
        <f>IF(WFTracker[[#This Row],[Order Number]]="SWBD", "QED2", "PZ4")</f>
        <v>PZ4</v>
      </c>
      <c r="B219" s="903" t="s">
        <v>431</v>
      </c>
      <c r="C219" s="26" t="s">
        <v>1187</v>
      </c>
      <c r="D219" s="39" t="str">
        <f>WFTracker[[#This Row],[Order Number]]  &amp; "-" &amp; WFTracker[[#This Row],[Item]]</f>
        <v>0051072452-000020&amp;000470</v>
      </c>
      <c r="E219" s="26" t="s">
        <v>1021</v>
      </c>
      <c r="F219" s="12">
        <v>45898</v>
      </c>
      <c r="G219" s="12"/>
      <c r="H219" s="11" t="s">
        <v>295</v>
      </c>
      <c r="I219" s="11" t="s">
        <v>111</v>
      </c>
      <c r="J219" s="13" t="s">
        <v>1189</v>
      </c>
      <c r="K219" s="14" t="s">
        <v>1023</v>
      </c>
      <c r="L219" s="15" t="s">
        <v>27</v>
      </c>
      <c r="M219" s="29" t="s">
        <v>1120</v>
      </c>
      <c r="N219" s="57">
        <v>46008</v>
      </c>
      <c r="O219" s="15">
        <f>NETWORKDAYS.INTL(WFTracker[[#This Row],[Start date]],WFTracker[[#This Row],[RM]],1,Holidays!D537:D552)</f>
        <v>27</v>
      </c>
      <c r="P219" s="12">
        <v>45862</v>
      </c>
      <c r="Q219" s="12">
        <v>45873</v>
      </c>
      <c r="R219" s="12">
        <v>45888</v>
      </c>
      <c r="S219" s="12" t="b">
        <f>ISBLANK(WFTracker[[#This Row],[Completion Date]])</f>
        <v>0</v>
      </c>
      <c r="T219" s="12" t="str">
        <f>TEXT(WFTracker[[#This Row],[Start date]],"mmm-yyyy")</f>
        <v>Jul-2025</v>
      </c>
      <c r="U219" s="11">
        <v>5</v>
      </c>
      <c r="V219" s="11">
        <f>NETWORKDAYS.INTL(WFTracker[[#This Row],[Start date]],WFTracker[[#This Row],[Due date]],1,Holidays!D537:D552)</f>
        <v>8</v>
      </c>
      <c r="W2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219" s="24">
        <f ca="1">WFTracker[[#This Row],[Active Time]]-WFTracker[[#This Row],[Completion Days Template]]</f>
        <v>11</v>
      </c>
      <c r="Y219" s="16" t="str">
        <f ca="1" xml:space="preserve"> IF(WFTracker[[#This Row],[Overdue Time '[Expected-Completion']]]&gt;0, "LATE","ON TIME")</f>
        <v>LATE</v>
      </c>
      <c r="Z219" s="16" t="str">
        <f ca="1">IF(WFTracker[[#This Row],[Overdue Time '[Expected-Completion']]] &gt;= 15, "SUPER LATE", Y219)</f>
        <v>LATE</v>
      </c>
      <c r="AA219" s="37" t="str">
        <f>IF(WFTracker[[#This Row],[Pre RM Opening Time]]&lt;WFTracker[[#This Row],[Old vs New Order Lead Time WF dead line]], "LATE BY ENG", "ON TIME BY ENG")</f>
        <v>ON TIME BY ENG</v>
      </c>
      <c r="AB219" s="37"/>
      <c r="AC219" s="15" t="str">
        <f>IF(WFTracker[[#This Row],[Competion Date Content]] = FALSE, "C", "I")</f>
        <v>C</v>
      </c>
      <c r="AD2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219" s="37" t="str">
        <f ca="1">IF(WFTracker[[#This Row],[Impact Time Post RM]]&gt;0, "IMPACTED", "NOT IMPACTED")</f>
        <v>NOT IMPACTED</v>
      </c>
      <c r="AF219" s="15"/>
      <c r="AG219" s="18"/>
      <c r="AH219" s="14" t="str">
        <f>IF(WFTracker[[#This Row],[Status]]="C", "Closed", IF(WFTracker[[#This Row],[Status]] = "x", "Cancelled", WFTracker[[#This Row],[Impact Time Post RM]]))</f>
        <v>Closed</v>
      </c>
      <c r="AI219" s="14" t="str">
        <f ca="1">IF(WFTracker[[#This Row],[Impact Time Post RM]]&lt;=0,"ON TIME","LATE")</f>
        <v>ON TIME</v>
      </c>
      <c r="AJ219" s="14" t="s">
        <v>984</v>
      </c>
      <c r="AK219" s="14">
        <v>18</v>
      </c>
      <c r="AL219" s="915">
        <f>IF(WFTracker[[#This Row],[Type]]="MAKE", WFTracker[[#This Row],[Due date]]+Filters!$J$111, WFTracker[[#This Row],[Due date]]+Filters!$J$135)</f>
        <v>45876.072512647552</v>
      </c>
      <c r="AM219" s="101" cm="1">
        <f t="array" ref="AM2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0" spans="1:39" ht="14.45">
      <c r="A220" t="str">
        <f>IF(WFTracker[[#This Row],[Order Number]]="SWBD", "QED2", "PZ4")</f>
        <v>PZ4</v>
      </c>
      <c r="B220" s="903" t="s">
        <v>431</v>
      </c>
      <c r="C220" s="26" t="s">
        <v>1187</v>
      </c>
      <c r="D220" s="11" t="str">
        <f>WFTracker[[#This Row],[Order Number]]  &amp; "-" &amp; WFTracker[[#This Row],[Item]]</f>
        <v>0051072452-000020&amp;000470</v>
      </c>
      <c r="E220" s="23" t="s">
        <v>1021</v>
      </c>
      <c r="F220" s="12">
        <v>45898</v>
      </c>
      <c r="G220" s="12"/>
      <c r="H220" s="11" t="s">
        <v>295</v>
      </c>
      <c r="I220" s="11" t="s">
        <v>111</v>
      </c>
      <c r="J220" s="13" t="s">
        <v>1190</v>
      </c>
      <c r="K220" s="14" t="s">
        <v>1023</v>
      </c>
      <c r="L220" s="15" t="s">
        <v>40</v>
      </c>
      <c r="M220" s="29" t="s">
        <v>1120</v>
      </c>
      <c r="N220" s="57">
        <v>46008</v>
      </c>
      <c r="O220" s="15">
        <f>NETWORKDAYS.INTL(WFTracker[[#This Row],[Start date]],WFTracker[[#This Row],[RM]],1,Holidays!D538:D553)</f>
        <v>27</v>
      </c>
      <c r="P220" s="12">
        <v>45862</v>
      </c>
      <c r="Q220" s="12">
        <v>45876</v>
      </c>
      <c r="R220" s="12">
        <v>45874</v>
      </c>
      <c r="S220" s="12" t="b">
        <f>ISBLANK(WFTracker[[#This Row],[Completion Date]])</f>
        <v>0</v>
      </c>
      <c r="T220" s="12" t="str">
        <f>TEXT(WFTracker[[#This Row],[Start date]],"mmm-yyyy")</f>
        <v>Jul-2025</v>
      </c>
      <c r="U220" s="11">
        <v>5</v>
      </c>
      <c r="V220" s="11">
        <f>NETWORKDAYS.INTL(WFTracker[[#This Row],[Start date]],WFTracker[[#This Row],[Due date]],1,Holidays!D538:D553)</f>
        <v>11</v>
      </c>
      <c r="W2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20" s="24">
        <f ca="1">WFTracker[[#This Row],[Active Time]]-WFTracker[[#This Row],[Completion Days Template]]</f>
        <v>-2</v>
      </c>
      <c r="Y220" s="16" t="str">
        <f ca="1" xml:space="preserve"> IF(WFTracker[[#This Row],[Overdue Time '[Expected-Completion']]]&gt;0, "LATE","ON TIME")</f>
        <v>ON TIME</v>
      </c>
      <c r="Z220" s="16" t="str">
        <f ca="1">IF(WFTracker[[#This Row],[Overdue Time '[Expected-Completion']]] &gt;= 15, "SUPER LATE", Y220)</f>
        <v>ON TIME</v>
      </c>
      <c r="AA220" s="37" t="str">
        <f>IF(WFTracker[[#This Row],[Pre RM Opening Time]]&lt;WFTracker[[#This Row],[Old vs New Order Lead Time WF dead line]], "LATE BY ENG", "ON TIME BY ENG")</f>
        <v>ON TIME BY ENG</v>
      </c>
      <c r="AB220" s="37"/>
      <c r="AC220" s="15" t="s">
        <v>46</v>
      </c>
      <c r="AD2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-19</v>
      </c>
      <c r="AE220" s="25" t="str">
        <f ca="1">IF(WFTracker[[#This Row],[Impact Time Post RM]]&gt;0, "IMPACTED", "NOT IMPACTED")</f>
        <v>NOT IMPACTED</v>
      </c>
      <c r="AF220" s="15"/>
      <c r="AG220" s="18" t="s">
        <v>1191</v>
      </c>
      <c r="AH220" s="14" t="str">
        <f>IF(WFTracker[[#This Row],[Status]]="C", "Closed", IF(WFTracker[[#This Row],[Status]] = "x", "Cancelled", WFTracker[[#This Row],[Impact Time Post RM]]))</f>
        <v>Cancelled</v>
      </c>
      <c r="AI220" s="14" t="str">
        <f ca="1">IF(WFTracker[[#This Row],[Impact Time Post RM]]&lt;=0,"ON TIME","LATE")</f>
        <v>ON TIME</v>
      </c>
      <c r="AJ220" s="14" t="s">
        <v>984</v>
      </c>
      <c r="AK220" s="14">
        <v>0</v>
      </c>
      <c r="AL220" s="915">
        <f>IF(WFTracker[[#This Row],[Type]]="MAKE", WFTracker[[#This Row],[Due date]]+Filters!$J$111, WFTracker[[#This Row],[Due date]]+Filters!$J$135)</f>
        <v>45876.415686274508</v>
      </c>
      <c r="AM220" s="101" cm="1">
        <f t="array" ref="AM220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21" spans="1:39" ht="14.45">
      <c r="A221" t="str">
        <f>IF(WFTracker[[#This Row],[Order Number]]="SWBD", "QED2", "PZ4")</f>
        <v>PZ4</v>
      </c>
      <c r="B221" s="23" t="s">
        <v>101</v>
      </c>
      <c r="C221" s="26" t="s">
        <v>102</v>
      </c>
      <c r="D221" s="23" t="str">
        <f>WFTracker[[#This Row],[Order Number]]  &amp; "-" &amp; WFTracker[[#This Row],[Item]]</f>
        <v>0050465708-000270</v>
      </c>
      <c r="E221" s="23" t="s">
        <v>1125</v>
      </c>
      <c r="F221" s="12">
        <v>45900</v>
      </c>
      <c r="G221" s="12"/>
      <c r="H221" s="11" t="s">
        <v>104</v>
      </c>
      <c r="I221" s="11" t="s">
        <v>186</v>
      </c>
      <c r="J221" s="13" t="s">
        <v>1192</v>
      </c>
      <c r="K221" s="14" t="s">
        <v>1023</v>
      </c>
      <c r="L221" s="15" t="s">
        <v>40</v>
      </c>
      <c r="M221" s="29" t="s">
        <v>1120</v>
      </c>
      <c r="N221" s="57">
        <v>46021</v>
      </c>
      <c r="O221" s="15">
        <f>NETWORKDAYS.INTL(WFTracker[[#This Row],[Start date]],WFTracker[[#This Row],[RM]],1,Holidays!D513:D528)</f>
        <v>25</v>
      </c>
      <c r="P221" s="12">
        <v>45866</v>
      </c>
      <c r="Q221" s="12">
        <v>45876</v>
      </c>
      <c r="R221" s="12">
        <v>45867</v>
      </c>
      <c r="S221" s="12" t="b">
        <f>ISBLANK(WFTracker[[#This Row],[Completion Date]])</f>
        <v>0</v>
      </c>
      <c r="T221" s="12" t="str">
        <f>TEXT(WFTracker[[#This Row],[Start date]],"mmm-yyyy")</f>
        <v>Jul-2025</v>
      </c>
      <c r="U221" s="11">
        <v>5</v>
      </c>
      <c r="V221" s="11">
        <f>NETWORKDAYS.INTL(WFTracker[[#This Row],[Start date]],WFTracker[[#This Row],[Due date]],1,Holidays!D513:D528)</f>
        <v>9</v>
      </c>
      <c r="W2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221" s="24">
        <f ca="1">WFTracker[[#This Row],[Active Time]]-WFTracker[[#This Row],[Completion Days Template]]</f>
        <v>-7</v>
      </c>
      <c r="Y221" s="16" t="str">
        <f ca="1" xml:space="preserve"> IF(WFTracker[[#This Row],[Overdue Time '[Expected-Completion']]]&gt;0, "LATE","ON TIME")</f>
        <v>ON TIME</v>
      </c>
      <c r="Z221" s="16" t="str">
        <f ca="1">IF(WFTracker[[#This Row],[Overdue Time '[Expected-Completion']]] &gt;= 15, "SUPER LATE", Y221)</f>
        <v>ON TIME</v>
      </c>
      <c r="AA221" s="37" t="str">
        <f>IF(WFTracker[[#This Row],[Pre RM Opening Time]]&lt;WFTracker[[#This Row],[Old vs New Order Lead Time WF dead line]], "LATE BY ENG", "ON TIME BY ENG")</f>
        <v>ON TIME BY ENG</v>
      </c>
      <c r="AB221" s="37"/>
      <c r="AC221" s="15" t="str">
        <f>IF(WFTracker[[#This Row],[Competion Date Content]] = FALSE, "C", "I")</f>
        <v>C</v>
      </c>
      <c r="AD2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221" s="25" t="str">
        <f ca="1">IF(WFTracker[[#This Row],[Impact Time Post RM]]&gt;0, "IMPACTED", "NOT IMPACTED")</f>
        <v>NOT IMPACTED</v>
      </c>
      <c r="AF221" s="37"/>
      <c r="AG221" s="18"/>
      <c r="AH221" s="14" t="str">
        <f>IF(WFTracker[[#This Row],[Status]]="C", "Closed", IF(WFTracker[[#This Row],[Status]] = "x", "Cancelled", WFTracker[[#This Row],[Impact Time Post RM]]))</f>
        <v>Closed</v>
      </c>
      <c r="AI221" s="14" t="str">
        <f ca="1">IF(WFTracker[[#This Row],[Impact Time Post RM]]&lt;=0,"ON TIME","LATE")</f>
        <v>ON TIME</v>
      </c>
      <c r="AJ221" s="14" t="s">
        <v>984</v>
      </c>
      <c r="AK221" s="14">
        <v>17</v>
      </c>
      <c r="AL221" s="915">
        <f>IF(WFTracker[[#This Row],[Type]]="MAKE", WFTracker[[#This Row],[Due date]]+Filters!$J$111, WFTracker[[#This Row],[Due date]]+Filters!$J$135)</f>
        <v>45876.415686274508</v>
      </c>
      <c r="AM221" s="102" cm="1">
        <f t="array" ref="AM2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2" spans="1:39" ht="14.45">
      <c r="A222" t="str">
        <f>IF(WFTracker[[#This Row],[Order Number]]="SWBD", "QED2", "PZ4")</f>
        <v>PZ4</v>
      </c>
      <c r="B222" s="23" t="s">
        <v>379</v>
      </c>
      <c r="C222" s="26" t="s">
        <v>219</v>
      </c>
      <c r="D222" s="23" t="str">
        <f>WFTracker[[#This Row],[Order Number]]  &amp; "-" &amp; WFTracker[[#This Row],[Item]]</f>
        <v>0051427096-000120</v>
      </c>
      <c r="E222" s="23" t="s">
        <v>380</v>
      </c>
      <c r="F222" s="12">
        <v>45868</v>
      </c>
      <c r="G222" s="12"/>
      <c r="H222" s="11" t="s">
        <v>259</v>
      </c>
      <c r="I222" s="11" t="s">
        <v>260</v>
      </c>
      <c r="J222" s="32" t="s">
        <v>402</v>
      </c>
      <c r="K222" s="28" t="s">
        <v>1017</v>
      </c>
      <c r="L222" s="15" t="s">
        <v>27</v>
      </c>
      <c r="M222" s="29" t="s">
        <v>1120</v>
      </c>
      <c r="N222" s="57">
        <v>45953</v>
      </c>
      <c r="O222" s="15">
        <f>NETWORKDAYS.INTL(WFTracker[[#This Row],[Start date]],WFTracker[[#This Row],[RM]],1,Holidays!D66:D81)</f>
        <v>1</v>
      </c>
      <c r="P222" s="12">
        <v>45868</v>
      </c>
      <c r="Q222" s="12">
        <v>45876</v>
      </c>
      <c r="R222" s="12">
        <v>45883</v>
      </c>
      <c r="S222" s="27" t="b">
        <f>ISBLANK(WFTracker[[#This Row],[Completion Date]])</f>
        <v>0</v>
      </c>
      <c r="T222" s="27" t="str">
        <f>TEXT(WFTracker[[#This Row],[Start date]],"mmm-yyyy")</f>
        <v>Jul-2025</v>
      </c>
      <c r="U222" s="11">
        <v>5</v>
      </c>
      <c r="V222" s="11">
        <f>NETWORKDAYS.INTL(WFTracker[[#This Row],[Start date]],WFTracker[[#This Row],[Due date]],1,Holidays!D66:D81)</f>
        <v>7</v>
      </c>
      <c r="W2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22" s="30">
        <f ca="1">WFTracker[[#This Row],[Active Time]]-WFTracker[[#This Row],[Completion Days Template]]</f>
        <v>5</v>
      </c>
      <c r="Y222" s="34" t="str">
        <f ca="1" xml:space="preserve"> IF(WFTracker[[#This Row],[Overdue Time '[Expected-Completion']]]&gt;0, "LATE","ON TIME")</f>
        <v>LATE</v>
      </c>
      <c r="Z222" s="34" t="str">
        <f ca="1">IF(WFTracker[[#This Row],[Overdue Time '[Expected-Completion']]] &gt;= 15, "SUPER LATE", Y222)</f>
        <v>LATE</v>
      </c>
      <c r="AA222" s="37" t="str">
        <f>IF(WFTracker[[#This Row],[Pre RM Opening Time]]&lt;WFTracker[[#This Row],[Old vs New Order Lead Time WF dead line]], "LATE BY ENG", "ON TIME BY ENG")</f>
        <v>LATE BY ENG</v>
      </c>
      <c r="AB222" s="37"/>
      <c r="AC222" s="15" t="str">
        <f>IF(WFTracker[[#This Row],[Competion Date Content]] = FALSE, "C", "I")</f>
        <v>C</v>
      </c>
      <c r="AD2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222" s="105" t="str">
        <f ca="1">IF(WFTracker[[#This Row],[Impact Time Post RM]]&gt;0, "IMPACTED", "NOT IMPACTED")</f>
        <v>IMPACTED</v>
      </c>
      <c r="AF222" s="37"/>
      <c r="AG222" s="42"/>
      <c r="AH222" s="14" t="str">
        <f>IF(WFTracker[[#This Row],[Status]]="C", "Closed", IF(WFTracker[[#This Row],[Status]] = "x", "Cancelled", WFTracker[[#This Row],[Impact Time Post RM]]))</f>
        <v>Closed</v>
      </c>
      <c r="AI222" s="14" t="str">
        <f ca="1">IF(WFTracker[[#This Row],[Impact Time Post RM]]&lt;=0,"ON TIME","LATE")</f>
        <v>LATE</v>
      </c>
      <c r="AJ222" s="14" t="s">
        <v>984</v>
      </c>
      <c r="AK222" s="14">
        <v>18</v>
      </c>
      <c r="AL222" s="915">
        <f>IF(WFTracker[[#This Row],[Type]]="MAKE", WFTracker[[#This Row],[Due date]]+Filters!$J$111, WFTracker[[#This Row],[Due date]]+Filters!$J$135)</f>
        <v>45879.072512647552</v>
      </c>
      <c r="AM222" s="102" cm="1">
        <f t="array" ref="AM2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3" spans="1:39" ht="14.45">
      <c r="A223" t="str">
        <f>IF(WFTracker[[#This Row],[Order Number]]="SWBD", "QED2", "PZ4")</f>
        <v>PZ4</v>
      </c>
      <c r="B223" s="23" t="s">
        <v>379</v>
      </c>
      <c r="C223" s="26" t="s">
        <v>219</v>
      </c>
      <c r="D223" s="23" t="str">
        <f>WFTracker[[#This Row],[Order Number]]  &amp; "-" &amp; WFTracker[[#This Row],[Item]]</f>
        <v>0051427096-000120</v>
      </c>
      <c r="E223" s="23" t="s">
        <v>380</v>
      </c>
      <c r="F223" s="12">
        <v>45868</v>
      </c>
      <c r="G223" s="12"/>
      <c r="H223" s="11" t="s">
        <v>259</v>
      </c>
      <c r="I223" s="11" t="s">
        <v>260</v>
      </c>
      <c r="J223" s="32" t="s">
        <v>399</v>
      </c>
      <c r="K223" s="28" t="s">
        <v>1017</v>
      </c>
      <c r="L223" s="15" t="s">
        <v>27</v>
      </c>
      <c r="M223" s="29" t="s">
        <v>1120</v>
      </c>
      <c r="N223" s="57">
        <v>45953</v>
      </c>
      <c r="O223" s="15">
        <f>NETWORKDAYS.INTL(WFTracker[[#This Row],[Start date]],WFTracker[[#This Row],[RM]],1,Holidays!D67:D82)</f>
        <v>1</v>
      </c>
      <c r="P223" s="12">
        <v>45868</v>
      </c>
      <c r="Q223" s="12">
        <v>45876</v>
      </c>
      <c r="R223" s="12">
        <v>45882</v>
      </c>
      <c r="S223" s="27" t="b">
        <f>ISBLANK(WFTracker[[#This Row],[Completion Date]])</f>
        <v>0</v>
      </c>
      <c r="T223" s="27" t="str">
        <f>TEXT(WFTracker[[#This Row],[Start date]],"mmm-yyyy")</f>
        <v>Jul-2025</v>
      </c>
      <c r="U223" s="11">
        <v>5</v>
      </c>
      <c r="V223" s="11">
        <f>NETWORKDAYS.INTL(WFTracker[[#This Row],[Start date]],WFTracker[[#This Row],[Due date]],1,Holidays!D67:D82)</f>
        <v>7</v>
      </c>
      <c r="W2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23" s="30">
        <f ca="1">WFTracker[[#This Row],[Active Time]]-WFTracker[[#This Row],[Completion Days Template]]</f>
        <v>4</v>
      </c>
      <c r="Y223" s="34" t="str">
        <f ca="1" xml:space="preserve"> IF(WFTracker[[#This Row],[Overdue Time '[Expected-Completion']]]&gt;0, "LATE","ON TIME")</f>
        <v>LATE</v>
      </c>
      <c r="Z223" s="34" t="str">
        <f ca="1">IF(WFTracker[[#This Row],[Overdue Time '[Expected-Completion']]] &gt;= 15, "SUPER LATE", Y223)</f>
        <v>LATE</v>
      </c>
      <c r="AA223" s="37" t="str">
        <f>IF(WFTracker[[#This Row],[Pre RM Opening Time]]&lt;WFTracker[[#This Row],[Old vs New Order Lead Time WF dead line]], "LATE BY ENG", "ON TIME BY ENG")</f>
        <v>LATE BY ENG</v>
      </c>
      <c r="AB223" s="37"/>
      <c r="AC223" s="15" t="str">
        <f>IF(WFTracker[[#This Row],[Competion Date Content]] = FALSE, "C", "I")</f>
        <v>C</v>
      </c>
      <c r="AD2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223" s="105" t="str">
        <f ca="1">IF(WFTracker[[#This Row],[Impact Time Post RM]]&gt;0, "IMPACTED", "NOT IMPACTED")</f>
        <v>IMPACTED</v>
      </c>
      <c r="AF223" s="37"/>
      <c r="AG223" s="42"/>
      <c r="AH223" s="14" t="str">
        <f>IF(WFTracker[[#This Row],[Status]]="C", "Closed", IF(WFTracker[[#This Row],[Status]] = "x", "Cancelled", WFTracker[[#This Row],[Impact Time Post RM]]))</f>
        <v>Closed</v>
      </c>
      <c r="AI223" s="14" t="str">
        <f ca="1">IF(WFTracker[[#This Row],[Impact Time Post RM]]&lt;=0,"ON TIME","LATE")</f>
        <v>LATE</v>
      </c>
      <c r="AJ223" s="14" t="s">
        <v>984</v>
      </c>
      <c r="AK223" s="14">
        <v>18</v>
      </c>
      <c r="AL223" s="915">
        <f>IF(WFTracker[[#This Row],[Type]]="MAKE", WFTracker[[#This Row],[Due date]]+Filters!$J$111, WFTracker[[#This Row],[Due date]]+Filters!$J$135)</f>
        <v>45879.072512647552</v>
      </c>
      <c r="AM223" s="102" cm="1">
        <f t="array" ref="AM2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4" spans="1:39" ht="14.45">
      <c r="A224" t="str">
        <f>IF(WFTracker[[#This Row],[Order Number]]="SWBD", "QED2", "PZ4")</f>
        <v>PZ4</v>
      </c>
      <c r="B224" s="26" t="s">
        <v>379</v>
      </c>
      <c r="C224" s="26" t="s">
        <v>219</v>
      </c>
      <c r="D224" s="23" t="str">
        <f>WFTracker[[#This Row],[Order Number]]  &amp; "-" &amp; WFTracker[[#This Row],[Item]]</f>
        <v>0051427096-000120</v>
      </c>
      <c r="E224" s="23" t="s">
        <v>380</v>
      </c>
      <c r="F224" s="12">
        <v>45868</v>
      </c>
      <c r="G224" s="12"/>
      <c r="H224" s="11" t="s">
        <v>259</v>
      </c>
      <c r="I224" s="11" t="s">
        <v>260</v>
      </c>
      <c r="J224" s="32" t="s">
        <v>400</v>
      </c>
      <c r="K224" s="28" t="s">
        <v>1017</v>
      </c>
      <c r="L224" s="15" t="s">
        <v>40</v>
      </c>
      <c r="M224" s="29" t="s">
        <v>1120</v>
      </c>
      <c r="N224" s="57">
        <v>45953</v>
      </c>
      <c r="O224" s="15">
        <f>NETWORKDAYS.INTL(WFTracker[[#This Row],[Start date]],WFTracker[[#This Row],[RM]],1,Holidays!D68:D83)</f>
        <v>1</v>
      </c>
      <c r="P224" s="12">
        <v>45868</v>
      </c>
      <c r="Q224" s="12">
        <v>45880</v>
      </c>
      <c r="R224" s="12">
        <v>45883</v>
      </c>
      <c r="S224" s="27" t="b">
        <f>ISBLANK(WFTracker[[#This Row],[Completion Date]])</f>
        <v>0</v>
      </c>
      <c r="T224" s="27" t="str">
        <f>TEXT(WFTracker[[#This Row],[Start date]],"mmm-yyyy")</f>
        <v>Jul-2025</v>
      </c>
      <c r="U224" s="11">
        <v>5</v>
      </c>
      <c r="V224" s="11">
        <f>NETWORKDAYS.INTL(WFTracker[[#This Row],[Start date]],WFTracker[[#This Row],[Due date]],1,Holidays!D68:D83)</f>
        <v>9</v>
      </c>
      <c r="W2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24" s="30">
        <f ca="1">WFTracker[[#This Row],[Active Time]]-WFTracker[[#This Row],[Completion Days Template]]</f>
        <v>3</v>
      </c>
      <c r="Y224" s="34" t="str">
        <f ca="1" xml:space="preserve"> IF(WFTracker[[#This Row],[Overdue Time '[Expected-Completion']]]&gt;0, "LATE","ON TIME")</f>
        <v>LATE</v>
      </c>
      <c r="Z224" s="34" t="str">
        <f ca="1">IF(WFTracker[[#This Row],[Overdue Time '[Expected-Completion']]] &gt;= 15, "SUPER LATE", Y224)</f>
        <v>LATE</v>
      </c>
      <c r="AA224" s="37" t="str">
        <f>IF(WFTracker[[#This Row],[Pre RM Opening Time]]&lt;WFTracker[[#This Row],[Old vs New Order Lead Time WF dead line]], "LATE BY ENG", "ON TIME BY ENG")</f>
        <v>LATE BY ENG</v>
      </c>
      <c r="AB224" s="37"/>
      <c r="AC224" s="15" t="str">
        <f>IF(WFTracker[[#This Row],[Competion Date Content]] = FALSE, "C", "I")</f>
        <v>C</v>
      </c>
      <c r="AD2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224" s="105" t="str">
        <f ca="1">IF(WFTracker[[#This Row],[Impact Time Post RM]]&gt;0, "IMPACTED", "NOT IMPACTED")</f>
        <v>IMPACTED</v>
      </c>
      <c r="AF224" s="37"/>
      <c r="AG224" s="42"/>
      <c r="AH224" s="14" t="str">
        <f>IF(WFTracker[[#This Row],[Status]]="C", "Closed", IF(WFTracker[[#This Row],[Status]] = "x", "Cancelled", WFTracker[[#This Row],[Impact Time Post RM]]))</f>
        <v>Closed</v>
      </c>
      <c r="AI224" s="14" t="str">
        <f ca="1">IF(WFTracker[[#This Row],[Impact Time Post RM]]&lt;=0,"ON TIME","LATE")</f>
        <v>LATE</v>
      </c>
      <c r="AJ224" s="14" t="s">
        <v>984</v>
      </c>
      <c r="AK224" s="14">
        <v>17</v>
      </c>
      <c r="AL224" s="915">
        <f>IF(WFTracker[[#This Row],[Type]]="MAKE", WFTracker[[#This Row],[Due date]]+Filters!$J$111, WFTracker[[#This Row],[Due date]]+Filters!$J$135)</f>
        <v>45880.415686274508</v>
      </c>
      <c r="AM224" s="102" cm="1">
        <f t="array" ref="AM2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5" spans="1:39" ht="14.45">
      <c r="A225" t="str">
        <f>IF(WFTracker[[#This Row],[Order Number]]="SWBD", "QED2", "PZ4")</f>
        <v>PZ4</v>
      </c>
      <c r="B225" s="23" t="s">
        <v>401</v>
      </c>
      <c r="C225" s="26" t="s">
        <v>135</v>
      </c>
      <c r="D225" s="11" t="str">
        <f>WFTracker[[#This Row],[Order Number]]  &amp; "-" &amp; WFTracker[[#This Row],[Item]]</f>
        <v>0051199001-000010</v>
      </c>
      <c r="E225" s="23" t="s">
        <v>1020</v>
      </c>
      <c r="F225" s="12">
        <v>45877</v>
      </c>
      <c r="G225" s="12"/>
      <c r="H225" s="11" t="s">
        <v>237</v>
      </c>
      <c r="I225" s="11" t="s">
        <v>1132</v>
      </c>
      <c r="J225" s="32" t="s">
        <v>397</v>
      </c>
      <c r="K225" s="28" t="s">
        <v>1017</v>
      </c>
      <c r="L225" s="15" t="s">
        <v>27</v>
      </c>
      <c r="M225" s="29" t="s">
        <v>1181</v>
      </c>
      <c r="N225" s="57">
        <v>45987</v>
      </c>
      <c r="O225" s="15">
        <f>NETWORKDAYS.INTL(WFTracker[[#This Row],[Start date]],WFTracker[[#This Row],[RM]],1,Holidays!D134:D149)</f>
        <v>7</v>
      </c>
      <c r="P225" s="12">
        <v>45869</v>
      </c>
      <c r="Q225" s="12">
        <v>45876</v>
      </c>
      <c r="R225" s="12">
        <v>45881</v>
      </c>
      <c r="S225" s="27" t="b">
        <f>ISBLANK(WFTracker[[#This Row],[Completion Date]])</f>
        <v>0</v>
      </c>
      <c r="T225" s="27" t="str">
        <f>TEXT(WFTracker[[#This Row],[Start date]],"mmm-yyyy")</f>
        <v>Jul-2025</v>
      </c>
      <c r="U225" s="11">
        <v>5</v>
      </c>
      <c r="V225" s="11">
        <f>NETWORKDAYS.INTL(WFTracker[[#This Row],[Start date]],WFTracker[[#This Row],[Due date]],1,Holidays!D134:D149)</f>
        <v>6</v>
      </c>
      <c r="W2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25" s="30">
        <f ca="1">WFTracker[[#This Row],[Active Time]]-WFTracker[[#This Row],[Completion Days Template]]</f>
        <v>3</v>
      </c>
      <c r="Y225" s="34" t="str">
        <f ca="1" xml:space="preserve"> IF(WFTracker[[#This Row],[Overdue Time '[Expected-Completion']]]&gt;0, "LATE","ON TIME")</f>
        <v>LATE</v>
      </c>
      <c r="Z225" s="34" t="str">
        <f ca="1">IF(WFTracker[[#This Row],[Overdue Time '[Expected-Completion']]] &gt;= 15, "SUPER LATE", Y225)</f>
        <v>LATE</v>
      </c>
      <c r="AA225" s="37" t="str">
        <f>IF(WFTracker[[#This Row],[Pre RM Opening Time]]&lt;WFTracker[[#This Row],[Old vs New Order Lead Time WF dead line]], "LATE BY ENG", "ON TIME BY ENG")</f>
        <v>ON TIME BY ENG</v>
      </c>
      <c r="AB225" s="37"/>
      <c r="AC225" s="15" t="str">
        <f>IF(WFTracker[[#This Row],[Competion Date Content]] = FALSE, "C", "I")</f>
        <v>C</v>
      </c>
      <c r="AD2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225" s="105" t="str">
        <f ca="1">IF(WFTracker[[#This Row],[Impact Time Post RM]]&gt;0, "IMPACTED", "NOT IMPACTED")</f>
        <v>IMPACTED</v>
      </c>
      <c r="AF225" s="37"/>
      <c r="AG225" s="42"/>
      <c r="AH225" s="14" t="str">
        <f>IF(WFTracker[[#This Row],[Status]]="C", "Closed", IF(WFTracker[[#This Row],[Status]] = "x", "Cancelled", WFTracker[[#This Row],[Impact Time Post RM]]))</f>
        <v>Closed</v>
      </c>
      <c r="AI225" s="14" t="str">
        <f ca="1">IF(WFTracker[[#This Row],[Impact Time Post RM]]&lt;=0,"ON TIME","LATE")</f>
        <v>LATE</v>
      </c>
      <c r="AJ225" s="14" t="s">
        <v>984</v>
      </c>
      <c r="AK225" s="14">
        <v>18</v>
      </c>
      <c r="AL225" s="915">
        <f>IF(WFTracker[[#This Row],[Type]]="MAKE", WFTracker[[#This Row],[Due date]]+Filters!$J$111, WFTracker[[#This Row],[Due date]]+Filters!$J$135)</f>
        <v>45879.072512647552</v>
      </c>
      <c r="AM225" s="102" cm="1">
        <f t="array" ref="AM2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6" spans="1:39" ht="14.45">
      <c r="A226" t="str">
        <f>IF(WFTracker[[#This Row],[Order Number]]="SWBD", "QED2", "PZ4")</f>
        <v>PZ4</v>
      </c>
      <c r="B226" s="23" t="s">
        <v>401</v>
      </c>
      <c r="C226" s="26" t="s">
        <v>135</v>
      </c>
      <c r="D226" s="11" t="str">
        <f>WFTracker[[#This Row],[Order Number]]  &amp; "-" &amp; WFTracker[[#This Row],[Item]]</f>
        <v>0051199001-000010</v>
      </c>
      <c r="E226" s="23" t="s">
        <v>1020</v>
      </c>
      <c r="F226" s="12">
        <v>45877</v>
      </c>
      <c r="G226" s="12"/>
      <c r="H226" s="11" t="s">
        <v>237</v>
      </c>
      <c r="I226" s="11" t="s">
        <v>1132</v>
      </c>
      <c r="J226" s="32" t="s">
        <v>396</v>
      </c>
      <c r="K226" s="28" t="s">
        <v>1017</v>
      </c>
      <c r="L226" s="15" t="s">
        <v>27</v>
      </c>
      <c r="M226" s="15" t="s">
        <v>1181</v>
      </c>
      <c r="N226" s="57">
        <v>45987</v>
      </c>
      <c r="O226" s="15">
        <f>NETWORKDAYS.INTL(WFTracker[[#This Row],[Start date]],WFTracker[[#This Row],[RM]],1,Holidays!D135:D150)</f>
        <v>7</v>
      </c>
      <c r="P226" s="12">
        <v>45869</v>
      </c>
      <c r="Q226" s="12">
        <v>45880</v>
      </c>
      <c r="R226" s="12">
        <v>45882</v>
      </c>
      <c r="S226" s="27" t="b">
        <f>ISBLANK(WFTracker[[#This Row],[Completion Date]])</f>
        <v>0</v>
      </c>
      <c r="T226" s="27" t="str">
        <f>TEXT(WFTracker[[#This Row],[Start date]],"mmm-yyyy")</f>
        <v>Jul-2025</v>
      </c>
      <c r="U226" s="11">
        <v>5</v>
      </c>
      <c r="V226" s="11">
        <f>NETWORKDAYS.INTL(WFTracker[[#This Row],[Start date]],WFTracker[[#This Row],[Due date]],1,Holidays!D135:D150)</f>
        <v>8</v>
      </c>
      <c r="W2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26" s="30">
        <f ca="1">WFTracker[[#This Row],[Active Time]]-WFTracker[[#This Row],[Completion Days Template]]</f>
        <v>2</v>
      </c>
      <c r="Y226" s="34" t="str">
        <f ca="1" xml:space="preserve"> IF(WFTracker[[#This Row],[Overdue Time '[Expected-Completion']]]&gt;0, "LATE","ON TIME")</f>
        <v>LATE</v>
      </c>
      <c r="Z226" s="34" t="str">
        <f ca="1">IF(WFTracker[[#This Row],[Overdue Time '[Expected-Completion']]] &gt;= 15, "SUPER LATE", Y226)</f>
        <v>LATE</v>
      </c>
      <c r="AA226" s="37" t="str">
        <f>IF(WFTracker[[#This Row],[Pre RM Opening Time]]&lt;WFTracker[[#This Row],[Old vs New Order Lead Time WF dead line]], "LATE BY ENG", "ON TIME BY ENG")</f>
        <v>ON TIME BY ENG</v>
      </c>
      <c r="AB226" s="37"/>
      <c r="AC226" s="15" t="str">
        <f>IF(WFTracker[[#This Row],[Competion Date Content]] = FALSE, "C", "I")</f>
        <v>C</v>
      </c>
      <c r="AD2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226" s="105" t="str">
        <f ca="1">IF(WFTracker[[#This Row],[Impact Time Post RM]]&gt;0, "IMPACTED", "NOT IMPACTED")</f>
        <v>IMPACTED</v>
      </c>
      <c r="AF226" s="37"/>
      <c r="AG226" s="42"/>
      <c r="AH226" s="14" t="str">
        <f>IF(WFTracker[[#This Row],[Status]]="C", "Closed", IF(WFTracker[[#This Row],[Status]] = "x", "Cancelled", WFTracker[[#This Row],[Impact Time Post RM]]))</f>
        <v>Closed</v>
      </c>
      <c r="AI226" s="14" t="str">
        <f ca="1">IF(WFTracker[[#This Row],[Impact Time Post RM]]&lt;=0,"ON TIME","LATE")</f>
        <v>LATE</v>
      </c>
      <c r="AJ226" s="14" t="s">
        <v>984</v>
      </c>
      <c r="AK226" s="14">
        <v>18</v>
      </c>
      <c r="AL226" s="915">
        <f>IF(WFTracker[[#This Row],[Type]]="MAKE", WFTracker[[#This Row],[Due date]]+Filters!$J$111, WFTracker[[#This Row],[Due date]]+Filters!$J$135)</f>
        <v>45883.072512647552</v>
      </c>
      <c r="AM226" s="102" cm="1">
        <f t="array" ref="AM2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7" spans="1:39" ht="14.45">
      <c r="A227" t="str">
        <f>IF(WFTracker[[#This Row],[Order Number]]="SWBD", "QED2", "PZ4")</f>
        <v>PZ4</v>
      </c>
      <c r="B227" s="23" t="s">
        <v>401</v>
      </c>
      <c r="C227" s="26" t="s">
        <v>135</v>
      </c>
      <c r="D227" s="11" t="str">
        <f>WFTracker[[#This Row],[Order Number]]  &amp; "-" &amp; WFTracker[[#This Row],[Item]]</f>
        <v>0051199001-000010</v>
      </c>
      <c r="E227" s="23" t="s">
        <v>1020</v>
      </c>
      <c r="F227" s="12">
        <v>45877</v>
      </c>
      <c r="G227" s="12"/>
      <c r="H227" s="11" t="s">
        <v>237</v>
      </c>
      <c r="I227" s="11" t="s">
        <v>1132</v>
      </c>
      <c r="J227" s="13" t="s">
        <v>1193</v>
      </c>
      <c r="K227" s="14" t="s">
        <v>1023</v>
      </c>
      <c r="L227" s="15" t="s">
        <v>40</v>
      </c>
      <c r="M227" s="15" t="s">
        <v>1181</v>
      </c>
      <c r="N227" s="57">
        <v>45987</v>
      </c>
      <c r="O227" s="15">
        <f>NETWORKDAYS.INTL(WFTracker[[#This Row],[Start date]],WFTracker[[#This Row],[RM]],1,Holidays!D136:D151)</f>
        <v>7</v>
      </c>
      <c r="P227" s="12">
        <v>45869</v>
      </c>
      <c r="Q227" s="12">
        <v>45881</v>
      </c>
      <c r="R227" s="12">
        <v>45883</v>
      </c>
      <c r="S227" s="12" t="b">
        <f>ISBLANK(WFTracker[[#This Row],[Completion Date]])</f>
        <v>0</v>
      </c>
      <c r="T227" s="12" t="str">
        <f>TEXT(WFTracker[[#This Row],[Start date]],"mmm-yyyy")</f>
        <v>Jul-2025</v>
      </c>
      <c r="U227" s="11">
        <v>5</v>
      </c>
      <c r="V227" s="11">
        <f>NETWORKDAYS.INTL(WFTracker[[#This Row],[Start date]],WFTracker[[#This Row],[Due date]],1,Holidays!D136:D151)</f>
        <v>9</v>
      </c>
      <c r="W2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27" s="24">
        <f ca="1">WFTracker[[#This Row],[Active Time]]-WFTracker[[#This Row],[Completion Days Template]]</f>
        <v>2</v>
      </c>
      <c r="Y227" s="16" t="str">
        <f ca="1" xml:space="preserve"> IF(WFTracker[[#This Row],[Overdue Time '[Expected-Completion']]]&gt;0, "LATE","ON TIME")</f>
        <v>LATE</v>
      </c>
      <c r="Z227" s="16" t="str">
        <f ca="1">IF(WFTracker[[#This Row],[Overdue Time '[Expected-Completion']]] &gt;= 15, "SUPER LATE", Y227)</f>
        <v>LATE</v>
      </c>
      <c r="AA227" s="37" t="str">
        <f>IF(WFTracker[[#This Row],[Pre RM Opening Time]]&lt;WFTracker[[#This Row],[Old vs New Order Lead Time WF dead line]], "LATE BY ENG", "ON TIME BY ENG")</f>
        <v>ON TIME BY ENG</v>
      </c>
      <c r="AB227" s="37"/>
      <c r="AC227" s="15" t="str">
        <f>IF(WFTracker[[#This Row],[Competion Date Content]] = FALSE, "C", "I")</f>
        <v>C</v>
      </c>
      <c r="AD2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227" s="37" t="str">
        <f ca="1">IF(WFTracker[[#This Row],[Impact Time Post RM]]&gt;0, "IMPACTED", "NOT IMPACTED")</f>
        <v>IMPACTED</v>
      </c>
      <c r="AF227" s="37"/>
      <c r="AG227" s="18"/>
      <c r="AH227" s="14" t="str">
        <f>IF(WFTracker[[#This Row],[Status]]="C", "Closed", IF(WFTracker[[#This Row],[Status]] = "x", "Cancelled", WFTracker[[#This Row],[Impact Time Post RM]]))</f>
        <v>Closed</v>
      </c>
      <c r="AI227" s="14" t="str">
        <f ca="1">IF(WFTracker[[#This Row],[Impact Time Post RM]]&lt;=0,"ON TIME","LATE")</f>
        <v>LATE</v>
      </c>
      <c r="AJ227" s="14" t="s">
        <v>984</v>
      </c>
      <c r="AK227" s="14">
        <v>17</v>
      </c>
      <c r="AL227" s="915">
        <f>IF(WFTracker[[#This Row],[Type]]="MAKE", WFTracker[[#This Row],[Due date]]+Filters!$J$111, WFTracker[[#This Row],[Due date]]+Filters!$J$135)</f>
        <v>45881.415686274508</v>
      </c>
      <c r="AM227" s="102" cm="1">
        <f t="array" ref="AM2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8" spans="1:39" ht="14.45">
      <c r="A228" t="str">
        <f>IF(WFTracker[[#This Row],[Order Number]]="SWBD", "QED2", "PZ4")</f>
        <v>PZ4</v>
      </c>
      <c r="B228" s="11" t="s">
        <v>1168</v>
      </c>
      <c r="C228" s="11" t="s">
        <v>385</v>
      </c>
      <c r="D228" s="11" t="str">
        <f>WFTracker[[#This Row],[Order Number]]  &amp; "-" &amp; WFTracker[[#This Row],[Item]]</f>
        <v>0051306085
-000310</v>
      </c>
      <c r="E228" s="23" t="s">
        <v>350</v>
      </c>
      <c r="F228" s="41">
        <v>45891</v>
      </c>
      <c r="G228" s="41"/>
      <c r="H228" s="11" t="s">
        <v>259</v>
      </c>
      <c r="I228" t="s">
        <v>1154</v>
      </c>
      <c r="J228" s="32" t="s">
        <v>1194</v>
      </c>
      <c r="K228" s="28" t="s">
        <v>1023</v>
      </c>
      <c r="L228" s="15" t="s">
        <v>40</v>
      </c>
      <c r="M228" s="29" t="s">
        <v>1120</v>
      </c>
      <c r="N228" s="57">
        <v>45789</v>
      </c>
      <c r="O228" s="15">
        <f>NETWORKDAYS.INTL(WFTracker[[#This Row],[Start date]],WFTracker[[#This Row],[RM]],1,Holidays!D398:D413)</f>
        <v>17</v>
      </c>
      <c r="P228" s="12">
        <v>45869</v>
      </c>
      <c r="Q228" s="12">
        <v>45881</v>
      </c>
      <c r="R228" s="12">
        <v>45894</v>
      </c>
      <c r="S228" s="27" t="b">
        <f>ISBLANK(WFTracker[[#This Row],[Completion Date]])</f>
        <v>0</v>
      </c>
      <c r="T228" s="27" t="str">
        <f>TEXT(WFTracker[[#This Row],[Start date]],"mmm-yyyy")</f>
        <v>Jul-2025</v>
      </c>
      <c r="U228" s="11">
        <v>5</v>
      </c>
      <c r="V228" s="11">
        <f>NETWORKDAYS.INTL(WFTracker[[#This Row],[Start date]],WFTracker[[#This Row],[Due date]],1,Holidays!D398:D413)</f>
        <v>9</v>
      </c>
      <c r="W2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228" s="30">
        <f ca="1">WFTracker[[#This Row],[Active Time]]-WFTracker[[#This Row],[Completion Days Template]]</f>
        <v>9</v>
      </c>
      <c r="Y228" s="34" t="str">
        <f ca="1" xml:space="preserve"> IF(WFTracker[[#This Row],[Overdue Time '[Expected-Completion']]]&gt;0, "LATE","ON TIME")</f>
        <v>LATE</v>
      </c>
      <c r="Z228" s="34" t="str">
        <f ca="1">IF(WFTracker[[#This Row],[Overdue Time '[Expected-Completion']]] &gt;= 15, "SUPER LATE", Y228)</f>
        <v>LATE</v>
      </c>
      <c r="AA228" s="37" t="str">
        <f>IF(WFTracker[[#This Row],[Pre RM Opening Time]]&lt;WFTracker[[#This Row],[Old vs New Order Lead Time WF dead line]], "LATE BY ENG", "ON TIME BY ENG")</f>
        <v>ON TIME BY ENG</v>
      </c>
      <c r="AB228" s="37"/>
      <c r="AC228" s="15" t="str">
        <f>IF(WFTracker[[#This Row],[Competion Date Content]] = FALSE, "C", "I")</f>
        <v>C</v>
      </c>
      <c r="AD2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28" s="105" t="str">
        <f ca="1">IF(WFTracker[[#This Row],[Impact Time Post RM]]&gt;0, "IMPACTED", "NOT IMPACTED")</f>
        <v>IMPACTED</v>
      </c>
      <c r="AF228" s="37"/>
      <c r="AG228" s="42"/>
      <c r="AH228" s="14" t="str">
        <f>IF(WFTracker[[#This Row],[Status]]="C", "Closed", IF(WFTracker[[#This Row],[Status]] = "x", "Cancelled", WFTracker[[#This Row],[Impact Time Post RM]]))</f>
        <v>Closed</v>
      </c>
      <c r="AI228" s="14" t="str">
        <f ca="1">IF(WFTracker[[#This Row],[Impact Time Post RM]]&lt;=0,"ON TIME","LATE")</f>
        <v>LATE</v>
      </c>
      <c r="AJ228" s="14" t="s">
        <v>984</v>
      </c>
      <c r="AK228" s="14">
        <v>17</v>
      </c>
      <c r="AL228" s="915">
        <f>IF(WFTracker[[#This Row],[Type]]="MAKE", WFTracker[[#This Row],[Due date]]+Filters!$J$111, WFTracker[[#This Row],[Due date]]+Filters!$J$135)</f>
        <v>45881.415686274508</v>
      </c>
      <c r="AM228" s="102" cm="1">
        <f t="array" ref="AM22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29" spans="1:39" ht="14.45">
      <c r="A229" t="str">
        <f>IF(WFTracker[[#This Row],[Order Number]]="SWBD", "QED2", "PZ4")</f>
        <v>PZ4</v>
      </c>
      <c r="B229" s="23" t="s">
        <v>408</v>
      </c>
      <c r="C229" s="26" t="s">
        <v>409</v>
      </c>
      <c r="D229" s="23" t="str">
        <f>WFTracker[[#This Row],[Order Number]]  &amp; "-" &amp; WFTracker[[#This Row],[Item]]</f>
        <v>0050753978-003800</v>
      </c>
      <c r="E229" s="23" t="s">
        <v>410</v>
      </c>
      <c r="F229" s="12">
        <v>45898</v>
      </c>
      <c r="G229" s="12"/>
      <c r="H229" s="11" t="s">
        <v>947</v>
      </c>
      <c r="I229" s="11" t="s">
        <v>241</v>
      </c>
      <c r="J229" s="13" t="s">
        <v>1195</v>
      </c>
      <c r="K229" s="14" t="s">
        <v>1023</v>
      </c>
      <c r="L229" s="15" t="s">
        <v>27</v>
      </c>
      <c r="M229" s="15" t="s">
        <v>1120</v>
      </c>
      <c r="N229" s="57">
        <v>46207</v>
      </c>
      <c r="O229" s="15">
        <f>NETWORKDAYS.INTL(WFTracker[[#This Row],[Start date]],WFTracker[[#This Row],[RM]],1,Holidays!D500:D515)</f>
        <v>22</v>
      </c>
      <c r="P229" s="12">
        <v>45869</v>
      </c>
      <c r="Q229" s="12">
        <v>45876</v>
      </c>
      <c r="R229" s="12">
        <v>45888</v>
      </c>
      <c r="S229" s="12" t="b">
        <f>ISBLANK(WFTracker[[#This Row],[Completion Date]])</f>
        <v>0</v>
      </c>
      <c r="T229" s="12" t="str">
        <f>TEXT(WFTracker[[#This Row],[Start date]],"mmm-yyyy")</f>
        <v>Jul-2025</v>
      </c>
      <c r="U229" s="11">
        <v>5</v>
      </c>
      <c r="V229" s="11">
        <f>NETWORKDAYS.INTL(WFTracker[[#This Row],[Start date]],WFTracker[[#This Row],[Due date]],1,Holidays!D500:D515)</f>
        <v>6</v>
      </c>
      <c r="W2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229" s="24">
        <f ca="1">WFTracker[[#This Row],[Active Time]]-WFTracker[[#This Row],[Completion Days Template]]</f>
        <v>8</v>
      </c>
      <c r="Y229" s="16" t="str">
        <f ca="1" xml:space="preserve"> IF(WFTracker[[#This Row],[Overdue Time '[Expected-Completion']]]&gt;0, "LATE","ON TIME")</f>
        <v>LATE</v>
      </c>
      <c r="Z229" s="16" t="str">
        <f ca="1">IF(WFTracker[[#This Row],[Overdue Time '[Expected-Completion']]] &gt;= 15, "SUPER LATE", Y229)</f>
        <v>LATE</v>
      </c>
      <c r="AA229" s="37" t="str">
        <f>IF(WFTracker[[#This Row],[Pre RM Opening Time]]&lt;WFTracker[[#This Row],[Old vs New Order Lead Time WF dead line]], "LATE BY ENG", "ON TIME BY ENG")</f>
        <v>ON TIME BY ENG</v>
      </c>
      <c r="AB229" s="37"/>
      <c r="AC229" s="15" t="str">
        <f>IF(WFTracker[[#This Row],[Competion Date Content]] = FALSE, "C", "I")</f>
        <v>C</v>
      </c>
      <c r="AD2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229" s="37" t="str">
        <f ca="1">IF(WFTracker[[#This Row],[Impact Time Post RM]]&gt;0, "IMPACTED", "NOT IMPACTED")</f>
        <v>NOT IMPACTED</v>
      </c>
      <c r="AF229" s="37"/>
      <c r="AG229" s="18"/>
      <c r="AH229" s="14" t="str">
        <f>IF(WFTracker[[#This Row],[Status]]="C", "Closed", IF(WFTracker[[#This Row],[Status]] = "x", "Cancelled", WFTracker[[#This Row],[Impact Time Post RM]]))</f>
        <v>Closed</v>
      </c>
      <c r="AI229" s="14" t="str">
        <f ca="1">IF(WFTracker[[#This Row],[Impact Time Post RM]]&lt;=0,"ON TIME","LATE")</f>
        <v>ON TIME</v>
      </c>
      <c r="AJ229" s="14" t="s">
        <v>984</v>
      </c>
      <c r="AK229" s="14">
        <v>18</v>
      </c>
      <c r="AL229" s="915">
        <f>IF(WFTracker[[#This Row],[Type]]="MAKE", WFTracker[[#This Row],[Due date]]+Filters!$J$111, WFTracker[[#This Row],[Due date]]+Filters!$J$135)</f>
        <v>45879.072512647552</v>
      </c>
      <c r="AM229" s="102" cm="1">
        <f t="array" ref="AM2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0" spans="1:39" ht="14.45">
      <c r="A230" t="str">
        <f>IF(WFTracker[[#This Row],[Order Number]]="SWBD", "QED2", "PZ4")</f>
        <v>PZ4</v>
      </c>
      <c r="B230" s="23" t="s">
        <v>1168</v>
      </c>
      <c r="C230" s="26" t="s">
        <v>385</v>
      </c>
      <c r="D230" s="11" t="str">
        <f>WFTracker[[#This Row],[Order Number]]  &amp; "-" &amp; WFTracker[[#This Row],[Item]]</f>
        <v>0051306085
-000310</v>
      </c>
      <c r="E230" s="23" t="s">
        <v>350</v>
      </c>
      <c r="F230" s="12">
        <v>45891</v>
      </c>
      <c r="G230" s="12"/>
      <c r="H230" s="11" t="s">
        <v>259</v>
      </c>
      <c r="I230" t="s">
        <v>1154</v>
      </c>
      <c r="J230" s="32" t="s">
        <v>386</v>
      </c>
      <c r="K230" s="28" t="s">
        <v>1017</v>
      </c>
      <c r="L230" s="15" t="s">
        <v>27</v>
      </c>
      <c r="M230" s="29" t="s">
        <v>1120</v>
      </c>
      <c r="N230" s="57">
        <v>45789</v>
      </c>
      <c r="O230" s="15">
        <f>NETWORKDAYS.INTL(WFTracker[[#This Row],[Start date]],WFTracker[[#This Row],[RM]],1,Holidays!D358:D373)</f>
        <v>15</v>
      </c>
      <c r="P230" s="12">
        <v>45873</v>
      </c>
      <c r="Q230" s="12">
        <v>45881</v>
      </c>
      <c r="R230" s="12">
        <v>45889</v>
      </c>
      <c r="S230" s="27" t="b">
        <f>ISBLANK(WFTracker[[#This Row],[Completion Date]])</f>
        <v>0</v>
      </c>
      <c r="T230" s="27" t="str">
        <f>TEXT(WFTracker[[#This Row],[Start date]],"mmm-yyyy")</f>
        <v>Aug-2025</v>
      </c>
      <c r="U230" s="11">
        <v>5</v>
      </c>
      <c r="V230" s="11">
        <f>NETWORKDAYS.INTL(WFTracker[[#This Row],[Start date]],WFTracker[[#This Row],[Due date]],1,Holidays!D358:D373)</f>
        <v>7</v>
      </c>
      <c r="W2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230" s="30">
        <f ca="1">WFTracker[[#This Row],[Active Time]]-WFTracker[[#This Row],[Completion Days Template]]</f>
        <v>6</v>
      </c>
      <c r="Y230" s="34" t="str">
        <f ca="1" xml:space="preserve"> IF(WFTracker[[#This Row],[Overdue Time '[Expected-Completion']]]&gt;0, "LATE","ON TIME")</f>
        <v>LATE</v>
      </c>
      <c r="Z230" s="34" t="str">
        <f ca="1">IF(WFTracker[[#This Row],[Overdue Time '[Expected-Completion']]] &gt;= 15, "SUPER LATE", Y230)</f>
        <v>LATE</v>
      </c>
      <c r="AA230" s="37" t="str">
        <f>IF(WFTracker[[#This Row],[Pre RM Opening Time]]&lt;WFTracker[[#This Row],[Old vs New Order Lead Time WF dead line]], "LATE BY ENG", "ON TIME BY ENG")</f>
        <v>ON TIME BY ENG</v>
      </c>
      <c r="AB230" s="37"/>
      <c r="AC230" s="15" t="str">
        <f>IF(WFTracker[[#This Row],[Competion Date Content]] = FALSE, "C", "I")</f>
        <v>C</v>
      </c>
      <c r="AD2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230" s="105" t="str">
        <f ca="1">IF(WFTracker[[#This Row],[Impact Time Post RM]]&gt;0, "IMPACTED", "NOT IMPACTED")</f>
        <v>NOT IMPACTED</v>
      </c>
      <c r="AF230" s="15"/>
      <c r="AG230" s="42"/>
      <c r="AH230" s="14" t="str">
        <f>IF(WFTracker[[#This Row],[Status]]="C", "Closed", IF(WFTracker[[#This Row],[Status]] = "x", "Cancelled", WFTracker[[#This Row],[Impact Time Post RM]]))</f>
        <v>Closed</v>
      </c>
      <c r="AI230" s="14" t="str">
        <f ca="1">IF(WFTracker[[#This Row],[Impact Time Post RM]]&lt;=0,"ON TIME","LATE")</f>
        <v>ON TIME</v>
      </c>
      <c r="AJ230" s="14" t="s">
        <v>984</v>
      </c>
      <c r="AK230" s="14">
        <v>18</v>
      </c>
      <c r="AL230" s="915">
        <f>IF(WFTracker[[#This Row],[Type]]="MAKE", WFTracker[[#This Row],[Due date]]+Filters!$J$111, WFTracker[[#This Row],[Due date]]+Filters!$J$135)</f>
        <v>45884.072512647552</v>
      </c>
      <c r="AM230" s="102" cm="1">
        <f t="array" ref="AM2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1" spans="1:39" ht="14.45">
      <c r="A231" t="str">
        <f>IF(WFTracker[[#This Row],[Order Number]]="SWBD", "QED2", "PZ4")</f>
        <v>PZ4</v>
      </c>
      <c r="B231" s="21" t="s">
        <v>1168</v>
      </c>
      <c r="C231" s="26" t="s">
        <v>385</v>
      </c>
      <c r="D231" s="11" t="str">
        <f>WFTracker[[#This Row],[Order Number]]  &amp; "-" &amp; WFTracker[[#This Row],[Item]]</f>
        <v>0051306085
-000310</v>
      </c>
      <c r="E231" s="23" t="s">
        <v>350</v>
      </c>
      <c r="F231" s="12">
        <v>45891</v>
      </c>
      <c r="G231" s="27"/>
      <c r="H231" t="s">
        <v>259</v>
      </c>
      <c r="I231" t="s">
        <v>1154</v>
      </c>
      <c r="J231" s="32" t="s">
        <v>391</v>
      </c>
      <c r="K231" s="28" t="s">
        <v>1017</v>
      </c>
      <c r="L231" s="15" t="s">
        <v>40</v>
      </c>
      <c r="M231" s="29" t="s">
        <v>1120</v>
      </c>
      <c r="N231" s="57">
        <v>45789</v>
      </c>
      <c r="O231" s="15">
        <f>NETWORKDAYS.INTL(WFTracker[[#This Row],[Start date]],WFTracker[[#This Row],[RM]],1,Holidays!D359:D374)</f>
        <v>15</v>
      </c>
      <c r="P231" s="12">
        <v>45873</v>
      </c>
      <c r="Q231" s="12">
        <v>45883</v>
      </c>
      <c r="R231" s="12">
        <v>45882</v>
      </c>
      <c r="S231" s="27" t="b">
        <f>ISBLANK(WFTracker[[#This Row],[Completion Date]])</f>
        <v>0</v>
      </c>
      <c r="T231" s="27" t="str">
        <f>TEXT(WFTracker[[#This Row],[Start date]],"mmm-yyyy")</f>
        <v>Aug-2025</v>
      </c>
      <c r="U231" s="11">
        <v>5</v>
      </c>
      <c r="V231" s="11">
        <f>NETWORKDAYS.INTL(WFTracker[[#This Row],[Start date]],WFTracker[[#This Row],[Due date]],1,Holidays!D359:D374)</f>
        <v>9</v>
      </c>
      <c r="W2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31" s="30">
        <f ca="1">WFTracker[[#This Row],[Active Time]]-WFTracker[[#This Row],[Completion Days Template]]</f>
        <v>-1</v>
      </c>
      <c r="Y231" s="34" t="str">
        <f ca="1" xml:space="preserve"> IF(WFTracker[[#This Row],[Overdue Time '[Expected-Completion']]]&gt;0, "LATE","ON TIME")</f>
        <v>ON TIME</v>
      </c>
      <c r="Z231" s="34" t="str">
        <f ca="1">IF(WFTracker[[#This Row],[Overdue Time '[Expected-Completion']]] &gt;= 15, "SUPER LATE", Y231)</f>
        <v>ON TIME</v>
      </c>
      <c r="AA231" s="37" t="str">
        <f>IF(WFTracker[[#This Row],[Pre RM Opening Time]]&lt;WFTracker[[#This Row],[Old vs New Order Lead Time WF dead line]], "LATE BY ENG", "ON TIME BY ENG")</f>
        <v>ON TIME BY ENG</v>
      </c>
      <c r="AB231" s="37"/>
      <c r="AC231" s="15" t="str">
        <f>IF(WFTracker[[#This Row],[Competion Date Content]] = FALSE, "C", "I")</f>
        <v>C</v>
      </c>
      <c r="AD2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31" s="31" t="str">
        <f ca="1">IF(WFTracker[[#This Row],[Impact Time Post RM]]&gt;0, "IMPACTED", "NOT IMPACTED")</f>
        <v>NOT IMPACTED</v>
      </c>
      <c r="AF231" s="37"/>
      <c r="AG231" s="42"/>
      <c r="AH231" s="14" t="str">
        <f>IF(WFTracker[[#This Row],[Status]]="C", "Closed", IF(WFTracker[[#This Row],[Status]] = "x", "Cancelled", WFTracker[[#This Row],[Impact Time Post RM]]))</f>
        <v>Closed</v>
      </c>
      <c r="AI231" s="14" t="str">
        <f ca="1">IF(WFTracker[[#This Row],[Impact Time Post RM]]&lt;=0,"ON TIME","LATE")</f>
        <v>ON TIME</v>
      </c>
      <c r="AJ231" s="14" t="s">
        <v>984</v>
      </c>
      <c r="AK231" s="14">
        <v>17</v>
      </c>
      <c r="AL231" s="915">
        <f>IF(WFTracker[[#This Row],[Type]]="MAKE", WFTracker[[#This Row],[Due date]]+Filters!$J$111, WFTracker[[#This Row],[Due date]]+Filters!$J$135)</f>
        <v>45883.415686274508</v>
      </c>
      <c r="AM231" s="102" cm="1">
        <f t="array" ref="AM2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2" spans="1:39" ht="14.45">
      <c r="A232" t="str">
        <f>IF(WFTracker[[#This Row],[Order Number]]="SWBD", "QED2", "PZ4")</f>
        <v>PZ4</v>
      </c>
      <c r="B232" s="21" t="s">
        <v>403</v>
      </c>
      <c r="C232" s="26" t="s">
        <v>68</v>
      </c>
      <c r="D232" s="11" t="str">
        <f>WFTracker[[#This Row],[Order Number]]  &amp; "-" &amp; WFTracker[[#This Row],[Item]]</f>
        <v>0050442535-000170</v>
      </c>
      <c r="E232" s="23" t="s">
        <v>1040</v>
      </c>
      <c r="F232" s="12">
        <v>45945</v>
      </c>
      <c r="G232" s="12"/>
      <c r="H232" s="11" t="s">
        <v>676</v>
      </c>
      <c r="I232" s="11" t="s">
        <v>264</v>
      </c>
      <c r="J232" s="32" t="s">
        <v>405</v>
      </c>
      <c r="K232" s="14" t="s">
        <v>1017</v>
      </c>
      <c r="L232" s="15" t="s">
        <v>27</v>
      </c>
      <c r="M232" s="29" t="s">
        <v>1120</v>
      </c>
      <c r="N232" s="57">
        <v>46035</v>
      </c>
      <c r="O232" s="15">
        <f>NETWORKDAYS.INTL(WFTracker[[#This Row],[Start date]],WFTracker[[#This Row],[RM]],1,Holidays!D615:D630)</f>
        <v>53</v>
      </c>
      <c r="P232" s="12">
        <v>45873</v>
      </c>
      <c r="Q232" s="12">
        <v>45881</v>
      </c>
      <c r="R232" s="12">
        <v>45883</v>
      </c>
      <c r="S232" s="12" t="b">
        <f>ISBLANK(WFTracker[[#This Row],[Completion Date]])</f>
        <v>0</v>
      </c>
      <c r="T232" s="12" t="str">
        <f>TEXT(WFTracker[[#This Row],[Start date]],"mmm-yyyy")</f>
        <v>Aug-2025</v>
      </c>
      <c r="U232" s="11">
        <v>5</v>
      </c>
      <c r="V232" s="11">
        <f>NETWORKDAYS.INTL(WFTracker[[#This Row],[Start date]],WFTracker[[#This Row],[Due date]],1,Holidays!D615:D630)</f>
        <v>7</v>
      </c>
      <c r="W2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32" s="24">
        <f ca="1">WFTracker[[#This Row],[Active Time]]-WFTracker[[#This Row],[Completion Days Template]]</f>
        <v>2</v>
      </c>
      <c r="Y232" s="16" t="str">
        <f ca="1" xml:space="preserve"> IF(WFTracker[[#This Row],[Overdue Time '[Expected-Completion']]]&gt;0, "LATE","ON TIME")</f>
        <v>LATE</v>
      </c>
      <c r="Z232" s="16" t="str">
        <f ca="1">IF(WFTracker[[#This Row],[Overdue Time '[Expected-Completion']]] &gt;= 15, "SUPER LATE", Y232)</f>
        <v>LATE</v>
      </c>
      <c r="AA232" s="37" t="str">
        <f>IF(WFTracker[[#This Row],[Pre RM Opening Time]]&lt;WFTracker[[#This Row],[Old vs New Order Lead Time WF dead line]], "LATE BY ENG", "ON TIME BY ENG")</f>
        <v>ON TIME BY ENG</v>
      </c>
      <c r="AB232" s="37"/>
      <c r="AC232" s="15" t="str">
        <f>IF(WFTracker[[#This Row],[Competion Date Content]] = FALSE, "C", "I")</f>
        <v>C</v>
      </c>
      <c r="AD2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-44</v>
      </c>
      <c r="AE232" s="37" t="str">
        <f ca="1">IF(WFTracker[[#This Row],[Impact Time Post RM]]&gt;0, "IMPACTED", "NOT IMPACTED")</f>
        <v>NOT IMPACTED</v>
      </c>
      <c r="AF232" s="37"/>
      <c r="AG232" s="18"/>
      <c r="AH232" s="14" t="str">
        <f>IF(WFTracker[[#This Row],[Status]]="C", "Closed", IF(WFTracker[[#This Row],[Status]] = "x", "Cancelled", WFTracker[[#This Row],[Impact Time Post RM]]))</f>
        <v>Closed</v>
      </c>
      <c r="AI232" s="14" t="str">
        <f ca="1">IF(WFTracker[[#This Row],[Impact Time Post RM]]&lt;=0,"ON TIME","LATE")</f>
        <v>ON TIME</v>
      </c>
      <c r="AJ232" s="14" t="s">
        <v>984</v>
      </c>
      <c r="AK232" s="14">
        <v>18</v>
      </c>
      <c r="AL232" s="915">
        <f>IF(WFTracker[[#This Row],[Type]]="MAKE", WFTracker[[#This Row],[Due date]]+Filters!$J$111, WFTracker[[#This Row],[Due date]]+Filters!$J$135)</f>
        <v>45884.072512647552</v>
      </c>
      <c r="AM232" s="102" cm="1">
        <f t="array" ref="AM2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3" spans="1:39" ht="14.45">
      <c r="A233" t="str">
        <f>IF(WFTracker[[#This Row],[Order Number]]="SWBD", "QED2", "PZ4")</f>
        <v>PZ4</v>
      </c>
      <c r="B233" s="21" t="s">
        <v>379</v>
      </c>
      <c r="C233" s="26" t="s">
        <v>219</v>
      </c>
      <c r="D233" s="23" t="str">
        <f>WFTracker[[#This Row],[Order Number]]  &amp; "-" &amp; WFTracker[[#This Row],[Item]]</f>
        <v>0051427096-000120</v>
      </c>
      <c r="E233" s="23" t="s">
        <v>380</v>
      </c>
      <c r="F233" s="12">
        <v>45868</v>
      </c>
      <c r="G233" s="12"/>
      <c r="H233" s="11" t="s">
        <v>259</v>
      </c>
      <c r="I233" s="11" t="s">
        <v>260</v>
      </c>
      <c r="J233" s="13" t="s">
        <v>387</v>
      </c>
      <c r="K233" s="14" t="s">
        <v>1017</v>
      </c>
      <c r="L233" s="15" t="s">
        <v>27</v>
      </c>
      <c r="M233" s="29" t="s">
        <v>1120</v>
      </c>
      <c r="N233" s="57">
        <v>45953</v>
      </c>
      <c r="O233" s="15">
        <f>NETWORKDAYS.INTL(WFTracker[[#This Row],[Start date]],WFTracker[[#This Row],[RM]],1,Holidays!D48:D63)</f>
        <v>-5</v>
      </c>
      <c r="P233" s="12">
        <v>45874</v>
      </c>
      <c r="Q233" s="12">
        <v>45882</v>
      </c>
      <c r="R233" s="12">
        <v>45882</v>
      </c>
      <c r="S233" s="12" t="b">
        <f>ISBLANK(WFTracker[[#This Row],[Completion Date]])</f>
        <v>0</v>
      </c>
      <c r="T233" s="12" t="str">
        <f>TEXT(WFTracker[[#This Row],[Start date]],"mmm-yyyy")</f>
        <v>Aug-2025</v>
      </c>
      <c r="U233" s="11">
        <v>5</v>
      </c>
      <c r="V233" s="11">
        <f>NETWORKDAYS.INTL(WFTracker[[#This Row],[Start date]],WFTracker[[#This Row],[Due date]],1,Holidays!D48:D63)</f>
        <v>7</v>
      </c>
      <c r="W2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33" s="24">
        <f ca="1">WFTracker[[#This Row],[Active Time]]-WFTracker[[#This Row],[Completion Days Template]]</f>
        <v>0</v>
      </c>
      <c r="Y233" s="16" t="str">
        <f ca="1" xml:space="preserve"> IF(WFTracker[[#This Row],[Overdue Time '[Expected-Completion']]]&gt;0, "LATE","ON TIME")</f>
        <v>ON TIME</v>
      </c>
      <c r="Z233" s="16" t="str">
        <f ca="1">IF(WFTracker[[#This Row],[Overdue Time '[Expected-Completion']]] &gt;= 15, "SUPER LATE", Y233)</f>
        <v>ON TIME</v>
      </c>
      <c r="AA233" s="37" t="str">
        <f>IF(WFTracker[[#This Row],[Pre RM Opening Time]]&lt;WFTracker[[#This Row],[Old vs New Order Lead Time WF dead line]], "LATE BY ENG", "ON TIME BY ENG")</f>
        <v>LATE BY ENG</v>
      </c>
      <c r="AB233" s="37"/>
      <c r="AC233" s="37" t="str">
        <f>IF(WFTracker[[#This Row],[Competion Date Content]] = FALSE, "C", "i")</f>
        <v>C</v>
      </c>
      <c r="AD2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233" s="37" t="str">
        <f ca="1">IF(WFTracker[[#This Row],[Impact Time Post RM]]&gt;0, "IMPACTED", "NOT IMPACTED")</f>
        <v>IMPACTED</v>
      </c>
      <c r="AF233" s="37"/>
      <c r="AG233" s="18"/>
      <c r="AH233" s="14" t="str">
        <f>IF(WFTracker[[#This Row],[Status]]="C", "Closed", IF(WFTracker[[#This Row],[Status]] = "x", "Cancelled", WFTracker[[#This Row],[Impact Time Post RM]]))</f>
        <v>Closed</v>
      </c>
      <c r="AI233" s="14" t="str">
        <f ca="1">IF(WFTracker[[#This Row],[Impact Time Post RM]]&lt;=0,"ON TIME","LATE")</f>
        <v>LATE</v>
      </c>
      <c r="AJ233" s="14" t="s">
        <v>984</v>
      </c>
      <c r="AK233" s="14">
        <v>18</v>
      </c>
      <c r="AL233" s="915">
        <f>IF(WFTracker[[#This Row],[Type]]="MAKE", WFTracker[[#This Row],[Due date]]+Filters!$J$111, WFTracker[[#This Row],[Due date]]+Filters!$J$135)</f>
        <v>45885.072512647552</v>
      </c>
      <c r="AM233" s="102" cm="1">
        <f t="array" ref="AM2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4" spans="1:39" ht="14.45">
      <c r="A234" t="str">
        <f>IF(WFTracker[[#This Row],[Order Number]]="SWBD", "QED2", "PZ4")</f>
        <v>PZ4</v>
      </c>
      <c r="B234" s="35" t="s">
        <v>431</v>
      </c>
      <c r="C234" s="26" t="s">
        <v>1187</v>
      </c>
      <c r="D234" s="11" t="str">
        <f>WFTracker[[#This Row],[Order Number]]  &amp; "-" &amp; WFTracker[[#This Row],[Item]]</f>
        <v>0051072452-000020&amp;000470</v>
      </c>
      <c r="E234" s="23" t="s">
        <v>1021</v>
      </c>
      <c r="F234" s="12">
        <v>45898</v>
      </c>
      <c r="G234" s="12"/>
      <c r="H234" s="11" t="s">
        <v>295</v>
      </c>
      <c r="I234" s="11" t="s">
        <v>111</v>
      </c>
      <c r="J234" s="32" t="s">
        <v>1196</v>
      </c>
      <c r="K234" s="28" t="s">
        <v>1023</v>
      </c>
      <c r="L234" s="15" t="s">
        <v>27</v>
      </c>
      <c r="M234" s="29" t="s">
        <v>1120</v>
      </c>
      <c r="N234" s="57">
        <v>46008</v>
      </c>
      <c r="O234" s="15">
        <f>NETWORKDAYS.INTL(WFTracker[[#This Row],[Start date]],WFTracker[[#This Row],[RM]],1,Holidays!D448:D463)</f>
        <v>19</v>
      </c>
      <c r="P234" s="12">
        <v>45874</v>
      </c>
      <c r="Q234" s="12">
        <v>45881</v>
      </c>
      <c r="R234" s="12">
        <v>45888</v>
      </c>
      <c r="S234" s="27" t="b">
        <f>ISBLANK(WFTracker[[#This Row],[Completion Date]])</f>
        <v>0</v>
      </c>
      <c r="T234" s="27" t="str">
        <f>TEXT(WFTracker[[#This Row],[Start date]],"mmm-yyyy")</f>
        <v>Aug-2025</v>
      </c>
      <c r="U234" s="11">
        <v>5</v>
      </c>
      <c r="V234" s="11">
        <f>NETWORKDAYS.INTL(WFTracker[[#This Row],[Start date]],WFTracker[[#This Row],[Due date]],1,Holidays!D448:D463)</f>
        <v>6</v>
      </c>
      <c r="W2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34" s="30">
        <f ca="1">WFTracker[[#This Row],[Active Time]]-WFTracker[[#This Row],[Completion Days Template]]</f>
        <v>5</v>
      </c>
      <c r="Y234" s="34" t="str">
        <f ca="1" xml:space="preserve"> IF(WFTracker[[#This Row],[Overdue Time '[Expected-Completion']]]&gt;0, "LATE","ON TIME")</f>
        <v>LATE</v>
      </c>
      <c r="Z234" s="34" t="str">
        <f ca="1">IF(WFTracker[[#This Row],[Overdue Time '[Expected-Completion']]] &gt;= 15, "SUPER LATE", Y234)</f>
        <v>LATE</v>
      </c>
      <c r="AA234" s="37" t="str">
        <f>IF(WFTracker[[#This Row],[Pre RM Opening Time]]&lt;WFTracker[[#This Row],[Old vs New Order Lead Time WF dead line]], "LATE BY ENG", "ON TIME BY ENG")</f>
        <v>ON TIME BY ENG</v>
      </c>
      <c r="AB234" s="37"/>
      <c r="AC234" s="15" t="str">
        <f>IF(WFTracker[[#This Row],[Competion Date Content]] = FALSE, "C", "i")</f>
        <v>C</v>
      </c>
      <c r="AD2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234" s="105" t="str">
        <f ca="1">IF(WFTracker[[#This Row],[Impact Time Post RM]]&gt;0, "IMPACTED", "NOT IMPACTED")</f>
        <v>NOT IMPACTED</v>
      </c>
      <c r="AF234" s="37"/>
      <c r="AG234" s="42"/>
      <c r="AH234" s="14" t="str">
        <f>IF(WFTracker[[#This Row],[Status]]="C", "Closed", IF(WFTracker[[#This Row],[Status]] = "x", "Cancelled", WFTracker[[#This Row],[Impact Time Post RM]]))</f>
        <v>Closed</v>
      </c>
      <c r="AI234" s="14" t="str">
        <f ca="1">IF(WFTracker[[#This Row],[Impact Time Post RM]]&lt;=0,"ON TIME","LATE")</f>
        <v>ON TIME</v>
      </c>
      <c r="AJ234" s="14" t="s">
        <v>984</v>
      </c>
      <c r="AK234" s="14">
        <v>18</v>
      </c>
      <c r="AL234" s="915">
        <f>IF(WFTracker[[#This Row],[Type]]="MAKE", WFTracker[[#This Row],[Due date]]+Filters!$J$111, WFTracker[[#This Row],[Due date]]+Filters!$J$135)</f>
        <v>45884.072512647552</v>
      </c>
      <c r="AM234" s="102" cm="1">
        <f t="array" ref="AM2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5" spans="1:39" ht="14.45">
      <c r="A235" t="str">
        <f>IF(WFTracker[[#This Row],[Order Number]]="SWBD", "QED2", "PZ4")</f>
        <v>PZ4</v>
      </c>
      <c r="B235" s="904" t="s">
        <v>431</v>
      </c>
      <c r="C235" s="26" t="s">
        <v>1187</v>
      </c>
      <c r="D235" s="11" t="str">
        <f>WFTracker[[#This Row],[Order Number]]  &amp; "-" &amp; WFTracker[[#This Row],[Item]]</f>
        <v>0051072452-000020&amp;000470</v>
      </c>
      <c r="E235" s="23" t="s">
        <v>1021</v>
      </c>
      <c r="F235" s="12">
        <v>45898</v>
      </c>
      <c r="G235" s="12"/>
      <c r="H235" s="11" t="s">
        <v>295</v>
      </c>
      <c r="I235" s="11" t="s">
        <v>111</v>
      </c>
      <c r="J235" s="32" t="s">
        <v>1197</v>
      </c>
      <c r="K235" s="28" t="s">
        <v>1023</v>
      </c>
      <c r="L235" s="15" t="s">
        <v>40</v>
      </c>
      <c r="M235" s="29" t="s">
        <v>1120</v>
      </c>
      <c r="N235" s="57">
        <v>46008</v>
      </c>
      <c r="O235" s="15">
        <f>NETWORKDAYS.INTL(WFTracker[[#This Row],[Start date]],WFTracker[[#This Row],[RM]],1,Holidays!D449:D464)</f>
        <v>19</v>
      </c>
      <c r="P235" s="12">
        <v>45874</v>
      </c>
      <c r="Q235" s="12">
        <v>45884</v>
      </c>
      <c r="R235" s="12">
        <v>45884</v>
      </c>
      <c r="S235" s="27" t="b">
        <f>ISBLANK(WFTracker[[#This Row],[Completion Date]])</f>
        <v>0</v>
      </c>
      <c r="T235" s="27" t="str">
        <f>TEXT(WFTracker[[#This Row],[Start date]],"mmm-yyyy")</f>
        <v>Aug-2025</v>
      </c>
      <c r="U235" s="11">
        <v>5</v>
      </c>
      <c r="V235" s="11">
        <f>NETWORKDAYS.INTL(WFTracker[[#This Row],[Start date]],WFTracker[[#This Row],[Due date]],1,Holidays!D449:D464)</f>
        <v>9</v>
      </c>
      <c r="W2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35" s="910">
        <f ca="1">WFTracker[[#This Row],[Active Time]]-WFTracker[[#This Row],[Completion Days Template]]</f>
        <v>0</v>
      </c>
      <c r="Y235" s="34" t="str">
        <f ca="1" xml:space="preserve"> IF(WFTracker[[#This Row],[Overdue Time '[Expected-Completion']]]&gt;0, "LATE","ON TIME")</f>
        <v>ON TIME</v>
      </c>
      <c r="Z235" s="34" t="str">
        <f ca="1">IF(WFTracker[[#This Row],[Overdue Time '[Expected-Completion']]] &gt;= 15, "SUPER LATE", Y235)</f>
        <v>ON TIME</v>
      </c>
      <c r="AA235" s="37" t="str">
        <f>IF(WFTracker[[#This Row],[Pre RM Opening Time]]&lt;WFTracker[[#This Row],[Old vs New Order Lead Time WF dead line]], "LATE BY ENG", "ON TIME BY ENG")</f>
        <v>ON TIME BY ENG</v>
      </c>
      <c r="AB235" s="37"/>
      <c r="AC235" s="37" t="s">
        <v>46</v>
      </c>
      <c r="AD2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235" s="105" t="str">
        <f ca="1">IF(WFTracker[[#This Row],[Impact Time Post RM]]&gt;0, "IMPACTED", "NOT IMPACTED")</f>
        <v>NOT IMPACTED</v>
      </c>
      <c r="AF235" s="37"/>
      <c r="AG235" s="42"/>
      <c r="AH235" s="14" t="str">
        <f>IF(WFTracker[[#This Row],[Status]]="C", "Closed", IF(WFTracker[[#This Row],[Status]] = "x", "Cancelled", WFTracker[[#This Row],[Impact Time Post RM]]))</f>
        <v>Cancelled</v>
      </c>
      <c r="AI235" s="14" t="str">
        <f ca="1">IF(WFTracker[[#This Row],[Impact Time Post RM]]&lt;=0,"ON TIME","LATE")</f>
        <v>ON TIME</v>
      </c>
      <c r="AJ235" s="14" t="s">
        <v>984</v>
      </c>
      <c r="AK235" s="14">
        <v>0</v>
      </c>
      <c r="AL235" s="915">
        <f>IF(WFTracker[[#This Row],[Type]]="MAKE", WFTracker[[#This Row],[Due date]]+Filters!$J$111, WFTracker[[#This Row],[Due date]]+Filters!$J$135)</f>
        <v>45884.415686274508</v>
      </c>
      <c r="AM235" s="102" cm="1">
        <f t="array" ref="AM235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36" spans="1:39" ht="14.45">
      <c r="A236" t="str">
        <f>IF(WFTracker[[#This Row],[Order Number]]="SWBD", "QED2", "PZ4")</f>
        <v>PZ4</v>
      </c>
      <c r="B236" s="35" t="s">
        <v>431</v>
      </c>
      <c r="C236" s="26" t="s">
        <v>1187</v>
      </c>
      <c r="D236" s="11" t="str">
        <f>WFTracker[[#This Row],[Order Number]]  &amp; "-" &amp; WFTracker[[#This Row],[Item]]</f>
        <v>0051072452-000020&amp;000470</v>
      </c>
      <c r="E236" s="23" t="s">
        <v>1021</v>
      </c>
      <c r="F236" s="107">
        <v>45898</v>
      </c>
      <c r="G236" s="107"/>
      <c r="H236" s="11" t="s">
        <v>295</v>
      </c>
      <c r="I236" s="11" t="s">
        <v>111</v>
      </c>
      <c r="J236" s="13" t="s">
        <v>1198</v>
      </c>
      <c r="K236" s="14" t="s">
        <v>1023</v>
      </c>
      <c r="L236" s="15" t="s">
        <v>40</v>
      </c>
      <c r="M236" s="29" t="s">
        <v>1120</v>
      </c>
      <c r="N236" s="57">
        <v>46008</v>
      </c>
      <c r="O236" s="15">
        <f>NETWORKDAYS.INTL(WFTracker[[#This Row],[Start date]],WFTracker[[#This Row],[RM]],1,Holidays!D450:D465)</f>
        <v>19</v>
      </c>
      <c r="P236" s="12">
        <v>45874</v>
      </c>
      <c r="Q236" s="12">
        <v>45884</v>
      </c>
      <c r="R236" s="12">
        <v>45883</v>
      </c>
      <c r="S236" s="12" t="b">
        <f>ISBLANK(WFTracker[[#This Row],[Completion Date]])</f>
        <v>0</v>
      </c>
      <c r="T236" s="12" t="str">
        <f>TEXT(WFTracker[[#This Row],[Start date]],"mmm-yyyy")</f>
        <v>Aug-2025</v>
      </c>
      <c r="U236" s="11">
        <v>5</v>
      </c>
      <c r="V236" s="11">
        <f>NETWORKDAYS.INTL(WFTracker[[#This Row],[Start date]],WFTracker[[#This Row],[Due date]],1,Holidays!D450:D465)</f>
        <v>9</v>
      </c>
      <c r="W2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36" s="24">
        <f ca="1">WFTracker[[#This Row],[Active Time]]-WFTracker[[#This Row],[Completion Days Template]]</f>
        <v>-1</v>
      </c>
      <c r="Y236" s="16" t="str">
        <f ca="1" xml:space="preserve"> IF(WFTracker[[#This Row],[Overdue Time '[Expected-Completion']]]&gt;0, "LATE","ON TIME")</f>
        <v>ON TIME</v>
      </c>
      <c r="Z236" s="16" t="str">
        <f ca="1">IF(WFTracker[[#This Row],[Overdue Time '[Expected-Completion']]] &gt;= 15, "SUPER LATE", Y236)</f>
        <v>ON TIME</v>
      </c>
      <c r="AA236" s="37" t="str">
        <f>IF(WFTracker[[#This Row],[Pre RM Opening Time]]&lt;WFTracker[[#This Row],[Old vs New Order Lead Time WF dead line]], "LATE BY ENG", "ON TIME BY ENG")</f>
        <v>ON TIME BY ENG</v>
      </c>
      <c r="AB236" s="37"/>
      <c r="AC236" s="37" t="str">
        <f>IF(WFTracker[[#This Row],[Competion Date Content]] = FALSE, "C", "i")</f>
        <v>C</v>
      </c>
      <c r="AD2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236" s="38" t="str">
        <f ca="1">IF(WFTracker[[#This Row],[Impact Time Post RM]]&gt;0, "IMPACTED", "NOT IMPACTED")</f>
        <v>NOT IMPACTED</v>
      </c>
      <c r="AF236" s="37"/>
      <c r="AG236" s="18"/>
      <c r="AH236" s="14" t="str">
        <f>IF(WFTracker[[#This Row],[Status]]="C", "Closed", IF(WFTracker[[#This Row],[Status]] = "x", "Cancelled", WFTracker[[#This Row],[Impact Time Post RM]]))</f>
        <v>Closed</v>
      </c>
      <c r="AI236" s="14" t="str">
        <f ca="1">IF(WFTracker[[#This Row],[Impact Time Post RM]]&lt;=0,"ON TIME","LATE")</f>
        <v>ON TIME</v>
      </c>
      <c r="AJ236" s="14" t="s">
        <v>984</v>
      </c>
      <c r="AK236" s="14">
        <v>17</v>
      </c>
      <c r="AL236" s="915">
        <f>IF(WFTracker[[#This Row],[Type]]="MAKE", WFTracker[[#This Row],[Due date]]+Filters!$J$111, WFTracker[[#This Row],[Due date]]+Filters!$J$135)</f>
        <v>45884.415686274508</v>
      </c>
      <c r="AM236" s="102" cm="1">
        <f t="array" ref="AM2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7" spans="1:39" ht="14.45">
      <c r="A237" t="str">
        <f>IF(WFTracker[[#This Row],[Order Number]]="SWBD", "QED2", "PZ4")</f>
        <v>PZ4</v>
      </c>
      <c r="B237" s="21" t="s">
        <v>365</v>
      </c>
      <c r="C237" s="26" t="s">
        <v>366</v>
      </c>
      <c r="D237" s="11" t="str">
        <f>WFTracker[[#This Row],[Order Number]]  &amp; "-" &amp; WFTracker[[#This Row],[Item]]</f>
        <v>0050728484-018570</v>
      </c>
      <c r="E237" s="23" t="s">
        <v>613</v>
      </c>
      <c r="F237" s="41">
        <v>45896</v>
      </c>
      <c r="G237" s="41"/>
      <c r="H237" s="11" t="s">
        <v>156</v>
      </c>
      <c r="I237" s="11" t="s">
        <v>37</v>
      </c>
      <c r="J237" s="13" t="s">
        <v>368</v>
      </c>
      <c r="K237" s="14" t="s">
        <v>1017</v>
      </c>
      <c r="L237" s="15" t="s">
        <v>27</v>
      </c>
      <c r="M237" s="29" t="s">
        <v>1120</v>
      </c>
      <c r="N237" s="57">
        <v>45986</v>
      </c>
      <c r="O237" s="15">
        <f>NETWORKDAYS.INTL(WFTracker[[#This Row],[Start date]],WFTracker[[#This Row],[RM]],1,Holidays!D384:D399)</f>
        <v>16</v>
      </c>
      <c r="P237" s="12">
        <v>45875</v>
      </c>
      <c r="Q237" s="12">
        <v>45883</v>
      </c>
      <c r="R237" s="12">
        <v>45887</v>
      </c>
      <c r="S237" s="27" t="b">
        <f>ISBLANK(WFTracker[[#This Row],[Completion Date]])</f>
        <v>0</v>
      </c>
      <c r="T237" s="27" t="str">
        <f>TEXT(WFTracker[[#This Row],[Start date]],"mmm-yyyy")</f>
        <v>Aug-2025</v>
      </c>
      <c r="U237" s="11">
        <v>5</v>
      </c>
      <c r="V237" s="11">
        <f>NETWORKDAYS.INTL(WFTracker[[#This Row],[Start date]],WFTracker[[#This Row],[Due date]],1,Holidays!D384:D399)</f>
        <v>7</v>
      </c>
      <c r="W2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37" s="24">
        <f ca="1">WFTracker[[#This Row],[Active Time]]-WFTracker[[#This Row],[Completion Days Template]]</f>
        <v>2</v>
      </c>
      <c r="Y237" s="16" t="str">
        <f ca="1" xml:space="preserve"> IF(WFTracker[[#This Row],[Overdue Time '[Expected-Completion']]]&gt;0, "LATE","ON TIME")</f>
        <v>LATE</v>
      </c>
      <c r="Z237" s="16" t="str">
        <f ca="1">IF(WFTracker[[#This Row],[Overdue Time '[Expected-Completion']]] &gt;= 15, "SUPER LATE", Y237)</f>
        <v>LATE</v>
      </c>
      <c r="AA237" s="37" t="str">
        <f>IF(WFTracker[[#This Row],[Pre RM Opening Time]]&lt;WFTracker[[#This Row],[Old vs New Order Lead Time WF dead line]], "LATE BY ENG", "ON TIME BY ENG")</f>
        <v>ON TIME BY ENG</v>
      </c>
      <c r="AB237" s="37"/>
      <c r="AC237" s="15" t="str">
        <f>IF(WFTracker[[#This Row],[Competion Date Content]] = FALSE, "C", "i")</f>
        <v>C</v>
      </c>
      <c r="AD2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37" s="37" t="str">
        <f ca="1">IF(WFTracker[[#This Row],[Impact Time Post RM]]&gt;0, "IMPACTED", "NOT IMPACTED")</f>
        <v>NOT IMPACTED</v>
      </c>
      <c r="AF237" s="15"/>
      <c r="AG237" s="18"/>
      <c r="AH237" s="14" t="str">
        <f>IF(WFTracker[[#This Row],[Status]]="C", "Closed", IF(WFTracker[[#This Row],[Status]] = "x", "Cancelled", WFTracker[[#This Row],[Impact Time Post RM]]))</f>
        <v>Closed</v>
      </c>
      <c r="AI237" s="14" t="str">
        <f ca="1">IF(WFTracker[[#This Row],[Impact Time Post RM]]&lt;=0,"ON TIME","LATE")</f>
        <v>ON TIME</v>
      </c>
      <c r="AJ237" s="14" t="s">
        <v>984</v>
      </c>
      <c r="AK237" s="14">
        <v>18</v>
      </c>
      <c r="AL237" s="915">
        <f>IF(WFTracker[[#This Row],[Type]]="MAKE", WFTracker[[#This Row],[Due date]]+Filters!$J$111, WFTracker[[#This Row],[Due date]]+Filters!$J$135)</f>
        <v>45886.072512647552</v>
      </c>
      <c r="AM237" s="102" cm="1">
        <f t="array" ref="AM2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8" spans="1:39" ht="14.45">
      <c r="A238" t="str">
        <f>IF(WFTracker[[#This Row],[Order Number]]="SWBD", "QED2", "PZ4")</f>
        <v>PZ4</v>
      </c>
      <c r="B238" s="21" t="s">
        <v>1168</v>
      </c>
      <c r="C238" s="26" t="s">
        <v>385</v>
      </c>
      <c r="D238" s="11" t="str">
        <f>WFTracker[[#This Row],[Order Number]]  &amp; "-" &amp; WFTracker[[#This Row],[Item]]</f>
        <v>0051306085
-000310</v>
      </c>
      <c r="E238" s="23" t="s">
        <v>350</v>
      </c>
      <c r="F238" s="41">
        <v>45891</v>
      </c>
      <c r="G238" s="41"/>
      <c r="H238" s="11" t="s">
        <v>259</v>
      </c>
      <c r="I238" s="11" t="s">
        <v>1154</v>
      </c>
      <c r="J238" s="13" t="s">
        <v>392</v>
      </c>
      <c r="K238" s="14" t="s">
        <v>1017</v>
      </c>
      <c r="L238" s="15" t="s">
        <v>27</v>
      </c>
      <c r="M238" s="29" t="s">
        <v>1120</v>
      </c>
      <c r="N238" s="57">
        <v>45789</v>
      </c>
      <c r="O238" s="15">
        <f>NETWORKDAYS.INTL(WFTracker[[#This Row],[Start date]],WFTracker[[#This Row],[RM]],1,Holidays!D289:D304)</f>
        <v>12</v>
      </c>
      <c r="P238" s="12">
        <v>45876</v>
      </c>
      <c r="Q238" s="12">
        <v>45884</v>
      </c>
      <c r="R238" s="12">
        <v>45883</v>
      </c>
      <c r="S238" s="27" t="b">
        <f>ISBLANK(WFTracker[[#This Row],[Completion Date]])</f>
        <v>0</v>
      </c>
      <c r="T238" s="27" t="str">
        <f>TEXT(WFTracker[[#This Row],[Start date]],"mmm-yyyy")</f>
        <v>Aug-2025</v>
      </c>
      <c r="U238" s="11">
        <v>5</v>
      </c>
      <c r="V238" s="11">
        <f>NETWORKDAYS.INTL(WFTracker[[#This Row],[Start date]],WFTracker[[#This Row],[Due date]],1,Holidays!D289:D304)</f>
        <v>7</v>
      </c>
      <c r="W2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38" s="24">
        <f ca="1">WFTracker[[#This Row],[Active Time]]-WFTracker[[#This Row],[Completion Days Template]]</f>
        <v>-1</v>
      </c>
      <c r="Y238" s="16" t="str">
        <f ca="1" xml:space="preserve"> IF(WFTracker[[#This Row],[Overdue Time '[Expected-Completion']]]&gt;0, "LATE","ON TIME")</f>
        <v>ON TIME</v>
      </c>
      <c r="Z238" s="16" t="str">
        <f ca="1">IF(WFTracker[[#This Row],[Overdue Time '[Expected-Completion']]] &gt;= 15, "SUPER LATE", Y238)</f>
        <v>ON TIME</v>
      </c>
      <c r="AA238" s="37" t="str">
        <f>IF(WFTracker[[#This Row],[Pre RM Opening Time]]&lt;WFTracker[[#This Row],[Old vs New Order Lead Time WF dead line]], "LATE BY ENG", "ON TIME BY ENG")</f>
        <v>ON TIME BY ENG</v>
      </c>
      <c r="AB238" s="37"/>
      <c r="AC238" s="15" t="str">
        <f>IF(WFTracker[[#This Row],[Competion Date Content]] = FALSE, "C", "i")</f>
        <v>C</v>
      </c>
      <c r="AD2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238" s="37" t="str">
        <f ca="1">IF(WFTracker[[#This Row],[Impact Time Post RM]]&gt;0, "IMPACTED", "NOT IMPACTED")</f>
        <v>NOT IMPACTED</v>
      </c>
      <c r="AF238" s="15"/>
      <c r="AG238" s="18"/>
      <c r="AH238" s="14" t="str">
        <f>IF(WFTracker[[#This Row],[Status]]="C", "Closed", IF(WFTracker[[#This Row],[Status]] = "x", "Cancelled", WFTracker[[#This Row],[Impact Time Post RM]]))</f>
        <v>Closed</v>
      </c>
      <c r="AI238" s="14" t="str">
        <f ca="1">IF(WFTracker[[#This Row],[Impact Time Post RM]]&lt;=0,"ON TIME","LATE")</f>
        <v>ON TIME</v>
      </c>
      <c r="AJ238" s="14" t="s">
        <v>984</v>
      </c>
      <c r="AK238" s="14">
        <v>18</v>
      </c>
      <c r="AL238" s="915">
        <f>IF(WFTracker[[#This Row],[Type]]="MAKE", WFTracker[[#This Row],[Due date]]+Filters!$J$111, WFTracker[[#This Row],[Due date]]+Filters!$J$135)</f>
        <v>45887.072512647552</v>
      </c>
      <c r="AM238" s="102" cm="1">
        <f t="array" ref="AM2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39" spans="1:39" ht="14.45">
      <c r="A239" t="str">
        <f>IF(WFTracker[[#This Row],[Order Number]]="SWBD", "QED2", "PZ4")</f>
        <v>PZ4</v>
      </c>
      <c r="B239" s="35" t="s">
        <v>365</v>
      </c>
      <c r="C239" s="26" t="s">
        <v>366</v>
      </c>
      <c r="D239" s="11" t="str">
        <f>WFTracker[[#This Row],[Order Number]]  &amp; "-" &amp; WFTracker[[#This Row],[Item]]</f>
        <v>0050728484-018570</v>
      </c>
      <c r="E239" s="23" t="s">
        <v>613</v>
      </c>
      <c r="F239" s="41">
        <v>45896</v>
      </c>
      <c r="G239" s="41"/>
      <c r="H239" s="11" t="s">
        <v>156</v>
      </c>
      <c r="I239" s="11" t="s">
        <v>37</v>
      </c>
      <c r="J239" s="13" t="s">
        <v>1199</v>
      </c>
      <c r="K239" s="14" t="s">
        <v>1017</v>
      </c>
      <c r="L239" s="15" t="s">
        <v>27</v>
      </c>
      <c r="M239" s="29" t="s">
        <v>1120</v>
      </c>
      <c r="N239" s="57">
        <v>45986</v>
      </c>
      <c r="O239" s="15">
        <f>NETWORKDAYS.INTL(WFTracker[[#This Row],[Start date]],WFTracker[[#This Row],[RM]],1,Holidays!D360:D375)</f>
        <v>15</v>
      </c>
      <c r="P239" s="12">
        <v>45876</v>
      </c>
      <c r="Q239" s="12">
        <v>45883</v>
      </c>
      <c r="R239" s="12">
        <v>45883</v>
      </c>
      <c r="S239" s="27" t="b">
        <f>ISBLANK(WFTracker[[#This Row],[Completion Date]])</f>
        <v>0</v>
      </c>
      <c r="T239" s="27" t="str">
        <f>TEXT(WFTracker[[#This Row],[Start date]],"mmm-yyyy")</f>
        <v>Aug-2025</v>
      </c>
      <c r="U239" s="11">
        <v>5</v>
      </c>
      <c r="V239" s="11">
        <f>NETWORKDAYS.INTL(WFTracker[[#This Row],[Start date]],WFTracker[[#This Row],[Due date]],1,Holidays!D360:D375)</f>
        <v>6</v>
      </c>
      <c r="W2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39" s="24">
        <f ca="1">WFTracker[[#This Row],[Active Time]]-WFTracker[[#This Row],[Completion Days Template]]</f>
        <v>0</v>
      </c>
      <c r="Y239" s="16" t="str">
        <f ca="1" xml:space="preserve"> IF(WFTracker[[#This Row],[Overdue Time '[Expected-Completion']]]&gt;0, "LATE","ON TIME")</f>
        <v>ON TIME</v>
      </c>
      <c r="Z239" s="16" t="str">
        <f ca="1">IF(WFTracker[[#This Row],[Overdue Time '[Expected-Completion']]] &gt;= 15, "SUPER LATE", Y239)</f>
        <v>ON TIME</v>
      </c>
      <c r="AA239" s="37" t="str">
        <f>IF(WFTracker[[#This Row],[Pre RM Opening Time]]&lt;WFTracker[[#This Row],[Old vs New Order Lead Time WF dead line]], "LATE BY ENG", "ON TIME BY ENG")</f>
        <v>ON TIME BY ENG</v>
      </c>
      <c r="AB239" s="37"/>
      <c r="AC239" s="15" t="str">
        <f>IF(WFTracker[[#This Row],[Competion Date Content]] = FALSE, "C", "i")</f>
        <v>C</v>
      </c>
      <c r="AD2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239" s="37" t="str">
        <f ca="1">IF(WFTracker[[#This Row],[Impact Time Post RM]]&gt;0, "IMPACTED", "NOT IMPACTED")</f>
        <v>NOT IMPACTED</v>
      </c>
      <c r="AF239" s="15"/>
      <c r="AG239" s="18"/>
      <c r="AH239" s="14" t="str">
        <f>IF(WFTracker[[#This Row],[Status]]="C", "Closed", IF(WFTracker[[#This Row],[Status]] = "x", "Cancelled", WFTracker[[#This Row],[Impact Time Post RM]]))</f>
        <v>Closed</v>
      </c>
      <c r="AI239" s="14" t="str">
        <f ca="1">IF(WFTracker[[#This Row],[Impact Time Post RM]]&lt;=0,"ON TIME","LATE")</f>
        <v>ON TIME</v>
      </c>
      <c r="AJ239" s="14" t="s">
        <v>984</v>
      </c>
      <c r="AK239" s="14">
        <v>18</v>
      </c>
      <c r="AL239" s="915">
        <f>IF(WFTracker[[#This Row],[Type]]="MAKE", WFTracker[[#This Row],[Due date]]+Filters!$J$111, WFTracker[[#This Row],[Due date]]+Filters!$J$135)</f>
        <v>45886.072512647552</v>
      </c>
      <c r="AM239" s="102" cm="1">
        <f t="array" ref="AM2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0" spans="1:39" ht="14.45">
      <c r="A240" t="str">
        <f>IF(WFTracker[[#This Row],[Order Number]]="SWBD", "QED2", "PZ4")</f>
        <v>PZ4</v>
      </c>
      <c r="B240" s="35" t="s">
        <v>431</v>
      </c>
      <c r="C240" s="26" t="s">
        <v>1187</v>
      </c>
      <c r="D240" s="11" t="str">
        <f>WFTracker[[#This Row],[Order Number]]  &amp; "-" &amp; WFTracker[[#This Row],[Item]]</f>
        <v>0051072452-000020&amp;000470</v>
      </c>
      <c r="E240" s="23" t="s">
        <v>1021</v>
      </c>
      <c r="F240" s="12">
        <v>45898</v>
      </c>
      <c r="G240" s="27"/>
      <c r="H240" t="s">
        <v>295</v>
      </c>
      <c r="I240" t="s">
        <v>111</v>
      </c>
      <c r="J240" s="13" t="s">
        <v>1200</v>
      </c>
      <c r="K240" s="28" t="s">
        <v>1023</v>
      </c>
      <c r="L240" s="15" t="s">
        <v>40</v>
      </c>
      <c r="M240" s="29" t="s">
        <v>1120</v>
      </c>
      <c r="N240" s="57">
        <v>46008</v>
      </c>
      <c r="O240" s="15">
        <f>NETWORKDAYS.INTL(WFTracker[[#This Row],[Start date]],WFTracker[[#This Row],[RM]],1,Holidays!D399:D414)</f>
        <v>17</v>
      </c>
      <c r="P240" s="12">
        <v>45876</v>
      </c>
      <c r="Q240" s="12">
        <v>45888</v>
      </c>
      <c r="R240" s="12">
        <v>45889</v>
      </c>
      <c r="S240" s="27" t="b">
        <f>ISBLANK(WFTracker[[#This Row],[Completion Date]])</f>
        <v>0</v>
      </c>
      <c r="T240" s="27" t="str">
        <f>TEXT(WFTracker[[#This Row],[Start date]],"mmm-yyyy")</f>
        <v>Aug-2025</v>
      </c>
      <c r="U240" s="11">
        <v>5</v>
      </c>
      <c r="V240" s="11">
        <f>NETWORKDAYS.INTL(WFTracker[[#This Row],[Start date]],WFTracker[[#This Row],[Due date]],1,Holidays!D399:D414)</f>
        <v>9</v>
      </c>
      <c r="W2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40" s="30">
        <f ca="1">WFTracker[[#This Row],[Active Time]]-WFTracker[[#This Row],[Completion Days Template]]</f>
        <v>1</v>
      </c>
      <c r="Y240" s="34" t="str">
        <f ca="1" xml:space="preserve"> IF(WFTracker[[#This Row],[Overdue Time '[Expected-Completion']]]&gt;0, "LATE","ON TIME")</f>
        <v>LATE</v>
      </c>
      <c r="Z240" s="34" t="str">
        <f ca="1">IF(WFTracker[[#This Row],[Overdue Time '[Expected-Completion']]] &gt;= 15, "SUPER LATE", Y240)</f>
        <v>LATE</v>
      </c>
      <c r="AA240" s="37" t="str">
        <f>IF(WFTracker[[#This Row],[Pre RM Opening Time]]&lt;WFTracker[[#This Row],[Old vs New Order Lead Time WF dead line]], "LATE BY ENG", "ON TIME BY ENG")</f>
        <v>ON TIME BY ENG</v>
      </c>
      <c r="AB240" s="37"/>
      <c r="AC240" s="15" t="str">
        <f>IF(WFTracker[[#This Row],[Competion Date Content]] = FALSE, "C", "i")</f>
        <v>C</v>
      </c>
      <c r="AD2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40" s="105" t="str">
        <f ca="1">IF(WFTracker[[#This Row],[Impact Time Post RM]]&gt;0, "IMPACTED", "NOT IMPACTED")</f>
        <v>NOT IMPACTED</v>
      </c>
      <c r="AF240" s="15"/>
      <c r="AG240" s="42"/>
      <c r="AH240" s="14" t="str">
        <f>IF(WFTracker[[#This Row],[Status]]="C", "Closed", IF(WFTracker[[#This Row],[Status]] = "x", "Cancelled", WFTracker[[#This Row],[Impact Time Post RM]]))</f>
        <v>Closed</v>
      </c>
      <c r="AI240" s="14" t="str">
        <f ca="1">IF(WFTracker[[#This Row],[Impact Time Post RM]]&lt;=0,"ON TIME","LATE")</f>
        <v>ON TIME</v>
      </c>
      <c r="AJ240" s="14" t="s">
        <v>984</v>
      </c>
      <c r="AK240" s="14">
        <v>17</v>
      </c>
      <c r="AL240" s="915">
        <f>IF(WFTracker[[#This Row],[Type]]="MAKE", WFTracker[[#This Row],[Due date]]+Filters!$J$111, WFTracker[[#This Row],[Due date]]+Filters!$J$135)</f>
        <v>45888.415686274508</v>
      </c>
      <c r="AM240" s="102" cm="1">
        <f t="array" ref="AM2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1" spans="1:39" ht="14.45">
      <c r="A241" t="str">
        <f>IF(WFTracker[[#This Row],[Order Number]]="SWBD", "QED2", "PZ4")</f>
        <v>PZ4</v>
      </c>
      <c r="B241" s="21" t="s">
        <v>486</v>
      </c>
      <c r="C241" s="26" t="s">
        <v>487</v>
      </c>
      <c r="D241" s="11" t="str">
        <f>WFTracker[[#This Row],[Order Number]]  &amp; "-" &amp; WFTracker[[#This Row],[Item]]</f>
        <v>0051217009-000550</v>
      </c>
      <c r="E241" s="23" t="s">
        <v>1036</v>
      </c>
      <c r="F241" s="12">
        <v>45912</v>
      </c>
      <c r="G241" s="12"/>
      <c r="H241" s="11" t="s">
        <v>80</v>
      </c>
      <c r="I241" s="11" t="s">
        <v>238</v>
      </c>
      <c r="J241" s="13" t="s">
        <v>1201</v>
      </c>
      <c r="K241" s="14" t="s">
        <v>1023</v>
      </c>
      <c r="L241" s="15" t="s">
        <v>27</v>
      </c>
      <c r="M241" s="29" t="s">
        <v>1120</v>
      </c>
      <c r="N241" s="57">
        <v>45759</v>
      </c>
      <c r="O241" s="15">
        <f>NETWORKDAYS.INTL(WFTracker[[#This Row],[Start date]],WFTracker[[#This Row],[RM]],1,Holidays!D539:D554)</f>
        <v>27</v>
      </c>
      <c r="P241" s="12">
        <v>45876</v>
      </c>
      <c r="Q241" s="12">
        <v>45883</v>
      </c>
      <c r="R241" s="12">
        <v>45883</v>
      </c>
      <c r="S241" s="27" t="b">
        <f>ISBLANK(WFTracker[[#This Row],[Completion Date]])</f>
        <v>0</v>
      </c>
      <c r="T241" s="27" t="str">
        <f>TEXT(WFTracker[[#This Row],[Start date]],"mmm-yyyy")</f>
        <v>Aug-2025</v>
      </c>
      <c r="U241" s="11">
        <v>10</v>
      </c>
      <c r="V241" s="11">
        <f>NETWORKDAYS.INTL(WFTracker[[#This Row],[Start date]],WFTracker[[#This Row],[Due date]],1,Holidays!D539:D554)</f>
        <v>6</v>
      </c>
      <c r="W2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41" s="24">
        <f ca="1">WFTracker[[#This Row],[Active Time]]-WFTracker[[#This Row],[Completion Days Template]]</f>
        <v>0</v>
      </c>
      <c r="Y241" s="16" t="str">
        <f ca="1" xml:space="preserve"> IF(WFTracker[[#This Row],[Overdue Time '[Expected-Completion']]]&gt;0, "LATE","ON TIME")</f>
        <v>ON TIME</v>
      </c>
      <c r="Z241" s="16" t="str">
        <f ca="1">IF(WFTracker[[#This Row],[Overdue Time '[Expected-Completion']]] &gt;= 15, "SUPER LATE", Y241)</f>
        <v>ON TIME</v>
      </c>
      <c r="AA241" s="37" t="str">
        <f>IF(WFTracker[[#This Row],[Pre RM Opening Time]]&lt;WFTracker[[#This Row],[Old vs New Order Lead Time WF dead line]], "LATE BY ENG", "ON TIME BY ENG")</f>
        <v>ON TIME BY ENG</v>
      </c>
      <c r="AB241" s="37"/>
      <c r="AC241" s="37" t="str">
        <f>IF(WFTracker[[#This Row],[Competion Date Content]] = FALSE, "C", "i")</f>
        <v>C</v>
      </c>
      <c r="AD2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241" s="37" t="str">
        <f ca="1">IF(WFTracker[[#This Row],[Impact Time Post RM]]&gt;0, "IMPACTED", "NOT IMPACTED")</f>
        <v>NOT IMPACTED</v>
      </c>
      <c r="AF241" s="37"/>
      <c r="AG241" s="18"/>
      <c r="AH241" s="14" t="str">
        <f>IF(WFTracker[[#This Row],[Status]]="C", "Closed", IF(WFTracker[[#This Row],[Status]] = "x", "Cancelled", WFTracker[[#This Row],[Impact Time Post RM]]))</f>
        <v>Closed</v>
      </c>
      <c r="AI241" s="14" t="str">
        <f ca="1">IF(WFTracker[[#This Row],[Impact Time Post RM]]&lt;=0,"ON TIME","LATE")</f>
        <v>ON TIME</v>
      </c>
      <c r="AJ241" s="14" t="s">
        <v>984</v>
      </c>
      <c r="AK241" s="14">
        <v>18</v>
      </c>
      <c r="AL241" s="915">
        <f>IF(WFTracker[[#This Row],[Type]]="MAKE", WFTracker[[#This Row],[Due date]]+Filters!$J$111, WFTracker[[#This Row],[Due date]]+Filters!$J$135)</f>
        <v>45886.072512647552</v>
      </c>
      <c r="AM241" s="102" cm="1">
        <f t="array" ref="AM2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2" spans="1:39" ht="14.45">
      <c r="A242" t="str">
        <f>IF(WFTracker[[#This Row],[Order Number]]="SWBD", "QED2", "PZ4")</f>
        <v>PZ4</v>
      </c>
      <c r="B242" s="21" t="s">
        <v>408</v>
      </c>
      <c r="C242" s="26" t="s">
        <v>409</v>
      </c>
      <c r="D242" s="11" t="str">
        <f>WFTracker[[#This Row],[Order Number]]  &amp; "-" &amp; WFTracker[[#This Row],[Item]]</f>
        <v>0050753978-003800</v>
      </c>
      <c r="E242" s="23" t="s">
        <v>410</v>
      </c>
      <c r="F242" s="12">
        <v>45898</v>
      </c>
      <c r="G242" s="27"/>
      <c r="H242" t="s">
        <v>947</v>
      </c>
      <c r="I242" t="s">
        <v>241</v>
      </c>
      <c r="J242" s="13" t="s">
        <v>1202</v>
      </c>
      <c r="K242" s="28" t="s">
        <v>1023</v>
      </c>
      <c r="L242" s="15" t="s">
        <v>27</v>
      </c>
      <c r="M242" s="29" t="s">
        <v>1120</v>
      </c>
      <c r="N242" s="57">
        <v>46207</v>
      </c>
      <c r="O242" s="15">
        <f>NETWORKDAYS.INTL(WFTracker[[#This Row],[Start date]],WFTracker[[#This Row],[RM]],1,Holidays!D385:D400)</f>
        <v>16</v>
      </c>
      <c r="P242" s="12">
        <v>45877</v>
      </c>
      <c r="Q242" s="12">
        <v>45884</v>
      </c>
      <c r="R242" s="12">
        <v>45883</v>
      </c>
      <c r="S242" s="27" t="b">
        <f>ISBLANK(WFTracker[[#This Row],[Completion Date]])</f>
        <v>0</v>
      </c>
      <c r="T242" s="27" t="str">
        <f>TEXT(WFTracker[[#This Row],[Start date]],"mmm-yyyy")</f>
        <v>Aug-2025</v>
      </c>
      <c r="U242" s="11">
        <v>5</v>
      </c>
      <c r="V242" s="11">
        <f>NETWORKDAYS.INTL(WFTracker[[#This Row],[Start date]],WFTracker[[#This Row],[Due date]],1,Holidays!D385:D400)</f>
        <v>6</v>
      </c>
      <c r="W2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42" s="30">
        <f ca="1">WFTracker[[#This Row],[Active Time]]-WFTracker[[#This Row],[Completion Days Template]]</f>
        <v>-1</v>
      </c>
      <c r="Y242" s="34" t="str">
        <f ca="1" xml:space="preserve"> IF(WFTracker[[#This Row],[Overdue Time '[Expected-Completion']]]&gt;0, "LATE","ON TIME")</f>
        <v>ON TIME</v>
      </c>
      <c r="Z242" s="34" t="str">
        <f ca="1">IF(WFTracker[[#This Row],[Overdue Time '[Expected-Completion']]] &gt;= 15, "SUPER LATE", Y242)</f>
        <v>ON TIME</v>
      </c>
      <c r="AA242" s="37" t="str">
        <f>IF(WFTracker[[#This Row],[Pre RM Opening Time]]&lt;WFTracker[[#This Row],[Old vs New Order Lead Time WF dead line]], "LATE BY ENG", "ON TIME BY ENG")</f>
        <v>ON TIME BY ENG</v>
      </c>
      <c r="AB242" s="37"/>
      <c r="AC242" s="15" t="str">
        <f>IF(WFTracker[[#This Row],[Competion Date Content]] = FALSE, "C", "i")</f>
        <v>C</v>
      </c>
      <c r="AD2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242" s="105" t="str">
        <f ca="1">IF(WFTracker[[#This Row],[Impact Time Post RM]]&gt;0, "IMPACTED", "NOT IMPACTED")</f>
        <v>NOT IMPACTED</v>
      </c>
      <c r="AF242" s="15"/>
      <c r="AG242" s="42"/>
      <c r="AH242" s="14" t="str">
        <f>IF(WFTracker[[#This Row],[Status]]="C", "Closed", IF(WFTracker[[#This Row],[Status]] = "x", "Cancelled", WFTracker[[#This Row],[Impact Time Post RM]]))</f>
        <v>Closed</v>
      </c>
      <c r="AI242" s="14" t="str">
        <f ca="1">IF(WFTracker[[#This Row],[Impact Time Post RM]]&lt;=0,"ON TIME","LATE")</f>
        <v>ON TIME</v>
      </c>
      <c r="AJ242" s="14" t="s">
        <v>984</v>
      </c>
      <c r="AK242" s="14">
        <v>18</v>
      </c>
      <c r="AL242" s="915">
        <f>IF(WFTracker[[#This Row],[Type]]="MAKE", WFTracker[[#This Row],[Due date]]+Filters!$J$111, WFTracker[[#This Row],[Due date]]+Filters!$J$135)</f>
        <v>45887.072512647552</v>
      </c>
      <c r="AM242" s="102" cm="1">
        <f t="array" ref="AM2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3" spans="1:39" ht="14.45">
      <c r="A243" t="str">
        <f>IF(WFTracker[[#This Row],[Order Number]]="SWBD", "QED2", "PZ4")</f>
        <v>PZ4</v>
      </c>
      <c r="B243" s="35" t="s">
        <v>431</v>
      </c>
      <c r="C243" s="26" t="s">
        <v>1187</v>
      </c>
      <c r="D243" s="11" t="str">
        <f>WFTracker[[#This Row],[Order Number]]  &amp; "-" &amp; WFTracker[[#This Row],[Item]]</f>
        <v>0051072452-000020&amp;000470</v>
      </c>
      <c r="E243" s="23" t="s">
        <v>1021</v>
      </c>
      <c r="F243" s="41">
        <v>45898</v>
      </c>
      <c r="G243" s="107"/>
      <c r="H243" t="s">
        <v>295</v>
      </c>
      <c r="I243" t="s">
        <v>111</v>
      </c>
      <c r="J243" s="13" t="s">
        <v>1203</v>
      </c>
      <c r="K243" s="28" t="s">
        <v>1023</v>
      </c>
      <c r="L243" s="15" t="s">
        <v>40</v>
      </c>
      <c r="M243" s="29" t="s">
        <v>1120</v>
      </c>
      <c r="N243" s="57">
        <v>46008</v>
      </c>
      <c r="O243" s="15">
        <f>NETWORKDAYS.INTL(WFTracker[[#This Row],[Start date]],WFTracker[[#This Row],[RM]],1,Holidays!D386:D401)</f>
        <v>16</v>
      </c>
      <c r="P243" s="12">
        <v>45877</v>
      </c>
      <c r="Q243" s="12">
        <v>45889</v>
      </c>
      <c r="R243" s="12">
        <v>45889</v>
      </c>
      <c r="S243" s="27" t="b">
        <f>ISBLANK(WFTracker[[#This Row],[Completion Date]])</f>
        <v>0</v>
      </c>
      <c r="T243" s="27" t="str">
        <f>TEXT(WFTracker[[#This Row],[Start date]],"mmm-yyyy")</f>
        <v>Aug-2025</v>
      </c>
      <c r="U243" s="11">
        <v>5</v>
      </c>
      <c r="V243" s="11">
        <f>NETWORKDAYS.INTL(WFTracker[[#This Row],[Start date]],WFTracker[[#This Row],[Due date]],1,Holidays!D386:D401)</f>
        <v>9</v>
      </c>
      <c r="W2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43" s="30">
        <f ca="1">WFTracker[[#This Row],[Active Time]]-WFTracker[[#This Row],[Completion Days Template]]</f>
        <v>0</v>
      </c>
      <c r="Y243" s="34" t="str">
        <f ca="1" xml:space="preserve"> IF(WFTracker[[#This Row],[Overdue Time '[Expected-Completion']]]&gt;0, "LATE","ON TIME")</f>
        <v>ON TIME</v>
      </c>
      <c r="Z243" s="34" t="str">
        <f ca="1">IF(WFTracker[[#This Row],[Overdue Time '[Expected-Completion']]] &gt;= 15, "SUPER LATE", Y243)</f>
        <v>ON TIME</v>
      </c>
      <c r="AA243" s="37" t="str">
        <f>IF(WFTracker[[#This Row],[Pre RM Opening Time]]&lt;WFTracker[[#This Row],[Old vs New Order Lead Time WF dead line]], "LATE BY ENG", "ON TIME BY ENG")</f>
        <v>ON TIME BY ENG</v>
      </c>
      <c r="AB243" s="37"/>
      <c r="AC243" s="15" t="str">
        <f>IF(WFTracker[[#This Row],[Competion Date Content]] = FALSE, "C", "i")</f>
        <v>C</v>
      </c>
      <c r="AD2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43" s="105" t="str">
        <f ca="1">IF(WFTracker[[#This Row],[Impact Time Post RM]]&gt;0, "IMPACTED", "NOT IMPACTED")</f>
        <v>NOT IMPACTED</v>
      </c>
      <c r="AF243" s="15"/>
      <c r="AG243" s="42"/>
      <c r="AH243" s="14" t="str">
        <f>IF(WFTracker[[#This Row],[Status]]="C", "Closed", IF(WFTracker[[#This Row],[Status]] = "x", "Cancelled", WFTracker[[#This Row],[Impact Time Post RM]]))</f>
        <v>Closed</v>
      </c>
      <c r="AI243" s="14" t="str">
        <f ca="1">IF(WFTracker[[#This Row],[Impact Time Post RM]]&lt;=0,"ON TIME","LATE")</f>
        <v>ON TIME</v>
      </c>
      <c r="AJ243" s="14" t="s">
        <v>984</v>
      </c>
      <c r="AK243" s="14">
        <v>17</v>
      </c>
      <c r="AL243" s="915">
        <f>IF(WFTracker[[#This Row],[Type]]="MAKE", WFTracker[[#This Row],[Due date]]+Filters!$J$111, WFTracker[[#This Row],[Due date]]+Filters!$J$135)</f>
        <v>45889.415686274508</v>
      </c>
      <c r="AM243" s="102" cm="1">
        <f t="array" ref="AM2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4" spans="1:39" ht="14.45">
      <c r="A244" t="str">
        <f>IF(WFTracker[[#This Row],[Order Number]]="SWBD", "QED2", "PZ4")</f>
        <v>PZ4</v>
      </c>
      <c r="B244" s="21" t="s">
        <v>473</v>
      </c>
      <c r="C244" s="26" t="s">
        <v>1204</v>
      </c>
      <c r="D244" s="11" t="str">
        <f>WFTracker[[#This Row],[Order Number]]  &amp; "-" &amp; WFTracker[[#This Row],[Item]]</f>
        <v>0051472151-000010 &amp; 000020</v>
      </c>
      <c r="E244" s="23" t="s">
        <v>474</v>
      </c>
      <c r="F244" s="41">
        <v>45911</v>
      </c>
      <c r="G244" s="107"/>
      <c r="H244" t="s">
        <v>110</v>
      </c>
      <c r="I244" t="s">
        <v>260</v>
      </c>
      <c r="J244" s="13" t="s">
        <v>1205</v>
      </c>
      <c r="K244" s="28" t="s">
        <v>1023</v>
      </c>
      <c r="L244" s="15" t="s">
        <v>40</v>
      </c>
      <c r="M244" s="29" t="s">
        <v>1120</v>
      </c>
      <c r="N244" s="57">
        <v>46010</v>
      </c>
      <c r="O244" s="15">
        <f>NETWORKDAYS.INTL(WFTracker[[#This Row],[Start date]],WFTracker[[#This Row],[RM]],1,Holidays!D514:D529)</f>
        <v>25</v>
      </c>
      <c r="P244" s="12">
        <v>45877</v>
      </c>
      <c r="Q244" s="12">
        <v>45889</v>
      </c>
      <c r="R244" s="12">
        <v>45902</v>
      </c>
      <c r="S244" s="27" t="b">
        <f>ISBLANK(WFTracker[[#This Row],[Completion Date]])</f>
        <v>0</v>
      </c>
      <c r="T244" s="27" t="str">
        <f>TEXT(WFTracker[[#This Row],[Start date]],"mmm-yyyy")</f>
        <v>Aug-2025</v>
      </c>
      <c r="U244" s="11">
        <v>10</v>
      </c>
      <c r="V244" s="11">
        <f>NETWORKDAYS.INTL(WFTracker[[#This Row],[Start date]],WFTracker[[#This Row],[Due date]],1,Holidays!D514:D529)</f>
        <v>9</v>
      </c>
      <c r="W2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244" s="30">
        <f ca="1">WFTracker[[#This Row],[Active Time]]-WFTracker[[#This Row],[Completion Days Template]]</f>
        <v>9</v>
      </c>
      <c r="Y244" s="34" t="str">
        <f ca="1" xml:space="preserve"> IF(WFTracker[[#This Row],[Overdue Time '[Expected-Completion']]]&gt;0, "LATE","ON TIME")</f>
        <v>LATE</v>
      </c>
      <c r="Z244" s="34" t="str">
        <f ca="1">IF(WFTracker[[#This Row],[Overdue Time '[Expected-Completion']]] &gt;= 15, "SUPER LATE", Y244)</f>
        <v>LATE</v>
      </c>
      <c r="AA244" s="37" t="str">
        <f>IF(WFTracker[[#This Row],[Pre RM Opening Time]]&lt;WFTracker[[#This Row],[Old vs New Order Lead Time WF dead line]], "LATE BY ENG", "ON TIME BY ENG")</f>
        <v>ON TIME BY ENG</v>
      </c>
      <c r="AB244" s="37"/>
      <c r="AC244" s="15" t="str">
        <f>IF(WFTracker[[#This Row],[Competion Date Content]] = FALSE, "C", "i")</f>
        <v>C</v>
      </c>
      <c r="AD2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44" s="105" t="str">
        <f ca="1">IF(WFTracker[[#This Row],[Impact Time Post RM]]&gt;0, "IMPACTED", "NOT IMPACTED")</f>
        <v>NOT IMPACTED</v>
      </c>
      <c r="AF244" s="15"/>
      <c r="AG244" s="42"/>
      <c r="AH244" s="14" t="str">
        <f>IF(WFTracker[[#This Row],[Status]]="C", "Closed", IF(WFTracker[[#This Row],[Status]] = "x", "Cancelled", WFTracker[[#This Row],[Impact Time Post RM]]))</f>
        <v>Closed</v>
      </c>
      <c r="AI244" s="14" t="str">
        <f ca="1">IF(WFTracker[[#This Row],[Impact Time Post RM]]&lt;=0,"ON TIME","LATE")</f>
        <v>ON TIME</v>
      </c>
      <c r="AJ244" s="14" t="s">
        <v>984</v>
      </c>
      <c r="AK244" s="14">
        <v>17</v>
      </c>
      <c r="AL244" s="915">
        <f>IF(WFTracker[[#This Row],[Type]]="MAKE", WFTracker[[#This Row],[Due date]]+Filters!$J$111, WFTracker[[#This Row],[Due date]]+Filters!$J$135)</f>
        <v>45889.415686274508</v>
      </c>
      <c r="AM244" s="102" cm="1">
        <f t="array" ref="AM2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5" spans="1:39" ht="14.45">
      <c r="A245" t="str">
        <f>IF(WFTracker[[#This Row],[Order Number]]="SWBD", "QED2", "PZ4")</f>
        <v>PZ4</v>
      </c>
      <c r="B245" s="21" t="s">
        <v>1168</v>
      </c>
      <c r="C245" s="26" t="s">
        <v>385</v>
      </c>
      <c r="D245" s="11" t="str">
        <f>WFTracker[[#This Row],[Order Number]]  &amp; "-" &amp; WFTracker[[#This Row],[Item]]</f>
        <v>0051306085
-000310</v>
      </c>
      <c r="E245" s="23" t="s">
        <v>350</v>
      </c>
      <c r="F245" s="41">
        <v>45891</v>
      </c>
      <c r="G245" s="41"/>
      <c r="H245" s="11" t="s">
        <v>259</v>
      </c>
      <c r="I245" t="s">
        <v>1154</v>
      </c>
      <c r="J245" s="13" t="s">
        <v>1206</v>
      </c>
      <c r="K245" s="28" t="s">
        <v>1023</v>
      </c>
      <c r="L245" s="15" t="s">
        <v>40</v>
      </c>
      <c r="M245" s="29" t="s">
        <v>1120</v>
      </c>
      <c r="N245" s="57">
        <v>45789</v>
      </c>
      <c r="O245" s="15">
        <f>NETWORKDAYS.INTL(WFTracker[[#This Row],[Start date]],WFTracker[[#This Row],[RM]],1,Holidays!D223:D238)</f>
        <v>10</v>
      </c>
      <c r="P245" s="12">
        <v>45879</v>
      </c>
      <c r="Q245" s="12">
        <v>45891</v>
      </c>
      <c r="R245" s="12">
        <v>45888</v>
      </c>
      <c r="S245" s="27" t="b">
        <f>ISBLANK(WFTracker[[#This Row],[Completion Date]])</f>
        <v>0</v>
      </c>
      <c r="T245" s="27" t="str">
        <f>TEXT(WFTracker[[#This Row],[Start date]],"mmm-yyyy")</f>
        <v>Aug-2025</v>
      </c>
      <c r="U245" s="11">
        <v>5</v>
      </c>
      <c r="V245" s="11">
        <f>NETWORKDAYS.INTL(WFTracker[[#This Row],[Start date]],WFTracker[[#This Row],[Due date]],1,Holidays!D223:D238)</f>
        <v>10</v>
      </c>
      <c r="W2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45" s="30">
        <f ca="1">WFTracker[[#This Row],[Active Time]]-WFTracker[[#This Row],[Completion Days Template]]</f>
        <v>-3</v>
      </c>
      <c r="Y245" s="34" t="str">
        <f ca="1" xml:space="preserve"> IF(WFTracker[[#This Row],[Overdue Time '[Expected-Completion']]]&gt;0, "LATE","ON TIME")</f>
        <v>ON TIME</v>
      </c>
      <c r="Z245" s="34" t="str">
        <f ca="1">IF(WFTracker[[#This Row],[Overdue Time '[Expected-Completion']]] &gt;= 15, "SUPER LATE", Y245)</f>
        <v>ON TIME</v>
      </c>
      <c r="AA245" s="37" t="str">
        <f>IF(WFTracker[[#This Row],[Pre RM Opening Time]]&lt;WFTracker[[#This Row],[Old vs New Order Lead Time WF dead line]], "LATE BY ENG", "ON TIME BY ENG")</f>
        <v>ON TIME BY ENG</v>
      </c>
      <c r="AB245" s="37"/>
      <c r="AC245" s="15" t="str">
        <f>IF(WFTracker[[#This Row],[Competion Date Content]] = FALSE, "C", "i")</f>
        <v>C</v>
      </c>
      <c r="AD2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245" s="31" t="str">
        <f ca="1">IF(WFTracker[[#This Row],[Impact Time Post RM]]&gt;0, "IMPACTED", "NOT IMPACTED")</f>
        <v>NOT IMPACTED</v>
      </c>
      <c r="AF245" s="15"/>
      <c r="AG245" s="42"/>
      <c r="AH245" s="14" t="str">
        <f>IF(WFTracker[[#This Row],[Status]]="C", "Closed", IF(WFTracker[[#This Row],[Status]] = "x", "Cancelled", WFTracker[[#This Row],[Impact Time Post RM]]))</f>
        <v>Closed</v>
      </c>
      <c r="AI245" s="14" t="str">
        <f ca="1">IF(WFTracker[[#This Row],[Impact Time Post RM]]&lt;=0,"ON TIME","LATE")</f>
        <v>ON TIME</v>
      </c>
      <c r="AJ245" s="14" t="s">
        <v>984</v>
      </c>
      <c r="AK245" s="14">
        <v>17</v>
      </c>
      <c r="AL245" s="915">
        <f>IF(WFTracker[[#This Row],[Type]]="MAKE", WFTracker[[#This Row],[Due date]]+Filters!$J$111, WFTracker[[#This Row],[Due date]]+Filters!$J$135)</f>
        <v>45891.415686274508</v>
      </c>
      <c r="AM245" s="102" cm="1">
        <f t="array" ref="AM2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6" spans="1:39" ht="14.45">
      <c r="A246" t="str">
        <f>IF(WFTracker[[#This Row],[Order Number]]="SWBD", "QED2", "PZ4")</f>
        <v>PZ4</v>
      </c>
      <c r="B246" s="21" t="s">
        <v>1168</v>
      </c>
      <c r="C246" s="26" t="s">
        <v>385</v>
      </c>
      <c r="D246" s="11" t="str">
        <f>WFTracker[[#This Row],[Order Number]]  &amp; "-" &amp; WFTracker[[#This Row],[Item]]</f>
        <v>0051306085
-000310</v>
      </c>
      <c r="E246" s="23" t="s">
        <v>350</v>
      </c>
      <c r="F246" s="41">
        <v>45891</v>
      </c>
      <c r="G246" s="41"/>
      <c r="H246" s="11" t="s">
        <v>259</v>
      </c>
      <c r="I246" t="s">
        <v>1154</v>
      </c>
      <c r="J246" s="13" t="s">
        <v>1207</v>
      </c>
      <c r="K246" s="28" t="s">
        <v>1023</v>
      </c>
      <c r="L246" s="15" t="s">
        <v>40</v>
      </c>
      <c r="M246" s="29" t="s">
        <v>1120</v>
      </c>
      <c r="N246" s="57">
        <v>45789</v>
      </c>
      <c r="O246" s="15">
        <f>NETWORKDAYS.INTL(WFTracker[[#This Row],[Start date]],WFTracker[[#This Row],[RM]],1,Holidays!D224:D239)</f>
        <v>10</v>
      </c>
      <c r="P246" s="12">
        <v>45879</v>
      </c>
      <c r="Q246" s="12">
        <v>45891</v>
      </c>
      <c r="R246" s="12">
        <v>45888</v>
      </c>
      <c r="S246" s="27" t="b">
        <f>ISBLANK(WFTracker[[#This Row],[Completion Date]])</f>
        <v>0</v>
      </c>
      <c r="T246" s="27" t="str">
        <f>TEXT(WFTracker[[#This Row],[Start date]],"mmm-yyyy")</f>
        <v>Aug-2025</v>
      </c>
      <c r="U246" s="11">
        <v>5</v>
      </c>
      <c r="V246" s="11">
        <f>NETWORKDAYS.INTL(WFTracker[[#This Row],[Start date]],WFTracker[[#This Row],[Due date]],1,Holidays!D224:D239)</f>
        <v>10</v>
      </c>
      <c r="W2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46" s="30">
        <f ca="1">WFTracker[[#This Row],[Active Time]]-WFTracker[[#This Row],[Completion Days Template]]</f>
        <v>-3</v>
      </c>
      <c r="Y246" s="34" t="str">
        <f ca="1" xml:space="preserve"> IF(WFTracker[[#This Row],[Overdue Time '[Expected-Completion']]]&gt;0, "LATE","ON TIME")</f>
        <v>ON TIME</v>
      </c>
      <c r="Z246" s="34" t="str">
        <f ca="1">IF(WFTracker[[#This Row],[Overdue Time '[Expected-Completion']]] &gt;= 15, "SUPER LATE", Y246)</f>
        <v>ON TIME</v>
      </c>
      <c r="AA246" s="37" t="str">
        <f>IF(WFTracker[[#This Row],[Pre RM Opening Time]]&lt;WFTracker[[#This Row],[Old vs New Order Lead Time WF dead line]], "LATE BY ENG", "ON TIME BY ENG")</f>
        <v>ON TIME BY ENG</v>
      </c>
      <c r="AB246" s="37"/>
      <c r="AC246" s="15" t="str">
        <f>IF(WFTracker[[#This Row],[Competion Date Content]] = FALSE, "C", "i")</f>
        <v>C</v>
      </c>
      <c r="AD2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246" s="31" t="str">
        <f ca="1">IF(WFTracker[[#This Row],[Impact Time Post RM]]&gt;0, "IMPACTED", "NOT IMPACTED")</f>
        <v>NOT IMPACTED</v>
      </c>
      <c r="AF246" s="15"/>
      <c r="AG246" s="42"/>
      <c r="AH246" s="14" t="str">
        <f>IF(WFTracker[[#This Row],[Status]]="C", "Closed", IF(WFTracker[[#This Row],[Status]] = "x", "Cancelled", WFTracker[[#This Row],[Impact Time Post RM]]))</f>
        <v>Closed</v>
      </c>
      <c r="AI246" s="14" t="str">
        <f ca="1">IF(WFTracker[[#This Row],[Impact Time Post RM]]&lt;=0,"ON TIME","LATE")</f>
        <v>ON TIME</v>
      </c>
      <c r="AJ246" s="14" t="s">
        <v>984</v>
      </c>
      <c r="AK246" s="14">
        <v>17</v>
      </c>
      <c r="AL246" s="915">
        <f>IF(WFTracker[[#This Row],[Type]]="MAKE", WFTracker[[#This Row],[Due date]]+Filters!$J$111, WFTracker[[#This Row],[Due date]]+Filters!$J$135)</f>
        <v>45891.415686274508</v>
      </c>
      <c r="AM246" s="102" cm="1">
        <f t="array" ref="AM2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7" spans="1:39" ht="14.45">
      <c r="A247" t="str">
        <f>IF(WFTracker[[#This Row],[Order Number]]="SWBD", "QED2", "PZ4")</f>
        <v>PZ4</v>
      </c>
      <c r="B247" s="21" t="s">
        <v>401</v>
      </c>
      <c r="C247" s="21" t="s">
        <v>135</v>
      </c>
      <c r="D247" s="11" t="str">
        <f>WFTracker[[#This Row],[Order Number]]  &amp; "-" &amp; WFTracker[[#This Row],[Item]]</f>
        <v>0051199001-000010</v>
      </c>
      <c r="E247" s="23" t="s">
        <v>1020</v>
      </c>
      <c r="F247" s="41">
        <v>45877</v>
      </c>
      <c r="G247" s="41"/>
      <c r="H247" s="11" t="s">
        <v>237</v>
      </c>
      <c r="I247" s="11" t="s">
        <v>1132</v>
      </c>
      <c r="J247" s="13" t="s">
        <v>1208</v>
      </c>
      <c r="K247" s="28" t="s">
        <v>1023</v>
      </c>
      <c r="L247" s="15" t="s">
        <v>40</v>
      </c>
      <c r="M247" s="15" t="s">
        <v>1181</v>
      </c>
      <c r="N247" s="57">
        <v>45987</v>
      </c>
      <c r="O247" s="15">
        <f>NETWORKDAYS.INTL(WFTracker[[#This Row],[Start date]],WFTracker[[#This Row],[RM]],1,Holidays!D62:D77)</f>
        <v>-2</v>
      </c>
      <c r="P247" s="12">
        <v>45880</v>
      </c>
      <c r="Q247" s="12">
        <v>45890</v>
      </c>
      <c r="R247" s="12">
        <v>45889</v>
      </c>
      <c r="S247" s="27" t="b">
        <f>ISBLANK(WFTracker[[#This Row],[Completion Date]])</f>
        <v>0</v>
      </c>
      <c r="T247" s="27" t="str">
        <f>TEXT(WFTracker[[#This Row],[Start date]],"mmm-yyyy")</f>
        <v>Aug-2025</v>
      </c>
      <c r="U247" s="11">
        <v>5</v>
      </c>
      <c r="V247" s="11">
        <f>NETWORKDAYS.INTL(WFTracker[[#This Row],[Start date]],WFTracker[[#This Row],[Due date]],1,Holidays!D62:D77)</f>
        <v>9</v>
      </c>
      <c r="W2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47" s="30">
        <f ca="1">WFTracker[[#This Row],[Active Time]]-WFTracker[[#This Row],[Completion Days Template]]</f>
        <v>-1</v>
      </c>
      <c r="Y247" s="34" t="str">
        <f ca="1" xml:space="preserve"> IF(WFTracker[[#This Row],[Overdue Time '[Expected-Completion']]]&gt;0, "LATE","ON TIME")</f>
        <v>ON TIME</v>
      </c>
      <c r="Z247" s="34" t="str">
        <f ca="1">IF(WFTracker[[#This Row],[Overdue Time '[Expected-Completion']]] &gt;= 15, "SUPER LATE", Y247)</f>
        <v>ON TIME</v>
      </c>
      <c r="AA247" s="37" t="str">
        <f>IF(WFTracker[[#This Row],[Pre RM Opening Time]]&lt;WFTracker[[#This Row],[Old vs New Order Lead Time WF dead line]], "LATE BY ENG", "ON TIME BY ENG")</f>
        <v>LATE BY ENG</v>
      </c>
      <c r="AB247" s="37"/>
      <c r="AC247" s="15" t="str">
        <f>IF(WFTracker[[#This Row],[Competion Date Content]] = FALSE, "C", "i")</f>
        <v>C</v>
      </c>
      <c r="AD2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247" s="31" t="str">
        <f ca="1">IF(WFTracker[[#This Row],[Impact Time Post RM]]&gt;0, "IMPACTED", "NOT IMPACTED")</f>
        <v>IMPACTED</v>
      </c>
      <c r="AF247" s="15"/>
      <c r="AG247" s="42"/>
      <c r="AH247" s="14" t="str">
        <f>IF(WFTracker[[#This Row],[Status]]="C", "Closed", IF(WFTracker[[#This Row],[Status]] = "x", "Cancelled", WFTracker[[#This Row],[Impact Time Post RM]]))</f>
        <v>Closed</v>
      </c>
      <c r="AI247" s="14" t="str">
        <f ca="1">IF(WFTracker[[#This Row],[Impact Time Post RM]]&lt;=0,"ON TIME","LATE")</f>
        <v>LATE</v>
      </c>
      <c r="AJ247" s="14" t="s">
        <v>984</v>
      </c>
      <c r="AK247" s="14">
        <v>17</v>
      </c>
      <c r="AL247" s="915">
        <f>IF(WFTracker[[#This Row],[Type]]="MAKE", WFTracker[[#This Row],[Due date]]+Filters!$J$111, WFTracker[[#This Row],[Due date]]+Filters!$J$135)</f>
        <v>45890.415686274508</v>
      </c>
      <c r="AM247" s="102" cm="1">
        <f t="array" ref="AM2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8" spans="1:39" ht="14.45">
      <c r="A248" t="str">
        <f>IF(WFTracker[[#This Row],[Order Number]]="SWBD", "QED2", "PZ4")</f>
        <v>PZ4</v>
      </c>
      <c r="B248" s="21" t="s">
        <v>408</v>
      </c>
      <c r="C248" s="21" t="s">
        <v>416</v>
      </c>
      <c r="D248" s="40" t="str">
        <f>WFTracker[[#This Row],[Order Number]]  &amp; "-" &amp; WFTracker[[#This Row],[Item]]</f>
        <v>0050753978-003780</v>
      </c>
      <c r="E248" s="58" t="s">
        <v>410</v>
      </c>
      <c r="F248" s="41">
        <v>45898</v>
      </c>
      <c r="G248" s="107"/>
      <c r="H248" s="908" t="s">
        <v>137</v>
      </c>
      <c r="I248" s="907" t="s">
        <v>264</v>
      </c>
      <c r="J248" s="13" t="s">
        <v>1209</v>
      </c>
      <c r="K248" s="28" t="s">
        <v>1023</v>
      </c>
      <c r="L248" s="15" t="s">
        <v>40</v>
      </c>
      <c r="M248" s="29" t="s">
        <v>1120</v>
      </c>
      <c r="N248" s="57">
        <v>46026</v>
      </c>
      <c r="O248" s="15">
        <f>NETWORKDAYS.INTL(WFTracker[[#This Row],[Start date]],WFTracker[[#This Row],[RM]],1,Holidays!D361:D376)</f>
        <v>15</v>
      </c>
      <c r="P248" s="12">
        <v>45880</v>
      </c>
      <c r="Q248" s="12">
        <v>45890</v>
      </c>
      <c r="R248" s="12">
        <v>45896</v>
      </c>
      <c r="S248" s="27" t="b">
        <f>ISBLANK(WFTracker[[#This Row],[Completion Date]])</f>
        <v>0</v>
      </c>
      <c r="T248" s="27" t="str">
        <f>TEXT(WFTracker[[#This Row],[Start date]],"mmm-yyyy")</f>
        <v>Aug-2025</v>
      </c>
      <c r="U248" s="11">
        <v>5</v>
      </c>
      <c r="V248" s="11">
        <f>NETWORKDAYS.INTL(WFTracker[[#This Row],[Start date]],WFTracker[[#This Row],[Due date]],1,Holidays!D361:D376)</f>
        <v>9</v>
      </c>
      <c r="W2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248" s="30">
        <f ca="1">WFTracker[[#This Row],[Active Time]]-WFTracker[[#This Row],[Completion Days Template]]</f>
        <v>4</v>
      </c>
      <c r="Y248" s="34" t="str">
        <f ca="1" xml:space="preserve"> IF(WFTracker[[#This Row],[Overdue Time '[Expected-Completion']]]&gt;0, "LATE","ON TIME")</f>
        <v>LATE</v>
      </c>
      <c r="Z248" s="34" t="str">
        <f ca="1">IF(WFTracker[[#This Row],[Overdue Time '[Expected-Completion']]] &gt;= 15, "SUPER LATE", Y248)</f>
        <v>LATE</v>
      </c>
      <c r="AA248" s="37" t="str">
        <f>IF(WFTracker[[#This Row],[Pre RM Opening Time]]&lt;WFTracker[[#This Row],[Old vs New Order Lead Time WF dead line]], "LATE BY ENG", "ON TIME BY ENG")</f>
        <v>ON TIME BY ENG</v>
      </c>
      <c r="AB248" s="37"/>
      <c r="AC248" s="15" t="str">
        <f>IF(WFTracker[[#This Row],[Competion Date Content]] = FALSE, "C", "i")</f>
        <v>C</v>
      </c>
      <c r="AD2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248" s="105" t="str">
        <f ca="1">IF(WFTracker[[#This Row],[Impact Time Post RM]]&gt;0, "IMPACTED", "NOT IMPACTED")</f>
        <v>NOT IMPACTED</v>
      </c>
      <c r="AF248" s="15"/>
      <c r="AG248" s="42"/>
      <c r="AH248" s="14" t="str">
        <f>IF(WFTracker[[#This Row],[Status]]="C", "Closed", IF(WFTracker[[#This Row],[Status]] = "x", "Cancelled", WFTracker[[#This Row],[Impact Time Post RM]]))</f>
        <v>Closed</v>
      </c>
      <c r="AI248" s="14" t="str">
        <f ca="1">IF(WFTracker[[#This Row],[Impact Time Post RM]]&lt;=0,"ON TIME","LATE")</f>
        <v>ON TIME</v>
      </c>
      <c r="AJ248" s="14" t="s">
        <v>984</v>
      </c>
      <c r="AK248" s="14">
        <v>17</v>
      </c>
      <c r="AL248" s="915">
        <f>IF(WFTracker[[#This Row],[Type]]="MAKE", WFTracker[[#This Row],[Due date]]+Filters!$J$111, WFTracker[[#This Row],[Due date]]+Filters!$J$135)</f>
        <v>45890.415686274508</v>
      </c>
      <c r="AM248" s="102" cm="1">
        <f t="array" ref="AM24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49" spans="1:39" ht="14.45">
      <c r="A249" t="str">
        <f>IF(WFTracker[[#This Row],[Order Number]]="SWBD", "QED2", "PZ4")</f>
        <v>PZ4</v>
      </c>
      <c r="B249" s="21" t="s">
        <v>1210</v>
      </c>
      <c r="C249" s="21" t="s">
        <v>135</v>
      </c>
      <c r="D249" s="58" t="str">
        <f>WFTracker[[#This Row],[Order Number]]  &amp; "-" &amp; WFTracker[[#This Row],[Item]]</f>
        <v>0051515918-000010</v>
      </c>
      <c r="E249" s="23" t="s">
        <v>1211</v>
      </c>
      <c r="F249" s="41">
        <v>45912</v>
      </c>
      <c r="G249" s="107"/>
      <c r="H249" s="907" t="s">
        <v>305</v>
      </c>
      <c r="I249" s="907" t="s">
        <v>37</v>
      </c>
      <c r="J249" s="13" t="s">
        <v>1212</v>
      </c>
      <c r="K249" s="28" t="s">
        <v>1017</v>
      </c>
      <c r="L249" s="15" t="s">
        <v>27</v>
      </c>
      <c r="M249" s="29" t="s">
        <v>1120</v>
      </c>
      <c r="N249" s="57">
        <v>46021</v>
      </c>
      <c r="O249" s="15">
        <f>NETWORKDAYS.INTL(WFTracker[[#This Row],[Start date]],WFTracker[[#This Row],[RM]],1,Holidays!D515:D530)</f>
        <v>25</v>
      </c>
      <c r="P249" s="12">
        <v>45880</v>
      </c>
      <c r="Q249" s="12">
        <v>45890</v>
      </c>
      <c r="R249" s="12">
        <v>45888</v>
      </c>
      <c r="S249" s="27" t="b">
        <f>ISBLANK(WFTracker[[#This Row],[Completion Date]])</f>
        <v>0</v>
      </c>
      <c r="T249" s="27" t="str">
        <f>TEXT(WFTracker[[#This Row],[Start date]],"mmm-yyyy")</f>
        <v>Aug-2025</v>
      </c>
      <c r="U249" s="11">
        <v>10</v>
      </c>
      <c r="V249" s="11">
        <f>NETWORKDAYS.INTL(WFTracker[[#This Row],[Start date]],WFTracker[[#This Row],[Due date]],1,Holidays!D515:D530)</f>
        <v>9</v>
      </c>
      <c r="W2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49" s="30">
        <f ca="1">WFTracker[[#This Row],[Active Time]]-WFTracker[[#This Row],[Completion Days Template]]</f>
        <v>-2</v>
      </c>
      <c r="Y249" s="34" t="str">
        <f ca="1" xml:space="preserve"> IF(WFTracker[[#This Row],[Overdue Time '[Expected-Completion']]]&gt;0, "LATE","ON TIME")</f>
        <v>ON TIME</v>
      </c>
      <c r="Z249" s="34" t="str">
        <f ca="1">IF(WFTracker[[#This Row],[Overdue Time '[Expected-Completion']]] &gt;= 15, "SUPER LATE", Y249)</f>
        <v>ON TIME</v>
      </c>
      <c r="AA249" s="37" t="str">
        <f>IF(WFTracker[[#This Row],[Pre RM Opening Time]]&lt;WFTracker[[#This Row],[Old vs New Order Lead Time WF dead line]], "LATE BY ENG", "ON TIME BY ENG")</f>
        <v>ON TIME BY ENG</v>
      </c>
      <c r="AB249" s="37"/>
      <c r="AC249" s="15" t="str">
        <f>IF(WFTracker[[#This Row],[Competion Date Content]] = FALSE, "C", "i")</f>
        <v>C</v>
      </c>
      <c r="AD2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-19</v>
      </c>
      <c r="AE249" s="105" t="str">
        <f ca="1">IF(WFTracker[[#This Row],[Impact Time Post RM]]&gt;0, "IMPACTED", "NOT IMPACTED")</f>
        <v>NOT IMPACTED</v>
      </c>
      <c r="AF249" s="15"/>
      <c r="AG249" s="42"/>
      <c r="AH249" s="14" t="str">
        <f>IF(WFTracker[[#This Row],[Status]]="C", "Closed", IF(WFTracker[[#This Row],[Status]] = "x", "Cancelled", WFTracker[[#This Row],[Impact Time Post RM]]))</f>
        <v>Closed</v>
      </c>
      <c r="AI249" s="14" t="str">
        <f ca="1">IF(WFTracker[[#This Row],[Impact Time Post RM]]&lt;=0,"ON TIME","LATE")</f>
        <v>ON TIME</v>
      </c>
      <c r="AJ249" s="14" t="s">
        <v>984</v>
      </c>
      <c r="AK249" s="14">
        <v>18</v>
      </c>
      <c r="AL249" s="915">
        <f>IF(WFTracker[[#This Row],[Type]]="MAKE", WFTracker[[#This Row],[Due date]]+Filters!$J$111, WFTracker[[#This Row],[Due date]]+Filters!$J$135)</f>
        <v>45893.072512647552</v>
      </c>
      <c r="AM249" s="102" cm="1">
        <f t="array" ref="AM24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0" spans="1:39" ht="14.45">
      <c r="A250" t="str">
        <f>IF(WFTracker[[#This Row],[Order Number]]="SWBD", "QED2", "PZ4")</f>
        <v>PZ4</v>
      </c>
      <c r="B250" s="21" t="s">
        <v>384</v>
      </c>
      <c r="C250" s="21" t="s">
        <v>385</v>
      </c>
      <c r="D250" s="23" t="str">
        <f>WFTracker[[#This Row],[Order Number]]  &amp; "-" &amp; WFTracker[[#This Row],[Item]]</f>
        <v>0051306085-000310</v>
      </c>
      <c r="E250" s="23" t="s">
        <v>350</v>
      </c>
      <c r="F250" s="41">
        <v>45891</v>
      </c>
      <c r="G250" s="107"/>
      <c r="H250" t="s">
        <v>259</v>
      </c>
      <c r="I250" t="s">
        <v>1154</v>
      </c>
      <c r="J250" s="13" t="s">
        <v>1213</v>
      </c>
      <c r="K250" s="28" t="s">
        <v>1023</v>
      </c>
      <c r="L250" s="15" t="s">
        <v>40</v>
      </c>
      <c r="M250" s="29" t="s">
        <v>1120</v>
      </c>
      <c r="N250" s="57">
        <v>45789</v>
      </c>
      <c r="O250" s="15">
        <f>NETWORKDAYS.INTL(WFTracker[[#This Row],[Start date]],WFTracker[[#This Row],[RM]],1,Holidays!D193:D208)</f>
        <v>9</v>
      </c>
      <c r="P250" s="12">
        <v>45881</v>
      </c>
      <c r="Q250" s="12">
        <v>45891</v>
      </c>
      <c r="R250" s="12">
        <v>45888</v>
      </c>
      <c r="S250" s="27" t="b">
        <f>ISBLANK(WFTracker[[#This Row],[Completion Date]])</f>
        <v>0</v>
      </c>
      <c r="T250" s="27" t="str">
        <f>TEXT(WFTracker[[#This Row],[Start date]],"mmm-yyyy")</f>
        <v>Aug-2025</v>
      </c>
      <c r="U250" s="11">
        <v>5</v>
      </c>
      <c r="V250" s="11">
        <f>NETWORKDAYS.INTL(WFTracker[[#This Row],[Start date]],WFTracker[[#This Row],[Due date]],1,Holidays!D193:D208)</f>
        <v>9</v>
      </c>
      <c r="W2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50" s="30">
        <f ca="1">WFTracker[[#This Row],[Active Time]]-WFTracker[[#This Row],[Completion Days Template]]</f>
        <v>-3</v>
      </c>
      <c r="Y250" s="34" t="str">
        <f ca="1" xml:space="preserve"> IF(WFTracker[[#This Row],[Overdue Time '[Expected-Completion']]]&gt;0, "LATE","ON TIME")</f>
        <v>ON TIME</v>
      </c>
      <c r="Z250" s="34" t="str">
        <f ca="1">IF(WFTracker[[#This Row],[Overdue Time '[Expected-Completion']]] &gt;= 15, "SUPER LATE", Y250)</f>
        <v>ON TIME</v>
      </c>
      <c r="AA250" s="37" t="str">
        <f>IF(WFTracker[[#This Row],[Pre RM Opening Time]]&lt;WFTracker[[#This Row],[Old vs New Order Lead Time WF dead line]], "LATE BY ENG", "ON TIME BY ENG")</f>
        <v>ON TIME BY ENG</v>
      </c>
      <c r="AB250" s="37"/>
      <c r="AC250" s="15" t="str">
        <f>IF(WFTracker[[#This Row],[Competion Date Content]] = FALSE, "C", "i")</f>
        <v>C</v>
      </c>
      <c r="AD2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250" s="31" t="str">
        <f ca="1">IF(WFTracker[[#This Row],[Impact Time Post RM]]&gt;0, "IMPACTED", "NOT IMPACTED")</f>
        <v>NOT IMPACTED</v>
      </c>
      <c r="AF250" s="15"/>
      <c r="AG250" s="42"/>
      <c r="AH250" s="14" t="str">
        <f>IF(WFTracker[[#This Row],[Status]]="C", "Closed", IF(WFTracker[[#This Row],[Status]] = "x", "Cancelled", WFTracker[[#This Row],[Impact Time Post RM]]))</f>
        <v>Closed</v>
      </c>
      <c r="AI250" s="14" t="str">
        <f ca="1">IF(WFTracker[[#This Row],[Impact Time Post RM]]&lt;=0,"ON TIME","LATE")</f>
        <v>ON TIME</v>
      </c>
      <c r="AJ250" s="14" t="s">
        <v>984</v>
      </c>
      <c r="AK250" s="14">
        <v>17</v>
      </c>
      <c r="AL250" s="915">
        <f>IF(WFTracker[[#This Row],[Type]]="MAKE", WFTracker[[#This Row],[Due date]]+Filters!$J$111, WFTracker[[#This Row],[Due date]]+Filters!$J$135)</f>
        <v>45891.415686274508</v>
      </c>
      <c r="AM250" s="102" cm="1">
        <f t="array" ref="AM25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1" spans="1:39" ht="14.45">
      <c r="A251" t="str">
        <f>IF(WFTracker[[#This Row],[Order Number]]="SWBD", "QED2", "PZ4")</f>
        <v>PZ4</v>
      </c>
      <c r="B251" s="21" t="s">
        <v>408</v>
      </c>
      <c r="C251" s="21" t="s">
        <v>412</v>
      </c>
      <c r="D251" s="23" t="str">
        <f>WFTracker[[#This Row],[Order Number]]  &amp; "-" &amp; WFTracker[[#This Row],[Item]]</f>
        <v>0050753978-003790</v>
      </c>
      <c r="E251" s="23" t="s">
        <v>410</v>
      </c>
      <c r="F251" s="12">
        <v>45898</v>
      </c>
      <c r="G251" s="27"/>
      <c r="H251" t="s">
        <v>137</v>
      </c>
      <c r="I251" t="s">
        <v>260</v>
      </c>
      <c r="J251" s="13" t="s">
        <v>1214</v>
      </c>
      <c r="K251" s="28" t="s">
        <v>1017</v>
      </c>
      <c r="L251" s="15" t="s">
        <v>27</v>
      </c>
      <c r="M251" s="29" t="s">
        <v>1120</v>
      </c>
      <c r="N251" s="57">
        <v>46177</v>
      </c>
      <c r="O251" s="15">
        <f>NETWORKDAYS.INTL(WFTracker[[#This Row],[Start date]],WFTracker[[#This Row],[RM]],1,Holidays!D318:D333)</f>
        <v>13</v>
      </c>
      <c r="P251" s="12">
        <v>45882</v>
      </c>
      <c r="Q251" s="12">
        <v>45890</v>
      </c>
      <c r="R251" s="12">
        <v>45890</v>
      </c>
      <c r="S251" s="27" t="b">
        <f>ISBLANK(WFTracker[[#This Row],[Completion Date]])</f>
        <v>0</v>
      </c>
      <c r="T251" s="27" t="str">
        <f>TEXT(WFTracker[[#This Row],[Start date]],"mmm-yyyy")</f>
        <v>Aug-2025</v>
      </c>
      <c r="U251" s="11">
        <v>5</v>
      </c>
      <c r="V251" s="11">
        <f>NETWORKDAYS.INTL(WFTracker[[#This Row],[Start date]],WFTracker[[#This Row],[Due date]],1,Holidays!D318:D333)</f>
        <v>7</v>
      </c>
      <c r="W2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51" s="30">
        <f ca="1">WFTracker[[#This Row],[Active Time]]-WFTracker[[#This Row],[Completion Days Template]]</f>
        <v>0</v>
      </c>
      <c r="Y251" s="34" t="str">
        <f ca="1" xml:space="preserve"> IF(WFTracker[[#This Row],[Overdue Time '[Expected-Completion']]]&gt;0, "LATE","ON TIME")</f>
        <v>ON TIME</v>
      </c>
      <c r="Z251" s="34" t="str">
        <f ca="1">IF(WFTracker[[#This Row],[Overdue Time '[Expected-Completion']]] &gt;= 15, "SUPER LATE", Y251)</f>
        <v>ON TIME</v>
      </c>
      <c r="AA251" s="37" t="str">
        <f>IF(WFTracker[[#This Row],[Pre RM Opening Time]]&lt;WFTracker[[#This Row],[Old vs New Order Lead Time WF dead line]], "LATE BY ENG", "ON TIME BY ENG")</f>
        <v>ON TIME BY ENG</v>
      </c>
      <c r="AB251" s="37"/>
      <c r="AC251" s="15" t="str">
        <f>IF(WFTracker[[#This Row],[Competion Date Content]] = FALSE, "C", "i")</f>
        <v>C</v>
      </c>
      <c r="AD2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251" s="105" t="str">
        <f ca="1">IF(WFTracker[[#This Row],[Impact Time Post RM]]&gt;0, "IMPACTED", "NOT IMPACTED")</f>
        <v>NOT IMPACTED</v>
      </c>
      <c r="AF251" s="15"/>
      <c r="AG251" s="42"/>
      <c r="AH251" s="14" t="str">
        <f>IF(WFTracker[[#This Row],[Status]]="C", "Closed", IF(WFTracker[[#This Row],[Status]] = "x", "Cancelled", WFTracker[[#This Row],[Impact Time Post RM]]))</f>
        <v>Closed</v>
      </c>
      <c r="AI251" s="14" t="str">
        <f ca="1">IF(WFTracker[[#This Row],[Impact Time Post RM]]&lt;=0,"ON TIME","LATE")</f>
        <v>ON TIME</v>
      </c>
      <c r="AJ251" s="14" t="s">
        <v>984</v>
      </c>
      <c r="AK251" s="14">
        <v>18</v>
      </c>
      <c r="AL251" s="915">
        <f>IF(WFTracker[[#This Row],[Type]]="MAKE", WFTracker[[#This Row],[Due date]]+Filters!$J$111, WFTracker[[#This Row],[Due date]]+Filters!$J$135)</f>
        <v>45893.072512647552</v>
      </c>
      <c r="AM251" s="102" cm="1">
        <f t="array" ref="AM25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2" spans="1:39" ht="14.45">
      <c r="A252" t="str">
        <f>IF(WFTracker[[#This Row],[Order Number]]="SWBD", "QED2", "PZ4")</f>
        <v>PZ4</v>
      </c>
      <c r="B252" s="23" t="s">
        <v>408</v>
      </c>
      <c r="C252" s="23" t="s">
        <v>412</v>
      </c>
      <c r="D252" s="23" t="str">
        <f>WFTracker[[#This Row],[Order Number]]  &amp; "-" &amp; WFTracker[[#This Row],[Item]]</f>
        <v>0050753978-003790</v>
      </c>
      <c r="E252" s="23" t="s">
        <v>410</v>
      </c>
      <c r="F252" s="12">
        <v>45898</v>
      </c>
      <c r="G252" s="27"/>
      <c r="H252" t="s">
        <v>137</v>
      </c>
      <c r="I252" t="s">
        <v>260</v>
      </c>
      <c r="J252" s="13" t="s">
        <v>1215</v>
      </c>
      <c r="K252" s="28" t="s">
        <v>1017</v>
      </c>
      <c r="L252" s="15" t="s">
        <v>27</v>
      </c>
      <c r="M252" s="29" t="s">
        <v>1120</v>
      </c>
      <c r="N252" s="57">
        <v>46177</v>
      </c>
      <c r="O252" s="15">
        <f>NETWORKDAYS.INTL(WFTracker[[#This Row],[Start date]],WFTracker[[#This Row],[RM]],1,Holidays!D319:D334)</f>
        <v>13</v>
      </c>
      <c r="P252" s="12">
        <v>45882</v>
      </c>
      <c r="Q252" s="12">
        <v>45894</v>
      </c>
      <c r="R252" s="12">
        <v>45901</v>
      </c>
      <c r="S252" s="27" t="b">
        <f>ISBLANK(WFTracker[[#This Row],[Completion Date]])</f>
        <v>0</v>
      </c>
      <c r="T252" s="27" t="str">
        <f>TEXT(WFTracker[[#This Row],[Start date]],"mmm-yyyy")</f>
        <v>Aug-2025</v>
      </c>
      <c r="U252" s="11">
        <v>5</v>
      </c>
      <c r="V252" s="11">
        <f>NETWORKDAYS.INTL(WFTracker[[#This Row],[Start date]],WFTracker[[#This Row],[Due date]],1,Holidays!D319:D334)</f>
        <v>9</v>
      </c>
      <c r="W2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252" s="30">
        <f ca="1">WFTracker[[#This Row],[Active Time]]-WFTracker[[#This Row],[Completion Days Template]]</f>
        <v>5</v>
      </c>
      <c r="Y252" s="34" t="str">
        <f ca="1" xml:space="preserve"> IF(WFTracker[[#This Row],[Overdue Time '[Expected-Completion']]]&gt;0, "LATE","ON TIME")</f>
        <v>LATE</v>
      </c>
      <c r="Z252" s="34" t="str">
        <f ca="1">IF(WFTracker[[#This Row],[Overdue Time '[Expected-Completion']]] &gt;= 15, "SUPER LATE", Y252)</f>
        <v>LATE</v>
      </c>
      <c r="AA252" s="37" t="str">
        <f>IF(WFTracker[[#This Row],[Pre RM Opening Time]]&lt;WFTracker[[#This Row],[Old vs New Order Lead Time WF dead line]], "LATE BY ENG", "ON TIME BY ENG")</f>
        <v>ON TIME BY ENG</v>
      </c>
      <c r="AB252" s="37"/>
      <c r="AC252" s="15" t="s">
        <v>29</v>
      </c>
      <c r="AD2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52" s="105" t="str">
        <f ca="1">IF(WFTracker[[#This Row],[Impact Time Post RM]]&gt;0, "IMPACTED", "NOT IMPACTED")</f>
        <v>IMPACTED</v>
      </c>
      <c r="AF252" s="15"/>
      <c r="AG252" s="42"/>
      <c r="AH252" s="14" t="str">
        <f>IF(WFTracker[[#This Row],[Status]]="C", "Closed", IF(WFTracker[[#This Row],[Status]] = "x", "Cancelled", WFTracker[[#This Row],[Impact Time Post RM]]))</f>
        <v>Closed</v>
      </c>
      <c r="AI252" s="14" t="str">
        <f ca="1">IF(WFTracker[[#This Row],[Impact Time Post RM]]&lt;=0,"ON TIME","LATE")</f>
        <v>LATE</v>
      </c>
      <c r="AJ252" s="14" t="s">
        <v>984</v>
      </c>
      <c r="AK252" s="14">
        <v>18</v>
      </c>
      <c r="AL252" s="915">
        <f>IF(WFTracker[[#This Row],[Type]]="MAKE", WFTracker[[#This Row],[Due date]]+Filters!$J$111, WFTracker[[#This Row],[Due date]]+Filters!$J$135)</f>
        <v>45897.072512647552</v>
      </c>
      <c r="AM252" s="103" cm="1">
        <f t="array" ref="AM2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3" spans="1:39" ht="14.45">
      <c r="A253" t="str">
        <f>IF(WFTracker[[#This Row],[Order Number]]="SWBD", "QED2", "PZ4")</f>
        <v>PZ4</v>
      </c>
      <c r="B253" s="23" t="s">
        <v>473</v>
      </c>
      <c r="C253" s="23" t="s">
        <v>1204</v>
      </c>
      <c r="D253" s="23" t="str">
        <f>WFTracker[[#This Row],[Order Number]]  &amp; "-" &amp; WFTracker[[#This Row],[Item]]</f>
        <v>0051472151-000010 &amp; 000020</v>
      </c>
      <c r="E253" s="23" t="s">
        <v>474</v>
      </c>
      <c r="F253" s="41">
        <v>45911</v>
      </c>
      <c r="G253" s="107"/>
      <c r="H253" t="s">
        <v>110</v>
      </c>
      <c r="I253" t="s">
        <v>260</v>
      </c>
      <c r="J253" s="13" t="s">
        <v>1216</v>
      </c>
      <c r="K253" s="28" t="s">
        <v>1023</v>
      </c>
      <c r="L253" s="15" t="s">
        <v>27</v>
      </c>
      <c r="M253" s="29" t="s">
        <v>1120</v>
      </c>
      <c r="N253" s="57">
        <v>46010</v>
      </c>
      <c r="O253" s="15">
        <f>NETWORKDAYS.INTL(WFTracker[[#This Row],[Start date]],WFTracker[[#This Row],[RM]],1,Holidays!D501:D516)</f>
        <v>22</v>
      </c>
      <c r="P253" s="12">
        <v>45882</v>
      </c>
      <c r="Q253" s="12">
        <v>45889</v>
      </c>
      <c r="R253" s="12">
        <v>45909</v>
      </c>
      <c r="S253" s="27" t="b">
        <f>ISBLANK(WFTracker[[#This Row],[Completion Date]])</f>
        <v>0</v>
      </c>
      <c r="T253" s="27" t="str">
        <f>TEXT(WFTracker[[#This Row],[Start date]],"mmm-yyyy")</f>
        <v>Aug-2025</v>
      </c>
      <c r="U253" s="11">
        <v>10</v>
      </c>
      <c r="V253" s="11">
        <f>NETWORKDAYS.INTL(WFTracker[[#This Row],[Start date]],WFTracker[[#This Row],[Due date]],1,Holidays!D501:D516)</f>
        <v>6</v>
      </c>
      <c r="W2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20</v>
      </c>
      <c r="X253" s="30">
        <f ca="1">WFTracker[[#This Row],[Active Time]]-WFTracker[[#This Row],[Completion Days Template]]</f>
        <v>14</v>
      </c>
      <c r="Y253" s="34" t="str">
        <f ca="1" xml:space="preserve"> IF(WFTracker[[#This Row],[Overdue Time '[Expected-Completion']]]&gt;0, "LATE","ON TIME")</f>
        <v>LATE</v>
      </c>
      <c r="Z253" s="34" t="str">
        <f ca="1">IF(WFTracker[[#This Row],[Overdue Time '[Expected-Completion']]] &gt;= 15, "SUPER LATE", Y253)</f>
        <v>LATE</v>
      </c>
      <c r="AA253" s="37" t="str">
        <f>IF(WFTracker[[#This Row],[Pre RM Opening Time]]&lt;WFTracker[[#This Row],[Old vs New Order Lead Time WF dead line]], "LATE BY ENG", "ON TIME BY ENG")</f>
        <v>ON TIME BY ENG</v>
      </c>
      <c r="AB253" s="37"/>
      <c r="AC253" s="15" t="s">
        <v>1011</v>
      </c>
      <c r="AD2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253" s="105" t="str">
        <f ca="1">IF(WFTracker[[#This Row],[Impact Time Post RM]]&gt;0, "IMPACTED", "NOT IMPACTED")</f>
        <v>NOT IMPACTED</v>
      </c>
      <c r="AF253" s="15"/>
      <c r="AG253" s="42" t="s">
        <v>1217</v>
      </c>
      <c r="AH253" s="14" t="str">
        <f>IF(WFTracker[[#This Row],[Status]]="C", "Closed", IF(WFTracker[[#This Row],[Status]] = "x", "Cancelled", WFTracker[[#This Row],[Impact Time Post RM]]))</f>
        <v>Cancelled</v>
      </c>
      <c r="AI253" s="14" t="str">
        <f ca="1">IF(WFTracker[[#This Row],[Impact Time Post RM]]&lt;=0,"ON TIME","LATE")</f>
        <v>ON TIME</v>
      </c>
      <c r="AJ253" s="14" t="s">
        <v>984</v>
      </c>
      <c r="AK253" s="14">
        <v>0</v>
      </c>
      <c r="AL253" s="915">
        <f>IF(WFTracker[[#This Row],[Type]]="MAKE", WFTracker[[#This Row],[Due date]]+Filters!$J$111, WFTracker[[#This Row],[Due date]]+Filters!$J$135)</f>
        <v>45892.072512647552</v>
      </c>
      <c r="AM253" s="102" cm="1">
        <f t="array" ref="AM253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54" spans="1:39" ht="14.45">
      <c r="A254" t="str">
        <f>IF(WFTracker[[#This Row],[Order Number]]="SWBD", "QED2", "PZ4")</f>
        <v>PZ4</v>
      </c>
      <c r="B254" s="21" t="s">
        <v>418</v>
      </c>
      <c r="C254" s="26" t="s">
        <v>1218</v>
      </c>
      <c r="D254" s="23" t="str">
        <f>WFTracker[[#This Row],[Order Number]]  &amp; "-" &amp; WFTracker[[#This Row],[Item]]</f>
        <v>0051139077-000030&amp;000110&amp;000290</v>
      </c>
      <c r="E254" s="23" t="s">
        <v>419</v>
      </c>
      <c r="F254" s="12">
        <v>45898</v>
      </c>
      <c r="G254" s="12"/>
      <c r="H254" s="11" t="s">
        <v>99</v>
      </c>
      <c r="I254" s="11" t="s">
        <v>24</v>
      </c>
      <c r="J254" s="13" t="s">
        <v>1219</v>
      </c>
      <c r="K254" s="14" t="s">
        <v>1023</v>
      </c>
      <c r="L254" s="15" t="s">
        <v>27</v>
      </c>
      <c r="M254" s="29" t="s">
        <v>1120</v>
      </c>
      <c r="N254" s="57">
        <v>46112</v>
      </c>
      <c r="O254" s="15">
        <f>NETWORKDAYS.INTL(WFTracker[[#This Row],[Start date]],WFTracker[[#This Row],[RM]],1,Holidays!D264:D279)</f>
        <v>11</v>
      </c>
      <c r="P254" s="12">
        <v>45884</v>
      </c>
      <c r="Q254" s="12">
        <v>45894</v>
      </c>
      <c r="R254" s="12">
        <v>45910</v>
      </c>
      <c r="S254" s="27" t="b">
        <f>ISBLANK(WFTracker[[#This Row],[Completion Date]])</f>
        <v>0</v>
      </c>
      <c r="T254" s="27" t="str">
        <f>TEXT(WFTracker[[#This Row],[Start date]],"mmm-yyyy")</f>
        <v>Aug-2025</v>
      </c>
      <c r="U254" s="11">
        <v>5</v>
      </c>
      <c r="V254" s="11">
        <f>NETWORKDAYS.INTL(WFTracker[[#This Row],[Start date]],WFTracker[[#This Row],[Due date]],1,Holidays!D264:D279)</f>
        <v>7</v>
      </c>
      <c r="W2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254" s="24">
        <f ca="1">WFTracker[[#This Row],[Active Time]]-WFTracker[[#This Row],[Completion Days Template]]</f>
        <v>12</v>
      </c>
      <c r="Y254" s="16" t="str">
        <f ca="1" xml:space="preserve"> IF(WFTracker[[#This Row],[Overdue Time '[Expected-Completion']]]&gt;0, "LATE","ON TIME")</f>
        <v>LATE</v>
      </c>
      <c r="Z254" s="16" t="str">
        <f ca="1">IF(WFTracker[[#This Row],[Overdue Time '[Expected-Completion']]] &gt;= 15, "SUPER LATE", Y254)</f>
        <v>LATE</v>
      </c>
      <c r="AA254" s="37" t="str">
        <f>IF(WFTracker[[#This Row],[Pre RM Opening Time]]&lt;WFTracker[[#This Row],[Old vs New Order Lead Time WF dead line]], "LATE BY ENG", "ON TIME BY ENG")</f>
        <v>ON TIME BY ENG</v>
      </c>
      <c r="AB254" s="37"/>
      <c r="AC254" s="15" t="str">
        <f>IF(WFTracker[[#This Row],[Competion Date Content]] = FALSE, "C", "i")</f>
        <v>C</v>
      </c>
      <c r="AD2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254" s="37" t="str">
        <f ca="1">IF(WFTracker[[#This Row],[Impact Time Post RM]]&gt;0, "IMPACTED", "NOT IMPACTED")</f>
        <v>IMPACTED</v>
      </c>
      <c r="AF254" s="15"/>
      <c r="AG254" s="18"/>
      <c r="AH254" s="14" t="str">
        <f>IF(WFTracker[[#This Row],[Status]]="C", "Closed", IF(WFTracker[[#This Row],[Status]] = "x", "Cancelled", WFTracker[[#This Row],[Impact Time Post RM]]))</f>
        <v>Closed</v>
      </c>
      <c r="AI254" s="14" t="str">
        <f ca="1">IF(WFTracker[[#This Row],[Impact Time Post RM]]&lt;=0,"ON TIME","LATE")</f>
        <v>LATE</v>
      </c>
      <c r="AJ254" s="14" t="s">
        <v>984</v>
      </c>
      <c r="AK254" s="14">
        <v>18</v>
      </c>
      <c r="AL254" s="915">
        <f>IF(WFTracker[[#This Row],[Type]]="MAKE", WFTracker[[#This Row],[Due date]]+Filters!$J$111, WFTracker[[#This Row],[Due date]]+Filters!$J$135)</f>
        <v>45897.072512647552</v>
      </c>
      <c r="AM254" s="103" cm="1">
        <f t="array" ref="AM2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5" spans="1:39" ht="14.45">
      <c r="A255" t="str">
        <f>IF(WFTracker[[#This Row],[Order Number]]="SWBD", "QED2", "PZ4")</f>
        <v>PZ4</v>
      </c>
      <c r="B255" s="21" t="s">
        <v>408</v>
      </c>
      <c r="C255" s="26" t="s">
        <v>412</v>
      </c>
      <c r="D255" s="23" t="str">
        <f>WFTracker[[#This Row],[Order Number]]  &amp; "-" &amp; WFTracker[[#This Row],[Item]]</f>
        <v>0050753978-003790</v>
      </c>
      <c r="E255" s="23" t="s">
        <v>410</v>
      </c>
      <c r="F255" s="12">
        <v>45898</v>
      </c>
      <c r="G255" s="27"/>
      <c r="H255" t="s">
        <v>137</v>
      </c>
      <c r="I255" t="s">
        <v>260</v>
      </c>
      <c r="J255" s="32" t="s">
        <v>415</v>
      </c>
      <c r="K255" s="28" t="s">
        <v>1017</v>
      </c>
      <c r="L255" s="15" t="s">
        <v>40</v>
      </c>
      <c r="M255" s="29" t="s">
        <v>1120</v>
      </c>
      <c r="N255" s="57">
        <v>46177</v>
      </c>
      <c r="O255" s="15">
        <f>NETWORKDAYS.INTL(WFTracker[[#This Row],[Start date]],WFTracker[[#This Row],[RM]],1,Holidays!D265:D280)</f>
        <v>11</v>
      </c>
      <c r="P255" s="12">
        <v>45884</v>
      </c>
      <c r="Q255" s="12">
        <v>45896</v>
      </c>
      <c r="R255" s="12">
        <v>45901</v>
      </c>
      <c r="S255" s="27" t="b">
        <f>ISBLANK(WFTracker[[#This Row],[Completion Date]])</f>
        <v>0</v>
      </c>
      <c r="T255" s="27" t="str">
        <f>TEXT(WFTracker[[#This Row],[Start date]],"mmm-yyyy")</f>
        <v>Aug-2025</v>
      </c>
      <c r="U255" s="11">
        <v>5</v>
      </c>
      <c r="V255" s="11">
        <f>NETWORKDAYS.INTL(WFTracker[[#This Row],[Start date]],WFTracker[[#This Row],[Due date]],1,Holidays!D265:D280)</f>
        <v>9</v>
      </c>
      <c r="W2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55" s="30">
        <f ca="1">WFTracker[[#This Row],[Active Time]]-WFTracker[[#This Row],[Completion Days Template]]</f>
        <v>3</v>
      </c>
      <c r="Y255" s="34" t="str">
        <f ca="1" xml:space="preserve"> IF(WFTracker[[#This Row],[Overdue Time '[Expected-Completion']]]&gt;0, "LATE","ON TIME")</f>
        <v>LATE</v>
      </c>
      <c r="Z255" s="34" t="str">
        <f ca="1">IF(WFTracker[[#This Row],[Overdue Time '[Expected-Completion']]] &gt;= 15, "SUPER LATE", Y255)</f>
        <v>LATE</v>
      </c>
      <c r="AA255" s="37" t="str">
        <f>IF(WFTracker[[#This Row],[Pre RM Opening Time]]&lt;WFTracker[[#This Row],[Old vs New Order Lead Time WF dead line]], "LATE BY ENG", "ON TIME BY ENG")</f>
        <v>ON TIME BY ENG</v>
      </c>
      <c r="AB255" s="37"/>
      <c r="AC255" s="15" t="str">
        <f>IF(WFTracker[[#This Row],[Competion Date Content]] = FALSE, "C", "i")</f>
        <v>C</v>
      </c>
      <c r="AD2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55" s="105" t="str">
        <f ca="1">IF(WFTracker[[#This Row],[Impact Time Post RM]]&gt;0, "IMPACTED", "NOT IMPACTED")</f>
        <v>IMPACTED</v>
      </c>
      <c r="AF255" s="15"/>
      <c r="AG255" s="42"/>
      <c r="AH255" s="14" t="str">
        <f>IF(WFTracker[[#This Row],[Status]]="C", "Closed", IF(WFTracker[[#This Row],[Status]] = "x", "Cancelled", WFTracker[[#This Row],[Impact Time Post RM]]))</f>
        <v>Closed</v>
      </c>
      <c r="AI255" s="14" t="str">
        <f ca="1">IF(WFTracker[[#This Row],[Impact Time Post RM]]&lt;=0,"ON TIME","LATE")</f>
        <v>LATE</v>
      </c>
      <c r="AJ255" s="14" t="s">
        <v>984</v>
      </c>
      <c r="AK255" s="14">
        <v>17</v>
      </c>
      <c r="AL255" s="915">
        <f>IF(WFTracker[[#This Row],[Type]]="MAKE", WFTracker[[#This Row],[Due date]]+Filters!$J$111, WFTracker[[#This Row],[Due date]]+Filters!$J$135)</f>
        <v>45896.415686274508</v>
      </c>
      <c r="AM255" s="102" cm="1">
        <f t="array" ref="AM25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6" spans="1:39" ht="14.45">
      <c r="A256" t="str">
        <f>IF(WFTracker[[#This Row],[Order Number]]="SWBD", "QED2", "PZ4")</f>
        <v>PZ4</v>
      </c>
      <c r="B256" s="23" t="s">
        <v>408</v>
      </c>
      <c r="C256" s="23" t="s">
        <v>412</v>
      </c>
      <c r="D256" s="23" t="str">
        <f>WFTracker[[#This Row],[Order Number]]  &amp; "-" &amp; WFTracker[[#This Row],[Item]]</f>
        <v>0050753978-003790</v>
      </c>
      <c r="E256" s="23" t="s">
        <v>410</v>
      </c>
      <c r="F256" s="12">
        <v>45898</v>
      </c>
      <c r="G256" s="12"/>
      <c r="H256" s="11" t="s">
        <v>137</v>
      </c>
      <c r="I256" s="11" t="s">
        <v>260</v>
      </c>
      <c r="J256" s="13" t="s">
        <v>414</v>
      </c>
      <c r="K256" s="14" t="s">
        <v>1017</v>
      </c>
      <c r="L256" s="15" t="s">
        <v>27</v>
      </c>
      <c r="M256" s="29" t="s">
        <v>1120</v>
      </c>
      <c r="N256" s="57">
        <v>46177</v>
      </c>
      <c r="O256" s="15">
        <f>NETWORKDAYS.INTL(WFTracker[[#This Row],[Start date]],WFTracker[[#This Row],[RM]],1,Holidays!D266:D281)</f>
        <v>11</v>
      </c>
      <c r="P256" s="12">
        <v>45884</v>
      </c>
      <c r="Q256" s="12">
        <v>45896</v>
      </c>
      <c r="R256" s="12">
        <v>45902</v>
      </c>
      <c r="S256" s="12" t="b">
        <f>ISBLANK(WFTracker[[#This Row],[Completion Date]])</f>
        <v>0</v>
      </c>
      <c r="T256" s="12" t="str">
        <f>TEXT(WFTracker[[#This Row],[Start date]],"mmm-yyyy")</f>
        <v>Aug-2025</v>
      </c>
      <c r="U256" s="11">
        <v>5</v>
      </c>
      <c r="V256" s="11">
        <f>NETWORKDAYS.INTL(WFTracker[[#This Row],[Start date]],WFTracker[[#This Row],[Due date]],1,Holidays!D266:D281)</f>
        <v>9</v>
      </c>
      <c r="W2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256" s="24">
        <f ca="1">WFTracker[[#This Row],[Active Time]]-WFTracker[[#This Row],[Completion Days Template]]</f>
        <v>4</v>
      </c>
      <c r="Y256" s="16" t="str">
        <f ca="1" xml:space="preserve"> IF(WFTracker[[#This Row],[Overdue Time '[Expected-Completion']]]&gt;0, "LATE","ON TIME")</f>
        <v>LATE</v>
      </c>
      <c r="Z256" s="16" t="str">
        <f ca="1">IF(WFTracker[[#This Row],[Overdue Time '[Expected-Completion']]] &gt;= 15, "SUPER LATE", Y256)</f>
        <v>LATE</v>
      </c>
      <c r="AA256" s="37" t="str">
        <f>IF(WFTracker[[#This Row],[Pre RM Opening Time]]&lt;WFTracker[[#This Row],[Old vs New Order Lead Time WF dead line]], "LATE BY ENG", "ON TIME BY ENG")</f>
        <v>ON TIME BY ENG</v>
      </c>
      <c r="AB256" s="37"/>
      <c r="AC256" s="15" t="str">
        <f>IF(WFTracker[[#This Row],[Competion Date Content]] = FALSE, "C", "i")</f>
        <v>C</v>
      </c>
      <c r="AD2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256" s="37" t="str">
        <f ca="1">IF(WFTracker[[#This Row],[Impact Time Post RM]]&gt;0, "IMPACTED", "NOT IMPACTED")</f>
        <v>IMPACTED</v>
      </c>
      <c r="AF256" s="15"/>
      <c r="AG256" s="18"/>
      <c r="AH256" s="14" t="str">
        <f>IF(WFTracker[[#This Row],[Status]]="C", "Closed", IF(WFTracker[[#This Row],[Status]] = "x", "Cancelled", WFTracker[[#This Row],[Impact Time Post RM]]))</f>
        <v>Closed</v>
      </c>
      <c r="AI256" s="14" t="str">
        <f ca="1">IF(WFTracker[[#This Row],[Impact Time Post RM]]&lt;=0,"ON TIME","LATE")</f>
        <v>LATE</v>
      </c>
      <c r="AJ256" s="14" t="s">
        <v>984</v>
      </c>
      <c r="AK256" s="14">
        <v>18</v>
      </c>
      <c r="AL256" s="915">
        <f>IF(WFTracker[[#This Row],[Type]]="MAKE", WFTracker[[#This Row],[Due date]]+Filters!$J$111, WFTracker[[#This Row],[Due date]]+Filters!$J$135)</f>
        <v>45899.072512647552</v>
      </c>
      <c r="AM256" s="102" cm="1">
        <f t="array" ref="AM2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7" spans="1:39" ht="14.45">
      <c r="A257" t="str">
        <f>IF(WFTracker[[#This Row],[Order Number]]="SWBD", "QED2", "PZ4")</f>
        <v>PZ4</v>
      </c>
      <c r="B257" s="23" t="s">
        <v>418</v>
      </c>
      <c r="C257" s="23" t="s">
        <v>1218</v>
      </c>
      <c r="D257" s="23" t="str">
        <f>WFTracker[[#This Row],[Order Number]]  &amp; "-" &amp; WFTracker[[#This Row],[Item]]</f>
        <v>0051139077-000030&amp;000110&amp;000290</v>
      </c>
      <c r="E257" s="23" t="s">
        <v>419</v>
      </c>
      <c r="F257" s="41">
        <v>45898</v>
      </c>
      <c r="G257" s="41"/>
      <c r="H257" t="s">
        <v>99</v>
      </c>
      <c r="I257" t="s">
        <v>24</v>
      </c>
      <c r="J257" s="32" t="s">
        <v>1220</v>
      </c>
      <c r="K257" s="28" t="s">
        <v>1023</v>
      </c>
      <c r="L257" s="15" t="s">
        <v>40</v>
      </c>
      <c r="M257" s="29" t="s">
        <v>1120</v>
      </c>
      <c r="N257" s="57">
        <v>46026</v>
      </c>
      <c r="O257" s="15">
        <f>NETWORKDAYS.INTL(WFTracker[[#This Row],[Start date]],WFTracker[[#This Row],[RM]],1,Holidays!D267:D282)</f>
        <v>11</v>
      </c>
      <c r="P257" s="12">
        <v>45884</v>
      </c>
      <c r="Q257" s="12">
        <v>45896</v>
      </c>
      <c r="R257" s="12">
        <v>45888</v>
      </c>
      <c r="S257" s="27" t="b">
        <f>ISBLANK(WFTracker[[#This Row],[Completion Date]])</f>
        <v>0</v>
      </c>
      <c r="T257" s="27" t="str">
        <f>TEXT(WFTracker[[#This Row],[Start date]],"mmm-yyyy")</f>
        <v>Aug-2025</v>
      </c>
      <c r="U257" s="11">
        <v>5</v>
      </c>
      <c r="V257" s="11">
        <f>NETWORKDAYS.INTL(WFTracker[[#This Row],[Start date]],WFTracker[[#This Row],[Due date]],1,Holidays!D267:D282)</f>
        <v>9</v>
      </c>
      <c r="W2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257" s="30">
        <f ca="1">WFTracker[[#This Row],[Active Time]]-WFTracker[[#This Row],[Completion Days Template]]</f>
        <v>-6</v>
      </c>
      <c r="Y257" s="34" t="str">
        <f ca="1" xml:space="preserve"> IF(WFTracker[[#This Row],[Overdue Time '[Expected-Completion']]]&gt;0, "LATE","ON TIME")</f>
        <v>ON TIME</v>
      </c>
      <c r="Z257" s="34" t="str">
        <f ca="1">IF(WFTracker[[#This Row],[Overdue Time '[Expected-Completion']]] &gt;= 15, "SUPER LATE", Y257)</f>
        <v>ON TIME</v>
      </c>
      <c r="AA257" s="37" t="str">
        <f>IF(WFTracker[[#This Row],[Pre RM Opening Time]]&lt;WFTracker[[#This Row],[Old vs New Order Lead Time WF dead line]], "LATE BY ENG", "ON TIME BY ENG")</f>
        <v>ON TIME BY ENG</v>
      </c>
      <c r="AB257" s="37"/>
      <c r="AC257" s="15" t="s">
        <v>46</v>
      </c>
      <c r="AD2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257" s="31" t="str">
        <f ca="1">IF(WFTracker[[#This Row],[Impact Time Post RM]]&gt;0, "IMPACTED", "NOT IMPACTED")</f>
        <v>NOT IMPACTED</v>
      </c>
      <c r="AF257" s="15"/>
      <c r="AG257" s="42" t="s">
        <v>1221</v>
      </c>
      <c r="AH257" s="14" t="str">
        <f>IF(WFTracker[[#This Row],[Status]]="C", "Closed", IF(WFTracker[[#This Row],[Status]] = "x", "Cancelled", WFTracker[[#This Row],[Impact Time Post RM]]))</f>
        <v>Cancelled</v>
      </c>
      <c r="AI257" s="14" t="str">
        <f ca="1">IF(WFTracker[[#This Row],[Impact Time Post RM]]&lt;=0,"ON TIME","LATE")</f>
        <v>ON TIME</v>
      </c>
      <c r="AJ257" s="14" t="s">
        <v>984</v>
      </c>
      <c r="AK257" s="14">
        <v>0</v>
      </c>
      <c r="AL257" s="915">
        <f>IF(WFTracker[[#This Row],[Type]]="MAKE", WFTracker[[#This Row],[Due date]]+Filters!$J$111, WFTracker[[#This Row],[Due date]]+Filters!$J$135)</f>
        <v>45896.415686274508</v>
      </c>
      <c r="AM257" s="104" cm="1">
        <f t="array" ref="AM257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58" spans="1:39" ht="14.45">
      <c r="A258" t="str">
        <f>IF(WFTracker[[#This Row],[Order Number]]="SWBD", "QED2", "PZ4")</f>
        <v>PZ4</v>
      </c>
      <c r="B258" s="21" t="s">
        <v>436</v>
      </c>
      <c r="C258" s="26" t="s">
        <v>165</v>
      </c>
      <c r="D258" s="11" t="str">
        <f>WFTracker[[#This Row],[Order Number]]  &amp; "-" &amp; WFTracker[[#This Row],[Item]]</f>
        <v>0051436816-000030</v>
      </c>
      <c r="E258" s="23" t="s">
        <v>437</v>
      </c>
      <c r="F258" s="41">
        <v>46017</v>
      </c>
      <c r="G258" s="27">
        <v>46010</v>
      </c>
      <c r="H258" t="s">
        <v>113</v>
      </c>
      <c r="I258" t="s">
        <v>37</v>
      </c>
      <c r="J258" s="32" t="s">
        <v>1222</v>
      </c>
      <c r="K258" s="28" t="s">
        <v>1023</v>
      </c>
      <c r="L258" s="15" t="s">
        <v>27</v>
      </c>
      <c r="M258" s="29" t="s">
        <v>438</v>
      </c>
      <c r="N258" s="57">
        <v>46098</v>
      </c>
      <c r="O258" s="15">
        <f>NETWORKDAYS.INTL(WFTracker[[#This Row],[Start date]],WFTracker[[#This Row],[RM]],1,Holidays!D620:D635)</f>
        <v>96</v>
      </c>
      <c r="P258" s="12">
        <v>45884</v>
      </c>
      <c r="Q258" s="12">
        <v>45891</v>
      </c>
      <c r="R258" s="12">
        <v>45891</v>
      </c>
      <c r="S258" s="27" t="b">
        <f>ISBLANK(WFTracker[[#This Row],[Completion Date]])</f>
        <v>0</v>
      </c>
      <c r="T258" s="27" t="str">
        <f>TEXT(WFTracker[[#This Row],[Start date]],"mmm-yyyy")</f>
        <v>Aug-2025</v>
      </c>
      <c r="U258" s="11">
        <v>10</v>
      </c>
      <c r="V258" s="11">
        <f>NETWORKDAYS.INTL(WFTracker[[#This Row],[Start date]],WFTracker[[#This Row],[Due date]],1,Holidays!D620:D635)</f>
        <v>6</v>
      </c>
      <c r="W2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58" s="30">
        <f ca="1">WFTracker[[#This Row],[Active Time]]-WFTracker[[#This Row],[Completion Days Template]]</f>
        <v>0</v>
      </c>
      <c r="Y258" s="34" t="str">
        <f ca="1" xml:space="preserve"> IF(WFTracker[[#This Row],[Overdue Time '[Expected-Completion']]]&gt;0, "LATE","ON TIME")</f>
        <v>ON TIME</v>
      </c>
      <c r="Z258" s="34" t="str">
        <f ca="1">IF(WFTracker[[#This Row],[Overdue Time '[Expected-Completion']]] &gt;= 15, "SUPER LATE", Y258)</f>
        <v>ON TIME</v>
      </c>
      <c r="AA258" s="37" t="str">
        <f>IF(WFTracker[[#This Row],[Pre RM Opening Time]]&lt;WFTracker[[#This Row],[Old vs New Order Lead Time WF dead line]], "LATE BY ENG", "ON TIME BY ENG")</f>
        <v>ON TIME BY ENG</v>
      </c>
      <c r="AB258" s="37"/>
      <c r="AC258" s="15" t="str">
        <f>IF(WFTracker[[#This Row],[Competion Date Content]] = FALSE, "C", "i")</f>
        <v>C</v>
      </c>
      <c r="AD2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-83</v>
      </c>
      <c r="AE258" s="105" t="str">
        <f ca="1">IF(WFTracker[[#This Row],[Impact Time Post RM]]&gt;0, "IMPACTED", "NOT IMPACTED")</f>
        <v>NOT IMPACTED</v>
      </c>
      <c r="AF258" s="15"/>
      <c r="AG258" s="42"/>
      <c r="AH258" s="14" t="str">
        <f>IF(WFTracker[[#This Row],[Status]]="C", "Closed", IF(WFTracker[[#This Row],[Status]] = "x", "Cancelled", WFTracker[[#This Row],[Impact Time Post RM]]))</f>
        <v>Closed</v>
      </c>
      <c r="AI258" s="14" t="str">
        <f ca="1">IF(WFTracker[[#This Row],[Impact Time Post RM]]&lt;=0,"ON TIME","LATE")</f>
        <v>ON TIME</v>
      </c>
      <c r="AJ258" s="14" t="s">
        <v>984</v>
      </c>
      <c r="AK258" s="14">
        <v>18</v>
      </c>
      <c r="AL258" s="915">
        <f>IF(WFTracker[[#This Row],[Type]]="MAKE", WFTracker[[#This Row],[Due date]]+Filters!$J$111, WFTracker[[#This Row],[Due date]]+Filters!$J$135)</f>
        <v>45894.072512647552</v>
      </c>
      <c r="AM258" s="102" cm="1">
        <f t="array" ref="AM2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59" spans="1:39" ht="14.45">
      <c r="A259" t="str">
        <f>IF(WFTracker[[#This Row],[Order Number]]="SWBD", "QED2", "PZ4")</f>
        <v>PZ4</v>
      </c>
      <c r="B259" s="21" t="s">
        <v>418</v>
      </c>
      <c r="C259" s="26" t="s">
        <v>1218</v>
      </c>
      <c r="D259" s="23" t="str">
        <f>WFTracker[[#This Row],[Order Number]]  &amp; "-" &amp; WFTracker[[#This Row],[Item]]</f>
        <v>0051139077-000030&amp;000110&amp;000290</v>
      </c>
      <c r="E259" s="23" t="s">
        <v>419</v>
      </c>
      <c r="F259" s="41">
        <v>45898</v>
      </c>
      <c r="G259" s="41"/>
      <c r="H259" s="11" t="s">
        <v>99</v>
      </c>
      <c r="I259" s="11" t="s">
        <v>24</v>
      </c>
      <c r="J259" s="13" t="s">
        <v>421</v>
      </c>
      <c r="K259" s="14" t="s">
        <v>1017</v>
      </c>
      <c r="L259" s="15" t="s">
        <v>27</v>
      </c>
      <c r="M259" s="29" t="s">
        <v>1120</v>
      </c>
      <c r="N259" s="57">
        <v>46112</v>
      </c>
      <c r="O259" s="15">
        <f>NETWORKDAYS.INTL(WFTracker[[#This Row],[Start date]],WFTracker[[#This Row],[RM]],1,Holidays!D225:D240)</f>
        <v>10</v>
      </c>
      <c r="P259" s="12">
        <v>45887</v>
      </c>
      <c r="Q259" s="12">
        <v>45894</v>
      </c>
      <c r="R259" s="12">
        <v>45894</v>
      </c>
      <c r="S259" s="12" t="b">
        <f>ISBLANK(WFTracker[[#This Row],[Completion Date]])</f>
        <v>0</v>
      </c>
      <c r="T259" s="12" t="str">
        <f>TEXT(WFTracker[[#This Row],[Start date]],"mmm-yyyy")</f>
        <v>Aug-2025</v>
      </c>
      <c r="U259" s="11">
        <v>5</v>
      </c>
      <c r="V259" s="11">
        <f>NETWORKDAYS.INTL(WFTracker[[#This Row],[Start date]],WFTracker[[#This Row],[Due date]],1,Holidays!D225:D240)</f>
        <v>6</v>
      </c>
      <c r="W2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59" s="24">
        <f ca="1">WFTracker[[#This Row],[Active Time]]-WFTracker[[#This Row],[Completion Days Template]]</f>
        <v>0</v>
      </c>
      <c r="Y259" s="16" t="str">
        <f ca="1" xml:space="preserve"> IF(WFTracker[[#This Row],[Overdue Time '[Expected-Completion']]]&gt;0, "LATE","ON TIME")</f>
        <v>ON TIME</v>
      </c>
      <c r="Z259" s="16" t="str">
        <f ca="1">IF(WFTracker[[#This Row],[Overdue Time '[Expected-Completion']]] &gt;= 15, "SUPER LATE", Y259)</f>
        <v>ON TIME</v>
      </c>
      <c r="AA259" s="37" t="str">
        <f>IF(WFTracker[[#This Row],[Pre RM Opening Time]]&lt;WFTracker[[#This Row],[Old vs New Order Lead Time WF dead line]], "LATE BY ENG", "ON TIME BY ENG")</f>
        <v>ON TIME BY ENG</v>
      </c>
      <c r="AB259" s="37"/>
      <c r="AC259" s="15" t="str">
        <f>IF(WFTracker[[#This Row],[Competion Date Content]] = FALSE, "C", "i")</f>
        <v>C</v>
      </c>
      <c r="AD2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259" s="37" t="str">
        <f ca="1">IF(WFTracker[[#This Row],[Impact Time Post RM]]&gt;0, "IMPACTED", "NOT IMPACTED")</f>
        <v>NOT IMPACTED</v>
      </c>
      <c r="AF259" s="15"/>
      <c r="AG259" s="18"/>
      <c r="AH259" s="14" t="str">
        <f>IF(WFTracker[[#This Row],[Status]]="C", "Closed", IF(WFTracker[[#This Row],[Status]] = "x", "Cancelled", WFTracker[[#This Row],[Impact Time Post RM]]))</f>
        <v>Closed</v>
      </c>
      <c r="AI259" s="14" t="str">
        <f ca="1">IF(WFTracker[[#This Row],[Impact Time Post RM]]&lt;=0,"ON TIME","LATE")</f>
        <v>ON TIME</v>
      </c>
      <c r="AJ259" s="14" t="s">
        <v>984</v>
      </c>
      <c r="AK259" s="14">
        <v>18</v>
      </c>
      <c r="AL259" s="915">
        <f>IF(WFTracker[[#This Row],[Type]]="MAKE", WFTracker[[#This Row],[Due date]]+Filters!$J$111, WFTracker[[#This Row],[Due date]]+Filters!$J$135)</f>
        <v>45897.072512647552</v>
      </c>
      <c r="AM259" s="102" cm="1">
        <f t="array" ref="AM2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0" spans="1:39" ht="14.45">
      <c r="A260" t="str">
        <f>IF(WFTracker[[#This Row],[Order Number]]="SWBD", "QED2", "PZ4")</f>
        <v>PZ4</v>
      </c>
      <c r="B260" s="21" t="s">
        <v>423</v>
      </c>
      <c r="C260" s="26" t="s">
        <v>286</v>
      </c>
      <c r="D260" s="23" t="str">
        <f>WFTracker[[#This Row],[Order Number]]  &amp; "-" &amp; WFTracker[[#This Row],[Item]]</f>
        <v>0051027340-000100</v>
      </c>
      <c r="E260" s="23" t="s">
        <v>424</v>
      </c>
      <c r="F260" s="41">
        <v>45898</v>
      </c>
      <c r="G260" s="41"/>
      <c r="H260" s="11" t="s">
        <v>36</v>
      </c>
      <c r="I260" s="11" t="s">
        <v>238</v>
      </c>
      <c r="J260" s="32" t="s">
        <v>426</v>
      </c>
      <c r="K260" s="28" t="s">
        <v>1017</v>
      </c>
      <c r="L260" s="15" t="s">
        <v>27</v>
      </c>
      <c r="M260" s="29" t="s">
        <v>1120</v>
      </c>
      <c r="N260" s="57">
        <v>46021</v>
      </c>
      <c r="O260" s="15">
        <f>NETWORKDAYS.INTL(WFTracker[[#This Row],[Start date]],WFTracker[[#This Row],[RM]],1,Holidays!D226:D241)</f>
        <v>10</v>
      </c>
      <c r="P260" s="12">
        <v>45887</v>
      </c>
      <c r="Q260" s="12">
        <v>45895</v>
      </c>
      <c r="R260" s="12">
        <v>45899</v>
      </c>
      <c r="S260" s="27" t="b">
        <f>ISBLANK(WFTracker[[#This Row],[Completion Date]])</f>
        <v>0</v>
      </c>
      <c r="T260" s="27" t="str">
        <f>TEXT(WFTracker[[#This Row],[Start date]],"mmm-yyyy")</f>
        <v>Aug-2025</v>
      </c>
      <c r="U260" s="11">
        <v>5</v>
      </c>
      <c r="V260" s="11">
        <f>NETWORKDAYS.INTL(WFTracker[[#This Row],[Start date]],WFTracker[[#This Row],[Due date]],1,Holidays!D226:D241)</f>
        <v>7</v>
      </c>
      <c r="W2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60" s="30">
        <f ca="1">WFTracker[[#This Row],[Active Time]]-WFTracker[[#This Row],[Completion Days Template]]</f>
        <v>3</v>
      </c>
      <c r="Y260" s="34" t="str">
        <f ca="1" xml:space="preserve"> IF(WFTracker[[#This Row],[Overdue Time '[Expected-Completion']]]&gt;0, "LATE","ON TIME")</f>
        <v>LATE</v>
      </c>
      <c r="Z260" s="34" t="str">
        <f ca="1">IF(WFTracker[[#This Row],[Overdue Time '[Expected-Completion']]] &gt;= 15, "SUPER LATE", Y260)</f>
        <v>LATE</v>
      </c>
      <c r="AA260" s="37" t="str">
        <f>IF(WFTracker[[#This Row],[Pre RM Opening Time]]&lt;WFTracker[[#This Row],[Old vs New Order Lead Time WF dead line]], "LATE BY ENG", "ON TIME BY ENG")</f>
        <v>ON TIME BY ENG</v>
      </c>
      <c r="AB260" s="37"/>
      <c r="AC260" s="15" t="str">
        <f>IF(WFTracker[[#This Row],[Competion Date Content]] = FALSE, "C", "i")</f>
        <v>C</v>
      </c>
      <c r="AD2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260" s="105" t="str">
        <f ca="1">IF(WFTracker[[#This Row],[Impact Time Post RM]]&gt;0, "IMPACTED", "NOT IMPACTED")</f>
        <v>IMPACTED</v>
      </c>
      <c r="AF260" s="15"/>
      <c r="AG260" s="42"/>
      <c r="AH260" s="14" t="str">
        <f>IF(WFTracker[[#This Row],[Status]]="C", "Closed", IF(WFTracker[[#This Row],[Status]] = "x", "Cancelled", WFTracker[[#This Row],[Impact Time Post RM]]))</f>
        <v>Closed</v>
      </c>
      <c r="AI260" s="14" t="str">
        <f ca="1">IF(WFTracker[[#This Row],[Impact Time Post RM]]&lt;=0,"ON TIME","LATE")</f>
        <v>LATE</v>
      </c>
      <c r="AJ260" s="14" t="s">
        <v>984</v>
      </c>
      <c r="AK260" s="14">
        <v>18</v>
      </c>
      <c r="AL260" s="915">
        <f>IF(WFTracker[[#This Row],[Type]]="MAKE", WFTracker[[#This Row],[Due date]]+Filters!$J$111, WFTracker[[#This Row],[Due date]]+Filters!$J$135)</f>
        <v>45898.072512647552</v>
      </c>
      <c r="AM260" s="102" cm="1">
        <f t="array" ref="AM2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1" spans="1:39" ht="14.45">
      <c r="A261" t="str">
        <f>IF(WFTracker[[#This Row],[Order Number]]="SWBD", "QED2", "PZ4")</f>
        <v>PZ4</v>
      </c>
      <c r="B261" s="21" t="s">
        <v>418</v>
      </c>
      <c r="C261" s="26" t="s">
        <v>1218</v>
      </c>
      <c r="D261" s="23" t="str">
        <f>WFTracker[[#This Row],[Order Number]]  &amp; "-" &amp; WFTracker[[#This Row],[Item]]</f>
        <v>0051139077-000030&amp;000110&amp;000290</v>
      </c>
      <c r="E261" s="23" t="s">
        <v>419</v>
      </c>
      <c r="F261" s="41">
        <v>45898</v>
      </c>
      <c r="G261" s="41"/>
      <c r="H261" s="11" t="s">
        <v>99</v>
      </c>
      <c r="I261" s="11" t="s">
        <v>24</v>
      </c>
      <c r="J261" s="13" t="s">
        <v>420</v>
      </c>
      <c r="K261" s="14" t="s">
        <v>1017</v>
      </c>
      <c r="L261" s="15" t="s">
        <v>40</v>
      </c>
      <c r="M261" s="29" t="s">
        <v>1120</v>
      </c>
      <c r="N261" s="57">
        <v>46026</v>
      </c>
      <c r="O261" s="15">
        <f>NETWORKDAYS.INTL(WFTracker[[#This Row],[Start date]],WFTracker[[#This Row],[RM]],1,Holidays!D227:D242)</f>
        <v>10</v>
      </c>
      <c r="P261" s="12">
        <v>45887</v>
      </c>
      <c r="Q261" s="12">
        <v>45897</v>
      </c>
      <c r="R261" s="12">
        <v>45897</v>
      </c>
      <c r="S261" s="12" t="b">
        <f>ISBLANK(WFTracker[[#This Row],[Completion Date]])</f>
        <v>0</v>
      </c>
      <c r="T261" s="12" t="str">
        <f>TEXT(WFTracker[[#This Row],[Start date]],"mmm-yyyy")</f>
        <v>Aug-2025</v>
      </c>
      <c r="U261" s="11">
        <v>5</v>
      </c>
      <c r="V261" s="11">
        <f>NETWORKDAYS.INTL(WFTracker[[#This Row],[Start date]],WFTracker[[#This Row],[Due date]],1,Holidays!D227:D242)</f>
        <v>9</v>
      </c>
      <c r="W2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61" s="24">
        <f ca="1">WFTracker[[#This Row],[Active Time]]-WFTracker[[#This Row],[Completion Days Template]]</f>
        <v>0</v>
      </c>
      <c r="Y261" s="16" t="str">
        <f ca="1" xml:space="preserve"> IF(WFTracker[[#This Row],[Overdue Time '[Expected-Completion']]]&gt;0, "LATE","ON TIME")</f>
        <v>ON TIME</v>
      </c>
      <c r="Z261" s="16" t="str">
        <f ca="1">IF(WFTracker[[#This Row],[Overdue Time '[Expected-Completion']]] &gt;= 15, "SUPER LATE", Y261)</f>
        <v>ON TIME</v>
      </c>
      <c r="AA261" s="37" t="str">
        <f>IF(WFTracker[[#This Row],[Pre RM Opening Time]]&lt;WFTracker[[#This Row],[Old vs New Order Lead Time WF dead line]], "LATE BY ENG", "ON TIME BY ENG")</f>
        <v>ON TIME BY ENG</v>
      </c>
      <c r="AB261" s="37"/>
      <c r="AC261" s="15" t="str">
        <f>IF(WFTracker[[#This Row],[Competion Date Content]] = FALSE, "C", "i")</f>
        <v>C</v>
      </c>
      <c r="AD2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261" s="37" t="str">
        <f ca="1">IF(WFTracker[[#This Row],[Impact Time Post RM]]&gt;0, "IMPACTED", "NOT IMPACTED")</f>
        <v>NOT IMPACTED</v>
      </c>
      <c r="AF261" s="15"/>
      <c r="AG261" s="18"/>
      <c r="AH261" s="14" t="str">
        <f>IF(WFTracker[[#This Row],[Status]]="C", "Closed", IF(WFTracker[[#This Row],[Status]] = "x", "Cancelled", WFTracker[[#This Row],[Impact Time Post RM]]))</f>
        <v>Closed</v>
      </c>
      <c r="AI261" s="14" t="str">
        <f ca="1">IF(WFTracker[[#This Row],[Impact Time Post RM]]&lt;=0,"ON TIME","LATE")</f>
        <v>ON TIME</v>
      </c>
      <c r="AJ261" s="14" t="s">
        <v>984</v>
      </c>
      <c r="AK261" s="14">
        <v>17</v>
      </c>
      <c r="AL261" s="915">
        <f>IF(WFTracker[[#This Row],[Type]]="MAKE", WFTracker[[#This Row],[Due date]]+Filters!$J$111, WFTracker[[#This Row],[Due date]]+Filters!$J$135)</f>
        <v>45897.415686274508</v>
      </c>
      <c r="AM261" s="102" cm="1">
        <f t="array" ref="AM2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2" spans="1:39" ht="14.45">
      <c r="A262" t="str">
        <f>IF(WFTracker[[#This Row],[Order Number]]="SWBD", "QED2", "PZ4")</f>
        <v>PZ4</v>
      </c>
      <c r="B262" s="21" t="s">
        <v>423</v>
      </c>
      <c r="C262" s="26" t="s">
        <v>286</v>
      </c>
      <c r="D262" s="23" t="str">
        <f>WFTracker[[#This Row],[Order Number]]  &amp; "-" &amp; WFTracker[[#This Row],[Item]]</f>
        <v>0051027340-000100</v>
      </c>
      <c r="E262" s="23" t="s">
        <v>424</v>
      </c>
      <c r="F262" s="41">
        <v>45898</v>
      </c>
      <c r="G262" s="41"/>
      <c r="H262" s="11" t="s">
        <v>36</v>
      </c>
      <c r="I262" s="11" t="s">
        <v>238</v>
      </c>
      <c r="J262" s="32" t="s">
        <v>425</v>
      </c>
      <c r="K262" s="28" t="s">
        <v>1017</v>
      </c>
      <c r="L262" s="15" t="s">
        <v>40</v>
      </c>
      <c r="M262" s="29" t="s">
        <v>1120</v>
      </c>
      <c r="N262" s="57">
        <v>46021</v>
      </c>
      <c r="O262" s="15">
        <f>NETWORKDAYS.INTL(WFTracker[[#This Row],[Start date]],WFTracker[[#This Row],[RM]],1,Holidays!D228:D243)</f>
        <v>10</v>
      </c>
      <c r="P262" s="12">
        <v>45887</v>
      </c>
      <c r="Q262" s="12">
        <v>45897</v>
      </c>
      <c r="R262" s="12">
        <v>45898</v>
      </c>
      <c r="S262" s="27" t="b">
        <f>ISBLANK(WFTracker[[#This Row],[Completion Date]])</f>
        <v>0</v>
      </c>
      <c r="T262" s="27" t="str">
        <f>TEXT(WFTracker[[#This Row],[Start date]],"mmm-yyyy")</f>
        <v>Aug-2025</v>
      </c>
      <c r="U262" s="11">
        <v>5</v>
      </c>
      <c r="V262" s="11">
        <f>NETWORKDAYS.INTL(WFTracker[[#This Row],[Start date]],WFTracker[[#This Row],[Due date]],1,Holidays!D228:D243)</f>
        <v>9</v>
      </c>
      <c r="W2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62" s="30">
        <f ca="1">WFTracker[[#This Row],[Active Time]]-WFTracker[[#This Row],[Completion Days Template]]</f>
        <v>1</v>
      </c>
      <c r="Y262" s="34" t="str">
        <f ca="1" xml:space="preserve"> IF(WFTracker[[#This Row],[Overdue Time '[Expected-Completion']]]&gt;0, "LATE","ON TIME")</f>
        <v>LATE</v>
      </c>
      <c r="Z262" s="34" t="str">
        <f ca="1">IF(WFTracker[[#This Row],[Overdue Time '[Expected-Completion']]] &gt;= 15, "SUPER LATE", Y262)</f>
        <v>LATE</v>
      </c>
      <c r="AA262" s="37" t="str">
        <f>IF(WFTracker[[#This Row],[Pre RM Opening Time]]&lt;WFTracker[[#This Row],[Old vs New Order Lead Time WF dead line]], "LATE BY ENG", "ON TIME BY ENG")</f>
        <v>ON TIME BY ENG</v>
      </c>
      <c r="AB262" s="37"/>
      <c r="AC262" s="15" t="str">
        <f>IF(WFTracker[[#This Row],[Competion Date Content]] = FALSE, "C", "i")</f>
        <v>C</v>
      </c>
      <c r="AD2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262" s="105" t="str">
        <f ca="1">IF(WFTracker[[#This Row],[Impact Time Post RM]]&gt;0, "IMPACTED", "NOT IMPACTED")</f>
        <v>IMPACTED</v>
      </c>
      <c r="AF262" s="15"/>
      <c r="AG262" s="42"/>
      <c r="AH262" s="14" t="str">
        <f>IF(WFTracker[[#This Row],[Status]]="C", "Closed", IF(WFTracker[[#This Row],[Status]] = "x", "Cancelled", WFTracker[[#This Row],[Impact Time Post RM]]))</f>
        <v>Closed</v>
      </c>
      <c r="AI262" s="14" t="str">
        <f ca="1">IF(WFTracker[[#This Row],[Impact Time Post RM]]&lt;=0,"ON TIME","LATE")</f>
        <v>LATE</v>
      </c>
      <c r="AJ262" s="14" t="s">
        <v>984</v>
      </c>
      <c r="AK262" s="14">
        <v>17</v>
      </c>
      <c r="AL262" s="915">
        <f>IF(WFTracker[[#This Row],[Type]]="MAKE", WFTracker[[#This Row],[Due date]]+Filters!$J$111, WFTracker[[#This Row],[Due date]]+Filters!$J$135)</f>
        <v>45897.415686274508</v>
      </c>
      <c r="AM262" s="102" cm="1">
        <f t="array" ref="AM2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3" spans="1:39" ht="14.45">
      <c r="A263" t="str">
        <f>IF(WFTracker[[#This Row],[Order Number]]="SWBD", "QED2", "PZ4")</f>
        <v>PZ4</v>
      </c>
      <c r="B263" s="21" t="s">
        <v>408</v>
      </c>
      <c r="C263" s="26" t="s">
        <v>416</v>
      </c>
      <c r="D263" s="905" t="str">
        <f>WFTracker[[#This Row],[Order Number]]  &amp; "-" &amp; WFTracker[[#This Row],[Item]]</f>
        <v>0050753978-003780</v>
      </c>
      <c r="E263" s="26" t="s">
        <v>410</v>
      </c>
      <c r="F263" s="41">
        <v>45898</v>
      </c>
      <c r="G263" s="107"/>
      <c r="H263" s="1080" t="s">
        <v>137</v>
      </c>
      <c r="I263" s="907" t="s">
        <v>264</v>
      </c>
      <c r="J263" s="13" t="s">
        <v>417</v>
      </c>
      <c r="K263" s="14" t="s">
        <v>1017</v>
      </c>
      <c r="L263" s="15" t="s">
        <v>27</v>
      </c>
      <c r="M263" s="29" t="s">
        <v>1120</v>
      </c>
      <c r="N263" s="57">
        <v>46026</v>
      </c>
      <c r="O263" s="15">
        <f>NETWORKDAYS.INTL(WFTracker[[#This Row],[Start date]],WFTracker[[#This Row],[RM]],1,Holidays!D194:D209)</f>
        <v>9</v>
      </c>
      <c r="P263" s="12">
        <v>45888</v>
      </c>
      <c r="Q263" s="12">
        <v>45895</v>
      </c>
      <c r="R263" s="12">
        <v>45899</v>
      </c>
      <c r="S263" s="12" t="b">
        <f>ISBLANK(WFTracker[[#This Row],[Completion Date]])</f>
        <v>0</v>
      </c>
      <c r="T263" s="12" t="str">
        <f>TEXT(WFTracker[[#This Row],[Start date]],"mmm-yyyy")</f>
        <v>Aug-2025</v>
      </c>
      <c r="U263" s="11">
        <v>5</v>
      </c>
      <c r="V263" s="11">
        <f>NETWORKDAYS.INTL(WFTracker[[#This Row],[Start date]],WFTracker[[#This Row],[Due date]],1,Holidays!D194:D209)</f>
        <v>6</v>
      </c>
      <c r="W2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63" s="24">
        <f ca="1">WFTracker[[#This Row],[Active Time]]-WFTracker[[#This Row],[Completion Days Template]]</f>
        <v>3</v>
      </c>
      <c r="Y263" s="16" t="str">
        <f ca="1" xml:space="preserve"> IF(WFTracker[[#This Row],[Overdue Time '[Expected-Completion']]]&gt;0, "LATE","ON TIME")</f>
        <v>LATE</v>
      </c>
      <c r="Z263" s="16" t="str">
        <f ca="1">IF(WFTracker[[#This Row],[Overdue Time '[Expected-Completion']]] &gt;= 15, "SUPER LATE", Y263)</f>
        <v>LATE</v>
      </c>
      <c r="AA263" s="37" t="str">
        <f>IF(WFTracker[[#This Row],[Pre RM Opening Time]]&lt;WFTracker[[#This Row],[Old vs New Order Lead Time WF dead line]], "LATE BY ENG", "ON TIME BY ENG")</f>
        <v>ON TIME BY ENG</v>
      </c>
      <c r="AB263" s="37"/>
      <c r="AC263" s="15" t="str">
        <f>IF(WFTracker[[#This Row],[Competion Date Content]] = FALSE, "C", "i")</f>
        <v>C</v>
      </c>
      <c r="AD2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263" s="37" t="str">
        <f ca="1">IF(WFTracker[[#This Row],[Impact Time Post RM]]&gt;0, "IMPACTED", "NOT IMPACTED")</f>
        <v>IMPACTED</v>
      </c>
      <c r="AF263" s="15"/>
      <c r="AG263" s="18"/>
      <c r="AH263" s="14" t="str">
        <f>IF(WFTracker[[#This Row],[Status]]="C", "Closed", IF(WFTracker[[#This Row],[Status]] = "x", "Cancelled", WFTracker[[#This Row],[Impact Time Post RM]]))</f>
        <v>Closed</v>
      </c>
      <c r="AI263" s="14" t="str">
        <f ca="1">IF(WFTracker[[#This Row],[Impact Time Post RM]]&lt;=0,"ON TIME","LATE")</f>
        <v>LATE</v>
      </c>
      <c r="AJ263" s="14" t="s">
        <v>984</v>
      </c>
      <c r="AK263" s="14">
        <v>18</v>
      </c>
      <c r="AL263" s="915">
        <f>IF(WFTracker[[#This Row],[Type]]="MAKE", WFTracker[[#This Row],[Due date]]+Filters!$J$111, WFTracker[[#This Row],[Due date]]+Filters!$J$135)</f>
        <v>45898.072512647552</v>
      </c>
      <c r="AM263" s="102" cm="1">
        <f t="array" ref="AM2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4" spans="1:39" ht="14.45">
      <c r="A264" t="str">
        <f>IF(WFTracker[[#This Row],[Order Number]]="SWBD", "QED2", "PZ4")</f>
        <v>PZ4</v>
      </c>
      <c r="B264" s="21" t="s">
        <v>408</v>
      </c>
      <c r="C264" s="26" t="s">
        <v>412</v>
      </c>
      <c r="D264" s="26" t="str">
        <f>WFTracker[[#This Row],[Order Number]]  &amp; "-" &amp; WFTracker[[#This Row],[Item]]</f>
        <v>0050753978-003790</v>
      </c>
      <c r="E264" s="21" t="s">
        <v>410</v>
      </c>
      <c r="F264" s="41">
        <v>45898</v>
      </c>
      <c r="G264" s="41"/>
      <c r="H264" s="11" t="s">
        <v>137</v>
      </c>
      <c r="I264" s="11" t="s">
        <v>260</v>
      </c>
      <c r="J264" s="32" t="s">
        <v>413</v>
      </c>
      <c r="K264" s="28" t="s">
        <v>1017</v>
      </c>
      <c r="L264" s="15" t="s">
        <v>27</v>
      </c>
      <c r="M264" s="29" t="s">
        <v>1120</v>
      </c>
      <c r="N264" s="57">
        <v>46177</v>
      </c>
      <c r="O264" s="15">
        <f>NETWORKDAYS.INTL(WFTracker[[#This Row],[Start date]],WFTracker[[#This Row],[RM]],1,Holidays!D195:D210)</f>
        <v>9</v>
      </c>
      <c r="P264" s="12">
        <v>45888</v>
      </c>
      <c r="Q264" s="12">
        <v>45895</v>
      </c>
      <c r="R264" s="12">
        <v>45894</v>
      </c>
      <c r="S264" s="27" t="b">
        <f>ISBLANK(WFTracker[[#This Row],[Completion Date]])</f>
        <v>0</v>
      </c>
      <c r="T264" s="27" t="str">
        <f>TEXT(WFTracker[[#This Row],[Start date]],"mmm-yyyy")</f>
        <v>Aug-2025</v>
      </c>
      <c r="U264" s="11">
        <v>5</v>
      </c>
      <c r="V264" s="11">
        <f>NETWORKDAYS.INTL(WFTracker[[#This Row],[Start date]],WFTracker[[#This Row],[Due date]],1,Holidays!D195:D210)</f>
        <v>6</v>
      </c>
      <c r="W2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64" s="30">
        <f ca="1">WFTracker[[#This Row],[Active Time]]-WFTracker[[#This Row],[Completion Days Template]]</f>
        <v>-1</v>
      </c>
      <c r="Y264" s="34" t="str">
        <f ca="1" xml:space="preserve"> IF(WFTracker[[#This Row],[Overdue Time '[Expected-Completion']]]&gt;0, "LATE","ON TIME")</f>
        <v>ON TIME</v>
      </c>
      <c r="Z264" s="34" t="str">
        <f ca="1">IF(WFTracker[[#This Row],[Overdue Time '[Expected-Completion']]] &gt;= 15, "SUPER LATE", Y264)</f>
        <v>ON TIME</v>
      </c>
      <c r="AA264" s="37" t="str">
        <f>IF(WFTracker[[#This Row],[Pre RM Opening Time]]&lt;WFTracker[[#This Row],[Old vs New Order Lead Time WF dead line]], "LATE BY ENG", "ON TIME BY ENG")</f>
        <v>ON TIME BY ENG</v>
      </c>
      <c r="AB264" s="37"/>
      <c r="AC264" s="15" t="str">
        <f>IF(WFTracker[[#This Row],[Competion Date Content]] = FALSE, "C", "i")</f>
        <v>C</v>
      </c>
      <c r="AD2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264" s="105" t="str">
        <f ca="1">IF(WFTracker[[#This Row],[Impact Time Post RM]]&gt;0, "IMPACTED", "NOT IMPACTED")</f>
        <v>NOT IMPACTED</v>
      </c>
      <c r="AF264" s="15"/>
      <c r="AG264" s="42"/>
      <c r="AH264" s="14" t="str">
        <f>IF(WFTracker[[#This Row],[Status]]="C", "Closed", IF(WFTracker[[#This Row],[Status]] = "x", "Cancelled", WFTracker[[#This Row],[Impact Time Post RM]]))</f>
        <v>Closed</v>
      </c>
      <c r="AI264" s="14" t="str">
        <f ca="1">IF(WFTracker[[#This Row],[Impact Time Post RM]]&lt;=0,"ON TIME","LATE")</f>
        <v>ON TIME</v>
      </c>
      <c r="AJ264" s="14" t="s">
        <v>984</v>
      </c>
      <c r="AK264" s="14">
        <v>18</v>
      </c>
      <c r="AL264" s="915">
        <f>IF(WFTracker[[#This Row],[Type]]="MAKE", WFTracker[[#This Row],[Due date]]+Filters!$J$111, WFTracker[[#This Row],[Due date]]+Filters!$J$135)</f>
        <v>45898.072512647552</v>
      </c>
      <c r="AM264" s="102" cm="1">
        <f t="array" ref="AM2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5" spans="1:39" ht="14.45">
      <c r="A265" t="str">
        <f>IF(WFTracker[[#This Row],[Order Number]]="SWBD", "QED2", "PZ4")</f>
        <v>PZ4</v>
      </c>
      <c r="B265" s="21" t="s">
        <v>427</v>
      </c>
      <c r="C265" s="26" t="s">
        <v>293</v>
      </c>
      <c r="D265" s="26" t="str">
        <f>WFTracker[[#This Row],[Order Number]]  &amp; "-" &amp; WFTracker[[#This Row],[Item]]</f>
        <v>0051359498-000080</v>
      </c>
      <c r="E265" s="21" t="s">
        <v>428</v>
      </c>
      <c r="F265" s="41">
        <v>45898</v>
      </c>
      <c r="G265" s="107"/>
      <c r="H265" t="s">
        <v>252</v>
      </c>
      <c r="I265" t="s">
        <v>429</v>
      </c>
      <c r="J265" s="32" t="s">
        <v>430</v>
      </c>
      <c r="K265" s="28" t="s">
        <v>1017</v>
      </c>
      <c r="L265" s="15" t="s">
        <v>27</v>
      </c>
      <c r="M265" s="29" t="s">
        <v>1120</v>
      </c>
      <c r="N265" s="57">
        <v>46021</v>
      </c>
      <c r="O265" s="15">
        <f>NETWORKDAYS.INTL(WFTracker[[#This Row],[Start date]],WFTracker[[#This Row],[RM]],1,Holidays!D196:D211)</f>
        <v>9</v>
      </c>
      <c r="P265" s="12">
        <v>45888</v>
      </c>
      <c r="Q265" s="12">
        <v>45895</v>
      </c>
      <c r="R265" s="12">
        <v>45894</v>
      </c>
      <c r="S265" s="27" t="b">
        <f>ISBLANK(WFTracker[[#This Row],[Completion Date]])</f>
        <v>0</v>
      </c>
      <c r="T265" s="27" t="str">
        <f>TEXT(WFTracker[[#This Row],[Start date]],"mmm-yyyy")</f>
        <v>Aug-2025</v>
      </c>
      <c r="U265" s="11">
        <v>5</v>
      </c>
      <c r="V265" s="11">
        <f>NETWORKDAYS.INTL(WFTracker[[#This Row],[Start date]],WFTracker[[#This Row],[Due date]],1,Holidays!D196:D211)</f>
        <v>6</v>
      </c>
      <c r="W2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65" s="30">
        <f ca="1">WFTracker[[#This Row],[Active Time]]-WFTracker[[#This Row],[Completion Days Template]]</f>
        <v>-1</v>
      </c>
      <c r="Y265" s="34" t="str">
        <f ca="1" xml:space="preserve"> IF(WFTracker[[#This Row],[Overdue Time '[Expected-Completion']]]&gt;0, "LATE","ON TIME")</f>
        <v>ON TIME</v>
      </c>
      <c r="Z265" s="34" t="str">
        <f ca="1">IF(WFTracker[[#This Row],[Overdue Time '[Expected-Completion']]] &gt;= 15, "SUPER LATE", Y265)</f>
        <v>ON TIME</v>
      </c>
      <c r="AA265" s="37" t="str">
        <f>IF(WFTracker[[#This Row],[Pre RM Opening Time]]&lt;WFTracker[[#This Row],[Old vs New Order Lead Time WF dead line]], "LATE BY ENG", "ON TIME BY ENG")</f>
        <v>ON TIME BY ENG</v>
      </c>
      <c r="AB265" s="37"/>
      <c r="AC265" s="15" t="str">
        <f>IF(WFTracker[[#This Row],[Competion Date Content]] = FALSE, "C", "i")</f>
        <v>C</v>
      </c>
      <c r="AD2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265" s="105" t="str">
        <f ca="1">IF(WFTracker[[#This Row],[Impact Time Post RM]]&gt;0, "IMPACTED", "NOT IMPACTED")</f>
        <v>NOT IMPACTED</v>
      </c>
      <c r="AF265" s="15"/>
      <c r="AG265" s="42"/>
      <c r="AH265" s="14" t="str">
        <f>IF(WFTracker[[#This Row],[Status]]="C", "Closed", IF(WFTracker[[#This Row],[Status]] = "x", "Cancelled", WFTracker[[#This Row],[Impact Time Post RM]]))</f>
        <v>Closed</v>
      </c>
      <c r="AI265" s="14" t="str">
        <f ca="1">IF(WFTracker[[#This Row],[Impact Time Post RM]]&lt;=0,"ON TIME","LATE")</f>
        <v>ON TIME</v>
      </c>
      <c r="AJ265" s="14" t="s">
        <v>984</v>
      </c>
      <c r="AK265" s="14">
        <v>18</v>
      </c>
      <c r="AL265" s="915">
        <f>IF(WFTracker[[#This Row],[Type]]="MAKE", WFTracker[[#This Row],[Due date]]+Filters!$J$111, WFTracker[[#This Row],[Due date]]+Filters!$J$135)</f>
        <v>45898.072512647552</v>
      </c>
      <c r="AM265" s="102" cm="1">
        <f t="array" ref="AM2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6" spans="1:39" ht="14.45">
      <c r="A266" t="str">
        <f>IF(WFTracker[[#This Row],[Order Number]]="SWBD", "QED2", "PZ4")</f>
        <v>PZ4</v>
      </c>
      <c r="B266" s="21" t="s">
        <v>418</v>
      </c>
      <c r="C266" s="23" t="s">
        <v>1218</v>
      </c>
      <c r="D266" s="21" t="str">
        <f>WFTracker[[#This Row],[Order Number]]  &amp; "-" &amp; WFTracker[[#This Row],[Item]]</f>
        <v>0051139077-000030&amp;000110&amp;000290</v>
      </c>
      <c r="E266" s="21" t="s">
        <v>419</v>
      </c>
      <c r="F266" s="41">
        <v>45898</v>
      </c>
      <c r="G266" s="41"/>
      <c r="H266" t="s">
        <v>99</v>
      </c>
      <c r="I266" t="s">
        <v>24</v>
      </c>
      <c r="J266" s="32" t="s">
        <v>1223</v>
      </c>
      <c r="K266" s="28" t="s">
        <v>1023</v>
      </c>
      <c r="L266" s="15" t="s">
        <v>27</v>
      </c>
      <c r="M266" s="29" t="s">
        <v>1120</v>
      </c>
      <c r="N266" s="57">
        <v>46112</v>
      </c>
      <c r="O266" s="15">
        <f>NETWORKDAYS.INTL(WFTracker[[#This Row],[Start date]],WFTracker[[#This Row],[RM]],1,Holidays!D197:D212)</f>
        <v>9</v>
      </c>
      <c r="P266" s="12">
        <v>45888</v>
      </c>
      <c r="Q266" s="12">
        <v>45895</v>
      </c>
      <c r="R266" s="12">
        <v>45895</v>
      </c>
      <c r="S266" s="27" t="b">
        <f>ISBLANK(WFTracker[[#This Row],[Completion Date]])</f>
        <v>0</v>
      </c>
      <c r="T266" s="27" t="str">
        <f>TEXT(WFTracker[[#This Row],[Start date]],"mmm-yyyy")</f>
        <v>Aug-2025</v>
      </c>
      <c r="U266" s="11">
        <v>5</v>
      </c>
      <c r="V266" s="11">
        <f>NETWORKDAYS.INTL(WFTracker[[#This Row],[Start date]],WFTracker[[#This Row],[Due date]],1,Holidays!D197:D212)</f>
        <v>6</v>
      </c>
      <c r="W2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66" s="30">
        <f ca="1">WFTracker[[#This Row],[Active Time]]-WFTracker[[#This Row],[Completion Days Template]]</f>
        <v>0</v>
      </c>
      <c r="Y266" s="34" t="str">
        <f ca="1" xml:space="preserve"> IF(WFTracker[[#This Row],[Overdue Time '[Expected-Completion']]]&gt;0, "LATE","ON TIME")</f>
        <v>ON TIME</v>
      </c>
      <c r="Z266" s="34" t="str">
        <f ca="1">IF(WFTracker[[#This Row],[Overdue Time '[Expected-Completion']]] &gt;= 15, "SUPER LATE", Y266)</f>
        <v>ON TIME</v>
      </c>
      <c r="AA266" s="37" t="str">
        <f>IF(WFTracker[[#This Row],[Pre RM Opening Time]]&lt;WFTracker[[#This Row],[Old vs New Order Lead Time WF dead line]], "LATE BY ENG", "ON TIME BY ENG")</f>
        <v>ON TIME BY ENG</v>
      </c>
      <c r="AB266" s="37"/>
      <c r="AC266" s="15" t="str">
        <f>IF(WFTracker[[#This Row],[Competion Date Content]] = FALSE, "C", "i")</f>
        <v>C</v>
      </c>
      <c r="AD2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266" s="105" t="str">
        <f ca="1">IF(WFTracker[[#This Row],[Impact Time Post RM]]&gt;0, "IMPACTED", "NOT IMPACTED")</f>
        <v>NOT IMPACTED</v>
      </c>
      <c r="AF266" s="15"/>
      <c r="AG266" s="42"/>
      <c r="AH266" s="14" t="str">
        <f>IF(WFTracker[[#This Row],[Status]]="C", "Closed", IF(WFTracker[[#This Row],[Status]] = "x", "Cancelled", WFTracker[[#This Row],[Impact Time Post RM]]))</f>
        <v>Closed</v>
      </c>
      <c r="AI266" s="14" t="str">
        <f ca="1">IF(WFTracker[[#This Row],[Impact Time Post RM]]&lt;=0,"ON TIME","LATE")</f>
        <v>ON TIME</v>
      </c>
      <c r="AJ266" s="14" t="s">
        <v>984</v>
      </c>
      <c r="AK266" s="14">
        <v>18</v>
      </c>
      <c r="AL266" s="915">
        <f>IF(WFTracker[[#This Row],[Type]]="MAKE", WFTracker[[#This Row],[Due date]]+Filters!$J$111, WFTracker[[#This Row],[Due date]]+Filters!$J$135)</f>
        <v>45898.072512647552</v>
      </c>
      <c r="AM266" s="102" cm="1">
        <f t="array" ref="AM26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7" spans="1:39" ht="14.45">
      <c r="A267" t="str">
        <f>IF(WFTracker[[#This Row],[Order Number]]="SWBD", "QED2", "PZ4")</f>
        <v>PZ4</v>
      </c>
      <c r="B267" s="21" t="s">
        <v>436</v>
      </c>
      <c r="C267" s="21" t="s">
        <v>165</v>
      </c>
      <c r="D267" s="21" t="str">
        <f>WFTracker[[#This Row],[Order Number]]  &amp; "-" &amp; WFTracker[[#This Row],[Item]]</f>
        <v>0051436816-000030</v>
      </c>
      <c r="E267" s="21" t="s">
        <v>437</v>
      </c>
      <c r="F267" s="41">
        <v>46017</v>
      </c>
      <c r="G267" s="27">
        <v>46010</v>
      </c>
      <c r="H267" t="s">
        <v>113</v>
      </c>
      <c r="I267" t="s">
        <v>37</v>
      </c>
      <c r="J267" s="32" t="s">
        <v>1224</v>
      </c>
      <c r="K267" s="28" t="s">
        <v>1023</v>
      </c>
      <c r="L267" s="15" t="s">
        <v>27</v>
      </c>
      <c r="M267" s="29" t="s">
        <v>438</v>
      </c>
      <c r="N267" s="57">
        <v>46098</v>
      </c>
      <c r="O267" s="15">
        <f>NETWORKDAYS.INTL(WFTracker[[#This Row],[Start date]],WFTracker[[#This Row],[RM]],1,Holidays!D618:D633)</f>
        <v>94</v>
      </c>
      <c r="P267" s="12">
        <v>45888</v>
      </c>
      <c r="Q267" s="12">
        <v>45895</v>
      </c>
      <c r="R267" s="12">
        <v>45894</v>
      </c>
      <c r="S267" s="27" t="b">
        <f>ISBLANK(WFTracker[[#This Row],[Completion Date]])</f>
        <v>0</v>
      </c>
      <c r="T267" s="27" t="str">
        <f>TEXT(WFTracker[[#This Row],[Start date]],"mmm-yyyy")</f>
        <v>Aug-2025</v>
      </c>
      <c r="U267" s="11">
        <v>10</v>
      </c>
      <c r="V267" s="11">
        <f>NETWORKDAYS.INTL(WFTracker[[#This Row],[Start date]],WFTracker[[#This Row],[Due date]],1,Holidays!D618:D633)</f>
        <v>6</v>
      </c>
      <c r="W2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67" s="30">
        <f ca="1">WFTracker[[#This Row],[Active Time]]-WFTracker[[#This Row],[Completion Days Template]]</f>
        <v>-1</v>
      </c>
      <c r="Y267" s="34" t="str">
        <f ca="1" xml:space="preserve"> IF(WFTracker[[#This Row],[Overdue Time '[Expected-Completion']]]&gt;0, "LATE","ON TIME")</f>
        <v>ON TIME</v>
      </c>
      <c r="Z267" s="34" t="str">
        <f ca="1">IF(WFTracker[[#This Row],[Overdue Time '[Expected-Completion']]] &gt;= 15, "SUPER LATE", Y267)</f>
        <v>ON TIME</v>
      </c>
      <c r="AA267" s="37" t="str">
        <f>IF(WFTracker[[#This Row],[Pre RM Opening Time]]&lt;WFTracker[[#This Row],[Old vs New Order Lead Time WF dead line]], "LATE BY ENG", "ON TIME BY ENG")</f>
        <v>ON TIME BY ENG</v>
      </c>
      <c r="AB267" s="37"/>
      <c r="AC267" s="15" t="str">
        <f>IF(WFTracker[[#This Row],[Competion Date Content]] = FALSE, "C", "i")</f>
        <v>C</v>
      </c>
      <c r="AD2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-82</v>
      </c>
      <c r="AE267" s="105" t="str">
        <f ca="1">IF(WFTracker[[#This Row],[Impact Time Post RM]]&gt;0, "IMPACTED", "NOT IMPACTED")</f>
        <v>NOT IMPACTED</v>
      </c>
      <c r="AF267" s="15"/>
      <c r="AG267" s="42"/>
      <c r="AH267" s="14" t="str">
        <f>IF(WFTracker[[#This Row],[Status]]="C", "Closed", IF(WFTracker[[#This Row],[Status]] = "x", "Cancelled", WFTracker[[#This Row],[Impact Time Post RM]]))</f>
        <v>Closed</v>
      </c>
      <c r="AI267" s="14" t="str">
        <f ca="1">IF(WFTracker[[#This Row],[Impact Time Post RM]]&lt;=0,"ON TIME","LATE")</f>
        <v>ON TIME</v>
      </c>
      <c r="AJ267" s="14" t="s">
        <v>984</v>
      </c>
      <c r="AK267" s="14">
        <v>18</v>
      </c>
      <c r="AL267" s="915">
        <f>IF(WFTracker[[#This Row],[Type]]="MAKE", WFTracker[[#This Row],[Due date]]+Filters!$J$111, WFTracker[[#This Row],[Due date]]+Filters!$J$135)</f>
        <v>45898.072512647552</v>
      </c>
      <c r="AM267" s="102" cm="1">
        <f t="array" ref="AM2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8" spans="1:39" ht="14.45">
      <c r="A268" t="str">
        <f>IF(WFTracker[[#This Row],[Order Number]]="SWBD", "QED2", "PZ4")</f>
        <v>PZ4</v>
      </c>
      <c r="B268" s="21" t="s">
        <v>1225</v>
      </c>
      <c r="C268" s="21" t="s">
        <v>1226</v>
      </c>
      <c r="D268" s="21" t="str">
        <f>WFTracker[[#This Row],[Order Number]]  &amp; "-" &amp; WFTracker[[#This Row],[Item]]</f>
        <v>0050847146-000200</v>
      </c>
      <c r="E268" s="21" t="s">
        <v>1227</v>
      </c>
      <c r="F268" s="41">
        <v>45895</v>
      </c>
      <c r="G268" s="107"/>
      <c r="H268" t="s">
        <v>237</v>
      </c>
      <c r="I268" t="s">
        <v>132</v>
      </c>
      <c r="J268" s="32" t="s">
        <v>1228</v>
      </c>
      <c r="K268" s="28" t="s">
        <v>1023</v>
      </c>
      <c r="L268" s="15" t="s">
        <v>40</v>
      </c>
      <c r="M268" s="29" t="s">
        <v>1120</v>
      </c>
      <c r="N268" s="57">
        <v>45889</v>
      </c>
      <c r="O268" s="15">
        <f>NETWORKDAYS.INTL(WFTracker[[#This Row],[Start date]],WFTracker[[#This Row],[RM]],1,Holidays!D96:D111)</f>
        <v>5</v>
      </c>
      <c r="P268" s="12">
        <v>45889</v>
      </c>
      <c r="Q268" s="12">
        <v>45901</v>
      </c>
      <c r="R268" s="12">
        <v>45898</v>
      </c>
      <c r="S268" s="27" t="b">
        <f>ISBLANK(WFTracker[[#This Row],[Completion Date]])</f>
        <v>0</v>
      </c>
      <c r="T268" s="27" t="str">
        <f>TEXT(WFTracker[[#This Row],[Start date]],"mmm-yyyy")</f>
        <v>Aug-2025</v>
      </c>
      <c r="U268" s="11">
        <v>5</v>
      </c>
      <c r="V268" s="11">
        <f>NETWORKDAYS.INTL(WFTracker[[#This Row],[Start date]],WFTracker[[#This Row],[Due date]],1,Holidays!D96:D111)</f>
        <v>9</v>
      </c>
      <c r="W2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68" s="30">
        <f ca="1">WFTracker[[#This Row],[Active Time]]-WFTracker[[#This Row],[Completion Days Template]]</f>
        <v>-1</v>
      </c>
      <c r="Y268" s="34" t="str">
        <f ca="1" xml:space="preserve"> IF(WFTracker[[#This Row],[Overdue Time '[Expected-Completion']]]&gt;0, "LATE","ON TIME")</f>
        <v>ON TIME</v>
      </c>
      <c r="Z268" s="34" t="str">
        <f ca="1">IF(WFTracker[[#This Row],[Overdue Time '[Expected-Completion']]] &gt;= 15, "SUPER LATE", Y268)</f>
        <v>ON TIME</v>
      </c>
      <c r="AA268" s="37" t="str">
        <f>IF(WFTracker[[#This Row],[Pre RM Opening Time]]&lt;WFTracker[[#This Row],[Old vs New Order Lead Time WF dead line]], "LATE BY ENG", "ON TIME BY ENG")</f>
        <v>ON TIME BY ENG</v>
      </c>
      <c r="AB268" s="37"/>
      <c r="AC268" s="15" t="str">
        <f>IF(WFTracker[[#This Row],[Competion Date Content]] = FALSE, "C", "i")</f>
        <v>C</v>
      </c>
      <c r="AD2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268" s="31" t="str">
        <f ca="1">IF(WFTracker[[#This Row],[Impact Time Post RM]]&gt;0, "IMPACTED", "NOT IMPACTED")</f>
        <v>IMPACTED</v>
      </c>
      <c r="AF268" s="15"/>
      <c r="AG268" s="42"/>
      <c r="AH268" s="14" t="str">
        <f>IF(WFTracker[[#This Row],[Status]]="C", "Closed", IF(WFTracker[[#This Row],[Status]] = "x", "Cancelled", WFTracker[[#This Row],[Impact Time Post RM]]))</f>
        <v>Closed</v>
      </c>
      <c r="AI268" s="14" t="str">
        <f ca="1">IF(WFTracker[[#This Row],[Impact Time Post RM]]&lt;=0,"ON TIME","LATE")</f>
        <v>LATE</v>
      </c>
      <c r="AJ268" s="14" t="s">
        <v>984</v>
      </c>
      <c r="AK268" s="14">
        <v>17</v>
      </c>
      <c r="AL268" s="915">
        <f>IF(WFTracker[[#This Row],[Type]]="MAKE", WFTracker[[#This Row],[Due date]]+Filters!$J$111, WFTracker[[#This Row],[Due date]]+Filters!$J$135)</f>
        <v>45901.415686274508</v>
      </c>
      <c r="AM268" s="102" cm="1">
        <f t="array" ref="AM2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69" spans="1:39" ht="14.45">
      <c r="A269" t="str">
        <f>IF(WFTracker[[#This Row],[Order Number]]="SWBD", "QED2", "PZ4")</f>
        <v>PZ4</v>
      </c>
      <c r="B269" s="21" t="s">
        <v>431</v>
      </c>
      <c r="C269" s="21" t="s">
        <v>214</v>
      </c>
      <c r="D269" s="21" t="str">
        <f>WFTracker[[#This Row],[Order Number]]  &amp; "-" &amp; WFTracker[[#This Row],[Item]]</f>
        <v>0051072452-000020</v>
      </c>
      <c r="E269" s="21" t="s">
        <v>1021</v>
      </c>
      <c r="F269" s="41">
        <v>45898</v>
      </c>
      <c r="G269" s="41"/>
      <c r="H269" s="11" t="s">
        <v>295</v>
      </c>
      <c r="I269" s="11" t="s">
        <v>111</v>
      </c>
      <c r="J269" s="13" t="s">
        <v>457</v>
      </c>
      <c r="K269" s="14" t="s">
        <v>1017</v>
      </c>
      <c r="L269" s="15" t="s">
        <v>27</v>
      </c>
      <c r="M269" s="29" t="s">
        <v>1120</v>
      </c>
      <c r="N269" s="57">
        <v>46008</v>
      </c>
      <c r="O269" s="15">
        <f>NETWORKDAYS.INTL(WFTracker[[#This Row],[Start date]],WFTracker[[#This Row],[RM]],1,Holidays!D172:D187)</f>
        <v>8</v>
      </c>
      <c r="P269" s="12">
        <v>45889</v>
      </c>
      <c r="Q269" s="12">
        <v>45898</v>
      </c>
      <c r="R269" s="12">
        <v>45901</v>
      </c>
      <c r="S269" s="12" t="b">
        <f>ISBLANK(WFTracker[[#This Row],[Completion Date]])</f>
        <v>0</v>
      </c>
      <c r="T269" s="12" t="str">
        <f>TEXT(WFTracker[[#This Row],[Start date]],"mmm-yyyy")</f>
        <v>Aug-2025</v>
      </c>
      <c r="U269" s="11">
        <v>5</v>
      </c>
      <c r="V269" s="11">
        <f>NETWORKDAYS.INTL(WFTracker[[#This Row],[Start date]],WFTracker[[#This Row],[Due date]],1,Holidays!D172:D187)</f>
        <v>8</v>
      </c>
      <c r="W2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69" s="24">
        <f ca="1">WFTracker[[#This Row],[Active Time]]-WFTracker[[#This Row],[Completion Days Template]]</f>
        <v>1</v>
      </c>
      <c r="Y269" s="16" t="str">
        <f ca="1" xml:space="preserve"> IF(WFTracker[[#This Row],[Overdue Time '[Expected-Completion']]]&gt;0, "LATE","ON TIME")</f>
        <v>LATE</v>
      </c>
      <c r="Z269" s="16" t="str">
        <f ca="1">IF(WFTracker[[#This Row],[Overdue Time '[Expected-Completion']]] &gt;= 15, "SUPER LATE", Y269)</f>
        <v>LATE</v>
      </c>
      <c r="AA269" s="37" t="str">
        <f>IF(WFTracker[[#This Row],[Pre RM Opening Time]]&lt;WFTracker[[#This Row],[Old vs New Order Lead Time WF dead line]], "LATE BY ENG", "ON TIME BY ENG")</f>
        <v>ON TIME BY ENG</v>
      </c>
      <c r="AB269" s="37"/>
      <c r="AC269" s="15" t="str">
        <f>IF(WFTracker[[#This Row],[Competion Date Content]] = FALSE, "C", "i")</f>
        <v>C</v>
      </c>
      <c r="AD2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69" s="37" t="str">
        <f ca="1">IF(WFTracker[[#This Row],[Impact Time Post RM]]&gt;0, "IMPACTED", "NOT IMPACTED")</f>
        <v>IMPACTED</v>
      </c>
      <c r="AF269" s="15"/>
      <c r="AG269" s="18"/>
      <c r="AH269" s="14" t="str">
        <f>IF(WFTracker[[#This Row],[Status]]="C", "Closed", IF(WFTracker[[#This Row],[Status]] = "x", "Cancelled", WFTracker[[#This Row],[Impact Time Post RM]]))</f>
        <v>Closed</v>
      </c>
      <c r="AI269" s="14" t="str">
        <f ca="1">IF(WFTracker[[#This Row],[Impact Time Post RM]]&lt;=0,"ON TIME","LATE")</f>
        <v>LATE</v>
      </c>
      <c r="AJ269" s="14" t="s">
        <v>984</v>
      </c>
      <c r="AK269" s="14">
        <v>18</v>
      </c>
      <c r="AL269" s="915">
        <f>IF(WFTracker[[#This Row],[Type]]="MAKE", WFTracker[[#This Row],[Due date]]+Filters!$J$111, WFTracker[[#This Row],[Due date]]+Filters!$J$135)</f>
        <v>45901.072512647552</v>
      </c>
      <c r="AM269" s="102" cm="1">
        <f t="array" ref="AM2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0" spans="1:39" ht="14.45">
      <c r="A270" t="str">
        <f>IF(WFTracker[[#This Row],[Order Number]]="SWBD", "QED2", "PZ4")</f>
        <v>PZ4</v>
      </c>
      <c r="B270" s="21" t="s">
        <v>218</v>
      </c>
      <c r="C270" s="21" t="s">
        <v>219</v>
      </c>
      <c r="D270" s="21" t="str">
        <f>WFTracker[[#This Row],[Order Number]]  &amp; "-" &amp; WFTracker[[#This Row],[Item]]</f>
        <v>0051229942-000120</v>
      </c>
      <c r="E270" s="21" t="s">
        <v>1038</v>
      </c>
      <c r="F270" s="41">
        <v>45803</v>
      </c>
      <c r="G270" s="107"/>
      <c r="H270" t="s">
        <v>36</v>
      </c>
      <c r="I270" t="s">
        <v>1132</v>
      </c>
      <c r="J270" s="32" t="s">
        <v>1229</v>
      </c>
      <c r="K270" s="28" t="s">
        <v>1023</v>
      </c>
      <c r="L270" s="15" t="s">
        <v>40</v>
      </c>
      <c r="M270" s="29" t="s">
        <v>1120</v>
      </c>
      <c r="N270" s="57">
        <v>45888</v>
      </c>
      <c r="O270" s="15">
        <f>NETWORKDAYS.INTL(WFTracker[[#This Row],[Start date]],WFTracker[[#This Row],[RM]],1,Holidays!D173:D188)</f>
        <v>-64</v>
      </c>
      <c r="P270" s="12">
        <v>45890</v>
      </c>
      <c r="Q270" s="12">
        <v>45902</v>
      </c>
      <c r="R270" s="12">
        <v>45903</v>
      </c>
      <c r="S270" s="27" t="b">
        <f>ISBLANK(WFTracker[[#This Row],[Completion Date]])</f>
        <v>0</v>
      </c>
      <c r="T270" s="27" t="str">
        <f>TEXT(WFTracker[[#This Row],[Start date]],"mmm-yyyy")</f>
        <v>Aug-2025</v>
      </c>
      <c r="U270" s="11">
        <v>5</v>
      </c>
      <c r="V270" s="11">
        <f>NETWORKDAYS.INTL(WFTracker[[#This Row],[Start date]],WFTracker[[#This Row],[Due date]],1,Holidays!D173:D188)</f>
        <v>9</v>
      </c>
      <c r="W2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70" s="30">
        <f ca="1">WFTracker[[#This Row],[Active Time]]-WFTracker[[#This Row],[Completion Days Template]]</f>
        <v>1</v>
      </c>
      <c r="Y270" s="34" t="str">
        <f ca="1" xml:space="preserve"> IF(WFTracker[[#This Row],[Overdue Time '[Expected-Completion']]]&gt;0, "LATE","ON TIME")</f>
        <v>LATE</v>
      </c>
      <c r="Z270" s="34" t="str">
        <f ca="1">IF(WFTracker[[#This Row],[Overdue Time '[Expected-Completion']]] &gt;= 15, "SUPER LATE", Y270)</f>
        <v>LATE</v>
      </c>
      <c r="AA270" s="37" t="str">
        <f>IF(WFTracker[[#This Row],[Pre RM Opening Time]]&lt;WFTracker[[#This Row],[Old vs New Order Lead Time WF dead line]], "LATE BY ENG", "ON TIME BY ENG")</f>
        <v>LATE BY ENG</v>
      </c>
      <c r="AB270" s="37"/>
      <c r="AC270" s="15" t="str">
        <f>IF(WFTracker[[#This Row],[Competion Date Content]] = FALSE, "C", "i")</f>
        <v>C</v>
      </c>
      <c r="AD2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73</v>
      </c>
      <c r="AE270" s="105" t="str">
        <f ca="1">IF(WFTracker[[#This Row],[Impact Time Post RM]]&gt;0, "IMPACTED", "NOT IMPACTED")</f>
        <v>IMPACTED</v>
      </c>
      <c r="AF270" s="15"/>
      <c r="AG270" s="42"/>
      <c r="AH270" s="14" t="str">
        <f>IF(WFTracker[[#This Row],[Status]]="C", "Closed", IF(WFTracker[[#This Row],[Status]] = "x", "Cancelled", WFTracker[[#This Row],[Impact Time Post RM]]))</f>
        <v>Closed</v>
      </c>
      <c r="AI270" s="14" t="str">
        <f ca="1">IF(WFTracker[[#This Row],[Impact Time Post RM]]&lt;=0,"ON TIME","LATE")</f>
        <v>LATE</v>
      </c>
      <c r="AJ270" s="14" t="s">
        <v>984</v>
      </c>
      <c r="AK270" s="14">
        <v>17</v>
      </c>
      <c r="AL270" s="915">
        <f>IF(WFTracker[[#This Row],[Type]]="MAKE", WFTracker[[#This Row],[Due date]]+Filters!$J$111, WFTracker[[#This Row],[Due date]]+Filters!$J$135)</f>
        <v>45902.415686274508</v>
      </c>
      <c r="AM270" s="102" cm="1">
        <f t="array" ref="AM2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1" spans="1:39" ht="14.45">
      <c r="A271" t="str">
        <f>IF(WFTracker[[#This Row],[Order Number]]="SWBD", "QED2", "PZ4")</f>
        <v>PZ4</v>
      </c>
      <c r="B271" s="21" t="s">
        <v>427</v>
      </c>
      <c r="C271" s="21" t="s">
        <v>293</v>
      </c>
      <c r="D271" s="21" t="str">
        <f>WFTracker[[#This Row],[Order Number]]  &amp; "-" &amp; WFTracker[[#This Row],[Item]]</f>
        <v>0051359498-000080</v>
      </c>
      <c r="E271" s="21" t="s">
        <v>428</v>
      </c>
      <c r="F271" s="41">
        <v>45898</v>
      </c>
      <c r="G271" s="107"/>
      <c r="H271" t="s">
        <v>252</v>
      </c>
      <c r="I271" t="s">
        <v>429</v>
      </c>
      <c r="J271" s="32" t="s">
        <v>1230</v>
      </c>
      <c r="K271" s="28" t="s">
        <v>1023</v>
      </c>
      <c r="L271" s="15" t="s">
        <v>27</v>
      </c>
      <c r="M271" s="29" t="s">
        <v>1120</v>
      </c>
      <c r="N271" s="57">
        <v>46021</v>
      </c>
      <c r="O271" s="15">
        <f>NETWORKDAYS.INTL(WFTracker[[#This Row],[Start date]],WFTracker[[#This Row],[RM]],1,Holidays!D137:D152)</f>
        <v>7</v>
      </c>
      <c r="P271" s="12">
        <v>45890</v>
      </c>
      <c r="Q271" s="12">
        <v>45897</v>
      </c>
      <c r="R271" s="12">
        <v>45897</v>
      </c>
      <c r="S271" s="27" t="b">
        <f>ISBLANK(WFTracker[[#This Row],[Completion Date]])</f>
        <v>0</v>
      </c>
      <c r="T271" s="27" t="str">
        <f>TEXT(WFTracker[[#This Row],[Start date]],"mmm-yyyy")</f>
        <v>Aug-2025</v>
      </c>
      <c r="U271" s="11">
        <v>5</v>
      </c>
      <c r="V271" s="11">
        <f>NETWORKDAYS.INTL(WFTracker[[#This Row],[Start date]],WFTracker[[#This Row],[Due date]],1,Holidays!D137:D152)</f>
        <v>6</v>
      </c>
      <c r="W2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71" s="30">
        <f ca="1">WFTracker[[#This Row],[Active Time]]-WFTracker[[#This Row],[Completion Days Template]]</f>
        <v>0</v>
      </c>
      <c r="Y271" s="34" t="str">
        <f ca="1" xml:space="preserve"> IF(WFTracker[[#This Row],[Overdue Time '[Expected-Completion']]]&gt;0, "LATE","ON TIME")</f>
        <v>ON TIME</v>
      </c>
      <c r="Z271" s="34" t="str">
        <f ca="1">IF(WFTracker[[#This Row],[Overdue Time '[Expected-Completion']]] &gt;= 15, "SUPER LATE", Y271)</f>
        <v>ON TIME</v>
      </c>
      <c r="AA271" s="37" t="str">
        <f>IF(WFTracker[[#This Row],[Pre RM Opening Time]]&lt;WFTracker[[#This Row],[Old vs New Order Lead Time WF dead line]], "LATE BY ENG", "ON TIME BY ENG")</f>
        <v>ON TIME BY ENG</v>
      </c>
      <c r="AB271" s="37"/>
      <c r="AC271" s="15" t="str">
        <f>IF(WFTracker[[#This Row],[Competion Date Content]] = FALSE, "C", "i")</f>
        <v>C</v>
      </c>
      <c r="AD2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271" s="105" t="str">
        <f ca="1">IF(WFTracker[[#This Row],[Impact Time Post RM]]&gt;0, "IMPACTED", "NOT IMPACTED")</f>
        <v>NOT IMPACTED</v>
      </c>
      <c r="AF271" s="15"/>
      <c r="AG271" s="42"/>
      <c r="AH271" s="14" t="str">
        <f>IF(WFTracker[[#This Row],[Status]]="C", "Closed", IF(WFTracker[[#This Row],[Status]] = "x", "Cancelled", WFTracker[[#This Row],[Impact Time Post RM]]))</f>
        <v>Closed</v>
      </c>
      <c r="AI271" s="14" t="str">
        <f ca="1">IF(WFTracker[[#This Row],[Impact Time Post RM]]&lt;=0,"ON TIME","LATE")</f>
        <v>ON TIME</v>
      </c>
      <c r="AJ271" s="14" t="s">
        <v>984</v>
      </c>
      <c r="AK271" s="14">
        <v>18</v>
      </c>
      <c r="AL271" s="915">
        <f>IF(WFTracker[[#This Row],[Type]]="MAKE", WFTracker[[#This Row],[Due date]]+Filters!$J$111, WFTracker[[#This Row],[Due date]]+Filters!$J$135)</f>
        <v>45900.072512647552</v>
      </c>
      <c r="AM271" s="102" cm="1">
        <f t="array" ref="AM2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2" spans="1:39" ht="14.45">
      <c r="A272" t="str">
        <f>IF(WFTracker[[#This Row],[Order Number]]="SWBD", "QED2", "PZ4")</f>
        <v>PZ4</v>
      </c>
      <c r="B272" s="21" t="s">
        <v>431</v>
      </c>
      <c r="C272" s="21" t="s">
        <v>214</v>
      </c>
      <c r="D272" s="21" t="str">
        <f>WFTracker[[#This Row],[Order Number]]  &amp; "-" &amp; WFTracker[[#This Row],[Item]]</f>
        <v>0051072452-000020</v>
      </c>
      <c r="E272" s="21" t="s">
        <v>1021</v>
      </c>
      <c r="F272" s="41">
        <v>45898</v>
      </c>
      <c r="G272" s="107"/>
      <c r="H272" t="s">
        <v>295</v>
      </c>
      <c r="I272" t="s">
        <v>111</v>
      </c>
      <c r="J272" s="32" t="s">
        <v>433</v>
      </c>
      <c r="K272" s="28" t="s">
        <v>1017</v>
      </c>
      <c r="L272" s="15" t="s">
        <v>27</v>
      </c>
      <c r="M272" s="29" t="s">
        <v>1120</v>
      </c>
      <c r="N272" s="57">
        <v>46008</v>
      </c>
      <c r="O272" s="15">
        <f>NETWORKDAYS.INTL(WFTracker[[#This Row],[Start date]],WFTracker[[#This Row],[RM]],1,Holidays!D138:D153)</f>
        <v>7</v>
      </c>
      <c r="P272" s="12">
        <v>45890</v>
      </c>
      <c r="Q272" s="12">
        <v>45897</v>
      </c>
      <c r="R272" s="12">
        <v>45901</v>
      </c>
      <c r="S272" s="27" t="b">
        <f>ISBLANK(WFTracker[[#This Row],[Completion Date]])</f>
        <v>0</v>
      </c>
      <c r="T272" s="27" t="str">
        <f>TEXT(WFTracker[[#This Row],[Start date]],"mmm-yyyy")</f>
        <v>Aug-2025</v>
      </c>
      <c r="U272" s="11">
        <v>5</v>
      </c>
      <c r="V272" s="11">
        <f>NETWORKDAYS.INTL(WFTracker[[#This Row],[Start date]],WFTracker[[#This Row],[Due date]],1,Holidays!D138:D153)</f>
        <v>6</v>
      </c>
      <c r="W2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72" s="30">
        <f ca="1">WFTracker[[#This Row],[Active Time]]-WFTracker[[#This Row],[Completion Days Template]]</f>
        <v>2</v>
      </c>
      <c r="Y272" s="34" t="str">
        <f ca="1" xml:space="preserve"> IF(WFTracker[[#This Row],[Overdue Time '[Expected-Completion']]]&gt;0, "LATE","ON TIME")</f>
        <v>LATE</v>
      </c>
      <c r="Z272" s="34" t="str">
        <f ca="1">IF(WFTracker[[#This Row],[Overdue Time '[Expected-Completion']]] &gt;= 15, "SUPER LATE", Y272)</f>
        <v>LATE</v>
      </c>
      <c r="AA272" s="37" t="str">
        <f>IF(WFTracker[[#This Row],[Pre RM Opening Time]]&lt;WFTracker[[#This Row],[Old vs New Order Lead Time WF dead line]], "LATE BY ENG", "ON TIME BY ENG")</f>
        <v>ON TIME BY ENG</v>
      </c>
      <c r="AB272" s="37"/>
      <c r="AC272" s="15" t="str">
        <f>IF(WFTracker[[#This Row],[Competion Date Content]] = FALSE, "C", "i")</f>
        <v>C</v>
      </c>
      <c r="AD2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72" s="105" t="str">
        <f ca="1">IF(WFTracker[[#This Row],[Impact Time Post RM]]&gt;0, "IMPACTED", "NOT IMPACTED")</f>
        <v>IMPACTED</v>
      </c>
      <c r="AF272" s="15"/>
      <c r="AG272" s="42"/>
      <c r="AH272" s="14" t="str">
        <f>IF(WFTracker[[#This Row],[Status]]="C", "Closed", IF(WFTracker[[#This Row],[Status]] = "x", "Cancelled", WFTracker[[#This Row],[Impact Time Post RM]]))</f>
        <v>Closed</v>
      </c>
      <c r="AI272" s="14" t="str">
        <f ca="1">IF(WFTracker[[#This Row],[Impact Time Post RM]]&lt;=0,"ON TIME","LATE")</f>
        <v>LATE</v>
      </c>
      <c r="AJ272" s="14" t="s">
        <v>984</v>
      </c>
      <c r="AK272" s="14">
        <v>18</v>
      </c>
      <c r="AL272" s="915">
        <f>IF(WFTracker[[#This Row],[Type]]="MAKE", WFTracker[[#This Row],[Due date]]+Filters!$J$111, WFTracker[[#This Row],[Due date]]+Filters!$J$135)</f>
        <v>45900.072512647552</v>
      </c>
      <c r="AM272" s="102" cm="1">
        <f t="array" ref="AM2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3" spans="1:39" ht="14.45">
      <c r="A273" t="str">
        <f>IF(WFTracker[[#This Row],[Order Number]]="SWBD", "QED2", "PZ4")</f>
        <v>PZ4</v>
      </c>
      <c r="B273" s="21" t="s">
        <v>431</v>
      </c>
      <c r="C273" s="21" t="s">
        <v>214</v>
      </c>
      <c r="D273" s="23" t="str">
        <f>WFTracker[[#This Row],[Order Number]]  &amp; "-" &amp; WFTracker[[#This Row],[Item]]</f>
        <v>0051072452-000020</v>
      </c>
      <c r="E273" s="21" t="s">
        <v>1021</v>
      </c>
      <c r="F273" s="12">
        <v>45898</v>
      </c>
      <c r="G273" s="12"/>
      <c r="H273" s="11" t="s">
        <v>295</v>
      </c>
      <c r="I273" s="11" t="s">
        <v>111</v>
      </c>
      <c r="J273" s="13" t="s">
        <v>434</v>
      </c>
      <c r="K273" s="14" t="s">
        <v>1017</v>
      </c>
      <c r="L273" s="15" t="s">
        <v>27</v>
      </c>
      <c r="M273" s="29" t="s">
        <v>1120</v>
      </c>
      <c r="N273" s="57">
        <v>46008</v>
      </c>
      <c r="O273" s="15">
        <f>NETWORKDAYS.INTL(WFTracker[[#This Row],[Start date]],WFTracker[[#This Row],[RM]],1,Holidays!D139:D154)</f>
        <v>7</v>
      </c>
      <c r="P273" s="12">
        <v>45890</v>
      </c>
      <c r="Q273" s="12">
        <v>45897</v>
      </c>
      <c r="R273" s="12">
        <v>45911</v>
      </c>
      <c r="S273" s="12" t="b">
        <f>ISBLANK(WFTracker[[#This Row],[Completion Date]])</f>
        <v>0</v>
      </c>
      <c r="T273" s="12" t="str">
        <f>TEXT(WFTracker[[#This Row],[Start date]],"mmm-yyyy")</f>
        <v>Aug-2025</v>
      </c>
      <c r="U273" s="11">
        <v>5</v>
      </c>
      <c r="V273" s="11">
        <f>NETWORKDAYS.INTL(WFTracker[[#This Row],[Start date]],WFTracker[[#This Row],[Due date]],1,Holidays!D139:D154)</f>
        <v>6</v>
      </c>
      <c r="W2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273" s="24">
        <f ca="1">WFTracker[[#This Row],[Active Time]]-WFTracker[[#This Row],[Completion Days Template]]</f>
        <v>10</v>
      </c>
      <c r="Y273" s="16" t="str">
        <f ca="1" xml:space="preserve"> IF(WFTracker[[#This Row],[Overdue Time '[Expected-Completion']]]&gt;0, "LATE","ON TIME")</f>
        <v>LATE</v>
      </c>
      <c r="Z273" s="16" t="str">
        <f ca="1">IF(WFTracker[[#This Row],[Overdue Time '[Expected-Completion']]] &gt;= 15, "SUPER LATE", Y273)</f>
        <v>LATE</v>
      </c>
      <c r="AA273" s="37" t="str">
        <f>IF(WFTracker[[#This Row],[Pre RM Opening Time]]&lt;WFTracker[[#This Row],[Old vs New Order Lead Time WF dead line]], "LATE BY ENG", "ON TIME BY ENG")</f>
        <v>ON TIME BY ENG</v>
      </c>
      <c r="AB273" s="37"/>
      <c r="AC273" s="15" t="str">
        <f>IF(WFTracker[[#This Row],[Competion Date Content]] = FALSE, "C", "i")</f>
        <v>C</v>
      </c>
      <c r="AD2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273" s="37" t="str">
        <f ca="1">IF(WFTracker[[#This Row],[Impact Time Post RM]]&gt;0, "IMPACTED", "NOT IMPACTED")</f>
        <v>IMPACTED</v>
      </c>
      <c r="AF273" s="15"/>
      <c r="AG273" s="18"/>
      <c r="AH273" s="14" t="str">
        <f>IF(WFTracker[[#This Row],[Status]]="C", "Closed", IF(WFTracker[[#This Row],[Status]] = "x", "Cancelled", WFTracker[[#This Row],[Impact Time Post RM]]))</f>
        <v>Closed</v>
      </c>
      <c r="AI273" s="14" t="str">
        <f ca="1">IF(WFTracker[[#This Row],[Impact Time Post RM]]&lt;=0,"ON TIME","LATE")</f>
        <v>LATE</v>
      </c>
      <c r="AJ273" s="14" t="s">
        <v>984</v>
      </c>
      <c r="AK273" s="14">
        <v>18</v>
      </c>
      <c r="AL273" s="915">
        <f>IF(WFTracker[[#This Row],[Type]]="MAKE", WFTracker[[#This Row],[Due date]]+Filters!$J$111, WFTracker[[#This Row],[Due date]]+Filters!$J$135)</f>
        <v>45900.072512647552</v>
      </c>
      <c r="AM273" s="102" cm="1">
        <f t="array" ref="AM2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4" spans="1:39" ht="14.45">
      <c r="A274" t="str">
        <f>IF(WFTracker[[#This Row],[Order Number]]="SWBD", "QED2", "PZ4")</f>
        <v>PZ4</v>
      </c>
      <c r="B274" s="21" t="s">
        <v>431</v>
      </c>
      <c r="C274" s="21" t="s">
        <v>214</v>
      </c>
      <c r="D274" s="21" t="str">
        <f>WFTracker[[#This Row],[Order Number]]  &amp; "-" &amp; WFTracker[[#This Row],[Item]]</f>
        <v>0051072452-000020</v>
      </c>
      <c r="E274" s="21" t="s">
        <v>1021</v>
      </c>
      <c r="F274" s="41">
        <v>45898</v>
      </c>
      <c r="G274" s="107"/>
      <c r="H274" t="s">
        <v>295</v>
      </c>
      <c r="I274" s="11" t="s">
        <v>111</v>
      </c>
      <c r="J274" s="32" t="s">
        <v>450</v>
      </c>
      <c r="K274" s="28" t="s">
        <v>1017</v>
      </c>
      <c r="L274" s="15" t="s">
        <v>27</v>
      </c>
      <c r="M274" s="29" t="s">
        <v>1120</v>
      </c>
      <c r="N274" s="57">
        <v>46008</v>
      </c>
      <c r="O274" s="15">
        <f>NETWORKDAYS.INTL(WFTracker[[#This Row],[Start date]],WFTracker[[#This Row],[RM]],1,Holidays!D140:D155)</f>
        <v>7</v>
      </c>
      <c r="P274" s="12">
        <v>45890</v>
      </c>
      <c r="Q274" s="12">
        <v>45898</v>
      </c>
      <c r="R274" s="12">
        <v>45898</v>
      </c>
      <c r="S274" s="27" t="b">
        <f>ISBLANK(WFTracker[[#This Row],[Completion Date]])</f>
        <v>0</v>
      </c>
      <c r="T274" s="27" t="str">
        <f>TEXT(WFTracker[[#This Row],[Start date]],"mmm-yyyy")</f>
        <v>Aug-2025</v>
      </c>
      <c r="U274" s="11">
        <v>5</v>
      </c>
      <c r="V274" s="11">
        <f>NETWORKDAYS.INTL(WFTracker[[#This Row],[Start date]],WFTracker[[#This Row],[Due date]],1,Holidays!D140:D155)</f>
        <v>7</v>
      </c>
      <c r="W2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274" s="30">
        <f ca="1">WFTracker[[#This Row],[Active Time]]-WFTracker[[#This Row],[Completion Days Template]]</f>
        <v>0</v>
      </c>
      <c r="Y274" s="34" t="str">
        <f ca="1" xml:space="preserve"> IF(WFTracker[[#This Row],[Overdue Time '[Expected-Completion']]]&gt;0, "LATE","ON TIME")</f>
        <v>ON TIME</v>
      </c>
      <c r="Z274" s="34" t="str">
        <f ca="1">IF(WFTracker[[#This Row],[Overdue Time '[Expected-Completion']]] &gt;= 15, "SUPER LATE", Y274)</f>
        <v>ON TIME</v>
      </c>
      <c r="AA274" s="37" t="str">
        <f>IF(WFTracker[[#This Row],[Pre RM Opening Time]]&lt;WFTracker[[#This Row],[Old vs New Order Lead Time WF dead line]], "LATE BY ENG", "ON TIME BY ENG")</f>
        <v>ON TIME BY ENG</v>
      </c>
      <c r="AB274" s="37"/>
      <c r="AC274" s="15" t="str">
        <f>IF(WFTracker[[#This Row],[Competion Date Content]] = FALSE, "C", "i")</f>
        <v>C</v>
      </c>
      <c r="AD2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274" s="105" t="str">
        <f ca="1">IF(WFTracker[[#This Row],[Impact Time Post RM]]&gt;0, "IMPACTED", "NOT IMPACTED")</f>
        <v>IMPACTED</v>
      </c>
      <c r="AF274" s="15"/>
      <c r="AG274" s="42"/>
      <c r="AH274" s="14" t="str">
        <f>IF(WFTracker[[#This Row],[Status]]="C", "Closed", IF(WFTracker[[#This Row],[Status]] = "x", "Cancelled", WFTracker[[#This Row],[Impact Time Post RM]]))</f>
        <v>Closed</v>
      </c>
      <c r="AI274" s="14" t="str">
        <f ca="1">IF(WFTracker[[#This Row],[Impact Time Post RM]]&lt;=0,"ON TIME","LATE")</f>
        <v>LATE</v>
      </c>
      <c r="AJ274" s="14" t="s">
        <v>984</v>
      </c>
      <c r="AK274" s="14">
        <v>18</v>
      </c>
      <c r="AL274" s="915">
        <f>IF(WFTracker[[#This Row],[Type]]="MAKE", WFTracker[[#This Row],[Due date]]+Filters!$J$111, WFTracker[[#This Row],[Due date]]+Filters!$J$135)</f>
        <v>45901.072512647552</v>
      </c>
      <c r="AM274" s="102" cm="1">
        <f t="array" ref="AM2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5" spans="1:39" ht="14.45">
      <c r="A275" t="str">
        <f>IF(WFTracker[[#This Row],[Order Number]]="SWBD", "QED2", "PZ4")</f>
        <v>PZ4</v>
      </c>
      <c r="B275" s="21" t="s">
        <v>431</v>
      </c>
      <c r="C275" s="21" t="s">
        <v>214</v>
      </c>
      <c r="D275" s="21" t="str">
        <f>WFTracker[[#This Row],[Order Number]]  &amp; "-" &amp; WFTracker[[#This Row],[Item]]</f>
        <v>0051072452-000020</v>
      </c>
      <c r="E275" s="21" t="s">
        <v>1021</v>
      </c>
      <c r="F275" s="41">
        <v>45898</v>
      </c>
      <c r="G275" s="41"/>
      <c r="H275" s="11" t="s">
        <v>295</v>
      </c>
      <c r="I275" s="11" t="s">
        <v>111</v>
      </c>
      <c r="J275" s="13" t="s">
        <v>435</v>
      </c>
      <c r="K275" s="14" t="s">
        <v>1017</v>
      </c>
      <c r="L275" s="15" t="s">
        <v>40</v>
      </c>
      <c r="M275" s="29" t="s">
        <v>1120</v>
      </c>
      <c r="N275" s="57">
        <v>46008</v>
      </c>
      <c r="O275" s="15">
        <f>NETWORKDAYS.INTL(WFTracker[[#This Row],[Start date]],WFTracker[[#This Row],[RM]],1,Holidays!D141:D156)</f>
        <v>7</v>
      </c>
      <c r="P275" s="12">
        <v>45890</v>
      </c>
      <c r="Q275" s="12">
        <v>45902</v>
      </c>
      <c r="R275" s="12">
        <v>45903</v>
      </c>
      <c r="S275" s="12" t="b">
        <f>ISBLANK(WFTracker[[#This Row],[Completion Date]])</f>
        <v>0</v>
      </c>
      <c r="T275" s="12" t="str">
        <f>TEXT(WFTracker[[#This Row],[Start date]],"mmm-yyyy")</f>
        <v>Aug-2025</v>
      </c>
      <c r="U275" s="11">
        <v>5</v>
      </c>
      <c r="V275" s="11">
        <f>NETWORKDAYS.INTL(WFTracker[[#This Row],[Start date]],WFTracker[[#This Row],[Due date]],1,Holidays!D141:D156)</f>
        <v>9</v>
      </c>
      <c r="W2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75" s="24">
        <f ca="1">WFTracker[[#This Row],[Active Time]]-WFTracker[[#This Row],[Completion Days Template]]</f>
        <v>1</v>
      </c>
      <c r="Y275" s="16" t="str">
        <f ca="1" xml:space="preserve"> IF(WFTracker[[#This Row],[Overdue Time '[Expected-Completion']]]&gt;0, "LATE","ON TIME")</f>
        <v>LATE</v>
      </c>
      <c r="Z275" s="16" t="str">
        <f ca="1">IF(WFTracker[[#This Row],[Overdue Time '[Expected-Completion']]] &gt;= 15, "SUPER LATE", Y275)</f>
        <v>LATE</v>
      </c>
      <c r="AA275" s="37" t="str">
        <f>IF(WFTracker[[#This Row],[Pre RM Opening Time]]&lt;WFTracker[[#This Row],[Old vs New Order Lead Time WF dead line]], "LATE BY ENG", "ON TIME BY ENG")</f>
        <v>ON TIME BY ENG</v>
      </c>
      <c r="AB275" s="37"/>
      <c r="AC275" s="15" t="str">
        <f>IF(WFTracker[[#This Row],[Competion Date Content]] = FALSE, "C", "i")</f>
        <v>C</v>
      </c>
      <c r="AD2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275" s="37" t="str">
        <f ca="1">IF(WFTracker[[#This Row],[Impact Time Post RM]]&gt;0, "IMPACTED", "NOT IMPACTED")</f>
        <v>IMPACTED</v>
      </c>
      <c r="AF275" s="15"/>
      <c r="AG275" s="18"/>
      <c r="AH275" s="14" t="str">
        <f>IF(WFTracker[[#This Row],[Status]]="C", "Closed", IF(WFTracker[[#This Row],[Status]] = "x", "Cancelled", WFTracker[[#This Row],[Impact Time Post RM]]))</f>
        <v>Closed</v>
      </c>
      <c r="AI275" s="14" t="str">
        <f ca="1">IF(WFTracker[[#This Row],[Impact Time Post RM]]&lt;=0,"ON TIME","LATE")</f>
        <v>LATE</v>
      </c>
      <c r="AJ275" s="14" t="s">
        <v>984</v>
      </c>
      <c r="AK275" s="14">
        <v>17</v>
      </c>
      <c r="AL275" s="915">
        <f>IF(WFTracker[[#This Row],[Type]]="MAKE", WFTracker[[#This Row],[Due date]]+Filters!$J$111, WFTracker[[#This Row],[Due date]]+Filters!$J$135)</f>
        <v>45902.415686274508</v>
      </c>
      <c r="AM275" s="102" cm="1">
        <f t="array" ref="AM2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6" spans="1:39" ht="14.45">
      <c r="A276" t="str">
        <f>IF(WFTracker[[#This Row],[Order Number]]="SWBD", "QED2", "PZ4")</f>
        <v>PZ4</v>
      </c>
      <c r="B276" s="21" t="s">
        <v>431</v>
      </c>
      <c r="C276" s="21" t="s">
        <v>1231</v>
      </c>
      <c r="D276" s="23" t="str">
        <f>WFTracker[[#This Row],[Order Number]]  &amp; "-" &amp; WFTracker[[#This Row],[Item]]</f>
        <v>0051072452-000470</v>
      </c>
      <c r="E276" s="21" t="s">
        <v>1021</v>
      </c>
      <c r="F276" s="41">
        <v>45898</v>
      </c>
      <c r="G276" s="41"/>
      <c r="H276" s="11" t="s">
        <v>295</v>
      </c>
      <c r="I276" s="11" t="s">
        <v>1154</v>
      </c>
      <c r="J276" s="13" t="s">
        <v>453</v>
      </c>
      <c r="K276" s="14" t="s">
        <v>1017</v>
      </c>
      <c r="L276" s="15" t="s">
        <v>27</v>
      </c>
      <c r="M276" s="29" t="s">
        <v>1120</v>
      </c>
      <c r="N276" s="57">
        <v>46008</v>
      </c>
      <c r="O276" s="15">
        <f>NETWORKDAYS.INTL(WFTracker[[#This Row],[Start date]],WFTracker[[#This Row],[RM]],1,Holidays!D110:D125)</f>
        <v>6</v>
      </c>
      <c r="P276" s="12">
        <v>45891</v>
      </c>
      <c r="Q276" s="12">
        <v>45898</v>
      </c>
      <c r="R276" s="12">
        <v>45897</v>
      </c>
      <c r="S276" s="12" t="b">
        <f>ISBLANK(WFTracker[[#This Row],[Completion Date]])</f>
        <v>0</v>
      </c>
      <c r="T276" s="12" t="str">
        <f>TEXT(WFTracker[[#This Row],[Start date]],"mmm-yyyy")</f>
        <v>Aug-2025</v>
      </c>
      <c r="U276" s="11">
        <v>5</v>
      </c>
      <c r="V276" s="11">
        <f>NETWORKDAYS.INTL(WFTracker[[#This Row],[Start date]],WFTracker[[#This Row],[Due date]],1,Holidays!D110:D125)</f>
        <v>6</v>
      </c>
      <c r="W2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76" s="24">
        <f ca="1">WFTracker[[#This Row],[Active Time]]-WFTracker[[#This Row],[Completion Days Template]]</f>
        <v>-1</v>
      </c>
      <c r="Y276" s="16" t="str">
        <f ca="1" xml:space="preserve"> IF(WFTracker[[#This Row],[Overdue Time '[Expected-Completion']]]&gt;0, "LATE","ON TIME")</f>
        <v>ON TIME</v>
      </c>
      <c r="Z276" s="16" t="str">
        <f ca="1">IF(WFTracker[[#This Row],[Overdue Time '[Expected-Completion']]] &gt;= 15, "SUPER LATE", Y276)</f>
        <v>ON TIME</v>
      </c>
      <c r="AA276" s="37" t="str">
        <f>IF(WFTracker[[#This Row],[Pre RM Opening Time]]&lt;WFTracker[[#This Row],[Old vs New Order Lead Time WF dead line]], "LATE BY ENG", "ON TIME BY ENG")</f>
        <v>ON TIME BY ENG</v>
      </c>
      <c r="AB276" s="37"/>
      <c r="AC276" s="15" t="str">
        <f>IF(WFTracker[[#This Row],[Competion Date Content]] = FALSE, "C", "i")</f>
        <v>C</v>
      </c>
      <c r="AD2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276" s="37" t="str">
        <f ca="1">IF(WFTracker[[#This Row],[Impact Time Post RM]]&gt;0, "IMPACTED", "NOT IMPACTED")</f>
        <v>NOT IMPACTED</v>
      </c>
      <c r="AF276" s="15"/>
      <c r="AG276" s="18"/>
      <c r="AH276" s="14" t="str">
        <f>IF(WFTracker[[#This Row],[Status]]="C", "Closed", IF(WFTracker[[#This Row],[Status]] = "x", "Cancelled", WFTracker[[#This Row],[Impact Time Post RM]]))</f>
        <v>Closed</v>
      </c>
      <c r="AI276" s="14" t="str">
        <f ca="1">IF(WFTracker[[#This Row],[Impact Time Post RM]]&lt;=0,"ON TIME","LATE")</f>
        <v>ON TIME</v>
      </c>
      <c r="AJ276" s="14" t="s">
        <v>984</v>
      </c>
      <c r="AK276" s="14">
        <v>18</v>
      </c>
      <c r="AL276" s="915">
        <f>IF(WFTracker[[#This Row],[Type]]="MAKE", WFTracker[[#This Row],[Due date]]+Filters!$J$111, WFTracker[[#This Row],[Due date]]+Filters!$J$135)</f>
        <v>45901.072512647552</v>
      </c>
      <c r="AM276" s="102" cm="1">
        <f t="array" ref="AM2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7" spans="1:39" ht="14.45">
      <c r="A277" t="str">
        <f>IF(WFTracker[[#This Row],[Order Number]]="SWBD", "QED2", "PZ4")</f>
        <v>PZ4</v>
      </c>
      <c r="B277" s="21" t="s">
        <v>1232</v>
      </c>
      <c r="C277" s="26" t="s">
        <v>448</v>
      </c>
      <c r="D277" s="11" t="str">
        <f>WFTracker[[#This Row],[Order Number]]  &amp; "-" &amp; WFTracker[[#This Row],[Item]]</f>
        <v>0051072451-000150</v>
      </c>
      <c r="E277" s="21" t="s">
        <v>1021</v>
      </c>
      <c r="F277" s="41">
        <v>45898</v>
      </c>
      <c r="G277" s="41"/>
      <c r="H277" s="11" t="s">
        <v>295</v>
      </c>
      <c r="I277" s="11" t="s">
        <v>1154</v>
      </c>
      <c r="J277" s="13" t="s">
        <v>461</v>
      </c>
      <c r="K277" s="14" t="s">
        <v>1017</v>
      </c>
      <c r="L277" s="15" t="s">
        <v>27</v>
      </c>
      <c r="M277" s="29" t="s">
        <v>1120</v>
      </c>
      <c r="N277" s="57">
        <v>46008</v>
      </c>
      <c r="O277" s="15">
        <f>NETWORKDAYS.INTL(WFTracker[[#This Row],[Start date]],WFTracker[[#This Row],[RM]],1,Holidays!D97:D112)</f>
        <v>5</v>
      </c>
      <c r="P277" s="12">
        <v>45894</v>
      </c>
      <c r="Q277" s="63">
        <v>45909</v>
      </c>
      <c r="R277" s="12">
        <v>45909</v>
      </c>
      <c r="S277" s="12" t="b">
        <f>ISBLANK(WFTracker[[#This Row],[Completion Date]])</f>
        <v>0</v>
      </c>
      <c r="T277" s="12" t="str">
        <f>TEXT(WFTracker[[#This Row],[Start date]],"mmm-yyyy")</f>
        <v>Aug-2025</v>
      </c>
      <c r="U277" s="11">
        <v>5</v>
      </c>
      <c r="V277" s="11">
        <f>NETWORKDAYS.INTL(WFTracker[[#This Row],[Start date]],WFTracker[[#This Row],[Due date]],1,Holidays!D97:D112)</f>
        <v>12</v>
      </c>
      <c r="W2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77" s="24">
        <f ca="1">WFTracker[[#This Row],[Active Time]]-WFTracker[[#This Row],[Completion Days Template]]</f>
        <v>0</v>
      </c>
      <c r="Y277" s="16" t="str">
        <f ca="1" xml:space="preserve"> IF(WFTracker[[#This Row],[Overdue Time '[Expected-Completion']]]&gt;0, "LATE","ON TIME")</f>
        <v>ON TIME</v>
      </c>
      <c r="Z277" s="16" t="str">
        <f ca="1">IF(WFTracker[[#This Row],[Overdue Time '[Expected-Completion']]] &gt;= 15, "SUPER LATE", Y277)</f>
        <v>ON TIME</v>
      </c>
      <c r="AA277" s="37" t="str">
        <f>IF(WFTracker[[#This Row],[Pre RM Opening Time]]&lt;WFTracker[[#This Row],[Old vs New Order Lead Time WF dead line]], "LATE BY ENG", "ON TIME BY ENG")</f>
        <v>ON TIME BY ENG</v>
      </c>
      <c r="AB277" s="37"/>
      <c r="AC277" s="15" t="str">
        <f>IF(WFTracker[[#This Row],[Competion Date Content]] = FALSE, "C", "i")</f>
        <v>C</v>
      </c>
      <c r="AD2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277" s="37" t="str">
        <f ca="1">IF(WFTracker[[#This Row],[Impact Time Post RM]]&gt;0, "IMPACTED", "NOT IMPACTED")</f>
        <v>IMPACTED</v>
      </c>
      <c r="AF277" s="15"/>
      <c r="AG277" s="18"/>
      <c r="AH277" s="14" t="str">
        <f>IF(WFTracker[[#This Row],[Status]]="C", "Closed", IF(WFTracker[[#This Row],[Status]] = "x", "Cancelled", WFTracker[[#This Row],[Impact Time Post RM]]))</f>
        <v>Closed</v>
      </c>
      <c r="AI277" s="14" t="str">
        <f ca="1">IF(WFTracker[[#This Row],[Impact Time Post RM]]&lt;=0,"ON TIME","LATE")</f>
        <v>LATE</v>
      </c>
      <c r="AJ277" s="14" t="s">
        <v>984</v>
      </c>
      <c r="AK277" s="14">
        <v>18</v>
      </c>
      <c r="AL277" s="915">
        <f>IF(WFTracker[[#This Row],[Type]]="MAKE", WFTracker[[#This Row],[Due date]]+Filters!$J$111, WFTracker[[#This Row],[Due date]]+Filters!$J$135)</f>
        <v>45912.072512647552</v>
      </c>
      <c r="AM277" s="102" cm="1">
        <f t="array" ref="AM2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8" spans="1:39" ht="14.45">
      <c r="A278" t="str">
        <f>IF(WFTracker[[#This Row],[Order Number]]="SWBD", "QED2", "PZ4")</f>
        <v>PZ4</v>
      </c>
      <c r="B278" s="21" t="s">
        <v>473</v>
      </c>
      <c r="C278" s="21" t="s">
        <v>135</v>
      </c>
      <c r="D278" t="str">
        <f>WFTracker[[#This Row],[Order Number]]  &amp; "-" &amp; WFTracker[[#This Row],[Item]]</f>
        <v>0051472151-000010</v>
      </c>
      <c r="E278" s="21" t="s">
        <v>474</v>
      </c>
      <c r="F278" s="41">
        <v>45911</v>
      </c>
      <c r="G278" s="41"/>
      <c r="H278" s="11" t="s">
        <v>110</v>
      </c>
      <c r="I278" s="11" t="s">
        <v>260</v>
      </c>
      <c r="J278" s="13" t="s">
        <v>475</v>
      </c>
      <c r="K278" s="14" t="s">
        <v>1017</v>
      </c>
      <c r="L278" s="15" t="s">
        <v>27</v>
      </c>
      <c r="M278" s="29" t="s">
        <v>1120</v>
      </c>
      <c r="N278" s="56">
        <v>46010</v>
      </c>
      <c r="O278" s="15">
        <f>NETWORKDAYS.INTL(WFTracker[[#This Row],[Start date]],WFTracker[[#This Row],[RM]],1,Holidays!D290:D305)</f>
        <v>12</v>
      </c>
      <c r="P278" s="12">
        <v>45896</v>
      </c>
      <c r="Q278" s="12">
        <v>45903</v>
      </c>
      <c r="R278" s="12">
        <v>45910</v>
      </c>
      <c r="S278" s="12" t="b">
        <f>ISBLANK(WFTracker[[#This Row],[Completion Date]])</f>
        <v>0</v>
      </c>
      <c r="T278" s="12" t="str">
        <f>TEXT(WFTracker[[#This Row],[Start date]],"mmm-yyyy")</f>
        <v>Aug-2025</v>
      </c>
      <c r="U278" s="11">
        <v>10</v>
      </c>
      <c r="V278" s="11">
        <f>NETWORKDAYS.INTL(WFTracker[[#This Row],[Start date]],WFTracker[[#This Row],[Due date]],1,Holidays!D290:D305)</f>
        <v>6</v>
      </c>
      <c r="W2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78" s="24">
        <f ca="1">WFTracker[[#This Row],[Active Time]]-WFTracker[[#This Row],[Completion Days Template]]</f>
        <v>5</v>
      </c>
      <c r="Y278" s="16" t="str">
        <f ca="1" xml:space="preserve"> IF(WFTracker[[#This Row],[Overdue Time '[Expected-Completion']]]&gt;0, "LATE","ON TIME")</f>
        <v>LATE</v>
      </c>
      <c r="Z278" s="16" t="str">
        <f ca="1">IF(WFTracker[[#This Row],[Overdue Time '[Expected-Completion']]] &gt;= 15, "SUPER LATE", Y278)</f>
        <v>LATE</v>
      </c>
      <c r="AA278" s="37" t="str">
        <f>IF(WFTracker[[#This Row],[Pre RM Opening Time]]&lt;WFTracker[[#This Row],[Old vs New Order Lead Time WF dead line]], "LATE BY ENG", "ON TIME BY ENG")</f>
        <v>ON TIME BY ENG</v>
      </c>
      <c r="AB278" s="37"/>
      <c r="AC278" s="15" t="str">
        <f>IF(WFTracker[[#This Row],[Competion Date Content]] = FALSE, "C", "i")</f>
        <v>C</v>
      </c>
      <c r="AD2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278" s="37" t="str">
        <f ca="1">IF(WFTracker[[#This Row],[Impact Time Post RM]]&gt;0, "IMPACTED", "NOT IMPACTED")</f>
        <v>NOT IMPACTED</v>
      </c>
      <c r="AF278" s="15"/>
      <c r="AG278" s="18"/>
      <c r="AH278" s="14" t="str">
        <f>IF(WFTracker[[#This Row],[Status]]="C", "Closed", IF(WFTracker[[#This Row],[Status]] = "x", "Cancelled", WFTracker[[#This Row],[Impact Time Post RM]]))</f>
        <v>Closed</v>
      </c>
      <c r="AI278" s="14" t="str">
        <f ca="1">IF(WFTracker[[#This Row],[Impact Time Post RM]]&lt;=0,"ON TIME","LATE")</f>
        <v>ON TIME</v>
      </c>
      <c r="AJ278" s="14" t="s">
        <v>984</v>
      </c>
      <c r="AK278" s="14">
        <v>18</v>
      </c>
      <c r="AL278" s="915">
        <f>IF(WFTracker[[#This Row],[Type]]="MAKE", WFTracker[[#This Row],[Due date]]+Filters!$J$111, WFTracker[[#This Row],[Due date]]+Filters!$J$135)</f>
        <v>45906.072512647552</v>
      </c>
      <c r="AM278" s="102" cm="1">
        <f t="array" ref="AM27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79" spans="1:39" ht="14.45">
      <c r="A279" t="str">
        <f>IF(WFTracker[[#This Row],[Order Number]]="SWBD", "QED2", "PZ4")</f>
        <v>PZ4</v>
      </c>
      <c r="B279" s="21" t="s">
        <v>1233</v>
      </c>
      <c r="C279" s="21" t="s">
        <v>165</v>
      </c>
      <c r="D279" s="21" t="str">
        <f>WFTracker[[#This Row],[Order Number]]  &amp; "-" &amp; WFTracker[[#This Row],[Item]]</f>
        <v>0051461115-000030</v>
      </c>
      <c r="E279" s="21" t="s">
        <v>1234</v>
      </c>
      <c r="F279" s="41">
        <v>45930</v>
      </c>
      <c r="G279" s="107"/>
      <c r="H279" t="s">
        <v>709</v>
      </c>
      <c r="I279" s="11" t="s">
        <v>429</v>
      </c>
      <c r="J279" s="32" t="s">
        <v>1235</v>
      </c>
      <c r="K279" s="28" t="s">
        <v>1023</v>
      </c>
      <c r="L279" s="15" t="s">
        <v>27</v>
      </c>
      <c r="M279" s="29" t="s">
        <v>1120</v>
      </c>
      <c r="N279" s="56">
        <v>46017</v>
      </c>
      <c r="O279" s="15">
        <f>NETWORKDAYS.INTL(WFTracker[[#This Row],[Start date]],WFTracker[[#This Row],[RM]],1,Holidays!D508:D523)</f>
        <v>25</v>
      </c>
      <c r="P279" s="12">
        <v>45896</v>
      </c>
      <c r="Q279" s="12">
        <v>45904</v>
      </c>
      <c r="R279" s="12">
        <v>45901</v>
      </c>
      <c r="S279" s="27" t="b">
        <f>ISBLANK(WFTracker[[#This Row],[Completion Date]])</f>
        <v>0</v>
      </c>
      <c r="T279" s="27" t="str">
        <f>TEXT(WFTracker[[#This Row],[Start date]],"mmm-yyyy")</f>
        <v>Aug-2025</v>
      </c>
      <c r="U279" s="11">
        <v>5</v>
      </c>
      <c r="V279" s="11">
        <f>NETWORKDAYS.INTL(WFTracker[[#This Row],[Start date]],WFTracker[[#This Row],[Due date]],1,Holidays!D508:D523)</f>
        <v>7</v>
      </c>
      <c r="W2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279" s="30">
        <f ca="1">WFTracker[[#This Row],[Active Time]]-WFTracker[[#This Row],[Completion Days Template]]</f>
        <v>-3</v>
      </c>
      <c r="Y279" s="34" t="str">
        <f ca="1" xml:space="preserve"> IF(WFTracker[[#This Row],[Overdue Time '[Expected-Completion']]]&gt;0, "LATE","ON TIME")</f>
        <v>ON TIME</v>
      </c>
      <c r="Z279" s="34" t="str">
        <f ca="1">IF(WFTracker[[#This Row],[Overdue Time '[Expected-Completion']]] &gt;= 15, "SUPER LATE", Y279)</f>
        <v>ON TIME</v>
      </c>
      <c r="AA279" s="37" t="str">
        <f>IF(WFTracker[[#This Row],[Pre RM Opening Time]]&lt;WFTracker[[#This Row],[Old vs New Order Lead Time WF dead line]], "LATE BY ENG", "ON TIME BY ENG")</f>
        <v>ON TIME BY ENG</v>
      </c>
      <c r="AB279" s="37" t="s">
        <v>1236</v>
      </c>
      <c r="AC279" s="15" t="str">
        <f>IF(WFTracker[[#This Row],[Competion Date Content]] = FALSE, "C", "i")</f>
        <v>C</v>
      </c>
      <c r="AD2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279" s="105" t="str">
        <f ca="1">IF(WFTracker[[#This Row],[Impact Time Post RM]]&gt;0, "IMPACTED", "NOT IMPACTED")</f>
        <v>NOT IMPACTED</v>
      </c>
      <c r="AF279" s="15"/>
      <c r="AG279" s="42"/>
      <c r="AH279" s="14" t="str">
        <f>IF(WFTracker[[#This Row],[Status]]="C", "Closed", IF(WFTracker[[#This Row],[Status]] = "x", "Cancelled", WFTracker[[#This Row],[Impact Time Post RM]]))</f>
        <v>Closed</v>
      </c>
      <c r="AI279" s="14" t="str">
        <f ca="1">IF(WFTracker[[#This Row],[Impact Time Post RM]]&lt;=0,"ON TIME","LATE")</f>
        <v>ON TIME</v>
      </c>
      <c r="AJ279" s="14" t="s">
        <v>984</v>
      </c>
      <c r="AK279" s="14">
        <v>18</v>
      </c>
      <c r="AL279" s="915">
        <f>IF(WFTracker[[#This Row],[Type]]="MAKE", WFTracker[[#This Row],[Due date]]+Filters!$J$111, WFTracker[[#This Row],[Due date]]+Filters!$J$135)</f>
        <v>45907.072512647552</v>
      </c>
      <c r="AM279" s="102" cm="1">
        <f t="array" ref="AM2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0" spans="1:39" ht="14.45">
      <c r="A280" t="str">
        <f>IF(WFTracker[[#This Row],[Order Number]]="SWBD", "QED2", "PZ4")</f>
        <v>PZ4</v>
      </c>
      <c r="B280" s="21" t="s">
        <v>483</v>
      </c>
      <c r="C280" s="21" t="s">
        <v>214</v>
      </c>
      <c r="D280" s="21" t="str">
        <f>WFTracker[[#This Row],[Order Number]]  &amp; "-" &amp; WFTracker[[#This Row],[Item]]</f>
        <v>0051424832-000020</v>
      </c>
      <c r="E280" s="21" t="s">
        <v>484</v>
      </c>
      <c r="F280" s="12">
        <v>45930</v>
      </c>
      <c r="G280" s="27"/>
      <c r="H280" t="s">
        <v>117</v>
      </c>
      <c r="I280" s="11" t="s">
        <v>264</v>
      </c>
      <c r="J280" s="32" t="s">
        <v>485</v>
      </c>
      <c r="K280" s="28" t="s">
        <v>1017</v>
      </c>
      <c r="L280" s="15" t="s">
        <v>27</v>
      </c>
      <c r="M280" s="29" t="s">
        <v>1120</v>
      </c>
      <c r="N280" s="57">
        <v>46037</v>
      </c>
      <c r="O280" s="15">
        <f>NETWORKDAYS.INTL(WFTracker[[#This Row],[Start date]],WFTracker[[#This Row],[RM]],1,Holidays!D509:D524)</f>
        <v>25</v>
      </c>
      <c r="P280" s="12">
        <v>45896</v>
      </c>
      <c r="Q280" s="12">
        <v>45905</v>
      </c>
      <c r="R280" s="12">
        <v>45902</v>
      </c>
      <c r="S280" s="27" t="b">
        <f>ISBLANK(WFTracker[[#This Row],[Completion Date]])</f>
        <v>0</v>
      </c>
      <c r="T280" s="27" t="str">
        <f>TEXT(WFTracker[[#This Row],[Start date]],"mmm-yyyy")</f>
        <v>Aug-2025</v>
      </c>
      <c r="U280" s="11">
        <v>10</v>
      </c>
      <c r="V280" s="11">
        <f>NETWORKDAYS.INTL(WFTracker[[#This Row],[Start date]],WFTracker[[#This Row],[Due date]],1,Holidays!D509:D524)</f>
        <v>8</v>
      </c>
      <c r="W2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80" s="30">
        <f ca="1">WFTracker[[#This Row],[Active Time]]-WFTracker[[#This Row],[Completion Days Template]]</f>
        <v>-3</v>
      </c>
      <c r="Y280" s="34" t="str">
        <f ca="1" xml:space="preserve"> IF(WFTracker[[#This Row],[Overdue Time '[Expected-Completion']]]&gt;0, "LATE","ON TIME")</f>
        <v>ON TIME</v>
      </c>
      <c r="Z280" s="34" t="str">
        <f ca="1">IF(WFTracker[[#This Row],[Overdue Time '[Expected-Completion']]] &gt;= 15, "SUPER LATE", Y280)</f>
        <v>ON TIME</v>
      </c>
      <c r="AA280" s="37" t="str">
        <f>IF(WFTracker[[#This Row],[Pre RM Opening Time]]&lt;WFTracker[[#This Row],[Old vs New Order Lead Time WF dead line]], "LATE BY ENG", "ON TIME BY ENG")</f>
        <v>ON TIME BY ENG</v>
      </c>
      <c r="AB280" s="37"/>
      <c r="AC280" s="15" t="str">
        <f>IF(WFTracker[[#This Row],[Competion Date Content]] = FALSE, "C", "i")</f>
        <v>C</v>
      </c>
      <c r="AD2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280" s="105" t="str">
        <f ca="1">IF(WFTracker[[#This Row],[Impact Time Post RM]]&gt;0, "IMPACTED", "NOT IMPACTED")</f>
        <v>NOT IMPACTED</v>
      </c>
      <c r="AF280" s="15"/>
      <c r="AG280" s="42"/>
      <c r="AH280" s="14" t="str">
        <f>IF(WFTracker[[#This Row],[Status]]="C", "Closed", IF(WFTracker[[#This Row],[Status]] = "x", "Cancelled", WFTracker[[#This Row],[Impact Time Post RM]]))</f>
        <v>Closed</v>
      </c>
      <c r="AI280" s="14" t="str">
        <f ca="1">IF(WFTracker[[#This Row],[Impact Time Post RM]]&lt;=0,"ON TIME","LATE")</f>
        <v>ON TIME</v>
      </c>
      <c r="AJ280" s="14" t="s">
        <v>984</v>
      </c>
      <c r="AK280" s="14">
        <v>18</v>
      </c>
      <c r="AL280" s="915">
        <f>IF(WFTracker[[#This Row],[Type]]="MAKE", WFTracker[[#This Row],[Due date]]+Filters!$J$111, WFTracker[[#This Row],[Due date]]+Filters!$J$135)</f>
        <v>45908.072512647552</v>
      </c>
      <c r="AM280" s="102" cm="1">
        <f t="array" ref="AM2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1" spans="1:39" ht="14.45">
      <c r="A281" t="str">
        <f>IF(WFTracker[[#This Row],[Order Number]]="SWBD", "QED2", "PZ4")</f>
        <v>PZ4</v>
      </c>
      <c r="B281" s="21" t="s">
        <v>418</v>
      </c>
      <c r="C281" s="21" t="s">
        <v>407</v>
      </c>
      <c r="D281" s="21" t="str">
        <f>WFTracker[[#This Row],[Order Number]]  &amp; "-" &amp; WFTracker[[#This Row],[Item]]</f>
        <v>0051139077-000190</v>
      </c>
      <c r="E281" s="21" t="s">
        <v>474</v>
      </c>
      <c r="F281" s="12">
        <v>45898</v>
      </c>
      <c r="G281" s="27"/>
      <c r="H281" t="s">
        <v>110</v>
      </c>
      <c r="I281" t="s">
        <v>260</v>
      </c>
      <c r="J281" s="32" t="s">
        <v>422</v>
      </c>
      <c r="K281" s="28" t="s">
        <v>1017</v>
      </c>
      <c r="L281" s="15" t="s">
        <v>27</v>
      </c>
      <c r="M281" s="29" t="s">
        <v>1120</v>
      </c>
      <c r="N281" s="57">
        <v>46113</v>
      </c>
      <c r="O281" s="15">
        <f>NETWORKDAYS.INTL(WFTracker[[#This Row],[Start date]],WFTracker[[#This Row],[RM]],1,Holidays!D71:D86)</f>
        <v>2</v>
      </c>
      <c r="P281" s="12">
        <v>45897</v>
      </c>
      <c r="Q281" s="12">
        <v>45905</v>
      </c>
      <c r="R281" s="12">
        <v>45909</v>
      </c>
      <c r="S281" s="27" t="b">
        <f>ISBLANK(WFTracker[[#This Row],[Completion Date]])</f>
        <v>0</v>
      </c>
      <c r="T281" s="27" t="str">
        <f>TEXT(WFTracker[[#This Row],[Start date]],"mmm-yyyy")</f>
        <v>Aug-2025</v>
      </c>
      <c r="U281" s="11">
        <v>5</v>
      </c>
      <c r="V281" s="11">
        <f>NETWORKDAYS.INTL(WFTracker[[#This Row],[Start date]],WFTracker[[#This Row],[Due date]],1,Holidays!D71:D86)</f>
        <v>7</v>
      </c>
      <c r="W2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81" s="30">
        <f ca="1">WFTracker[[#This Row],[Active Time]]-WFTracker[[#This Row],[Completion Days Template]]</f>
        <v>2</v>
      </c>
      <c r="Y281" s="34" t="str">
        <f ca="1" xml:space="preserve"> IF(WFTracker[[#This Row],[Overdue Time '[Expected-Completion']]]&gt;0, "LATE","ON TIME")</f>
        <v>LATE</v>
      </c>
      <c r="Z281" s="34" t="str">
        <f ca="1">IF(WFTracker[[#This Row],[Overdue Time '[Expected-Completion']]] &gt;= 15, "SUPER LATE", Y281)</f>
        <v>LATE</v>
      </c>
      <c r="AA281" s="37" t="str">
        <f>IF(WFTracker[[#This Row],[Pre RM Opening Time]]&lt;WFTracker[[#This Row],[Old vs New Order Lead Time WF dead line]], "LATE BY ENG", "ON TIME BY ENG")</f>
        <v>LATE BY ENG</v>
      </c>
      <c r="AB281" s="37"/>
      <c r="AC281" s="15" t="str">
        <f>IF(WFTracker[[#This Row],[Competion Date Content]] = FALSE, "C", "i")</f>
        <v>C</v>
      </c>
      <c r="AD2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8</v>
      </c>
      <c r="AE281" s="105" t="str">
        <f ca="1">IF(WFTracker[[#This Row],[Impact Time Post RM]]&gt;0, "IMPACTED", "NOT IMPACTED")</f>
        <v>IMPACTED</v>
      </c>
      <c r="AF281" s="15"/>
      <c r="AG281" s="42"/>
      <c r="AH281" s="14" t="str">
        <f>IF(WFTracker[[#This Row],[Status]]="C", "Closed", IF(WFTracker[[#This Row],[Status]] = "x", "Cancelled", WFTracker[[#This Row],[Impact Time Post RM]]))</f>
        <v>Closed</v>
      </c>
      <c r="AI281" s="14" t="str">
        <f ca="1">IF(WFTracker[[#This Row],[Impact Time Post RM]]&lt;=0,"ON TIME","LATE")</f>
        <v>LATE</v>
      </c>
      <c r="AJ281" s="14" t="s">
        <v>984</v>
      </c>
      <c r="AK281" s="14">
        <v>18</v>
      </c>
      <c r="AL281" s="915">
        <f>IF(WFTracker[[#This Row],[Type]]="MAKE", WFTracker[[#This Row],[Due date]]+Filters!$J$111, WFTracker[[#This Row],[Due date]]+Filters!$J$135)</f>
        <v>45908.072512647552</v>
      </c>
      <c r="AM281" s="102" cm="1">
        <f t="array" ref="AM2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2" spans="1:39" ht="14.45">
      <c r="A282" t="str">
        <f>IF(WFTracker[[#This Row],[Order Number]]="SWBD", "QED2", "PZ4")</f>
        <v>PZ4</v>
      </c>
      <c r="B282" s="21" t="s">
        <v>1237</v>
      </c>
      <c r="C282" s="21" t="s">
        <v>135</v>
      </c>
      <c r="D282" s="21" t="str">
        <f>WFTracker[[#This Row],[Order Number]]  &amp; "-" &amp; WFTracker[[#This Row],[Item]]</f>
        <v>0051340498-000010</v>
      </c>
      <c r="E282" s="21" t="s">
        <v>445</v>
      </c>
      <c r="F282" s="12">
        <v>45919</v>
      </c>
      <c r="G282" s="27"/>
      <c r="H282" t="s">
        <v>237</v>
      </c>
      <c r="I282" t="s">
        <v>429</v>
      </c>
      <c r="J282" s="32" t="s">
        <v>1238</v>
      </c>
      <c r="K282" s="28" t="s">
        <v>1023</v>
      </c>
      <c r="L282" s="15" t="s">
        <v>40</v>
      </c>
      <c r="M282" s="29" t="s">
        <v>1120</v>
      </c>
      <c r="N282" s="57">
        <v>46021</v>
      </c>
      <c r="O282" s="15">
        <f>NETWORKDAYS.INTL(WFTracker[[#This Row],[Start date]],WFTracker[[#This Row],[RM]],1,Holidays!D387:D402)</f>
        <v>17</v>
      </c>
      <c r="P282" s="12">
        <v>45897</v>
      </c>
      <c r="Q282" s="12">
        <v>45909</v>
      </c>
      <c r="R282" s="12">
        <v>45909</v>
      </c>
      <c r="S282" s="27" t="b">
        <f>ISBLANK(WFTracker[[#This Row],[Completion Date]])</f>
        <v>0</v>
      </c>
      <c r="T282" s="27" t="str">
        <f>TEXT(WFTracker[[#This Row],[Start date]],"mmm-yyyy")</f>
        <v>Aug-2025</v>
      </c>
      <c r="U282" s="11">
        <v>10</v>
      </c>
      <c r="V282" s="11">
        <f>NETWORKDAYS.INTL(WFTracker[[#This Row],[Start date]],WFTracker[[#This Row],[Due date]],1,Holidays!D387:D402)</f>
        <v>9</v>
      </c>
      <c r="W2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282" s="30">
        <f ca="1">WFTracker[[#This Row],[Active Time]]-WFTracker[[#This Row],[Completion Days Template]]</f>
        <v>0</v>
      </c>
      <c r="Y282" s="34" t="str">
        <f ca="1" xml:space="preserve"> IF(WFTracker[[#This Row],[Overdue Time '[Expected-Completion']]]&gt;0, "LATE","ON TIME")</f>
        <v>ON TIME</v>
      </c>
      <c r="Z282" s="34" t="str">
        <f ca="1">IF(WFTracker[[#This Row],[Overdue Time '[Expected-Completion']]] &gt;= 15, "SUPER LATE", Y282)</f>
        <v>ON TIME</v>
      </c>
      <c r="AA282" s="37" t="str">
        <f>IF(WFTracker[[#This Row],[Pre RM Opening Time]]&lt;WFTracker[[#This Row],[Old vs New Order Lead Time WF dead line]], "LATE BY ENG", "ON TIME BY ENG")</f>
        <v>ON TIME BY ENG</v>
      </c>
      <c r="AB282" s="37"/>
      <c r="AC282" s="15" t="str">
        <f>IF(WFTracker[[#This Row],[Competion Date Content]] = FALSE, "C", "i")</f>
        <v>C</v>
      </c>
      <c r="AD2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282" s="105" t="str">
        <f ca="1">IF(WFTracker[[#This Row],[Impact Time Post RM]]&gt;0, "IMPACTED", "NOT IMPACTED")</f>
        <v>NOT IMPACTED</v>
      </c>
      <c r="AF282" s="15"/>
      <c r="AG282" s="42"/>
      <c r="AH282" s="14" t="str">
        <f>IF(WFTracker[[#This Row],[Status]]="C", "Closed", IF(WFTracker[[#This Row],[Status]] = "x", "Cancelled", WFTracker[[#This Row],[Impact Time Post RM]]))</f>
        <v>Closed</v>
      </c>
      <c r="AI282" s="14" t="str">
        <f ca="1">IF(WFTracker[[#This Row],[Impact Time Post RM]]&lt;=0,"ON TIME","LATE")</f>
        <v>ON TIME</v>
      </c>
      <c r="AJ282" s="14" t="s">
        <v>984</v>
      </c>
      <c r="AK282" s="14">
        <v>17</v>
      </c>
      <c r="AL282" s="915">
        <f>IF(WFTracker[[#This Row],[Type]]="MAKE", WFTracker[[#This Row],[Due date]]+Filters!$J$111, WFTracker[[#This Row],[Due date]]+Filters!$J$135)</f>
        <v>45909.415686274508</v>
      </c>
      <c r="AM282" s="102" cm="1">
        <f t="array" ref="AM2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3" spans="1:39" ht="14.45">
      <c r="A283" t="str">
        <f>IF(WFTracker[[#This Row],[Order Number]]="SWBD", "QED2", "PZ4")</f>
        <v>QED2</v>
      </c>
      <c r="B283" s="21" t="s">
        <v>1239</v>
      </c>
      <c r="C283" s="21" t="s">
        <v>1051</v>
      </c>
      <c r="D283" s="23" t="str">
        <f>WFTracker[[#This Row],[Order Number]]  &amp; "-" &amp; WFTracker[[#This Row],[Item]]</f>
        <v>SWBD-meta rsb #80</v>
      </c>
      <c r="E283" s="21" t="s">
        <v>1051</v>
      </c>
      <c r="F283" s="12">
        <v>45926</v>
      </c>
      <c r="G283" s="12"/>
      <c r="H283" s="11" t="s">
        <v>947</v>
      </c>
      <c r="I283" s="11" t="s">
        <v>1132</v>
      </c>
      <c r="J283" s="13" t="s">
        <v>1240</v>
      </c>
      <c r="K283" s="14" t="s">
        <v>1023</v>
      </c>
      <c r="L283" s="15" t="s">
        <v>27</v>
      </c>
      <c r="M283" s="29" t="s">
        <v>1120</v>
      </c>
      <c r="N283" s="57" t="s">
        <v>984</v>
      </c>
      <c r="O283" s="15">
        <f>NETWORKDAYS.INTL(WFTracker[[#This Row],[Start date]],WFTracker[[#This Row],[RM]],1,Holidays!D491:D506)</f>
        <v>22</v>
      </c>
      <c r="P283" s="12">
        <v>45897</v>
      </c>
      <c r="Q283" s="12">
        <v>45904</v>
      </c>
      <c r="R283" s="12">
        <v>45910</v>
      </c>
      <c r="S283" s="12" t="b">
        <f>ISBLANK(WFTracker[[#This Row],[Completion Date]])</f>
        <v>0</v>
      </c>
      <c r="T283" s="12" t="str">
        <f>TEXT(WFTracker[[#This Row],[Start date]],"mmm-yyyy")</f>
        <v>Aug-2025</v>
      </c>
      <c r="U283" s="11">
        <v>10</v>
      </c>
      <c r="V283" s="11">
        <f>NETWORKDAYS.INTL(WFTracker[[#This Row],[Start date]],WFTracker[[#This Row],[Due date]],1,Holidays!D491:D506)</f>
        <v>6</v>
      </c>
      <c r="W2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83" s="24">
        <f ca="1">WFTracker[[#This Row],[Active Time]]-WFTracker[[#This Row],[Completion Days Template]]</f>
        <v>4</v>
      </c>
      <c r="Y283" s="16" t="str">
        <f ca="1" xml:space="preserve"> IF(WFTracker[[#This Row],[Overdue Time '[Expected-Completion']]]&gt;0, "LATE","ON TIME")</f>
        <v>LATE</v>
      </c>
      <c r="Z283" s="16" t="str">
        <f ca="1">IF(WFTracker[[#This Row],[Overdue Time '[Expected-Completion']]] &gt;= 15, "SUPER LATE", Y283)</f>
        <v>LATE</v>
      </c>
      <c r="AA283" s="37" t="str">
        <f>IF(WFTracker[[#This Row],[Pre RM Opening Time]]&lt;WFTracker[[#This Row],[Old vs New Order Lead Time WF dead line]], "LATE BY ENG", "ON TIME BY ENG")</f>
        <v>ON TIME BY ENG</v>
      </c>
      <c r="AB283" s="37"/>
      <c r="AC283" s="15" t="str">
        <f>IF(WFTracker[[#This Row],[Competion Date Content]] = FALSE, "C", "I")</f>
        <v>C</v>
      </c>
      <c r="AD2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283" s="37" t="str">
        <f ca="1">IF(WFTracker[[#This Row],[Impact Time Post RM]]&gt;0, "IMPACTED", "NOT IMPACTED")</f>
        <v>NOT IMPACTED</v>
      </c>
      <c r="AF283" s="15"/>
      <c r="AG283" s="18"/>
      <c r="AH283" s="14" t="str">
        <f>IF(WFTracker[[#This Row],[Status]]="C", "Closed", IF(WFTracker[[#This Row],[Status]] = "x", "Cancelled", WFTracker[[#This Row],[Impact Time Post RM]]))</f>
        <v>Closed</v>
      </c>
      <c r="AI283" s="14" t="str">
        <f ca="1">IF(WFTracker[[#This Row],[Impact Time Post RM]]&lt;=0,"ON TIME","LATE")</f>
        <v>ON TIME</v>
      </c>
      <c r="AJ283" s="14" t="s">
        <v>984</v>
      </c>
      <c r="AK283" s="14">
        <v>18</v>
      </c>
      <c r="AL283" s="915">
        <f>IF(WFTracker[[#This Row],[Type]]="MAKE", WFTracker[[#This Row],[Due date]]+Filters!$J$111, WFTracker[[#This Row],[Due date]]+Filters!$J$135)</f>
        <v>45907.072512647552</v>
      </c>
      <c r="AM283" s="102" cm="1">
        <f t="array" ref="AM2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4" spans="1:39" ht="14.45">
      <c r="A284" t="str">
        <f>IF(WFTracker[[#This Row],[Order Number]]="SWBD", "QED2", "PZ4")</f>
        <v>QED2</v>
      </c>
      <c r="B284" s="21" t="s">
        <v>1239</v>
      </c>
      <c r="C284" s="21" t="s">
        <v>1051</v>
      </c>
      <c r="D284" s="23" t="str">
        <f>WFTracker[[#This Row],[Order Number]]  &amp; "-" &amp; WFTracker[[#This Row],[Item]]</f>
        <v>SWBD-meta rsb #80</v>
      </c>
      <c r="E284" s="21" t="s">
        <v>1051</v>
      </c>
      <c r="F284" s="12">
        <v>45926</v>
      </c>
      <c r="G284" s="12"/>
      <c r="H284" s="11" t="s">
        <v>947</v>
      </c>
      <c r="I284" s="11" t="s">
        <v>1132</v>
      </c>
      <c r="J284" s="13" t="s">
        <v>1241</v>
      </c>
      <c r="K284" s="14" t="s">
        <v>1023</v>
      </c>
      <c r="L284" s="15" t="s">
        <v>27</v>
      </c>
      <c r="M284" s="29" t="s">
        <v>1120</v>
      </c>
      <c r="N284" s="57" t="s">
        <v>984</v>
      </c>
      <c r="O284" s="15">
        <f>NETWORKDAYS.INTL(WFTracker[[#This Row],[Start date]],WFTracker[[#This Row],[RM]],1,Holidays!D492:D507)</f>
        <v>22</v>
      </c>
      <c r="P284" s="12">
        <v>45897</v>
      </c>
      <c r="Q284" s="12">
        <v>45908</v>
      </c>
      <c r="R284" s="12">
        <v>45927</v>
      </c>
      <c r="S284" s="12" t="b">
        <f>ISBLANK(WFTracker[[#This Row],[Completion Date]])</f>
        <v>0</v>
      </c>
      <c r="T284" s="12" t="str">
        <f>TEXT(WFTracker[[#This Row],[Start date]],"mmm-yyyy")</f>
        <v>Aug-2025</v>
      </c>
      <c r="U284" s="11">
        <v>10</v>
      </c>
      <c r="V284" s="11">
        <f>NETWORKDAYS.INTL(WFTracker[[#This Row],[Start date]],WFTracker[[#This Row],[Due date]],1,Holidays!D492:D507)</f>
        <v>8</v>
      </c>
      <c r="W2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21</v>
      </c>
      <c r="X284" s="24">
        <f ca="1">WFTracker[[#This Row],[Active Time]]-WFTracker[[#This Row],[Completion Days Template]]</f>
        <v>13</v>
      </c>
      <c r="Y284" s="16" t="str">
        <f ca="1" xml:space="preserve"> IF(WFTracker[[#This Row],[Overdue Time '[Expected-Completion']]]&gt;0, "LATE","ON TIME")</f>
        <v>LATE</v>
      </c>
      <c r="Z284" s="16" t="str">
        <f ca="1">IF(WFTracker[[#This Row],[Overdue Time '[Expected-Completion']]] &gt;= 15, "SUPER LATE", Y284)</f>
        <v>LATE</v>
      </c>
      <c r="AA284" s="37" t="str">
        <f>IF(WFTracker[[#This Row],[Pre RM Opening Time]]&lt;WFTracker[[#This Row],[Old vs New Order Lead Time WF dead line]], "LATE BY ENG", "ON TIME BY ENG")</f>
        <v>ON TIME BY ENG</v>
      </c>
      <c r="AB284" s="37"/>
      <c r="AC284" s="15" t="str">
        <f>IF(WFTracker[[#This Row],[Competion Date Content]] = FALSE, "C", "I")</f>
        <v>C</v>
      </c>
      <c r="AD2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284" s="37" t="str">
        <f ca="1">IF(WFTracker[[#This Row],[Impact Time Post RM]]&gt;0, "IMPACTED", "NOT IMPACTED")</f>
        <v>IMPACTED</v>
      </c>
      <c r="AF284" s="15"/>
      <c r="AG284" s="18"/>
      <c r="AH284" s="14" t="str">
        <f>IF(WFTracker[[#This Row],[Status]]="C", "Closed", IF(WFTracker[[#This Row],[Status]] = "x", "Cancelled", WFTracker[[#This Row],[Impact Time Post RM]]))</f>
        <v>Closed</v>
      </c>
      <c r="AI284" s="14" t="str">
        <f ca="1">IF(WFTracker[[#This Row],[Impact Time Post RM]]&lt;=0,"ON TIME","LATE")</f>
        <v>LATE</v>
      </c>
      <c r="AJ284" s="14" t="s">
        <v>984</v>
      </c>
      <c r="AK284" s="14">
        <v>18</v>
      </c>
      <c r="AL284" s="915">
        <f>IF(WFTracker[[#This Row],[Type]]="MAKE", WFTracker[[#This Row],[Due date]]+Filters!$J$111, WFTracker[[#This Row],[Due date]]+Filters!$J$135)</f>
        <v>45911.072512647552</v>
      </c>
      <c r="AM284" s="102" cm="1">
        <f t="array" ref="AM2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5" spans="1:39" ht="14.45">
      <c r="A285" t="str">
        <f>IF(WFTracker[[#This Row],[Order Number]]="SWBD", "QED2", "PZ4")</f>
        <v>QED2</v>
      </c>
      <c r="B285" s="21" t="s">
        <v>1239</v>
      </c>
      <c r="C285" s="21" t="s">
        <v>1051</v>
      </c>
      <c r="D285" s="23" t="str">
        <f>WFTracker[[#This Row],[Order Number]]  &amp; "-" &amp; WFTracker[[#This Row],[Item]]</f>
        <v>SWBD-meta rsb #80</v>
      </c>
      <c r="E285" s="21" t="s">
        <v>1051</v>
      </c>
      <c r="F285" s="12">
        <v>45926</v>
      </c>
      <c r="G285" s="12"/>
      <c r="H285" s="11" t="s">
        <v>947</v>
      </c>
      <c r="I285" s="11" t="s">
        <v>1132</v>
      </c>
      <c r="J285" s="13" t="s">
        <v>1242</v>
      </c>
      <c r="K285" s="14" t="s">
        <v>1023</v>
      </c>
      <c r="L285" s="15" t="s">
        <v>27</v>
      </c>
      <c r="M285" s="29" t="s">
        <v>1120</v>
      </c>
      <c r="N285" s="57" t="s">
        <v>984</v>
      </c>
      <c r="O285" s="15">
        <f>NETWORKDAYS.INTL(WFTracker[[#This Row],[Start date]],WFTracker[[#This Row],[RM]],1,Holidays!D493:D508)</f>
        <v>22</v>
      </c>
      <c r="P285" s="12">
        <v>45897</v>
      </c>
      <c r="Q285" s="12">
        <v>45908</v>
      </c>
      <c r="R285" s="12">
        <v>45908</v>
      </c>
      <c r="S285" s="12" t="b">
        <f>ISBLANK(WFTracker[[#This Row],[Completion Date]])</f>
        <v>0</v>
      </c>
      <c r="T285" s="12" t="str">
        <f>TEXT(WFTracker[[#This Row],[Start date]],"mmm-yyyy")</f>
        <v>Aug-2025</v>
      </c>
      <c r="U285" s="11">
        <v>10</v>
      </c>
      <c r="V285" s="11">
        <f>NETWORKDAYS.INTL(WFTracker[[#This Row],[Start date]],WFTracker[[#This Row],[Due date]],1,Holidays!D493:D508)</f>
        <v>8</v>
      </c>
      <c r="W2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85" s="24">
        <f ca="1">WFTracker[[#This Row],[Active Time]]-WFTracker[[#This Row],[Completion Days Template]]</f>
        <v>0</v>
      </c>
      <c r="Y285" s="16" t="str">
        <f ca="1" xml:space="preserve"> IF(WFTracker[[#This Row],[Overdue Time '[Expected-Completion']]]&gt;0, "LATE","ON TIME")</f>
        <v>ON TIME</v>
      </c>
      <c r="Z285" s="16" t="str">
        <f ca="1">IF(WFTracker[[#This Row],[Overdue Time '[Expected-Completion']]] &gt;= 15, "SUPER LATE", Y285)</f>
        <v>ON TIME</v>
      </c>
      <c r="AA285" s="37" t="str">
        <f>IF(WFTracker[[#This Row],[Pre RM Opening Time]]&lt;WFTracker[[#This Row],[Old vs New Order Lead Time WF dead line]], "LATE BY ENG", "ON TIME BY ENG")</f>
        <v>ON TIME BY ENG</v>
      </c>
      <c r="AB285" s="37"/>
      <c r="AC285" s="15" t="str">
        <f>IF(WFTracker[[#This Row],[Competion Date Content]] = FALSE, "C", "I")</f>
        <v>C</v>
      </c>
      <c r="AD2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285" s="37" t="str">
        <f ca="1">IF(WFTracker[[#This Row],[Impact Time Post RM]]&gt;0, "IMPACTED", "NOT IMPACTED")</f>
        <v>NOT IMPACTED</v>
      </c>
      <c r="AF285" s="15"/>
      <c r="AG285" s="18"/>
      <c r="AH285" s="14" t="str">
        <f>IF(WFTracker[[#This Row],[Status]]="C", "Closed", IF(WFTracker[[#This Row],[Status]] = "x", "Cancelled", WFTracker[[#This Row],[Impact Time Post RM]]))</f>
        <v>Closed</v>
      </c>
      <c r="AI285" s="14" t="str">
        <f ca="1">IF(WFTracker[[#This Row],[Impact Time Post RM]]&lt;=0,"ON TIME","LATE")</f>
        <v>ON TIME</v>
      </c>
      <c r="AJ285" s="14" t="s">
        <v>984</v>
      </c>
      <c r="AK285" s="14">
        <v>18</v>
      </c>
      <c r="AL285" s="915">
        <f>IF(WFTracker[[#This Row],[Type]]="MAKE", WFTracker[[#This Row],[Due date]]+Filters!$J$111, WFTracker[[#This Row],[Due date]]+Filters!$J$135)</f>
        <v>45911.072512647552</v>
      </c>
      <c r="AM285" s="102" cm="1">
        <f t="array" ref="AM28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6" spans="1:39" ht="14.45">
      <c r="A286" t="str">
        <f>IF(WFTracker[[#This Row],[Order Number]]="SWBD", "QED2", "PZ4")</f>
        <v>QED2</v>
      </c>
      <c r="B286" s="21" t="s">
        <v>1239</v>
      </c>
      <c r="C286" s="21" t="s">
        <v>1051</v>
      </c>
      <c r="D286" s="23" t="str">
        <f>WFTracker[[#This Row],[Order Number]]  &amp; "-" &amp; WFTracker[[#This Row],[Item]]</f>
        <v>SWBD-meta rsb #80</v>
      </c>
      <c r="E286" s="21" t="s">
        <v>1051</v>
      </c>
      <c r="F286" s="12">
        <v>45926</v>
      </c>
      <c r="G286" s="12"/>
      <c r="H286" s="11" t="s">
        <v>947</v>
      </c>
      <c r="I286" s="11" t="s">
        <v>1132</v>
      </c>
      <c r="J286" s="13" t="s">
        <v>1243</v>
      </c>
      <c r="K286" s="14" t="s">
        <v>1023</v>
      </c>
      <c r="L286" s="15" t="s">
        <v>27</v>
      </c>
      <c r="M286" s="29" t="s">
        <v>1120</v>
      </c>
      <c r="N286" s="57" t="s">
        <v>984</v>
      </c>
      <c r="O286" s="15">
        <f>NETWORKDAYS.INTL(WFTracker[[#This Row],[Start date]],WFTracker[[#This Row],[RM]],1,Holidays!D494:D509)</f>
        <v>22</v>
      </c>
      <c r="P286" s="12">
        <v>45897</v>
      </c>
      <c r="Q286" s="12">
        <v>45908</v>
      </c>
      <c r="R286" s="12">
        <v>45924</v>
      </c>
      <c r="S286" s="12" t="b">
        <f>ISBLANK(WFTracker[[#This Row],[Completion Date]])</f>
        <v>0</v>
      </c>
      <c r="T286" s="12" t="str">
        <f>TEXT(WFTracker[[#This Row],[Start date]],"mmm-yyyy")</f>
        <v>Aug-2025</v>
      </c>
      <c r="U286" s="11">
        <v>10</v>
      </c>
      <c r="V286" s="11">
        <f>NETWORKDAYS.INTL(WFTracker[[#This Row],[Start date]],WFTracker[[#This Row],[Due date]],1,Holidays!D494:D509)</f>
        <v>8</v>
      </c>
      <c r="W2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286" s="24">
        <f ca="1">WFTracker[[#This Row],[Active Time]]-WFTracker[[#This Row],[Completion Days Template]]</f>
        <v>11</v>
      </c>
      <c r="Y286" s="16" t="str">
        <f ca="1" xml:space="preserve"> IF(WFTracker[[#This Row],[Overdue Time '[Expected-Completion']]]&gt;0, "LATE","ON TIME")</f>
        <v>LATE</v>
      </c>
      <c r="Z286" s="16" t="str">
        <f ca="1">IF(WFTracker[[#This Row],[Overdue Time '[Expected-Completion']]] &gt;= 15, "SUPER LATE", Y286)</f>
        <v>LATE</v>
      </c>
      <c r="AA286" s="37" t="str">
        <f>IF(WFTracker[[#This Row],[Pre RM Opening Time]]&lt;WFTracker[[#This Row],[Old vs New Order Lead Time WF dead line]], "LATE BY ENG", "ON TIME BY ENG")</f>
        <v>ON TIME BY ENG</v>
      </c>
      <c r="AB286" s="37"/>
      <c r="AC286" s="15" t="str">
        <f>IF(WFTracker[[#This Row],[Competion Date Content]] = FALSE, "C", "I")</f>
        <v>C</v>
      </c>
      <c r="AD2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286" s="37" t="str">
        <f ca="1">IF(WFTracker[[#This Row],[Impact Time Post RM]]&gt;0, "IMPACTED", "NOT IMPACTED")</f>
        <v>NOT IMPACTED</v>
      </c>
      <c r="AF286" s="15"/>
      <c r="AG286" s="18"/>
      <c r="AH286" s="14" t="str">
        <f>IF(WFTracker[[#This Row],[Status]]="C", "Closed", IF(WFTracker[[#This Row],[Status]] = "x", "Cancelled", WFTracker[[#This Row],[Impact Time Post RM]]))</f>
        <v>Closed</v>
      </c>
      <c r="AI286" s="14" t="str">
        <f ca="1">IF(WFTracker[[#This Row],[Impact Time Post RM]]&lt;=0,"ON TIME","LATE")</f>
        <v>ON TIME</v>
      </c>
      <c r="AJ286" s="14" t="s">
        <v>984</v>
      </c>
      <c r="AK286" s="14">
        <v>18</v>
      </c>
      <c r="AL286" s="915">
        <f>IF(WFTracker[[#This Row],[Type]]="MAKE", WFTracker[[#This Row],[Due date]]+Filters!$J$111, WFTracker[[#This Row],[Due date]]+Filters!$J$135)</f>
        <v>45911.072512647552</v>
      </c>
      <c r="AM286" s="102" cm="1">
        <f t="array" ref="AM2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7" spans="1:39" ht="14.45">
      <c r="A287" t="str">
        <f>IF(WFTracker[[#This Row],[Order Number]]="SWBD", "QED2", "PZ4")</f>
        <v>QED2</v>
      </c>
      <c r="B287" s="21" t="s">
        <v>1239</v>
      </c>
      <c r="C287" s="21" t="s">
        <v>1051</v>
      </c>
      <c r="D287" s="23" t="str">
        <f>WFTracker[[#This Row],[Order Number]]  &amp; "-" &amp; WFTracker[[#This Row],[Item]]</f>
        <v>SWBD-meta rsb #80</v>
      </c>
      <c r="E287" s="21" t="s">
        <v>1051</v>
      </c>
      <c r="F287" s="12">
        <v>45926</v>
      </c>
      <c r="G287" s="12"/>
      <c r="H287" s="11" t="s">
        <v>947</v>
      </c>
      <c r="I287" s="11" t="s">
        <v>1132</v>
      </c>
      <c r="J287" s="13" t="s">
        <v>1244</v>
      </c>
      <c r="K287" s="14" t="s">
        <v>1023</v>
      </c>
      <c r="L287" s="15" t="s">
        <v>27</v>
      </c>
      <c r="M287" s="29" t="s">
        <v>1120</v>
      </c>
      <c r="N287" s="57" t="s">
        <v>984</v>
      </c>
      <c r="O287" s="15">
        <f>NETWORKDAYS.INTL(WFTracker[[#This Row],[Start date]],WFTracker[[#This Row],[RM]],1,Holidays!D495:D510)</f>
        <v>22</v>
      </c>
      <c r="P287" s="12">
        <v>45897</v>
      </c>
      <c r="Q287" s="12">
        <v>45908</v>
      </c>
      <c r="R287" s="12">
        <v>45913</v>
      </c>
      <c r="S287" s="12" t="b">
        <f>ISBLANK(WFTracker[[#This Row],[Completion Date]])</f>
        <v>0</v>
      </c>
      <c r="T287" s="12" t="str">
        <f>TEXT(WFTracker[[#This Row],[Start date]],"mmm-yyyy")</f>
        <v>Aug-2025</v>
      </c>
      <c r="U287" s="11">
        <v>10</v>
      </c>
      <c r="V287" s="11">
        <f>NETWORKDAYS.INTL(WFTracker[[#This Row],[Start date]],WFTracker[[#This Row],[Due date]],1,Holidays!D495:D510)</f>
        <v>8</v>
      </c>
      <c r="W2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87" s="24">
        <f ca="1">WFTracker[[#This Row],[Active Time]]-WFTracker[[#This Row],[Completion Days Template]]</f>
        <v>4</v>
      </c>
      <c r="Y287" s="16" t="str">
        <f ca="1" xml:space="preserve"> IF(WFTracker[[#This Row],[Overdue Time '[Expected-Completion']]]&gt;0, "LATE","ON TIME")</f>
        <v>LATE</v>
      </c>
      <c r="Z287" s="16" t="str">
        <f ca="1">IF(WFTracker[[#This Row],[Overdue Time '[Expected-Completion']]] &gt;= 15, "SUPER LATE", Y287)</f>
        <v>LATE</v>
      </c>
      <c r="AA287" s="37" t="str">
        <f>IF(WFTracker[[#This Row],[Pre RM Opening Time]]&lt;WFTracker[[#This Row],[Old vs New Order Lead Time WF dead line]], "LATE BY ENG", "ON TIME BY ENG")</f>
        <v>ON TIME BY ENG</v>
      </c>
      <c r="AB287" s="37"/>
      <c r="AC287" s="15" t="str">
        <f>IF(WFTracker[[#This Row],[Competion Date Content]] = FALSE, "C", "I")</f>
        <v>C</v>
      </c>
      <c r="AD2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287" s="37" t="str">
        <f ca="1">IF(WFTracker[[#This Row],[Impact Time Post RM]]&gt;0, "IMPACTED", "NOT IMPACTED")</f>
        <v>NOT IMPACTED</v>
      </c>
      <c r="AF287" s="15"/>
      <c r="AG287" s="18"/>
      <c r="AH287" s="14" t="str">
        <f>IF(WFTracker[[#This Row],[Status]]="C", "Closed", IF(WFTracker[[#This Row],[Status]] = "x", "Cancelled", WFTracker[[#This Row],[Impact Time Post RM]]))</f>
        <v>Closed</v>
      </c>
      <c r="AI287" s="14" t="str">
        <f ca="1">IF(WFTracker[[#This Row],[Impact Time Post RM]]&lt;=0,"ON TIME","LATE")</f>
        <v>ON TIME</v>
      </c>
      <c r="AJ287" s="14" t="s">
        <v>984</v>
      </c>
      <c r="AK287" s="14">
        <v>18</v>
      </c>
      <c r="AL287" s="915">
        <f>IF(WFTracker[[#This Row],[Type]]="MAKE", WFTracker[[#This Row],[Due date]]+Filters!$J$111, WFTracker[[#This Row],[Due date]]+Filters!$J$135)</f>
        <v>45911.072512647552</v>
      </c>
      <c r="AM287" s="102" cm="1">
        <f t="array" ref="AM2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8" spans="1:39" ht="14.45">
      <c r="A288" t="str">
        <f>IF(WFTracker[[#This Row],[Order Number]]="SWBD", "QED2", "PZ4")</f>
        <v>QED2</v>
      </c>
      <c r="B288" s="21" t="s">
        <v>1239</v>
      </c>
      <c r="C288" s="21" t="s">
        <v>1051</v>
      </c>
      <c r="D288" s="23" t="str">
        <f>WFTracker[[#This Row],[Order Number]]  &amp; "-" &amp; WFTracker[[#This Row],[Item]]</f>
        <v>SWBD-meta rsb #80</v>
      </c>
      <c r="E288" s="21" t="s">
        <v>1051</v>
      </c>
      <c r="F288" s="12">
        <v>45926</v>
      </c>
      <c r="G288" s="12"/>
      <c r="H288" s="11" t="s">
        <v>947</v>
      </c>
      <c r="I288" s="11" t="s">
        <v>1132</v>
      </c>
      <c r="J288" s="13" t="s">
        <v>1245</v>
      </c>
      <c r="K288" s="14" t="s">
        <v>1023</v>
      </c>
      <c r="L288" s="15" t="s">
        <v>27</v>
      </c>
      <c r="M288" s="29" t="s">
        <v>1120</v>
      </c>
      <c r="N288" s="57" t="s">
        <v>984</v>
      </c>
      <c r="O288" s="15">
        <f>NETWORKDAYS.INTL(WFTracker[[#This Row],[Start date]],WFTracker[[#This Row],[RM]],1,Holidays!D496:D511)</f>
        <v>22</v>
      </c>
      <c r="P288" s="12">
        <v>45897</v>
      </c>
      <c r="Q288" s="12">
        <v>45908</v>
      </c>
      <c r="R288" s="12">
        <v>45920</v>
      </c>
      <c r="S288" s="12" t="b">
        <f>ISBLANK(WFTracker[[#This Row],[Completion Date]])</f>
        <v>0</v>
      </c>
      <c r="T288" s="12" t="str">
        <f>TEXT(WFTracker[[#This Row],[Start date]],"mmm-yyyy")</f>
        <v>Aug-2025</v>
      </c>
      <c r="U288" s="11">
        <v>10</v>
      </c>
      <c r="V288" s="11">
        <f>NETWORKDAYS.INTL(WFTracker[[#This Row],[Start date]],WFTracker[[#This Row],[Due date]],1,Holidays!D496:D511)</f>
        <v>8</v>
      </c>
      <c r="W2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288" s="24">
        <f ca="1">WFTracker[[#This Row],[Active Time]]-WFTracker[[#This Row],[Completion Days Template]]</f>
        <v>8</v>
      </c>
      <c r="Y288" s="16" t="str">
        <f ca="1" xml:space="preserve"> IF(WFTracker[[#This Row],[Overdue Time '[Expected-Completion']]]&gt;0, "LATE","ON TIME")</f>
        <v>LATE</v>
      </c>
      <c r="Z288" s="16" t="str">
        <f ca="1">IF(WFTracker[[#This Row],[Overdue Time '[Expected-Completion']]] &gt;= 15, "SUPER LATE", Y288)</f>
        <v>LATE</v>
      </c>
      <c r="AA288" s="37" t="str">
        <f>IF(WFTracker[[#This Row],[Pre RM Opening Time]]&lt;WFTracker[[#This Row],[Old vs New Order Lead Time WF dead line]], "LATE BY ENG", "ON TIME BY ENG")</f>
        <v>ON TIME BY ENG</v>
      </c>
      <c r="AB288" s="37"/>
      <c r="AC288" s="15" t="str">
        <f>IF(WFTracker[[#This Row],[Competion Date Content]] = FALSE, "C", "I")</f>
        <v>C</v>
      </c>
      <c r="AD2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288" s="37" t="str">
        <f ca="1">IF(WFTracker[[#This Row],[Impact Time Post RM]]&gt;0, "IMPACTED", "NOT IMPACTED")</f>
        <v>NOT IMPACTED</v>
      </c>
      <c r="AF288" s="15"/>
      <c r="AG288" s="18"/>
      <c r="AH288" s="14" t="str">
        <f>IF(WFTracker[[#This Row],[Status]]="C", "Closed", IF(WFTracker[[#This Row],[Status]] = "x", "Cancelled", WFTracker[[#This Row],[Impact Time Post RM]]))</f>
        <v>Closed</v>
      </c>
      <c r="AI288" s="14" t="str">
        <f ca="1">IF(WFTracker[[#This Row],[Impact Time Post RM]]&lt;=0,"ON TIME","LATE")</f>
        <v>ON TIME</v>
      </c>
      <c r="AJ288" s="14" t="s">
        <v>984</v>
      </c>
      <c r="AK288" s="14">
        <v>18</v>
      </c>
      <c r="AL288" s="915">
        <f>IF(WFTracker[[#This Row],[Type]]="MAKE", WFTracker[[#This Row],[Due date]]+Filters!$J$111, WFTracker[[#This Row],[Due date]]+Filters!$J$135)</f>
        <v>45911.072512647552</v>
      </c>
      <c r="AM288" s="102" cm="1">
        <f t="array" ref="AM2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89" spans="1:39" ht="14.45">
      <c r="A289" t="str">
        <f>IF(WFTracker[[#This Row],[Order Number]]="SWBD", "QED2", "PZ4")</f>
        <v>QED2</v>
      </c>
      <c r="B289" s="21" t="s">
        <v>1239</v>
      </c>
      <c r="C289" s="23" t="s">
        <v>1051</v>
      </c>
      <c r="D289" s="23" t="str">
        <f>WFTracker[[#This Row],[Order Number]]  &amp; "-" &amp; WFTracker[[#This Row],[Item]]</f>
        <v>SWBD-meta rsb #80</v>
      </c>
      <c r="E289" s="21" t="s">
        <v>1051</v>
      </c>
      <c r="F289" s="12">
        <v>45926</v>
      </c>
      <c r="G289" s="12"/>
      <c r="H289" s="11" t="s">
        <v>947</v>
      </c>
      <c r="I289" t="s">
        <v>1132</v>
      </c>
      <c r="J289" s="13" t="s">
        <v>1246</v>
      </c>
      <c r="K289" s="14" t="s">
        <v>1023</v>
      </c>
      <c r="L289" s="15" t="s">
        <v>40</v>
      </c>
      <c r="M289" s="29" t="s">
        <v>1120</v>
      </c>
      <c r="N289" s="57" t="s">
        <v>984</v>
      </c>
      <c r="O289" s="15">
        <f>NETWORKDAYS.INTL(WFTracker[[#This Row],[Start date]],WFTracker[[#This Row],[RM]],1,Holidays!D497:D512)</f>
        <v>22</v>
      </c>
      <c r="P289" s="12">
        <v>45897</v>
      </c>
      <c r="Q289" s="12">
        <v>45911</v>
      </c>
      <c r="R289" s="12">
        <v>45911</v>
      </c>
      <c r="S289" s="12" t="b">
        <f>ISBLANK(WFTracker[[#This Row],[Completion Date]])</f>
        <v>0</v>
      </c>
      <c r="T289" s="12" t="str">
        <f>TEXT(WFTracker[[#This Row],[Start date]],"mmm-yyyy")</f>
        <v>Aug-2025</v>
      </c>
      <c r="U289" s="11">
        <v>10</v>
      </c>
      <c r="V289" s="11">
        <f>NETWORKDAYS.INTL(WFTracker[[#This Row],[Start date]],WFTracker[[#This Row],[Due date]],1,Holidays!D497:D512)</f>
        <v>11</v>
      </c>
      <c r="W2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89" s="24">
        <f ca="1">WFTracker[[#This Row],[Active Time]]-WFTracker[[#This Row],[Completion Days Template]]</f>
        <v>0</v>
      </c>
      <c r="Y289" s="16" t="str">
        <f ca="1" xml:space="preserve"> IF(WFTracker[[#This Row],[Overdue Time '[Expected-Completion']]]&gt;0, "LATE","ON TIME")</f>
        <v>ON TIME</v>
      </c>
      <c r="Z289" s="16" t="str">
        <f ca="1">IF(WFTracker[[#This Row],[Overdue Time '[Expected-Completion']]] &gt;= 15, "SUPER LATE", Y289)</f>
        <v>ON TIME</v>
      </c>
      <c r="AA289" s="37" t="str">
        <f>IF(WFTracker[[#This Row],[Pre RM Opening Time]]&lt;WFTracker[[#This Row],[Old vs New Order Lead Time WF dead line]], "LATE BY ENG", "ON TIME BY ENG")</f>
        <v>ON TIME BY ENG</v>
      </c>
      <c r="AB289" s="37"/>
      <c r="AC289" s="15" t="str">
        <f>IF(WFTracker[[#This Row],[Competion Date Content]] = FALSE, "C", "I")</f>
        <v>C</v>
      </c>
      <c r="AD2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289" s="37" t="str">
        <f ca="1">IF(WFTracker[[#This Row],[Impact Time Post RM]]&gt;0, "IMPACTED", "NOT IMPACTED")</f>
        <v>NOT IMPACTED</v>
      </c>
      <c r="AF289" s="15"/>
      <c r="AG289" s="18"/>
      <c r="AH289" s="14" t="str">
        <f>IF(WFTracker[[#This Row],[Status]]="C", "Closed", IF(WFTracker[[#This Row],[Status]] = "x", "Cancelled", WFTracker[[#This Row],[Impact Time Post RM]]))</f>
        <v>Closed</v>
      </c>
      <c r="AI289" s="14" t="str">
        <f ca="1">IF(WFTracker[[#This Row],[Impact Time Post RM]]&lt;=0,"ON TIME","LATE")</f>
        <v>ON TIME</v>
      </c>
      <c r="AJ289" s="14" t="s">
        <v>984</v>
      </c>
      <c r="AK289" s="14">
        <v>17</v>
      </c>
      <c r="AL289" s="915">
        <f>IF(WFTracker[[#This Row],[Type]]="MAKE", WFTracker[[#This Row],[Due date]]+Filters!$J$111, WFTracker[[#This Row],[Due date]]+Filters!$J$135)</f>
        <v>45911.415686274508</v>
      </c>
      <c r="AM289" s="102" cm="1">
        <f t="array" ref="AM2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0" spans="1:39" ht="14.45">
      <c r="A290" t="str">
        <f>IF(WFTracker[[#This Row],[Order Number]]="SWBD", "QED2", "PZ4")</f>
        <v>PZ4</v>
      </c>
      <c r="B290" s="21" t="s">
        <v>436</v>
      </c>
      <c r="C290" s="21" t="s">
        <v>97</v>
      </c>
      <c r="D290" s="23" t="str">
        <f>WFTracker[[#This Row],[Order Number]]  &amp; "-" &amp; WFTracker[[#This Row],[Item]]</f>
        <v>0051436816-000130</v>
      </c>
      <c r="E290" s="21" t="s">
        <v>437</v>
      </c>
      <c r="F290" s="41">
        <v>46017</v>
      </c>
      <c r="G290" s="12">
        <v>46010</v>
      </c>
      <c r="H290" s="11" t="s">
        <v>113</v>
      </c>
      <c r="I290" s="11" t="s">
        <v>37</v>
      </c>
      <c r="J290" s="13" t="s">
        <v>480</v>
      </c>
      <c r="K290" s="14" t="s">
        <v>1017</v>
      </c>
      <c r="L290" s="15" t="s">
        <v>27</v>
      </c>
      <c r="M290" s="29" t="s">
        <v>438</v>
      </c>
      <c r="N290" s="57">
        <v>46021</v>
      </c>
      <c r="O290" s="15">
        <f>NETWORKDAYS.INTL(WFTracker[[#This Row],[Start date]],WFTracker[[#This Row],[RM]],1,Holidays!D617:D632)</f>
        <v>86</v>
      </c>
      <c r="P290" s="12">
        <v>45898</v>
      </c>
      <c r="Q290" s="12">
        <v>45905</v>
      </c>
      <c r="R290" s="12">
        <v>45911</v>
      </c>
      <c r="S290" s="12" t="b">
        <f>ISBLANK(WFTracker[[#This Row],[Completion Date]])</f>
        <v>0</v>
      </c>
      <c r="T290" s="12" t="str">
        <f>TEXT(WFTracker[[#This Row],[Start date]],"mmm-yyyy")</f>
        <v>Aug-2025</v>
      </c>
      <c r="U290" s="11">
        <v>10</v>
      </c>
      <c r="V290" s="11">
        <f>NETWORKDAYS.INTL(WFTracker[[#This Row],[Start date]],WFTracker[[#This Row],[Due date]],1,Holidays!D617:D632)</f>
        <v>6</v>
      </c>
      <c r="W2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90" s="24">
        <f ca="1">WFTracker[[#This Row],[Active Time]]-WFTracker[[#This Row],[Completion Days Template]]</f>
        <v>4</v>
      </c>
      <c r="Y290" s="16" t="str">
        <f ca="1" xml:space="preserve"> IF(WFTracker[[#This Row],[Overdue Time '[Expected-Completion']]]&gt;0, "LATE","ON TIME")</f>
        <v>LATE</v>
      </c>
      <c r="Z290" s="16" t="str">
        <f ca="1">IF(WFTracker[[#This Row],[Overdue Time '[Expected-Completion']]] &gt;= 15, "SUPER LATE", Y290)</f>
        <v>LATE</v>
      </c>
      <c r="AA290" s="37" t="str">
        <f>IF(WFTracker[[#This Row],[Pre RM Opening Time]]&lt;WFTracker[[#This Row],[Old vs New Order Lead Time WF dead line]], "LATE BY ENG", "ON TIME BY ENG")</f>
        <v>ON TIME BY ENG</v>
      </c>
      <c r="AB290" s="37"/>
      <c r="AC290" s="15" t="str">
        <f>IF(WFTracker[[#This Row],[Competion Date Content]] = FALSE, "C", "i")</f>
        <v>C</v>
      </c>
      <c r="AD2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-69</v>
      </c>
      <c r="AE290" s="37" t="str">
        <f ca="1">IF(WFTracker[[#This Row],[Impact Time Post RM]]&gt;0, "IMPACTED", "NOT IMPACTED")</f>
        <v>NOT IMPACTED</v>
      </c>
      <c r="AF290" s="15"/>
      <c r="AG290" s="18"/>
      <c r="AH290" s="14" t="str">
        <f>IF(WFTracker[[#This Row],[Status]]="C", "Closed", IF(WFTracker[[#This Row],[Status]] = "x", "Cancelled", WFTracker[[#This Row],[Impact Time Post RM]]))</f>
        <v>Closed</v>
      </c>
      <c r="AI290" s="14" t="str">
        <f ca="1">IF(WFTracker[[#This Row],[Impact Time Post RM]]&lt;=0,"ON TIME","LATE")</f>
        <v>ON TIME</v>
      </c>
      <c r="AJ290" s="14" t="s">
        <v>984</v>
      </c>
      <c r="AK290" s="14">
        <v>18</v>
      </c>
      <c r="AL290" s="915">
        <f>IF(WFTracker[[#This Row],[Type]]="MAKE", WFTracker[[#This Row],[Due date]]+Filters!$J$111, WFTracker[[#This Row],[Due date]]+Filters!$J$135)</f>
        <v>45908.072512647552</v>
      </c>
      <c r="AM290" s="102" cm="1">
        <f t="array" ref="AM2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1" spans="1:39" ht="14.45">
      <c r="A291" t="str">
        <f>IF(WFTracker[[#This Row],[Order Number]]="SWBD", "QED2", "PZ4")</f>
        <v>PZ4</v>
      </c>
      <c r="B291" s="21" t="s">
        <v>473</v>
      </c>
      <c r="C291" s="21" t="s">
        <v>214</v>
      </c>
      <c r="D291" s="23" t="str">
        <f>WFTracker[[#This Row],[Order Number]]  &amp; "-" &amp; WFTracker[[#This Row],[Item]]</f>
        <v>0051472151-000020</v>
      </c>
      <c r="E291" s="21" t="s">
        <v>474</v>
      </c>
      <c r="F291" s="12">
        <v>45898</v>
      </c>
      <c r="G291" s="12"/>
      <c r="H291" s="11" t="s">
        <v>110</v>
      </c>
      <c r="I291" s="11" t="s">
        <v>24</v>
      </c>
      <c r="J291" s="13" t="s">
        <v>477</v>
      </c>
      <c r="K291" s="14" t="s">
        <v>1017</v>
      </c>
      <c r="L291" s="15" t="s">
        <v>27</v>
      </c>
      <c r="M291" s="29" t="s">
        <v>1120</v>
      </c>
      <c r="N291" s="57">
        <v>46010</v>
      </c>
      <c r="O291" s="15">
        <f>NETWORKDAYS.INTL(WFTracker[[#This Row],[Start date]],WFTracker[[#This Row],[RM]],1,Holidays!D63:D78)</f>
        <v>-2</v>
      </c>
      <c r="P291" s="12">
        <v>45901</v>
      </c>
      <c r="Q291" s="12">
        <v>45908</v>
      </c>
      <c r="R291" s="12">
        <v>45912</v>
      </c>
      <c r="S291" s="12" t="b">
        <f>ISBLANK(WFTracker[[#This Row],[Completion Date]])</f>
        <v>0</v>
      </c>
      <c r="T291" s="12" t="str">
        <f>TEXT(WFTracker[[#This Row],[Start date]],"mmm-yyyy")</f>
        <v>Sep-2025</v>
      </c>
      <c r="U291" s="11">
        <v>5</v>
      </c>
      <c r="V291" s="11">
        <f>NETWORKDAYS.INTL(WFTracker[[#This Row],[Start date]],WFTracker[[#This Row],[Due date]],1,Holidays!D63:D78)</f>
        <v>6</v>
      </c>
      <c r="W2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291" s="24">
        <f ca="1">WFTracker[[#This Row],[Active Time]]-WFTracker[[#This Row],[Completion Days Template]]</f>
        <v>4</v>
      </c>
      <c r="Y291" s="16" t="str">
        <f ca="1" xml:space="preserve"> IF(WFTracker[[#This Row],[Overdue Time '[Expected-Completion']]]&gt;0, "LATE","ON TIME")</f>
        <v>LATE</v>
      </c>
      <c r="Z291" s="16" t="str">
        <f ca="1">IF(WFTracker[[#This Row],[Overdue Time '[Expected-Completion']]] &gt;= 15, "SUPER LATE", Y291)</f>
        <v>LATE</v>
      </c>
      <c r="AA291" s="37" t="str">
        <f>IF(WFTracker[[#This Row],[Pre RM Opening Time]]&lt;WFTracker[[#This Row],[Old vs New Order Lead Time WF dead line]], "LATE BY ENG", "ON TIME BY ENG")</f>
        <v>LATE BY ENG</v>
      </c>
      <c r="AB291" s="37"/>
      <c r="AC291" s="15" t="str">
        <f>IF(WFTracker[[#This Row],[Competion Date Content]] = FALSE, "C", "i")</f>
        <v>C</v>
      </c>
      <c r="AD2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291" s="37" t="str">
        <f ca="1">IF(WFTracker[[#This Row],[Impact Time Post RM]]&gt;0, "IMPACTED", "NOT IMPACTED")</f>
        <v>IMPACTED</v>
      </c>
      <c r="AF291" s="15"/>
      <c r="AG291" s="18"/>
      <c r="AH291" s="14" t="str">
        <f>IF(WFTracker[[#This Row],[Status]]="C", "Closed", IF(WFTracker[[#This Row],[Status]] = "x", "Cancelled", WFTracker[[#This Row],[Impact Time Post RM]]))</f>
        <v>Closed</v>
      </c>
      <c r="AI291" s="14" t="str">
        <f ca="1">IF(WFTracker[[#This Row],[Impact Time Post RM]]&lt;=0,"ON TIME","LATE")</f>
        <v>LATE</v>
      </c>
      <c r="AJ291" s="14" t="s">
        <v>984</v>
      </c>
      <c r="AK291" s="14">
        <v>18</v>
      </c>
      <c r="AL291" s="915">
        <f>IF(WFTracker[[#This Row],[Type]]="MAKE", WFTracker[[#This Row],[Due date]]+Filters!$J$111, WFTracker[[#This Row],[Due date]]+Filters!$J$135)</f>
        <v>45911.072512647552</v>
      </c>
      <c r="AM291" s="102" cm="1">
        <f t="array" ref="AM2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2" spans="1:39" ht="14.45">
      <c r="A292" t="str">
        <f>IF(WFTracker[[#This Row],[Order Number]]="SWBD", "QED2", "PZ4")</f>
        <v>PZ4</v>
      </c>
      <c r="B292" s="21" t="s">
        <v>473</v>
      </c>
      <c r="C292" s="21" t="s">
        <v>214</v>
      </c>
      <c r="D292" s="23" t="str">
        <f>WFTracker[[#This Row],[Order Number]]  &amp; "-" &amp; WFTracker[[#This Row],[Item]]</f>
        <v>0051472151-000020</v>
      </c>
      <c r="E292" s="21" t="s">
        <v>419</v>
      </c>
      <c r="F292" s="12">
        <v>45898</v>
      </c>
      <c r="G292" s="12"/>
      <c r="H292" s="11" t="s">
        <v>99</v>
      </c>
      <c r="I292" s="11" t="s">
        <v>24</v>
      </c>
      <c r="J292" s="13" t="s">
        <v>478</v>
      </c>
      <c r="K292" s="14" t="s">
        <v>1017</v>
      </c>
      <c r="L292" s="15" t="s">
        <v>40</v>
      </c>
      <c r="M292" s="29" t="s">
        <v>1120</v>
      </c>
      <c r="N292" s="57">
        <v>45905</v>
      </c>
      <c r="O292" s="15">
        <f>NETWORKDAYS.INTL(WFTracker[[#This Row],[Start date]],WFTracker[[#This Row],[RM]],1,Holidays!D64:D79)</f>
        <v>-2</v>
      </c>
      <c r="P292" s="12">
        <v>45901</v>
      </c>
      <c r="Q292" s="12">
        <v>45911</v>
      </c>
      <c r="R292" s="12">
        <v>45905</v>
      </c>
      <c r="S292" s="12" t="b">
        <f>ISBLANK(WFTracker[[#This Row],[Completion Date]])</f>
        <v>0</v>
      </c>
      <c r="T292" s="12" t="str">
        <f>TEXT(WFTracker[[#This Row],[Start date]],"mmm-yyyy")</f>
        <v>Sep-2025</v>
      </c>
      <c r="U292" s="11">
        <v>5</v>
      </c>
      <c r="V292" s="11">
        <f>NETWORKDAYS.INTL(WFTracker[[#This Row],[Start date]],WFTracker[[#This Row],[Due date]],1,Holidays!D64:D79)</f>
        <v>9</v>
      </c>
      <c r="W2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92" s="24">
        <f ca="1">WFTracker[[#This Row],[Active Time]]-WFTracker[[#This Row],[Completion Days Template]]</f>
        <v>-4</v>
      </c>
      <c r="Y292" s="16" t="str">
        <f ca="1" xml:space="preserve"> IF(WFTracker[[#This Row],[Overdue Time '[Expected-Completion']]]&gt;0, "LATE","ON TIME")</f>
        <v>ON TIME</v>
      </c>
      <c r="Z292" s="16" t="str">
        <f ca="1">IF(WFTracker[[#This Row],[Overdue Time '[Expected-Completion']]] &gt;= 15, "SUPER LATE", Y292)</f>
        <v>ON TIME</v>
      </c>
      <c r="AA292" s="37" t="str">
        <f>IF(WFTracker[[#This Row],[Pre RM Opening Time]]&lt;WFTracker[[#This Row],[Old vs New Order Lead Time WF dead line]], "LATE BY ENG", "ON TIME BY ENG")</f>
        <v>LATE BY ENG</v>
      </c>
      <c r="AB292" s="37"/>
      <c r="AC292" s="15" t="s">
        <v>1011</v>
      </c>
      <c r="AD2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292" s="25" t="str">
        <f ca="1">IF(WFTracker[[#This Row],[Impact Time Post RM]]&gt;0, "IMPACTED", "NOT IMPACTED")</f>
        <v>IMPACTED</v>
      </c>
      <c r="AF292" s="15"/>
      <c r="AG292" s="18" t="s">
        <v>1247</v>
      </c>
      <c r="AH292" s="14" t="str">
        <f>IF(WFTracker[[#This Row],[Status]]="C", "Closed", IF(WFTracker[[#This Row],[Status]] = "x", "Cancelled", WFTracker[[#This Row],[Impact Time Post RM]]))</f>
        <v>Cancelled</v>
      </c>
      <c r="AI292" s="14" t="str">
        <f ca="1">IF(WFTracker[[#This Row],[Impact Time Post RM]]&lt;=0,"ON TIME","LATE")</f>
        <v>LATE</v>
      </c>
      <c r="AJ292" s="14" t="s">
        <v>984</v>
      </c>
      <c r="AK292" s="14">
        <v>0</v>
      </c>
      <c r="AL292" s="915">
        <f>IF(WFTracker[[#This Row],[Type]]="MAKE", WFTracker[[#This Row],[Due date]]+Filters!$J$111, WFTracker[[#This Row],[Due date]]+Filters!$J$135)</f>
        <v>45911.415686274508</v>
      </c>
      <c r="AM292" s="102" cm="1">
        <f t="array" ref="AM292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293" spans="1:39" ht="14.45">
      <c r="A293" t="str">
        <f>IF(WFTracker[[#This Row],[Order Number]]="SWBD", "QED2", "PZ4")</f>
        <v>PZ4</v>
      </c>
      <c r="B293" s="21" t="s">
        <v>447</v>
      </c>
      <c r="C293" s="21" t="s">
        <v>448</v>
      </c>
      <c r="D293" s="11" t="str">
        <f>WFTracker[[#This Row],[Order Number]]  &amp; "-" &amp; WFTracker[[#This Row],[Item]]</f>
        <v>0051536680-000150</v>
      </c>
      <c r="E293" s="21" t="s">
        <v>621</v>
      </c>
      <c r="F293" s="12">
        <v>45905</v>
      </c>
      <c r="G293" s="12"/>
      <c r="H293" s="11" t="s">
        <v>295</v>
      </c>
      <c r="I293" s="11" t="s">
        <v>1154</v>
      </c>
      <c r="J293" s="13" t="s">
        <v>463</v>
      </c>
      <c r="K293" s="14" t="s">
        <v>1017</v>
      </c>
      <c r="L293" s="15" t="s">
        <v>27</v>
      </c>
      <c r="M293" s="29" t="s">
        <v>1120</v>
      </c>
      <c r="N293" s="57">
        <v>46021</v>
      </c>
      <c r="O293" s="15">
        <f>NETWORKDAYS.INTL(WFTracker[[#This Row],[Start date]],WFTracker[[#This Row],[RM]],1,Holidays!D98:D113)</f>
        <v>5</v>
      </c>
      <c r="P293" s="12">
        <v>45901</v>
      </c>
      <c r="Q293" s="12">
        <v>45910</v>
      </c>
      <c r="R293" s="12">
        <v>45916</v>
      </c>
      <c r="S293" s="12" t="b">
        <f>ISBLANK(WFTracker[[#This Row],[Completion Date]])</f>
        <v>0</v>
      </c>
      <c r="T293" s="12" t="str">
        <f>TEXT(WFTracker[[#This Row],[Start date]],"mmm-yyyy")</f>
        <v>Sep-2025</v>
      </c>
      <c r="U293" s="11">
        <v>10</v>
      </c>
      <c r="V293" s="11">
        <f>NETWORKDAYS.INTL(WFTracker[[#This Row],[Start date]],WFTracker[[#This Row],[Due date]],1,Holidays!D98:D113)</f>
        <v>8</v>
      </c>
      <c r="W2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93" s="24">
        <f ca="1">WFTracker[[#This Row],[Active Time]]-WFTracker[[#This Row],[Completion Days Template]]</f>
        <v>3</v>
      </c>
      <c r="Y293" s="16" t="str">
        <f ca="1" xml:space="preserve"> IF(WFTracker[[#This Row],[Overdue Time '[Expected-Completion']]]&gt;0, "LATE","ON TIME")</f>
        <v>LATE</v>
      </c>
      <c r="Z293" s="16" t="str">
        <f ca="1">IF(WFTracker[[#This Row],[Overdue Time '[Expected-Completion']]] &gt;= 15, "SUPER LATE", Y293)</f>
        <v>LATE</v>
      </c>
      <c r="AA293" s="37" t="str">
        <f>IF(WFTracker[[#This Row],[Pre RM Opening Time]]&lt;WFTracker[[#This Row],[Old vs New Order Lead Time WF dead line]], "LATE BY ENG", "ON TIME BY ENG")</f>
        <v>LATE BY ENG</v>
      </c>
      <c r="AB293" s="37"/>
      <c r="AC293" s="15" t="str">
        <f>IF(WFTracker[[#This Row],[Competion Date Content]] = FALSE, "C", "i")</f>
        <v>C</v>
      </c>
      <c r="AD2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293" s="37" t="str">
        <f ca="1">IF(WFTracker[[#This Row],[Impact Time Post RM]]&gt;0, "IMPACTED", "NOT IMPACTED")</f>
        <v>IMPACTED</v>
      </c>
      <c r="AF293" s="15"/>
      <c r="AG293" s="18"/>
      <c r="AH293" s="14" t="str">
        <f>IF(WFTracker[[#This Row],[Status]]="C", "Closed", IF(WFTracker[[#This Row],[Status]] = "x", "Cancelled", WFTracker[[#This Row],[Impact Time Post RM]]))</f>
        <v>Closed</v>
      </c>
      <c r="AI293" s="14" t="str">
        <f ca="1">IF(WFTracker[[#This Row],[Impact Time Post RM]]&lt;=0,"ON TIME","LATE")</f>
        <v>LATE</v>
      </c>
      <c r="AJ293" s="14" t="s">
        <v>984</v>
      </c>
      <c r="AK293" s="14">
        <v>18</v>
      </c>
      <c r="AL293" s="915">
        <f>IF(WFTracker[[#This Row],[Type]]="MAKE", WFTracker[[#This Row],[Due date]]+Filters!$J$111, WFTracker[[#This Row],[Due date]]+Filters!$J$135)</f>
        <v>45913.072512647552</v>
      </c>
      <c r="AM293" s="102" cm="1">
        <f t="array" ref="AM2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4" spans="1:39" ht="14.45">
      <c r="A294" t="str">
        <f>IF(WFTracker[[#This Row],[Order Number]]="SWBD", "QED2", "PZ4")</f>
        <v>PZ4</v>
      </c>
      <c r="B294" s="21" t="s">
        <v>271</v>
      </c>
      <c r="C294" s="21" t="s">
        <v>834</v>
      </c>
      <c r="D294" s="11" t="str">
        <f>WFTracker[[#This Row],[Order Number]]  &amp; "-" &amp; WFTracker[[#This Row],[Item]]</f>
        <v>0050988425-001260</v>
      </c>
      <c r="E294" s="21" t="s">
        <v>272</v>
      </c>
      <c r="F294" s="12">
        <v>45912</v>
      </c>
      <c r="G294" s="12"/>
      <c r="H294" s="11" t="s">
        <v>156</v>
      </c>
      <c r="I294" s="11" t="s">
        <v>24</v>
      </c>
      <c r="J294" s="13" t="s">
        <v>1248</v>
      </c>
      <c r="K294" s="14" t="s">
        <v>1023</v>
      </c>
      <c r="L294" s="15" t="s">
        <v>40</v>
      </c>
      <c r="M294" s="29" t="s">
        <v>1120</v>
      </c>
      <c r="N294" s="57">
        <v>45979</v>
      </c>
      <c r="O294" s="15">
        <f>NETWORKDAYS.INTL(WFTracker[[#This Row],[Start date]],WFTracker[[#This Row],[RM]],1,Holidays!D229:D244)</f>
        <v>10</v>
      </c>
      <c r="P294" s="12">
        <v>45901</v>
      </c>
      <c r="Q294" s="12">
        <v>45911</v>
      </c>
      <c r="R294" s="12">
        <v>45915</v>
      </c>
      <c r="S294" s="12" t="b">
        <f>ISBLANK(WFTracker[[#This Row],[Completion Date]])</f>
        <v>0</v>
      </c>
      <c r="T294" s="12" t="str">
        <f>TEXT(WFTracker[[#This Row],[Start date]],"mmm-yyyy")</f>
        <v>Sep-2025</v>
      </c>
      <c r="U294" s="11">
        <v>5</v>
      </c>
      <c r="V294" s="11">
        <f>NETWORKDAYS.INTL(WFTracker[[#This Row],[Start date]],WFTracker[[#This Row],[Due date]],1,Holidays!D229:D244)</f>
        <v>9</v>
      </c>
      <c r="W2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294" s="24">
        <f ca="1">WFTracker[[#This Row],[Active Time]]-WFTracker[[#This Row],[Completion Days Template]]</f>
        <v>2</v>
      </c>
      <c r="Y294" s="16" t="str">
        <f ca="1" xml:space="preserve"> IF(WFTracker[[#This Row],[Overdue Time '[Expected-Completion']]]&gt;0, "LATE","ON TIME")</f>
        <v>LATE</v>
      </c>
      <c r="Z294" s="16" t="str">
        <f ca="1">IF(WFTracker[[#This Row],[Overdue Time '[Expected-Completion']]] &gt;= 15, "SUPER LATE", Y294)</f>
        <v>LATE</v>
      </c>
      <c r="AA294" s="37" t="str">
        <f>IF(WFTracker[[#This Row],[Pre RM Opening Time]]&lt;WFTracker[[#This Row],[Old vs New Order Lead Time WF dead line]], "LATE BY ENG", "ON TIME BY ENG")</f>
        <v>ON TIME BY ENG</v>
      </c>
      <c r="AB294" s="37"/>
      <c r="AC294" s="15" t="str">
        <f>IF(WFTracker[[#This Row],[Competion Date Content]] = FALSE, "C", "i")</f>
        <v>C</v>
      </c>
      <c r="AD2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294" s="37" t="str">
        <f ca="1">IF(WFTracker[[#This Row],[Impact Time Post RM]]&gt;0, "IMPACTED", "NOT IMPACTED")</f>
        <v>IMPACTED</v>
      </c>
      <c r="AF294" s="15"/>
      <c r="AG294" s="18"/>
      <c r="AH294" s="14" t="str">
        <f>IF(WFTracker[[#This Row],[Status]]="C", "Closed", IF(WFTracker[[#This Row],[Status]] = "x", "Cancelled", WFTracker[[#This Row],[Impact Time Post RM]]))</f>
        <v>Closed</v>
      </c>
      <c r="AI294" s="14" t="str">
        <f ca="1">IF(WFTracker[[#This Row],[Impact Time Post RM]]&lt;=0,"ON TIME","LATE")</f>
        <v>LATE</v>
      </c>
      <c r="AJ294" s="14" t="s">
        <v>984</v>
      </c>
      <c r="AK294" s="14">
        <v>17</v>
      </c>
      <c r="AL294" s="915">
        <f>IF(WFTracker[[#This Row],[Type]]="MAKE", WFTracker[[#This Row],[Due date]]+Filters!$J$111, WFTracker[[#This Row],[Due date]]+Filters!$J$135)</f>
        <v>45911.415686274508</v>
      </c>
      <c r="AM294" s="102" cm="1">
        <f t="array" ref="AM29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5" spans="1:39" ht="14.45">
      <c r="A295" t="str">
        <f>IF(WFTracker[[#This Row],[Order Number]]="SWBD", "QED2", "PZ4")</f>
        <v>QED2</v>
      </c>
      <c r="B295" s="21" t="s">
        <v>1239</v>
      </c>
      <c r="C295" s="21" t="s">
        <v>1249</v>
      </c>
      <c r="D295" s="23" t="str">
        <f>WFTracker[[#This Row],[Order Number]]  &amp; "-" &amp; WFTracker[[#This Row],[Item]]</f>
        <v>SWBD-META QED2</v>
      </c>
      <c r="E295" s="21" t="s">
        <v>1249</v>
      </c>
      <c r="F295" s="12">
        <v>45926</v>
      </c>
      <c r="G295" s="12"/>
      <c r="H295" s="11" t="s">
        <v>947</v>
      </c>
      <c r="I295" s="11" t="s">
        <v>1132</v>
      </c>
      <c r="J295" s="13" t="s">
        <v>1250</v>
      </c>
      <c r="K295" s="14" t="s">
        <v>1023</v>
      </c>
      <c r="L295" s="15" t="s">
        <v>40</v>
      </c>
      <c r="M295" s="29" t="s">
        <v>1120</v>
      </c>
      <c r="N295" s="57" t="s">
        <v>984</v>
      </c>
      <c r="O295" s="15">
        <f>NETWORKDAYS.INTL(WFTracker[[#This Row],[Start date]],WFTracker[[#This Row],[RM]],1,Holidays!D451:D466)</f>
        <v>20</v>
      </c>
      <c r="P295" s="12">
        <v>45901</v>
      </c>
      <c r="Q295" s="12">
        <v>45911</v>
      </c>
      <c r="R295" s="12">
        <v>45910</v>
      </c>
      <c r="S295" s="12" t="b">
        <f>ISBLANK(WFTracker[[#This Row],[Completion Date]])</f>
        <v>0</v>
      </c>
      <c r="T295" s="12" t="str">
        <f>TEXT(WFTracker[[#This Row],[Start date]],"mmm-yyyy")</f>
        <v>Sep-2025</v>
      </c>
      <c r="U295" s="11">
        <v>10</v>
      </c>
      <c r="V295" s="11">
        <f>NETWORKDAYS.INTL(WFTracker[[#This Row],[Start date]],WFTracker[[#This Row],[Due date]],1,Holidays!D451:D466)</f>
        <v>9</v>
      </c>
      <c r="W2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295" s="24">
        <f ca="1">WFTracker[[#This Row],[Active Time]]-WFTracker[[#This Row],[Completion Days Template]]</f>
        <v>-1</v>
      </c>
      <c r="Y295" s="16" t="str">
        <f ca="1" xml:space="preserve"> IF(WFTracker[[#This Row],[Overdue Time '[Expected-Completion']]]&gt;0, "LATE","ON TIME")</f>
        <v>ON TIME</v>
      </c>
      <c r="Z295" s="16" t="str">
        <f ca="1">IF(WFTracker[[#This Row],[Overdue Time '[Expected-Completion']]] &gt;= 15, "SUPER LATE", Y295)</f>
        <v>ON TIME</v>
      </c>
      <c r="AA295" s="37" t="str">
        <f>IF(WFTracker[[#This Row],[Pre RM Opening Time]]&lt;WFTracker[[#This Row],[Old vs New Order Lead Time WF dead line]], "LATE BY ENG", "ON TIME BY ENG")</f>
        <v>ON TIME BY ENG</v>
      </c>
      <c r="AB295" s="37"/>
      <c r="AC295" s="15" t="str">
        <f>IF(WFTracker[[#This Row],[Competion Date Content]] = FALSE, "C", "I")</f>
        <v>C</v>
      </c>
      <c r="AD2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295" s="25" t="str">
        <f ca="1">IF(WFTracker[[#This Row],[Impact Time Post RM]]&gt;0, "IMPACTED", "NOT IMPACTED")</f>
        <v>NOT IMPACTED</v>
      </c>
      <c r="AF295" s="15"/>
      <c r="AG295" s="18"/>
      <c r="AH295" s="14" t="str">
        <f>IF(WFTracker[[#This Row],[Status]]="C", "Closed", IF(WFTracker[[#This Row],[Status]] = "x", "Cancelled", WFTracker[[#This Row],[Impact Time Post RM]]))</f>
        <v>Closed</v>
      </c>
      <c r="AI295" s="14" t="str">
        <f ca="1">IF(WFTracker[[#This Row],[Impact Time Post RM]]&lt;=0,"ON TIME","LATE")</f>
        <v>ON TIME</v>
      </c>
      <c r="AJ295" s="14" t="s">
        <v>984</v>
      </c>
      <c r="AK295" s="14">
        <v>17</v>
      </c>
      <c r="AL295" s="915">
        <f>IF(WFTracker[[#This Row],[Type]]="MAKE", WFTracker[[#This Row],[Due date]]+Filters!$J$111, WFTracker[[#This Row],[Due date]]+Filters!$J$135)</f>
        <v>45911.415686274508</v>
      </c>
      <c r="AM295" s="102" cm="1">
        <f t="array" ref="AM2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6" spans="1:39" ht="14.45">
      <c r="A296" t="str">
        <f>IF(WFTracker[[#This Row],[Order Number]]="SWBD", "QED2", "PZ4")</f>
        <v>PZ4</v>
      </c>
      <c r="B296" s="21" t="s">
        <v>570</v>
      </c>
      <c r="C296" s="21" t="s">
        <v>135</v>
      </c>
      <c r="D296" t="str">
        <f>WFTracker[[#This Row],[Order Number]]  &amp; "-" &amp; WFTracker[[#This Row],[Item]]</f>
        <v>0051378345-000010</v>
      </c>
      <c r="E296" s="21" t="s">
        <v>1034</v>
      </c>
      <c r="F296" s="12">
        <v>45954</v>
      </c>
      <c r="G296" s="12"/>
      <c r="H296" s="11" t="s">
        <v>259</v>
      </c>
      <c r="I296" s="11" t="s">
        <v>241</v>
      </c>
      <c r="J296" s="13" t="s">
        <v>1251</v>
      </c>
      <c r="K296" s="14" t="s">
        <v>1023</v>
      </c>
      <c r="L296" s="15" t="s">
        <v>27</v>
      </c>
      <c r="M296" s="29" t="s">
        <v>1120</v>
      </c>
      <c r="N296" s="57">
        <v>46115</v>
      </c>
      <c r="O296" s="15">
        <f>NETWORKDAYS.INTL(WFTracker[[#This Row],[Start date]],WFTracker[[#This Row],[RM]],1,Holidays!D607:D622)</f>
        <v>40</v>
      </c>
      <c r="P296" s="12">
        <v>45901</v>
      </c>
      <c r="Q296" s="12">
        <v>45908</v>
      </c>
      <c r="R296" s="12">
        <v>45922</v>
      </c>
      <c r="S296" s="12" t="b">
        <f>ISBLANK(WFTracker[[#This Row],[Completion Date]])</f>
        <v>0</v>
      </c>
      <c r="T296" s="12" t="str">
        <f>TEXT(WFTracker[[#This Row],[Start date]],"mmm-yyyy")</f>
        <v>Sep-2025</v>
      </c>
      <c r="U296" s="11">
        <v>10</v>
      </c>
      <c r="V296" s="11">
        <f>NETWORKDAYS.INTL(WFTracker[[#This Row],[Start date]],WFTracker[[#This Row],[Due date]],1,Holidays!D607:D622)</f>
        <v>6</v>
      </c>
      <c r="W2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296" s="24">
        <f ca="1">WFTracker[[#This Row],[Active Time]]-WFTracker[[#This Row],[Completion Days Template]]</f>
        <v>9</v>
      </c>
      <c r="Y296" s="16" t="str">
        <f ca="1" xml:space="preserve"> IF(WFTracker[[#This Row],[Overdue Time '[Expected-Completion']]]&gt;0, "LATE","ON TIME")</f>
        <v>LATE</v>
      </c>
      <c r="Z296" s="16" t="str">
        <f ca="1">IF(WFTracker[[#This Row],[Overdue Time '[Expected-Completion']]] &gt;= 15, "SUPER LATE", Y296)</f>
        <v>LATE</v>
      </c>
      <c r="AA296" s="37" t="str">
        <f>IF(WFTracker[[#This Row],[Pre RM Opening Time]]&lt;WFTracker[[#This Row],[Old vs New Order Lead Time WF dead line]], "LATE BY ENG", "ON TIME BY ENG")</f>
        <v>ON TIME BY ENG</v>
      </c>
      <c r="AB296" s="37"/>
      <c r="AC296" s="15" t="str">
        <f>IF(WFTracker[[#This Row],[Competion Date Content]] = FALSE, "C", "i")</f>
        <v>C</v>
      </c>
      <c r="AD2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-25</v>
      </c>
      <c r="AE296" s="37" t="str">
        <f ca="1">IF(WFTracker[[#This Row],[Impact Time Post RM]]&gt;0, "IMPACTED", "NOT IMPACTED")</f>
        <v>NOT IMPACTED</v>
      </c>
      <c r="AF296" s="15"/>
      <c r="AG296" s="18"/>
      <c r="AH296" s="14" t="str">
        <f>IF(WFTracker[[#This Row],[Status]]="C", "Closed", IF(WFTracker[[#This Row],[Status]] = "x", "Cancelled", WFTracker[[#This Row],[Impact Time Post RM]]))</f>
        <v>Closed</v>
      </c>
      <c r="AI296" s="14" t="str">
        <f ca="1">IF(WFTracker[[#This Row],[Impact Time Post RM]]&lt;=0,"ON TIME","LATE")</f>
        <v>ON TIME</v>
      </c>
      <c r="AJ296" s="14" t="s">
        <v>984</v>
      </c>
      <c r="AK296" s="14">
        <v>18</v>
      </c>
      <c r="AL296" s="915">
        <f>IF(WFTracker[[#This Row],[Type]]="MAKE", WFTracker[[#This Row],[Due date]]+Filters!$J$111, WFTracker[[#This Row],[Due date]]+Filters!$J$135)</f>
        <v>45911.072512647552</v>
      </c>
      <c r="AM296" s="102" cm="1">
        <f t="array" ref="AM2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7" spans="1:39" ht="14.45">
      <c r="A297" t="str">
        <f>IF(WFTracker[[#This Row],[Order Number]]="SWBD", "QED2", "PZ4")</f>
        <v>PZ4</v>
      </c>
      <c r="B297" s="21" t="s">
        <v>570</v>
      </c>
      <c r="C297" s="21" t="s">
        <v>135</v>
      </c>
      <c r="D297" s="11" t="str">
        <f>WFTracker[[#This Row],[Order Number]]  &amp; "-" &amp; WFTracker[[#This Row],[Item]]</f>
        <v>0051378345-000010</v>
      </c>
      <c r="E297" s="21" t="s">
        <v>1035</v>
      </c>
      <c r="F297" s="12">
        <v>45954</v>
      </c>
      <c r="G297" s="12"/>
      <c r="H297" s="11" t="s">
        <v>259</v>
      </c>
      <c r="I297" s="11" t="s">
        <v>24</v>
      </c>
      <c r="J297" s="13" t="s">
        <v>1252</v>
      </c>
      <c r="K297" s="14" t="s">
        <v>1023</v>
      </c>
      <c r="L297" s="15" t="s">
        <v>27</v>
      </c>
      <c r="M297" s="29" t="s">
        <v>1123</v>
      </c>
      <c r="N297" s="57">
        <v>46085</v>
      </c>
      <c r="O297" s="15">
        <f>NETWORKDAYS.INTL(WFTracker[[#This Row],[Start date]],WFTracker[[#This Row],[RM]],1,Holidays!D608:D623)</f>
        <v>40</v>
      </c>
      <c r="P297" s="12">
        <v>45901</v>
      </c>
      <c r="Q297" s="12">
        <v>45908</v>
      </c>
      <c r="R297" s="12">
        <v>45905</v>
      </c>
      <c r="S297" s="12" t="b">
        <f>ISBLANK(WFTracker[[#This Row],[Completion Date]])</f>
        <v>0</v>
      </c>
      <c r="T297" s="12" t="str">
        <f>TEXT(WFTracker[[#This Row],[Start date]],"mmm-yyyy")</f>
        <v>Sep-2025</v>
      </c>
      <c r="U297" s="11">
        <v>10</v>
      </c>
      <c r="V297" s="11">
        <f>NETWORKDAYS.INTL(WFTracker[[#This Row],[Start date]],WFTracker[[#This Row],[Due date]],1,Holidays!D608:D623)</f>
        <v>6</v>
      </c>
      <c r="W2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297" s="24">
        <f ca="1">WFTracker[[#This Row],[Active Time]]-WFTracker[[#This Row],[Completion Days Template]]</f>
        <v>-1</v>
      </c>
      <c r="Y297" s="16" t="str">
        <f ca="1" xml:space="preserve"> IF(WFTracker[[#This Row],[Overdue Time '[Expected-Completion']]]&gt;0, "LATE","ON TIME")</f>
        <v>ON TIME</v>
      </c>
      <c r="Z297" s="16" t="str">
        <f ca="1">IF(WFTracker[[#This Row],[Overdue Time '[Expected-Completion']]] &gt;= 15, "SUPER LATE", Y297)</f>
        <v>ON TIME</v>
      </c>
      <c r="AA297" s="37" t="str">
        <f>IF(WFTracker[[#This Row],[Pre RM Opening Time]]&lt;WFTracker[[#This Row],[Old vs New Order Lead Time WF dead line]], "LATE BY ENG", "ON TIME BY ENG")</f>
        <v>ON TIME BY ENG</v>
      </c>
      <c r="AB297" s="37"/>
      <c r="AC297" s="15" t="str">
        <f>IF(WFTracker[[#This Row],[Competion Date Content]] = FALSE, "C", "i")</f>
        <v>C</v>
      </c>
      <c r="AD2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-35</v>
      </c>
      <c r="AE297" s="37" t="str">
        <f ca="1">IF(WFTracker[[#This Row],[Impact Time Post RM]]&gt;0, "IMPACTED", "NOT IMPACTED")</f>
        <v>NOT IMPACTED</v>
      </c>
      <c r="AF297" s="15"/>
      <c r="AG297" s="18"/>
      <c r="AH297" s="14" t="str">
        <f>IF(WFTracker[[#This Row],[Status]]="C", "Closed", IF(WFTracker[[#This Row],[Status]] = "x", "Cancelled", WFTracker[[#This Row],[Impact Time Post RM]]))</f>
        <v>Closed</v>
      </c>
      <c r="AI297" s="14" t="str">
        <f ca="1">IF(WFTracker[[#This Row],[Impact Time Post RM]]&lt;=0,"ON TIME","LATE")</f>
        <v>ON TIME</v>
      </c>
      <c r="AJ297" s="14" t="s">
        <v>984</v>
      </c>
      <c r="AK297" s="14">
        <v>18</v>
      </c>
      <c r="AL297" s="915">
        <f>IF(WFTracker[[#This Row],[Type]]="MAKE", WFTracker[[#This Row],[Due date]]+Filters!$J$111, WFTracker[[#This Row],[Due date]]+Filters!$J$135)</f>
        <v>45911.072512647552</v>
      </c>
      <c r="AM297" s="102" cm="1">
        <f t="array" ref="AM2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8" spans="1:39" ht="14.45">
      <c r="A298" t="str">
        <f>IF(WFTracker[[#This Row],[Order Number]]="SWBD", "QED2", "PZ4")</f>
        <v>QED2</v>
      </c>
      <c r="B298" s="21" t="s">
        <v>1239</v>
      </c>
      <c r="C298" s="21" t="s">
        <v>1051</v>
      </c>
      <c r="D298" s="23" t="str">
        <f>WFTracker[[#This Row],[Order Number]]  &amp; "-" &amp; WFTracker[[#This Row],[Item]]</f>
        <v>SWBD-meta rsb #80</v>
      </c>
      <c r="E298" s="21" t="s">
        <v>1051</v>
      </c>
      <c r="F298" s="12">
        <v>45926</v>
      </c>
      <c r="G298" s="12"/>
      <c r="H298" s="11" t="s">
        <v>947</v>
      </c>
      <c r="I298" s="11" t="s">
        <v>1132</v>
      </c>
      <c r="J298" s="13" t="s">
        <v>1253</v>
      </c>
      <c r="K298" s="14" t="s">
        <v>1023</v>
      </c>
      <c r="L298" s="15" t="s">
        <v>40</v>
      </c>
      <c r="M298" s="29" t="s">
        <v>1120</v>
      </c>
      <c r="N298" s="57" t="s">
        <v>984</v>
      </c>
      <c r="O298" s="15">
        <f>NETWORKDAYS.INTL(WFTracker[[#This Row],[Start date]],WFTracker[[#This Row],[RM]],1,Holidays!D426:D441)</f>
        <v>19</v>
      </c>
      <c r="P298" s="12">
        <v>45902</v>
      </c>
      <c r="Q298" s="12">
        <v>45912</v>
      </c>
      <c r="R298" s="12">
        <v>45918</v>
      </c>
      <c r="S298" s="12" t="b">
        <f>ISBLANK(WFTracker[[#This Row],[Completion Date]])</f>
        <v>0</v>
      </c>
      <c r="T298" s="12" t="str">
        <f>TEXT(WFTracker[[#This Row],[Start date]],"mmm-yyyy")</f>
        <v>Sep-2025</v>
      </c>
      <c r="U298" s="11">
        <v>10</v>
      </c>
      <c r="V298" s="11">
        <f>NETWORKDAYS.INTL(WFTracker[[#This Row],[Start date]],WFTracker[[#This Row],[Due date]],1,Holidays!D426:D441)</f>
        <v>9</v>
      </c>
      <c r="W2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298" s="24">
        <f ca="1">WFTracker[[#This Row],[Active Time]]-WFTracker[[#This Row],[Completion Days Template]]</f>
        <v>3</v>
      </c>
      <c r="Y298" s="16" t="str">
        <f ca="1" xml:space="preserve"> IF(WFTracker[[#This Row],[Overdue Time '[Expected-Completion']]]&gt;0, "LATE","ON TIME")</f>
        <v>LATE</v>
      </c>
      <c r="Z298" s="16" t="str">
        <f ca="1">IF(WFTracker[[#This Row],[Overdue Time '[Expected-Completion']]] &gt;= 15, "SUPER LATE", Y298)</f>
        <v>LATE</v>
      </c>
      <c r="AA298" s="37" t="str">
        <f>IF(WFTracker[[#This Row],[Pre RM Opening Time]]&lt;WFTracker[[#This Row],[Old vs New Order Lead Time WF dead line]], "LATE BY ENG", "ON TIME BY ENG")</f>
        <v>ON TIME BY ENG</v>
      </c>
      <c r="AB298" s="37"/>
      <c r="AC298" s="15" t="str">
        <f>IF(WFTracker[[#This Row],[Competion Date Content]] = FALSE, "C", "I")</f>
        <v>C</v>
      </c>
      <c r="AD2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298" s="37" t="str">
        <f ca="1">IF(WFTracker[[#This Row],[Impact Time Post RM]]&gt;0, "IMPACTED", "NOT IMPACTED")</f>
        <v>NOT IMPACTED</v>
      </c>
      <c r="AF298" s="15"/>
      <c r="AG298" s="18"/>
      <c r="AH298" s="14" t="str">
        <f>IF(WFTracker[[#This Row],[Status]]="C", "Closed", IF(WFTracker[[#This Row],[Status]] = "x", "Cancelled", WFTracker[[#This Row],[Impact Time Post RM]]))</f>
        <v>Closed</v>
      </c>
      <c r="AI298" s="14" t="str">
        <f ca="1">IF(WFTracker[[#This Row],[Impact Time Post RM]]&lt;=0,"ON TIME","LATE")</f>
        <v>ON TIME</v>
      </c>
      <c r="AJ298" s="14" t="s">
        <v>984</v>
      </c>
      <c r="AK298" s="14">
        <v>17</v>
      </c>
      <c r="AL298" s="915">
        <f>IF(WFTracker[[#This Row],[Type]]="MAKE", WFTracker[[#This Row],[Due date]]+Filters!$J$111, WFTracker[[#This Row],[Due date]]+Filters!$J$135)</f>
        <v>45912.415686274508</v>
      </c>
      <c r="AM298" s="102" cm="1">
        <f t="array" ref="AM29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299" spans="1:39" ht="14.45">
      <c r="A299" t="str">
        <f>IF(WFTracker[[#This Row],[Order Number]]="SWBD", "QED2", "PZ4")</f>
        <v>PZ4</v>
      </c>
      <c r="B299" s="21" t="s">
        <v>228</v>
      </c>
      <c r="C299" s="21" t="s">
        <v>135</v>
      </c>
      <c r="D299" s="11" t="str">
        <f>WFTracker[[#This Row],[Order Number]]  &amp; "-" &amp; WFTracker[[#This Row],[Item]]</f>
        <v>0051004478-000010</v>
      </c>
      <c r="E299" s="21" t="s">
        <v>1030</v>
      </c>
      <c r="F299" s="12">
        <v>45813</v>
      </c>
      <c r="G299" s="12"/>
      <c r="H299" s="11" t="s">
        <v>113</v>
      </c>
      <c r="I299" s="11" t="s">
        <v>24</v>
      </c>
      <c r="J299" s="55" t="s">
        <v>1254</v>
      </c>
      <c r="K299" s="14" t="s">
        <v>1023</v>
      </c>
      <c r="L299" s="15" t="s">
        <v>40</v>
      </c>
      <c r="M299" s="29" t="s">
        <v>1120</v>
      </c>
      <c r="N299" s="57">
        <v>45939</v>
      </c>
      <c r="O299" s="15">
        <f>NETWORKDAYS.INTL(WFTracker[[#This Row],[Start date]],WFTracker[[#This Row],[RM]],1,Holidays!D7:D26)</f>
        <v>-65</v>
      </c>
      <c r="P299" s="12">
        <v>45903</v>
      </c>
      <c r="Q299" s="12">
        <v>45915</v>
      </c>
      <c r="R299" s="12">
        <v>45910</v>
      </c>
      <c r="S299" s="12" t="b">
        <f>ISBLANK(WFTracker[[#This Row],[Completion Date]])</f>
        <v>0</v>
      </c>
      <c r="T299" s="12" t="str">
        <f>TEXT(WFTracker[[#This Row],[Start date]],"mmm-yyyy")</f>
        <v>Sep-2025</v>
      </c>
      <c r="U299" s="11">
        <v>5</v>
      </c>
      <c r="V299" s="11">
        <f>NETWORKDAYS.INTL(WFTracker[[#This Row],[Start date]],WFTracker[[#This Row],[Due date]],1,Holidays!D7:D26)</f>
        <v>9</v>
      </c>
      <c r="W2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299" s="24">
        <f ca="1">WFTracker[[#This Row],[Active Time]]-WFTracker[[#This Row],[Completion Days Template]]</f>
        <v>-3</v>
      </c>
      <c r="Y299" s="16" t="str">
        <f ca="1" xml:space="preserve"> IF(WFTracker[[#This Row],[Overdue Time '[Expected-Completion']]]&gt;0, "LATE","ON TIME")</f>
        <v>ON TIME</v>
      </c>
      <c r="Z299" s="16" t="str">
        <f ca="1">IF(WFTracker[[#This Row],[Overdue Time '[Expected-Completion']]] &gt;= 15, "SUPER LATE", Y299)</f>
        <v>ON TIME</v>
      </c>
      <c r="AA299" s="37" t="str">
        <f>IF(WFTracker[[#This Row],[Pre RM Opening Time]]&lt;WFTracker[[#This Row],[Old vs New Order Lead Time WF dead line]], "LATE BY ENG", "ON TIME BY ENG")</f>
        <v>LATE BY ENG</v>
      </c>
      <c r="AB299" s="37"/>
      <c r="AC299" s="15" t="str">
        <f>IF(WFTracker[[#This Row],[Competion Date Content]] = FALSE, "C", "i")</f>
        <v>C</v>
      </c>
      <c r="AD2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70</v>
      </c>
      <c r="AE299" s="25" t="str">
        <f ca="1">IF(WFTracker[[#This Row],[Impact Time Post RM]]&gt;0, "IMPACTED", "NOT IMPACTED")</f>
        <v>IMPACTED</v>
      </c>
      <c r="AF299" s="15"/>
      <c r="AG299" s="18"/>
      <c r="AH299" s="14" t="str">
        <f>IF(WFTracker[[#This Row],[Status]]="C", "Closed", IF(WFTracker[[#This Row],[Status]] = "x", "Cancelled", WFTracker[[#This Row],[Impact Time Post RM]]))</f>
        <v>Closed</v>
      </c>
      <c r="AI299" s="14" t="str">
        <f ca="1">IF(WFTracker[[#This Row],[Impact Time Post RM]]&lt;=0,"ON TIME","LATE")</f>
        <v>LATE</v>
      </c>
      <c r="AJ299" s="14" t="s">
        <v>984</v>
      </c>
      <c r="AK299" s="14">
        <v>17</v>
      </c>
      <c r="AL299" s="915">
        <f>IF(WFTracker[[#This Row],[Type]]="MAKE", WFTracker[[#This Row],[Due date]]+Filters!$J$111, WFTracker[[#This Row],[Due date]]+Filters!$J$135)</f>
        <v>45915.415686274508</v>
      </c>
      <c r="AM299" s="102" cm="1">
        <f t="array" ref="AM2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0" spans="1:39" ht="14.45">
      <c r="A300" t="str">
        <f>IF(WFTracker[[#This Row],[Order Number]]="SWBD", "QED2", "PZ4")</f>
        <v>PZ4</v>
      </c>
      <c r="B300" s="21" t="s">
        <v>384</v>
      </c>
      <c r="C300" s="21" t="s">
        <v>389</v>
      </c>
      <c r="D300" s="11" t="str">
        <f>WFTracker[[#This Row],[Order Number]]  &amp; "-" &amp; WFTracker[[#This Row],[Item]]</f>
        <v>0051306085-000300</v>
      </c>
      <c r="E300" s="21" t="s">
        <v>350</v>
      </c>
      <c r="F300" s="41">
        <v>45910</v>
      </c>
      <c r="G300" s="41"/>
      <c r="H300" s="11" t="s">
        <v>259</v>
      </c>
      <c r="I300" s="11" t="s">
        <v>1154</v>
      </c>
      <c r="J300" s="13" t="s">
        <v>1255</v>
      </c>
      <c r="K300" s="14" t="s">
        <v>1023</v>
      </c>
      <c r="L300" s="15" t="s">
        <v>40</v>
      </c>
      <c r="M300" s="29" t="s">
        <v>1120</v>
      </c>
      <c r="N300" s="57">
        <v>45789</v>
      </c>
      <c r="O300" s="15">
        <f>NETWORKDAYS.INTL(WFTracker[[#This Row],[Start date]],WFTracker[[#This Row],[RM]],1,Holidays!D41:D56)</f>
        <v>6</v>
      </c>
      <c r="P300" s="12">
        <v>45903</v>
      </c>
      <c r="Q300" s="12">
        <v>45915</v>
      </c>
      <c r="R300" s="12">
        <v>45909</v>
      </c>
      <c r="S300" s="12" t="b">
        <f>ISBLANK(WFTracker[[#This Row],[Completion Date]])</f>
        <v>0</v>
      </c>
      <c r="T300" s="12" t="str">
        <f>TEXT(WFTracker[[#This Row],[Start date]],"mmm-yyyy")</f>
        <v>Sep-2025</v>
      </c>
      <c r="U300" s="11">
        <v>5</v>
      </c>
      <c r="V300" s="11">
        <f>NETWORKDAYS.INTL(WFTracker[[#This Row],[Start date]],WFTracker[[#This Row],[Due date]],1,Holidays!D41:D56)</f>
        <v>9</v>
      </c>
      <c r="W3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300" s="24">
        <f ca="1">WFTracker[[#This Row],[Active Time]]-WFTracker[[#This Row],[Completion Days Template]]</f>
        <v>-4</v>
      </c>
      <c r="Y300" s="16" t="str">
        <f ca="1" xml:space="preserve"> IF(WFTracker[[#This Row],[Overdue Time '[Expected-Completion']]]&gt;0, "LATE","ON TIME")</f>
        <v>ON TIME</v>
      </c>
      <c r="Z300" s="16" t="str">
        <f ca="1">IF(WFTracker[[#This Row],[Overdue Time '[Expected-Completion']]] &gt;= 15, "SUPER LATE", Y300)</f>
        <v>ON TIME</v>
      </c>
      <c r="AA300" s="37" t="str">
        <f>IF(WFTracker[[#This Row],[Pre RM Opening Time]]&lt;WFTracker[[#This Row],[Old vs New Order Lead Time WF dead line]], "LATE BY ENG", "ON TIME BY ENG")</f>
        <v>ON TIME BY ENG</v>
      </c>
      <c r="AB300" s="37"/>
      <c r="AC300" s="15" t="str">
        <f>IF(WFTracker[[#This Row],[Competion Date Content]] = FALSE, "C", "i")</f>
        <v>C</v>
      </c>
      <c r="AD3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00" s="25" t="str">
        <f ca="1">IF(WFTracker[[#This Row],[Impact Time Post RM]]&gt;0, "IMPACTED", "NOT IMPACTED")</f>
        <v>NOT IMPACTED</v>
      </c>
      <c r="AF300" s="15"/>
      <c r="AG300" s="18"/>
      <c r="AH300" s="14" t="str">
        <f>IF(WFTracker[[#This Row],[Status]]="C", "Closed", IF(WFTracker[[#This Row],[Status]] = "x", "Cancelled", WFTracker[[#This Row],[Impact Time Post RM]]))</f>
        <v>Closed</v>
      </c>
      <c r="AI300" s="14" t="str">
        <f ca="1">IF(WFTracker[[#This Row],[Impact Time Post RM]]&lt;=0,"ON TIME","LATE")</f>
        <v>ON TIME</v>
      </c>
      <c r="AJ300" s="14" t="s">
        <v>984</v>
      </c>
      <c r="AK300" s="14">
        <v>17</v>
      </c>
      <c r="AL300" s="915">
        <f>IF(WFTracker[[#This Row],[Type]]="MAKE", WFTracker[[#This Row],[Due date]]+Filters!$J$111, WFTracker[[#This Row],[Due date]]+Filters!$J$135)</f>
        <v>45915.415686274508</v>
      </c>
      <c r="AM300" s="102" cm="1">
        <f t="array" ref="AM3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1" spans="1:39" ht="14.45">
      <c r="A301" t="str">
        <f>IF(WFTracker[[#This Row],[Order Number]]="SWBD", "QED2", "PZ4")</f>
        <v>PZ4</v>
      </c>
      <c r="B301" s="21" t="s">
        <v>431</v>
      </c>
      <c r="C301" s="23" t="s">
        <v>214</v>
      </c>
      <c r="D301" s="11" t="str">
        <f>WFTracker[[#This Row],[Order Number]]  &amp; "-" &amp; WFTracker[[#This Row],[Item]]</f>
        <v>0051072452-000020</v>
      </c>
      <c r="E301" s="21" t="s">
        <v>1021</v>
      </c>
      <c r="F301" s="12">
        <v>45898</v>
      </c>
      <c r="G301" s="12"/>
      <c r="H301" s="11" t="s">
        <v>295</v>
      </c>
      <c r="I301" t="s">
        <v>111</v>
      </c>
      <c r="J301" s="13" t="s">
        <v>1256</v>
      </c>
      <c r="K301" s="14" t="s">
        <v>1023</v>
      </c>
      <c r="L301" s="15" t="s">
        <v>27</v>
      </c>
      <c r="M301" s="29" t="s">
        <v>1120</v>
      </c>
      <c r="N301" s="57">
        <v>46008</v>
      </c>
      <c r="O301" s="15">
        <f>NETWORKDAYS.INTL(WFTracker[[#This Row],[Start date]],WFTracker[[#This Row],[RM]],1,Holidays!D55:D70)</f>
        <v>-4</v>
      </c>
      <c r="P301" s="12">
        <v>45903</v>
      </c>
      <c r="Q301" s="12">
        <v>45910</v>
      </c>
      <c r="R301" s="12">
        <v>45915</v>
      </c>
      <c r="S301" s="12" t="b">
        <f>ISBLANK(WFTracker[[#This Row],[Completion Date]])</f>
        <v>0</v>
      </c>
      <c r="T301" s="12" t="str">
        <f>TEXT(WFTracker[[#This Row],[Start date]],"mmm-yyyy")</f>
        <v>Sep-2025</v>
      </c>
      <c r="U301" s="11">
        <v>5</v>
      </c>
      <c r="V301" s="11">
        <f>NETWORKDAYS.INTL(WFTracker[[#This Row],[Start date]],WFTracker[[#This Row],[Due date]],1,Holidays!D55:D70)</f>
        <v>6</v>
      </c>
      <c r="W3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301" s="24">
        <f ca="1">WFTracker[[#This Row],[Active Time]]-WFTracker[[#This Row],[Completion Days Template]]</f>
        <v>3</v>
      </c>
      <c r="Y301" s="16" t="str">
        <f ca="1" xml:space="preserve"> IF(WFTracker[[#This Row],[Overdue Time '[Expected-Completion']]]&gt;0, "LATE","ON TIME")</f>
        <v>LATE</v>
      </c>
      <c r="Z301" s="16" t="str">
        <f ca="1">IF(WFTracker[[#This Row],[Overdue Time '[Expected-Completion']]] &gt;= 15, "SUPER LATE", Y301)</f>
        <v>LATE</v>
      </c>
      <c r="AA301" s="37" t="str">
        <f>IF(WFTracker[[#This Row],[Pre RM Opening Time]]&lt;WFTracker[[#This Row],[Old vs New Order Lead Time WF dead line]], "LATE BY ENG", "ON TIME BY ENG")</f>
        <v>LATE BY ENG</v>
      </c>
      <c r="AB301" s="37"/>
      <c r="AC301" s="15" t="s">
        <v>29</v>
      </c>
      <c r="AD3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301" s="37" t="str">
        <f ca="1">IF(WFTracker[[#This Row],[Impact Time Post RM]]&gt;0, "IMPACTED", "NOT IMPACTED")</f>
        <v>IMPACTED</v>
      </c>
      <c r="AF301" s="15"/>
      <c r="AG301" s="18" t="s">
        <v>1257</v>
      </c>
      <c r="AH301" s="14" t="str">
        <f>IF(WFTracker[[#This Row],[Status]]="C", "Closed", IF(WFTracker[[#This Row],[Status]] = "x", "Cancelled", WFTracker[[#This Row],[Impact Time Post RM]]))</f>
        <v>Closed</v>
      </c>
      <c r="AI301" s="14" t="str">
        <f ca="1">IF(WFTracker[[#This Row],[Impact Time Post RM]]&lt;=0,"ON TIME","LATE")</f>
        <v>LATE</v>
      </c>
      <c r="AJ301" s="14" t="s">
        <v>984</v>
      </c>
      <c r="AK301" s="14">
        <v>18</v>
      </c>
      <c r="AL301" s="915">
        <f>IF(WFTracker[[#This Row],[Type]]="MAKE", WFTracker[[#This Row],[Due date]]+Filters!$J$111, WFTracker[[#This Row],[Due date]]+Filters!$J$135)</f>
        <v>45913.072512647552</v>
      </c>
      <c r="AM301" s="102" cm="1">
        <f t="array" ref="AM3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2" spans="1:39" ht="14.45">
      <c r="A302" t="str">
        <f>IF(WFTracker[[#This Row],[Order Number]]="SWBD", "QED2", "PZ4")</f>
        <v>PZ4</v>
      </c>
      <c r="B302" s="21" t="s">
        <v>1258</v>
      </c>
      <c r="C302" s="21" t="s">
        <v>1259</v>
      </c>
      <c r="D302" s="11" t="str">
        <f>WFTracker[[#This Row],[Order Number]]  &amp; "-" &amp; WFTracker[[#This Row],[Item]]</f>
        <v>0051086218-003900</v>
      </c>
      <c r="E302" s="21" t="s">
        <v>1041</v>
      </c>
      <c r="F302" s="12">
        <v>45946</v>
      </c>
      <c r="G302" s="12"/>
      <c r="H302" s="11" t="s">
        <v>117</v>
      </c>
      <c r="I302" s="11"/>
      <c r="J302" s="13" t="s">
        <v>1260</v>
      </c>
      <c r="K302" s="14" t="s">
        <v>1023</v>
      </c>
      <c r="L302" s="15" t="s">
        <v>27</v>
      </c>
      <c r="M302" s="29" t="s">
        <v>1120</v>
      </c>
      <c r="N302" s="57">
        <v>46049</v>
      </c>
      <c r="O302" s="15">
        <f>NETWORKDAYS.INTL(WFTracker[[#This Row],[Start date]],WFTracker[[#This Row],[RM]],1,Holidays!D568:D583)</f>
        <v>32</v>
      </c>
      <c r="P302" s="12">
        <v>45903</v>
      </c>
      <c r="Q302" s="12">
        <v>45910</v>
      </c>
      <c r="R302" s="12">
        <v>45915</v>
      </c>
      <c r="S302" s="12" t="b">
        <f>ISBLANK(WFTracker[[#This Row],[Completion Date]])</f>
        <v>0</v>
      </c>
      <c r="T302" s="12" t="str">
        <f>TEXT(WFTracker[[#This Row],[Start date]],"mmm-yyyy")</f>
        <v>Sep-2025</v>
      </c>
      <c r="U302" s="11">
        <v>10</v>
      </c>
      <c r="V302" s="11">
        <f>NETWORKDAYS.INTL(WFTracker[[#This Row],[Start date]],WFTracker[[#This Row],[Due date]],1,Holidays!D568:D583)</f>
        <v>6</v>
      </c>
      <c r="W3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302" s="24">
        <f ca="1">WFTracker[[#This Row],[Active Time]]-WFTracker[[#This Row],[Completion Days Template]]</f>
        <v>3</v>
      </c>
      <c r="Y302" s="16" t="str">
        <f ca="1" xml:space="preserve"> IF(WFTracker[[#This Row],[Overdue Time '[Expected-Completion']]]&gt;0, "LATE","ON TIME")</f>
        <v>LATE</v>
      </c>
      <c r="Z302" s="16" t="str">
        <f ca="1">IF(WFTracker[[#This Row],[Overdue Time '[Expected-Completion']]] &gt;= 15, "SUPER LATE", Y302)</f>
        <v>LATE</v>
      </c>
      <c r="AA302" s="37" t="str">
        <f>IF(WFTracker[[#This Row],[Pre RM Opening Time]]&lt;WFTracker[[#This Row],[Old vs New Order Lead Time WF dead line]], "LATE BY ENG", "ON TIME BY ENG")</f>
        <v>ON TIME BY ENG</v>
      </c>
      <c r="AB302" s="37"/>
      <c r="AC302" s="15" t="str">
        <f>IF(WFTracker[[#This Row],[Competion Date Content]] = FALSE, "C", "i")</f>
        <v>C</v>
      </c>
      <c r="AD3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302" s="37" t="str">
        <f ca="1">IF(WFTracker[[#This Row],[Impact Time Post RM]]&gt;0, "IMPACTED", "NOT IMPACTED")</f>
        <v>NOT IMPACTED</v>
      </c>
      <c r="AF302" s="15"/>
      <c r="AG302" s="18"/>
      <c r="AH302" s="14" t="str">
        <f>IF(WFTracker[[#This Row],[Status]]="C", "Closed", IF(WFTracker[[#This Row],[Status]] = "x", "Cancelled", WFTracker[[#This Row],[Impact Time Post RM]]))</f>
        <v>Closed</v>
      </c>
      <c r="AI302" s="14" t="str">
        <f ca="1">IF(WFTracker[[#This Row],[Impact Time Post RM]]&lt;=0,"ON TIME","LATE")</f>
        <v>ON TIME</v>
      </c>
      <c r="AJ302" s="14" t="s">
        <v>984</v>
      </c>
      <c r="AK302" s="14">
        <v>18</v>
      </c>
      <c r="AL302" s="915">
        <f>IF(WFTracker[[#This Row],[Type]]="MAKE", WFTracker[[#This Row],[Due date]]+Filters!$J$111, WFTracker[[#This Row],[Due date]]+Filters!$J$135)</f>
        <v>45913.072512647552</v>
      </c>
      <c r="AM302" s="102" cm="1">
        <f t="array" ref="AM3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3" spans="1:39" ht="14.45">
      <c r="A303" t="str">
        <f>IF(WFTracker[[#This Row],[Order Number]]="SWBD", "QED2", "PZ4")</f>
        <v>PZ4</v>
      </c>
      <c r="B303" s="21" t="s">
        <v>1258</v>
      </c>
      <c r="C303" s="26" t="s">
        <v>1259</v>
      </c>
      <c r="D303" s="11" t="str">
        <f>WFTracker[[#This Row],[Order Number]]  &amp; "-" &amp; WFTracker[[#This Row],[Item]]</f>
        <v>0051086218-003900</v>
      </c>
      <c r="E303" s="21" t="s">
        <v>1041</v>
      </c>
      <c r="F303" s="12">
        <v>45946</v>
      </c>
      <c r="G303" s="12"/>
      <c r="H303" s="11" t="s">
        <v>117</v>
      </c>
      <c r="I303" s="11"/>
      <c r="J303" s="13" t="s">
        <v>1261</v>
      </c>
      <c r="K303" s="14" t="s">
        <v>1023</v>
      </c>
      <c r="L303" s="15" t="s">
        <v>27</v>
      </c>
      <c r="M303" s="29" t="s">
        <v>1120</v>
      </c>
      <c r="N303" s="57">
        <v>46049</v>
      </c>
      <c r="O303" s="15">
        <f>NETWORKDAYS.INTL(WFTracker[[#This Row],[Start date]],WFTracker[[#This Row],[RM]],1,Holidays!D569:D584)</f>
        <v>32</v>
      </c>
      <c r="P303" s="12">
        <v>45903</v>
      </c>
      <c r="Q303" s="12">
        <v>45910</v>
      </c>
      <c r="R303" s="12">
        <v>45918</v>
      </c>
      <c r="S303" s="12" t="b">
        <f>ISBLANK(WFTracker[[#This Row],[Completion Date]])</f>
        <v>0</v>
      </c>
      <c r="T303" s="12" t="str">
        <f>TEXT(WFTracker[[#This Row],[Start date]],"mmm-yyyy")</f>
        <v>Sep-2025</v>
      </c>
      <c r="U303" s="11">
        <v>10</v>
      </c>
      <c r="V303" s="11">
        <f>NETWORKDAYS.INTL(WFTracker[[#This Row],[Start date]],WFTracker[[#This Row],[Due date]],1,Holidays!D569:D584)</f>
        <v>6</v>
      </c>
      <c r="W3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03" s="24">
        <f ca="1">WFTracker[[#This Row],[Active Time]]-WFTracker[[#This Row],[Completion Days Template]]</f>
        <v>5</v>
      </c>
      <c r="Y303" s="16" t="str">
        <f ca="1" xml:space="preserve"> IF(WFTracker[[#This Row],[Overdue Time '[Expected-Completion']]]&gt;0, "LATE","ON TIME")</f>
        <v>LATE</v>
      </c>
      <c r="Z303" s="16" t="str">
        <f ca="1">IF(WFTracker[[#This Row],[Overdue Time '[Expected-Completion']]] &gt;= 15, "SUPER LATE", Y303)</f>
        <v>LATE</v>
      </c>
      <c r="AA303" s="37" t="str">
        <f>IF(WFTracker[[#This Row],[Pre RM Opening Time]]&lt;WFTracker[[#This Row],[Old vs New Order Lead Time WF dead line]], "LATE BY ENG", "ON TIME BY ENG")</f>
        <v>ON TIME BY ENG</v>
      </c>
      <c r="AB303" s="37"/>
      <c r="AC303" s="15" t="str">
        <f>IF(WFTracker[[#This Row],[Competion Date Content]] = FALSE, "C", "i")</f>
        <v>C</v>
      </c>
      <c r="AD3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303" s="37" t="str">
        <f ca="1">IF(WFTracker[[#This Row],[Impact Time Post RM]]&gt;0, "IMPACTED", "NOT IMPACTED")</f>
        <v>NOT IMPACTED</v>
      </c>
      <c r="AF303" s="15"/>
      <c r="AG303" s="18"/>
      <c r="AH303" s="14" t="str">
        <f>IF(WFTracker[[#This Row],[Status]]="C", "Closed", IF(WFTracker[[#This Row],[Status]] = "x", "Cancelled", WFTracker[[#This Row],[Impact Time Post RM]]))</f>
        <v>Closed</v>
      </c>
      <c r="AI303" s="14" t="str">
        <f ca="1">IF(WFTracker[[#This Row],[Impact Time Post RM]]&lt;=0,"ON TIME","LATE")</f>
        <v>ON TIME</v>
      </c>
      <c r="AJ303" s="14" t="s">
        <v>984</v>
      </c>
      <c r="AK303" s="14">
        <v>18</v>
      </c>
      <c r="AL303" s="915">
        <f>IF(WFTracker[[#This Row],[Type]]="MAKE", WFTracker[[#This Row],[Due date]]+Filters!$J$111, WFTracker[[#This Row],[Due date]]+Filters!$J$135)</f>
        <v>45913.072512647552</v>
      </c>
      <c r="AM303" s="102" cm="1">
        <f t="array" ref="AM3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4" spans="1:39" ht="14.45">
      <c r="A304" t="str">
        <f>IF(WFTracker[[#This Row],[Order Number]]="SWBD", "QED2", "PZ4")</f>
        <v>PZ4</v>
      </c>
      <c r="B304" s="21" t="s">
        <v>1258</v>
      </c>
      <c r="C304" s="21" t="s">
        <v>1259</v>
      </c>
      <c r="D304" s="11" t="str">
        <f>WFTracker[[#This Row],[Order Number]]  &amp; "-" &amp; WFTracker[[#This Row],[Item]]</f>
        <v>0051086218-003900</v>
      </c>
      <c r="E304" s="21" t="s">
        <v>1041</v>
      </c>
      <c r="F304" s="12">
        <v>45946</v>
      </c>
      <c r="G304" s="12"/>
      <c r="H304" s="11" t="s">
        <v>117</v>
      </c>
      <c r="I304" s="11"/>
      <c r="J304" s="13" t="s">
        <v>1262</v>
      </c>
      <c r="K304" s="14" t="s">
        <v>1023</v>
      </c>
      <c r="L304" s="15" t="s">
        <v>27</v>
      </c>
      <c r="M304" s="29" t="s">
        <v>1120</v>
      </c>
      <c r="N304" s="57">
        <v>46049</v>
      </c>
      <c r="O304" s="15">
        <f>NETWORKDAYS.INTL(WFTracker[[#This Row],[Start date]],WFTracker[[#This Row],[RM]],1,Holidays!D570:D585)</f>
        <v>32</v>
      </c>
      <c r="P304" s="12">
        <v>45903</v>
      </c>
      <c r="Q304" s="12">
        <v>45910</v>
      </c>
      <c r="R304" s="12">
        <v>45923</v>
      </c>
      <c r="S304" s="12" t="b">
        <f>ISBLANK(WFTracker[[#This Row],[Completion Date]])</f>
        <v>0</v>
      </c>
      <c r="T304" s="12" t="str">
        <f>TEXT(WFTracker[[#This Row],[Start date]],"mmm-yyyy")</f>
        <v>Sep-2025</v>
      </c>
      <c r="U304" s="11">
        <v>10</v>
      </c>
      <c r="V304" s="11">
        <f>NETWORKDAYS.INTL(WFTracker[[#This Row],[Start date]],WFTracker[[#This Row],[Due date]],1,Holidays!D570:D585)</f>
        <v>6</v>
      </c>
      <c r="W3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04" s="24">
        <f ca="1">WFTracker[[#This Row],[Active Time]]-WFTracker[[#This Row],[Completion Days Template]]</f>
        <v>8</v>
      </c>
      <c r="Y304" s="16" t="str">
        <f ca="1" xml:space="preserve"> IF(WFTracker[[#This Row],[Overdue Time '[Expected-Completion']]]&gt;0, "LATE","ON TIME")</f>
        <v>LATE</v>
      </c>
      <c r="Z304" s="16" t="str">
        <f ca="1">IF(WFTracker[[#This Row],[Overdue Time '[Expected-Completion']]] &gt;= 15, "SUPER LATE", Y304)</f>
        <v>LATE</v>
      </c>
      <c r="AA304" s="37" t="str">
        <f>IF(WFTracker[[#This Row],[Pre RM Opening Time]]&lt;WFTracker[[#This Row],[Old vs New Order Lead Time WF dead line]], "LATE BY ENG", "ON TIME BY ENG")</f>
        <v>ON TIME BY ENG</v>
      </c>
      <c r="AB304" s="37"/>
      <c r="AC304" s="15" t="str">
        <f>IF(WFTracker[[#This Row],[Competion Date Content]] = FALSE, "C", "i")</f>
        <v>C</v>
      </c>
      <c r="AD3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304" s="37" t="str">
        <f ca="1">IF(WFTracker[[#This Row],[Impact Time Post RM]]&gt;0, "IMPACTED", "NOT IMPACTED")</f>
        <v>NOT IMPACTED</v>
      </c>
      <c r="AF304" s="15"/>
      <c r="AG304" s="18"/>
      <c r="AH304" s="14" t="str">
        <f>IF(WFTracker[[#This Row],[Status]]="C", "Closed", IF(WFTracker[[#This Row],[Status]] = "x", "Cancelled", WFTracker[[#This Row],[Impact Time Post RM]]))</f>
        <v>Closed</v>
      </c>
      <c r="AI304" s="14" t="str">
        <f ca="1">IF(WFTracker[[#This Row],[Impact Time Post RM]]&lt;=0,"ON TIME","LATE")</f>
        <v>ON TIME</v>
      </c>
      <c r="AJ304" s="14" t="s">
        <v>984</v>
      </c>
      <c r="AK304" s="14">
        <v>18</v>
      </c>
      <c r="AL304" s="915">
        <f>IF(WFTracker[[#This Row],[Type]]="MAKE", WFTracker[[#This Row],[Due date]]+Filters!$J$111, WFTracker[[#This Row],[Due date]]+Filters!$J$135)</f>
        <v>45913.072512647552</v>
      </c>
      <c r="AM304" s="102" cm="1">
        <f t="array" ref="AM3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5" spans="1:39" ht="14.45">
      <c r="A305" t="str">
        <f>IF(WFTracker[[#This Row],[Order Number]]="SWBD", "QED2", "PZ4")</f>
        <v>PZ4</v>
      </c>
      <c r="B305" s="21" t="s">
        <v>1258</v>
      </c>
      <c r="C305" s="21" t="s">
        <v>1259</v>
      </c>
      <c r="D305" s="11" t="str">
        <f>WFTracker[[#This Row],[Order Number]]  &amp; "-" &amp; WFTracker[[#This Row],[Item]]</f>
        <v>0051086218-003900</v>
      </c>
      <c r="E305" s="21" t="s">
        <v>1041</v>
      </c>
      <c r="F305" s="12">
        <v>45946</v>
      </c>
      <c r="G305" s="12"/>
      <c r="H305" s="11" t="s">
        <v>117</v>
      </c>
      <c r="I305" s="11"/>
      <c r="J305" s="55" t="s">
        <v>1263</v>
      </c>
      <c r="K305" s="14" t="s">
        <v>1023</v>
      </c>
      <c r="L305" s="15" t="s">
        <v>27</v>
      </c>
      <c r="M305" s="29" t="s">
        <v>1120</v>
      </c>
      <c r="N305" s="57">
        <v>46049</v>
      </c>
      <c r="O305" s="15">
        <f>NETWORKDAYS.INTL(WFTracker[[#This Row],[Start date]],WFTracker[[#This Row],[RM]],1,Holidays!D571:D586)</f>
        <v>32</v>
      </c>
      <c r="P305" s="12">
        <v>45903</v>
      </c>
      <c r="Q305" s="12">
        <v>45910</v>
      </c>
      <c r="R305" s="12">
        <v>45923</v>
      </c>
      <c r="S305" s="12" t="b">
        <f>ISBLANK(WFTracker[[#This Row],[Completion Date]])</f>
        <v>0</v>
      </c>
      <c r="T305" s="12" t="str">
        <f>TEXT(WFTracker[[#This Row],[Start date]],"mmm-yyyy")</f>
        <v>Sep-2025</v>
      </c>
      <c r="U305" s="11">
        <v>10</v>
      </c>
      <c r="V305" s="11">
        <f>NETWORKDAYS.INTL(WFTracker[[#This Row],[Start date]],WFTracker[[#This Row],[Due date]],1,Holidays!D571:D586)</f>
        <v>6</v>
      </c>
      <c r="W3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05" s="24">
        <f ca="1">WFTracker[[#This Row],[Active Time]]-WFTracker[[#This Row],[Completion Days Template]]</f>
        <v>8</v>
      </c>
      <c r="Y305" s="16" t="str">
        <f ca="1" xml:space="preserve"> IF(WFTracker[[#This Row],[Overdue Time '[Expected-Completion']]]&gt;0, "LATE","ON TIME")</f>
        <v>LATE</v>
      </c>
      <c r="Z305" s="16" t="str">
        <f ca="1">IF(WFTracker[[#This Row],[Overdue Time '[Expected-Completion']]] &gt;= 15, "SUPER LATE", Y305)</f>
        <v>LATE</v>
      </c>
      <c r="AA305" s="37" t="str">
        <f>IF(WFTracker[[#This Row],[Pre RM Opening Time]]&lt;WFTracker[[#This Row],[Old vs New Order Lead Time WF dead line]], "LATE BY ENG", "ON TIME BY ENG")</f>
        <v>ON TIME BY ENG</v>
      </c>
      <c r="AB305" s="37"/>
      <c r="AC305" s="15" t="str">
        <f>IF(WFTracker[[#This Row],[Competion Date Content]] = FALSE, "C", "i")</f>
        <v>C</v>
      </c>
      <c r="AD3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305" s="37" t="str">
        <f ca="1">IF(WFTracker[[#This Row],[Impact Time Post RM]]&gt;0, "IMPACTED", "NOT IMPACTED")</f>
        <v>NOT IMPACTED</v>
      </c>
      <c r="AF305" s="15"/>
      <c r="AG305" s="18"/>
      <c r="AH305" s="14" t="str">
        <f>IF(WFTracker[[#This Row],[Status]]="C", "Closed", IF(WFTracker[[#This Row],[Status]] = "x", "Cancelled", WFTracker[[#This Row],[Impact Time Post RM]]))</f>
        <v>Closed</v>
      </c>
      <c r="AI305" s="14" t="str">
        <f ca="1">IF(WFTracker[[#This Row],[Impact Time Post RM]]&lt;=0,"ON TIME","LATE")</f>
        <v>ON TIME</v>
      </c>
      <c r="AJ305" s="14" t="s">
        <v>984</v>
      </c>
      <c r="AK305" s="14">
        <v>18</v>
      </c>
      <c r="AL305" s="915">
        <f>IF(WFTracker[[#This Row],[Type]]="MAKE", WFTracker[[#This Row],[Due date]]+Filters!$J$111, WFTracker[[#This Row],[Due date]]+Filters!$J$135)</f>
        <v>45913.072512647552</v>
      </c>
      <c r="AM305" s="102" cm="1">
        <f t="array" ref="AM3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6" spans="1:39" ht="14.45">
      <c r="A306" t="str">
        <f>IF(WFTracker[[#This Row],[Order Number]]="SWBD", "QED2", "PZ4")</f>
        <v>PZ4</v>
      </c>
      <c r="B306" s="21" t="s">
        <v>1258</v>
      </c>
      <c r="C306" s="21" t="s">
        <v>1259</v>
      </c>
      <c r="D306" s="11" t="str">
        <f>WFTracker[[#This Row],[Order Number]]  &amp; "-" &amp; WFTracker[[#This Row],[Item]]</f>
        <v>0051086218-003900</v>
      </c>
      <c r="E306" s="21" t="s">
        <v>1041</v>
      </c>
      <c r="F306" s="12">
        <v>45946</v>
      </c>
      <c r="G306" s="12"/>
      <c r="H306" s="11" t="s">
        <v>117</v>
      </c>
      <c r="I306" s="11"/>
      <c r="J306" s="13" t="s">
        <v>1264</v>
      </c>
      <c r="K306" s="14" t="s">
        <v>1023</v>
      </c>
      <c r="L306" s="15" t="s">
        <v>40</v>
      </c>
      <c r="M306" s="29" t="s">
        <v>1120</v>
      </c>
      <c r="N306" s="57">
        <v>46049</v>
      </c>
      <c r="O306" s="15">
        <f>NETWORKDAYS.INTL(WFTracker[[#This Row],[Start date]],WFTracker[[#This Row],[RM]],1,Holidays!D572:D587)</f>
        <v>32</v>
      </c>
      <c r="P306" s="12">
        <v>45903</v>
      </c>
      <c r="Q306" s="12">
        <v>45915</v>
      </c>
      <c r="R306" s="12">
        <v>45911</v>
      </c>
      <c r="S306" s="12" t="b">
        <f>ISBLANK(WFTracker[[#This Row],[Completion Date]])</f>
        <v>0</v>
      </c>
      <c r="T306" s="12" t="str">
        <f>TEXT(WFTracker[[#This Row],[Start date]],"mmm-yyyy")</f>
        <v>Sep-2025</v>
      </c>
      <c r="U306" s="11">
        <v>10</v>
      </c>
      <c r="V306" s="11">
        <f>NETWORKDAYS.INTL(WFTracker[[#This Row],[Start date]],WFTracker[[#This Row],[Due date]],1,Holidays!D572:D587)</f>
        <v>9</v>
      </c>
      <c r="W3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06" s="24">
        <f ca="1">WFTracker[[#This Row],[Active Time]]-WFTracker[[#This Row],[Completion Days Template]]</f>
        <v>-2</v>
      </c>
      <c r="Y306" s="16" t="str">
        <f ca="1" xml:space="preserve"> IF(WFTracker[[#This Row],[Overdue Time '[Expected-Completion']]]&gt;0, "LATE","ON TIME")</f>
        <v>ON TIME</v>
      </c>
      <c r="Z306" s="16" t="str">
        <f ca="1">IF(WFTracker[[#This Row],[Overdue Time '[Expected-Completion']]] &gt;= 15, "SUPER LATE", Y306)</f>
        <v>ON TIME</v>
      </c>
      <c r="AA306" s="37" t="str">
        <f>IF(WFTracker[[#This Row],[Pre RM Opening Time]]&lt;WFTracker[[#This Row],[Old vs New Order Lead Time WF dead line]], "LATE BY ENG", "ON TIME BY ENG")</f>
        <v>ON TIME BY ENG</v>
      </c>
      <c r="AB306" s="37"/>
      <c r="AC306" s="15" t="str">
        <f>IF(WFTracker[[#This Row],[Competion Date Content]] = FALSE, "C", "i")</f>
        <v>C</v>
      </c>
      <c r="AD3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-25</v>
      </c>
      <c r="AE306" s="25" t="str">
        <f ca="1">IF(WFTracker[[#This Row],[Impact Time Post RM]]&gt;0, "IMPACTED", "NOT IMPACTED")</f>
        <v>NOT IMPACTED</v>
      </c>
      <c r="AF306" s="15"/>
      <c r="AG306" s="18"/>
      <c r="AH306" s="14" t="str">
        <f>IF(WFTracker[[#This Row],[Status]]="C", "Closed", IF(WFTracker[[#This Row],[Status]] = "x", "Cancelled", WFTracker[[#This Row],[Impact Time Post RM]]))</f>
        <v>Closed</v>
      </c>
      <c r="AI306" s="14" t="str">
        <f ca="1">IF(WFTracker[[#This Row],[Impact Time Post RM]]&lt;=0,"ON TIME","LATE")</f>
        <v>ON TIME</v>
      </c>
      <c r="AJ306" s="14" t="s">
        <v>984</v>
      </c>
      <c r="AK306" s="14">
        <v>17</v>
      </c>
      <c r="AL306" s="915">
        <f>IF(WFTracker[[#This Row],[Type]]="MAKE", WFTracker[[#This Row],[Due date]]+Filters!$J$111, WFTracker[[#This Row],[Due date]]+Filters!$J$135)</f>
        <v>45915.415686274508</v>
      </c>
      <c r="AM306" s="102" cm="1">
        <f t="array" ref="AM3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7" spans="1:39" ht="14.45">
      <c r="A307" t="str">
        <f>IF(WFTracker[[#This Row],[Order Number]]="SWBD", "QED2", "PZ4")</f>
        <v>PZ4</v>
      </c>
      <c r="B307" s="21" t="s">
        <v>436</v>
      </c>
      <c r="C307" s="21" t="s">
        <v>165</v>
      </c>
      <c r="D307" s="11" t="str">
        <f>WFTracker[[#This Row],[Order Number]]  &amp; "-" &amp; WFTracker[[#This Row],[Item]]</f>
        <v>0051436816-000030</v>
      </c>
      <c r="E307" s="21" t="s">
        <v>437</v>
      </c>
      <c r="F307" s="41">
        <v>46017</v>
      </c>
      <c r="G307" s="12">
        <v>46010</v>
      </c>
      <c r="H307" s="11" t="s">
        <v>113</v>
      </c>
      <c r="I307" s="11" t="s">
        <v>37</v>
      </c>
      <c r="J307" s="55" t="s">
        <v>482</v>
      </c>
      <c r="K307" s="14" t="s">
        <v>1017</v>
      </c>
      <c r="L307" s="15" t="s">
        <v>27</v>
      </c>
      <c r="M307" s="29" t="s">
        <v>438</v>
      </c>
      <c r="N307" s="57">
        <v>46098</v>
      </c>
      <c r="O307" s="15">
        <f>NETWORKDAYS.INTL(WFTracker[[#This Row],[Start date]],WFTracker[[#This Row],[RM]],1,Holidays!D616:D631)</f>
        <v>83</v>
      </c>
      <c r="P307" s="12">
        <v>45903</v>
      </c>
      <c r="Q307" s="12">
        <v>45911</v>
      </c>
      <c r="R307" s="12">
        <v>45918</v>
      </c>
      <c r="S307" s="12" t="b">
        <f>ISBLANK(WFTracker[[#This Row],[Completion Date]])</f>
        <v>0</v>
      </c>
      <c r="T307" s="12" t="str">
        <f>TEXT(WFTracker[[#This Row],[Start date]],"mmm-yyyy")</f>
        <v>Sep-2025</v>
      </c>
      <c r="U307" s="11">
        <v>10</v>
      </c>
      <c r="V307" s="11">
        <f>NETWORKDAYS.INTL(WFTracker[[#This Row],[Start date]],WFTracker[[#This Row],[Due date]],1,Holidays!D616:D631)</f>
        <v>7</v>
      </c>
      <c r="W3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07" s="24">
        <f ca="1">WFTracker[[#This Row],[Active Time]]-WFTracker[[#This Row],[Completion Days Template]]</f>
        <v>4</v>
      </c>
      <c r="Y307" s="16" t="str">
        <f ca="1" xml:space="preserve"> IF(WFTracker[[#This Row],[Overdue Time '[Expected-Completion']]]&gt;0, "LATE","ON TIME")</f>
        <v>LATE</v>
      </c>
      <c r="Z307" s="16" t="str">
        <f ca="1">IF(WFTracker[[#This Row],[Overdue Time '[Expected-Completion']]] &gt;= 15, "SUPER LATE", Y307)</f>
        <v>LATE</v>
      </c>
      <c r="AA307" s="37" t="str">
        <f>IF(WFTracker[[#This Row],[Pre RM Opening Time]]&lt;WFTracker[[#This Row],[Old vs New Order Lead Time WF dead line]], "LATE BY ENG", "ON TIME BY ENG")</f>
        <v>ON TIME BY ENG</v>
      </c>
      <c r="AB307" s="37"/>
      <c r="AC307" s="15" t="str">
        <f>IF(WFTracker[[#This Row],[Competion Date Content]] = FALSE, "C", "i")</f>
        <v>C</v>
      </c>
      <c r="AD3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-65</v>
      </c>
      <c r="AE307" s="37" t="str">
        <f ca="1">IF(WFTracker[[#This Row],[Impact Time Post RM]]&gt;0, "IMPACTED", "NOT IMPACTED")</f>
        <v>NOT IMPACTED</v>
      </c>
      <c r="AF307" s="15"/>
      <c r="AG307" s="18"/>
      <c r="AH307" s="14" t="str">
        <f>IF(WFTracker[[#This Row],[Status]]="C", "Closed", IF(WFTracker[[#This Row],[Status]] = "x", "Cancelled", WFTracker[[#This Row],[Impact Time Post RM]]))</f>
        <v>Closed</v>
      </c>
      <c r="AI307" s="14" t="str">
        <f ca="1">IF(WFTracker[[#This Row],[Impact Time Post RM]]&lt;=0,"ON TIME","LATE")</f>
        <v>ON TIME</v>
      </c>
      <c r="AJ307" s="14" t="s">
        <v>984</v>
      </c>
      <c r="AK307" s="14">
        <v>18</v>
      </c>
      <c r="AL307" s="915">
        <f>IF(WFTracker[[#This Row],[Type]]="MAKE", WFTracker[[#This Row],[Due date]]+Filters!$J$111, WFTracker[[#This Row],[Due date]]+Filters!$J$135)</f>
        <v>45914.072512647552</v>
      </c>
      <c r="AM307" s="102" cm="1">
        <f t="array" ref="AM30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8" spans="1:39" ht="14.45">
      <c r="A308" t="str">
        <f>IF(WFTracker[[#This Row],[Order Number]]="SWBD", "QED2", "PZ4")</f>
        <v>PZ4</v>
      </c>
      <c r="B308" s="21" t="s">
        <v>447</v>
      </c>
      <c r="C308" s="21" t="s">
        <v>448</v>
      </c>
      <c r="D308" s="11" t="str">
        <f>WFTracker[[#This Row],[Order Number]]  &amp; "-" &amp; WFTracker[[#This Row],[Item]]</f>
        <v>0051536680-000150</v>
      </c>
      <c r="E308" s="21" t="s">
        <v>621</v>
      </c>
      <c r="F308" s="12">
        <v>45905</v>
      </c>
      <c r="G308" s="12"/>
      <c r="H308" s="11" t="s">
        <v>295</v>
      </c>
      <c r="I308" s="11" t="s">
        <v>1154</v>
      </c>
      <c r="J308" s="13" t="s">
        <v>467</v>
      </c>
      <c r="K308" s="14" t="s">
        <v>1017</v>
      </c>
      <c r="L308" s="15" t="s">
        <v>40</v>
      </c>
      <c r="M308" s="29" t="s">
        <v>1120</v>
      </c>
      <c r="N308" s="57">
        <v>46008</v>
      </c>
      <c r="O308" s="15">
        <f>NETWORKDAYS.INTL(WFTracker[[#This Row],[Start date]],WFTracker[[#This Row],[RM]],1,Holidays!D72:D87)</f>
        <v>2</v>
      </c>
      <c r="P308" s="12">
        <v>45904</v>
      </c>
      <c r="Q308" s="12">
        <v>45916</v>
      </c>
      <c r="R308" s="12">
        <v>45919</v>
      </c>
      <c r="S308" s="12" t="b">
        <f>ISBLANK(WFTracker[[#This Row],[Completion Date]])</f>
        <v>0</v>
      </c>
      <c r="T308" s="12" t="str">
        <f>TEXT(WFTracker[[#This Row],[Start date]],"mmm-yyyy")</f>
        <v>Sep-2025</v>
      </c>
      <c r="U308" s="11">
        <v>10</v>
      </c>
      <c r="V308" s="11">
        <f>NETWORKDAYS.INTL(WFTracker[[#This Row],[Start date]],WFTracker[[#This Row],[Due date]],1,Holidays!D72:D87)</f>
        <v>9</v>
      </c>
      <c r="W3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08" s="24">
        <f ca="1">WFTracker[[#This Row],[Active Time]]-WFTracker[[#This Row],[Completion Days Template]]</f>
        <v>2</v>
      </c>
      <c r="Y308" s="16" t="str">
        <f ca="1" xml:space="preserve"> IF(WFTracker[[#This Row],[Overdue Time '[Expected-Completion']]]&gt;0, "LATE","ON TIME")</f>
        <v>LATE</v>
      </c>
      <c r="Z308" s="16" t="str">
        <f ca="1">IF(WFTracker[[#This Row],[Overdue Time '[Expected-Completion']]] &gt;= 15, "SUPER LATE", Y308)</f>
        <v>LATE</v>
      </c>
      <c r="AA308" s="37" t="str">
        <f>IF(WFTracker[[#This Row],[Pre RM Opening Time]]&lt;WFTracker[[#This Row],[Old vs New Order Lead Time WF dead line]], "LATE BY ENG", "ON TIME BY ENG")</f>
        <v>LATE BY ENG</v>
      </c>
      <c r="AB308" s="37"/>
      <c r="AC308" s="15" t="str">
        <f>IF(WFTracker[[#This Row],[Competion Date Content]] = FALSE, "C", "i")</f>
        <v>C</v>
      </c>
      <c r="AD3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308" s="37" t="str">
        <f ca="1">IF(WFTracker[[#This Row],[Impact Time Post RM]]&gt;0, "IMPACTED", "NOT IMPACTED")</f>
        <v>IMPACTED</v>
      </c>
      <c r="AF308" s="15"/>
      <c r="AG308" s="18"/>
      <c r="AH308" s="14" t="str">
        <f>IF(WFTracker[[#This Row],[Status]]="C", "Closed", IF(WFTracker[[#This Row],[Status]] = "x", "Cancelled", WFTracker[[#This Row],[Impact Time Post RM]]))</f>
        <v>Closed</v>
      </c>
      <c r="AI308" s="14" t="str">
        <f ca="1">IF(WFTracker[[#This Row],[Impact Time Post RM]]&lt;=0,"ON TIME","LATE")</f>
        <v>LATE</v>
      </c>
      <c r="AJ308" s="14" t="s">
        <v>984</v>
      </c>
      <c r="AK308" s="14">
        <v>17</v>
      </c>
      <c r="AL308" s="915">
        <f>IF(WFTracker[[#This Row],[Type]]="MAKE", WFTracker[[#This Row],[Due date]]+Filters!$J$111, WFTracker[[#This Row],[Due date]]+Filters!$J$135)</f>
        <v>45916.415686274508</v>
      </c>
      <c r="AM308" s="102" cm="1">
        <f t="array" ref="AM30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09" spans="1:39" ht="14.45">
      <c r="A309" t="str">
        <f>IF(WFTracker[[#This Row],[Order Number]]="SWBD", "QED2", "PZ4")</f>
        <v>PZ4</v>
      </c>
      <c r="B309" s="21" t="s">
        <v>486</v>
      </c>
      <c r="C309" s="26" t="s">
        <v>487</v>
      </c>
      <c r="D309" s="11" t="str">
        <f>WFTracker[[#This Row],[Order Number]]  &amp; "-" &amp; WFTracker[[#This Row],[Item]]</f>
        <v>0051217009-000550</v>
      </c>
      <c r="E309" s="21" t="s">
        <v>1036</v>
      </c>
      <c r="F309" s="12">
        <v>45912</v>
      </c>
      <c r="G309" s="12"/>
      <c r="H309" s="11" t="s">
        <v>80</v>
      </c>
      <c r="I309" s="11" t="s">
        <v>238</v>
      </c>
      <c r="J309" s="13" t="s">
        <v>489</v>
      </c>
      <c r="K309" s="14" t="s">
        <v>1017</v>
      </c>
      <c r="L309" s="15" t="s">
        <v>27</v>
      </c>
      <c r="M309" s="15" t="s">
        <v>1120</v>
      </c>
      <c r="N309" s="56">
        <v>45759</v>
      </c>
      <c r="O309" s="15">
        <f>NETWORKDAYS.INTL(WFTracker[[#This Row],[Start date]],WFTracker[[#This Row],[RM]],1,Holidays!D142:D157)</f>
        <v>7</v>
      </c>
      <c r="P309" s="12">
        <v>45904</v>
      </c>
      <c r="Q309" s="12">
        <v>45912</v>
      </c>
      <c r="R309" s="12">
        <v>45923</v>
      </c>
      <c r="S309" s="12" t="b">
        <f>ISBLANK(WFTracker[[#This Row],[Completion Date]])</f>
        <v>0</v>
      </c>
      <c r="T309" s="12" t="str">
        <f>TEXT(WFTracker[[#This Row],[Start date]],"mmm-yyyy")</f>
        <v>Sep-2025</v>
      </c>
      <c r="U309" s="11">
        <v>10</v>
      </c>
      <c r="V309" s="11">
        <f>NETWORKDAYS.INTL(WFTracker[[#This Row],[Start date]],WFTracker[[#This Row],[Due date]],1,Holidays!D142:D157)</f>
        <v>7</v>
      </c>
      <c r="W3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09" s="24">
        <f ca="1">WFTracker[[#This Row],[Active Time]]-WFTracker[[#This Row],[Completion Days Template]]</f>
        <v>6</v>
      </c>
      <c r="Y309" s="16" t="str">
        <f ca="1" xml:space="preserve"> IF(WFTracker[[#This Row],[Overdue Time '[Expected-Completion']]]&gt;0, "LATE","ON TIME")</f>
        <v>LATE</v>
      </c>
      <c r="Z309" s="16" t="str">
        <f ca="1">IF(WFTracker[[#This Row],[Overdue Time '[Expected-Completion']]] &gt;= 15, "SUPER LATE", Y309)</f>
        <v>LATE</v>
      </c>
      <c r="AA309" s="37" t="str">
        <f>IF(WFTracker[[#This Row],[Pre RM Opening Time]]&lt;WFTracker[[#This Row],[Old vs New Order Lead Time WF dead line]], "LATE BY ENG", "ON TIME BY ENG")</f>
        <v>LATE BY ENG</v>
      </c>
      <c r="AB309" s="37"/>
      <c r="AC309" s="15" t="str">
        <f>IF(WFTracker[[#This Row],[Competion Date Content]] = FALSE, "C", "i")</f>
        <v>C</v>
      </c>
      <c r="AD3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309" s="37" t="str">
        <f ca="1">IF(WFTracker[[#This Row],[Impact Time Post RM]]&gt;0, "IMPACTED", "NOT IMPACTED")</f>
        <v>IMPACTED</v>
      </c>
      <c r="AF309" s="15"/>
      <c r="AG309" s="18"/>
      <c r="AH309" s="14" t="str">
        <f>IF(WFTracker[[#This Row],[Status]]="C", "Closed", IF(WFTracker[[#This Row],[Status]] = "x", "Cancelled", WFTracker[[#This Row],[Impact Time Post RM]]))</f>
        <v>Closed</v>
      </c>
      <c r="AI309" s="14" t="str">
        <f ca="1">IF(WFTracker[[#This Row],[Impact Time Post RM]]&lt;=0,"ON TIME","LATE")</f>
        <v>LATE</v>
      </c>
      <c r="AJ309" s="14" t="s">
        <v>984</v>
      </c>
      <c r="AK309" s="14">
        <v>18</v>
      </c>
      <c r="AL309" s="915">
        <f>IF(WFTracker[[#This Row],[Type]]="MAKE", WFTracker[[#This Row],[Due date]]+Filters!$J$111, WFTracker[[#This Row],[Due date]]+Filters!$J$135)</f>
        <v>45915.072512647552</v>
      </c>
      <c r="AM309" s="102" cm="1">
        <f t="array" ref="AM3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0" spans="1:39" ht="14.45">
      <c r="A310" t="str">
        <f>IF(WFTracker[[#This Row],[Order Number]]="SWBD", "QED2", "PZ4")</f>
        <v>PZ4</v>
      </c>
      <c r="B310" s="21" t="s">
        <v>431</v>
      </c>
      <c r="C310" s="26" t="s">
        <v>214</v>
      </c>
      <c r="D310" s="23" t="str">
        <f>WFTracker[[#This Row],[Order Number]]  &amp; "-" &amp; WFTracker[[#This Row],[Item]]</f>
        <v>0051072452-000020</v>
      </c>
      <c r="E310" s="21" t="s">
        <v>437</v>
      </c>
      <c r="F310" s="41">
        <v>45930</v>
      </c>
      <c r="G310" s="41"/>
      <c r="H310" s="11" t="s">
        <v>104</v>
      </c>
      <c r="I310" s="11" t="s">
        <v>111</v>
      </c>
      <c r="J310" s="55" t="s">
        <v>443</v>
      </c>
      <c r="K310" s="14" t="s">
        <v>1017</v>
      </c>
      <c r="L310" s="15" t="s">
        <v>27</v>
      </c>
      <c r="M310" s="29" t="s">
        <v>438</v>
      </c>
      <c r="N310" s="56">
        <v>46008</v>
      </c>
      <c r="O310" s="15">
        <f>NETWORKDAYS.INTL(WFTracker[[#This Row],[Start date]],WFTracker[[#This Row],[RM]],1,Holidays!D427:D442)</f>
        <v>19</v>
      </c>
      <c r="P310" s="12">
        <v>45904</v>
      </c>
      <c r="Q310" s="12">
        <v>45912</v>
      </c>
      <c r="R310" s="12">
        <v>45918</v>
      </c>
      <c r="S310" s="12" t="b">
        <f>ISBLANK(WFTracker[[#This Row],[Completion Date]])</f>
        <v>0</v>
      </c>
      <c r="T310" s="12" t="str">
        <f>TEXT(WFTracker[[#This Row],[Start date]],"mmm-yyyy")</f>
        <v>Sep-2025</v>
      </c>
      <c r="U310" s="11">
        <v>10</v>
      </c>
      <c r="V310" s="11">
        <f>NETWORKDAYS.INTL(WFTracker[[#This Row],[Start date]],WFTracker[[#This Row],[Due date]],1,Holidays!D427:D442)</f>
        <v>7</v>
      </c>
      <c r="W3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10" s="24">
        <f ca="1">WFTracker[[#This Row],[Active Time]]-WFTracker[[#This Row],[Completion Days Template]]</f>
        <v>3</v>
      </c>
      <c r="Y310" s="16" t="str">
        <f ca="1" xml:space="preserve"> IF(WFTracker[[#This Row],[Overdue Time '[Expected-Completion']]]&gt;0, "LATE","ON TIME")</f>
        <v>LATE</v>
      </c>
      <c r="Z310" s="16" t="str">
        <f ca="1">IF(WFTracker[[#This Row],[Overdue Time '[Expected-Completion']]] &gt;= 15, "SUPER LATE", Y310)</f>
        <v>LATE</v>
      </c>
      <c r="AA310" s="37" t="str">
        <f>IF(WFTracker[[#This Row],[Pre RM Opening Time]]&lt;WFTracker[[#This Row],[Old vs New Order Lead Time WF dead line]], "LATE BY ENG", "ON TIME BY ENG")</f>
        <v>ON TIME BY ENG</v>
      </c>
      <c r="AB310" s="37"/>
      <c r="AC310" s="15" t="str">
        <f>IF(WFTracker[[#This Row],[Competion Date Content]] = FALSE, "C", "i")</f>
        <v>C</v>
      </c>
      <c r="AD3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310" s="37" t="str">
        <f ca="1">IF(WFTracker[[#This Row],[Impact Time Post RM]]&gt;0, "IMPACTED", "NOT IMPACTED")</f>
        <v>NOT IMPACTED</v>
      </c>
      <c r="AF310" s="15"/>
      <c r="AG310" s="18"/>
      <c r="AH310" s="14" t="str">
        <f>IF(WFTracker[[#This Row],[Status]]="C", "Closed", IF(WFTracker[[#This Row],[Status]] = "x", "Cancelled", WFTracker[[#This Row],[Impact Time Post RM]]))</f>
        <v>Closed</v>
      </c>
      <c r="AI310" s="14" t="str">
        <f ca="1">IF(WFTracker[[#This Row],[Impact Time Post RM]]&lt;=0,"ON TIME","LATE")</f>
        <v>ON TIME</v>
      </c>
      <c r="AJ310" s="14" t="s">
        <v>984</v>
      </c>
      <c r="AK310" s="14">
        <v>18</v>
      </c>
      <c r="AL310" s="915">
        <f>IF(WFTracker[[#This Row],[Type]]="MAKE", WFTracker[[#This Row],[Due date]]+Filters!$J$111, WFTracker[[#This Row],[Due date]]+Filters!$J$135)</f>
        <v>45915.072512647552</v>
      </c>
      <c r="AM310" s="102" cm="1">
        <f t="array" ref="AM3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1" spans="1:39" ht="14.45">
      <c r="A311" t="str">
        <f>IF(WFTracker[[#This Row],[Order Number]]="SWBD", "QED2", "PZ4")</f>
        <v>PZ4</v>
      </c>
      <c r="B311" s="21" t="s">
        <v>431</v>
      </c>
      <c r="C311" s="21" t="s">
        <v>214</v>
      </c>
      <c r="D311" s="23" t="str">
        <f>WFTracker[[#This Row],[Order Number]]  &amp; "-" &amp; WFTracker[[#This Row],[Item]]</f>
        <v>0051072452-000020</v>
      </c>
      <c r="E311" s="21" t="s">
        <v>437</v>
      </c>
      <c r="F311" s="41">
        <v>45930</v>
      </c>
      <c r="G311" s="41"/>
      <c r="H311" s="11" t="s">
        <v>104</v>
      </c>
      <c r="I311" s="11" t="s">
        <v>111</v>
      </c>
      <c r="J311" s="13" t="s">
        <v>442</v>
      </c>
      <c r="K311" s="14" t="s">
        <v>1017</v>
      </c>
      <c r="L311" s="15" t="s">
        <v>27</v>
      </c>
      <c r="M311" s="29" t="s">
        <v>438</v>
      </c>
      <c r="N311" s="57">
        <v>46008</v>
      </c>
      <c r="O311" s="15">
        <f>NETWORKDAYS.INTL(WFTracker[[#This Row],[Start date]],WFTracker[[#This Row],[RM]],1,Holidays!D428:D443)</f>
        <v>19</v>
      </c>
      <c r="P311" s="12">
        <v>45904</v>
      </c>
      <c r="Q311" s="12">
        <v>45912</v>
      </c>
      <c r="R311" s="12">
        <v>45918</v>
      </c>
      <c r="S311" s="12" t="b">
        <f>ISBLANK(WFTracker[[#This Row],[Completion Date]])</f>
        <v>0</v>
      </c>
      <c r="T311" s="12" t="str">
        <f>TEXT(WFTracker[[#This Row],[Start date]],"mmm-yyyy")</f>
        <v>Sep-2025</v>
      </c>
      <c r="U311" s="11">
        <v>10</v>
      </c>
      <c r="V311" s="11">
        <f>NETWORKDAYS.INTL(WFTracker[[#This Row],[Start date]],WFTracker[[#This Row],[Due date]],1,Holidays!D428:D443)</f>
        <v>7</v>
      </c>
      <c r="W3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11" s="24">
        <f ca="1">WFTracker[[#This Row],[Active Time]]-WFTracker[[#This Row],[Completion Days Template]]</f>
        <v>3</v>
      </c>
      <c r="Y311" s="16" t="str">
        <f ca="1" xml:space="preserve"> IF(WFTracker[[#This Row],[Overdue Time '[Expected-Completion']]]&gt;0, "LATE","ON TIME")</f>
        <v>LATE</v>
      </c>
      <c r="Z311" s="16" t="str">
        <f ca="1">IF(WFTracker[[#This Row],[Overdue Time '[Expected-Completion']]] &gt;= 15, "SUPER LATE", Y311)</f>
        <v>LATE</v>
      </c>
      <c r="AA311" s="37" t="str">
        <f>IF(WFTracker[[#This Row],[Pre RM Opening Time]]&lt;WFTracker[[#This Row],[Old vs New Order Lead Time WF dead line]], "LATE BY ENG", "ON TIME BY ENG")</f>
        <v>ON TIME BY ENG</v>
      </c>
      <c r="AB311" s="37"/>
      <c r="AC311" s="15" t="str">
        <f>IF(WFTracker[[#This Row],[Competion Date Content]] = FALSE, "C", "i")</f>
        <v>C</v>
      </c>
      <c r="AD3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311" s="37" t="str">
        <f ca="1">IF(WFTracker[[#This Row],[Impact Time Post RM]]&gt;0, "IMPACTED", "NOT IMPACTED")</f>
        <v>NOT IMPACTED</v>
      </c>
      <c r="AF311" s="15"/>
      <c r="AG311" s="18"/>
      <c r="AH311" s="14" t="str">
        <f>IF(WFTracker[[#This Row],[Status]]="C", "Closed", IF(WFTracker[[#This Row],[Status]] = "x", "Cancelled", WFTracker[[#This Row],[Impact Time Post RM]]))</f>
        <v>Closed</v>
      </c>
      <c r="AI311" s="14" t="str">
        <f ca="1">IF(WFTracker[[#This Row],[Impact Time Post RM]]&lt;=0,"ON TIME","LATE")</f>
        <v>ON TIME</v>
      </c>
      <c r="AJ311" s="14" t="s">
        <v>984</v>
      </c>
      <c r="AK311" s="14">
        <v>18</v>
      </c>
      <c r="AL311" s="915">
        <f>IF(WFTracker[[#This Row],[Type]]="MAKE", WFTracker[[#This Row],[Due date]]+Filters!$J$111, WFTracker[[#This Row],[Due date]]+Filters!$J$135)</f>
        <v>45915.072512647552</v>
      </c>
      <c r="AM311" s="102" cm="1">
        <f t="array" ref="AM3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2" spans="1:39" ht="14.45">
      <c r="A312" t="str">
        <f>IF(WFTracker[[#This Row],[Order Number]]="SWBD", "QED2", "PZ4")</f>
        <v>PZ4</v>
      </c>
      <c r="B312" s="21" t="s">
        <v>436</v>
      </c>
      <c r="C312" s="903" t="s">
        <v>293</v>
      </c>
      <c r="D312" s="11" t="str">
        <f>WFTracker[[#This Row],[Order Number]]  &amp; "-" &amp; WFTracker[[#This Row],[Item]]</f>
        <v>0051436816-000080</v>
      </c>
      <c r="E312" s="21" t="s">
        <v>437</v>
      </c>
      <c r="F312" s="12">
        <v>45930</v>
      </c>
      <c r="G312" s="12"/>
      <c r="H312" s="11" t="s">
        <v>104</v>
      </c>
      <c r="I312" s="11" t="s">
        <v>111</v>
      </c>
      <c r="J312" s="13" t="s">
        <v>441</v>
      </c>
      <c r="K312" s="14" t="s">
        <v>1017</v>
      </c>
      <c r="L312" s="15" t="s">
        <v>27</v>
      </c>
      <c r="M312" s="29" t="s">
        <v>438</v>
      </c>
      <c r="N312" s="56">
        <v>46021</v>
      </c>
      <c r="O312" s="15">
        <f>NETWORKDAYS.INTL(WFTracker[[#This Row],[Start date]],WFTracker[[#This Row],[RM]],1,Holidays!D429:D444)</f>
        <v>19</v>
      </c>
      <c r="P312" s="12">
        <v>45904</v>
      </c>
      <c r="Q312" s="12">
        <v>45912</v>
      </c>
      <c r="R312" s="12">
        <v>45919</v>
      </c>
      <c r="S312" s="12" t="b">
        <f>ISBLANK(WFTracker[[#This Row],[Completion Date]])</f>
        <v>0</v>
      </c>
      <c r="T312" s="12" t="str">
        <f>TEXT(WFTracker[[#This Row],[Start date]],"mmm-yyyy")</f>
        <v>Sep-2025</v>
      </c>
      <c r="U312" s="11">
        <v>10</v>
      </c>
      <c r="V312" s="11">
        <f>NETWORKDAYS.INTL(WFTracker[[#This Row],[Start date]],WFTracker[[#This Row],[Due date]],1,Holidays!D429:D444)</f>
        <v>7</v>
      </c>
      <c r="W3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12" s="24">
        <f ca="1">WFTracker[[#This Row],[Active Time]]-WFTracker[[#This Row],[Completion Days Template]]</f>
        <v>4</v>
      </c>
      <c r="Y312" s="16" t="str">
        <f ca="1" xml:space="preserve"> IF(WFTracker[[#This Row],[Overdue Time '[Expected-Completion']]]&gt;0, "LATE","ON TIME")</f>
        <v>LATE</v>
      </c>
      <c r="Z312" s="16" t="str">
        <f ca="1">IF(WFTracker[[#This Row],[Overdue Time '[Expected-Completion']]] &gt;= 15, "SUPER LATE", Y312)</f>
        <v>LATE</v>
      </c>
      <c r="AA312" s="37" t="str">
        <f>IF(WFTracker[[#This Row],[Pre RM Opening Time]]&lt;WFTracker[[#This Row],[Old vs New Order Lead Time WF dead line]], "LATE BY ENG", "ON TIME BY ENG")</f>
        <v>ON TIME BY ENG</v>
      </c>
      <c r="AB312" s="37"/>
      <c r="AC312" s="15" t="str">
        <f>IF(WFTracker[[#This Row],[Competion Date Content]] = FALSE, "C", "i")</f>
        <v>C</v>
      </c>
      <c r="AD3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312" s="37" t="str">
        <f ca="1">IF(WFTracker[[#This Row],[Impact Time Post RM]]&gt;0, "IMPACTED", "NOT IMPACTED")</f>
        <v>NOT IMPACTED</v>
      </c>
      <c r="AF312" s="15"/>
      <c r="AG312" s="18"/>
      <c r="AH312" s="14" t="str">
        <f>IF(WFTracker[[#This Row],[Status]]="C", "Closed", IF(WFTracker[[#This Row],[Status]] = "x", "Cancelled", WFTracker[[#This Row],[Impact Time Post RM]]))</f>
        <v>Closed</v>
      </c>
      <c r="AI312" s="14" t="str">
        <f ca="1">IF(WFTracker[[#This Row],[Impact Time Post RM]]&lt;=0,"ON TIME","LATE")</f>
        <v>ON TIME</v>
      </c>
      <c r="AJ312" s="14" t="s">
        <v>984</v>
      </c>
      <c r="AK312" s="14">
        <v>18</v>
      </c>
      <c r="AL312" s="915">
        <f>IF(WFTracker[[#This Row],[Type]]="MAKE", WFTracker[[#This Row],[Due date]]+Filters!$J$111, WFTracker[[#This Row],[Due date]]+Filters!$J$135)</f>
        <v>45915.072512647552</v>
      </c>
      <c r="AM312" s="102" cm="1">
        <f t="array" ref="AM3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3" spans="1:39" ht="14.45">
      <c r="A313" t="str">
        <f>IF(WFTracker[[#This Row],[Order Number]]="SWBD", "QED2", "PZ4")</f>
        <v>PZ4</v>
      </c>
      <c r="B313" s="21" t="s">
        <v>436</v>
      </c>
      <c r="C313" s="903" t="s">
        <v>293</v>
      </c>
      <c r="D313" s="11" t="str">
        <f>WFTracker[[#This Row],[Order Number]]  &amp; "-" &amp; WFTracker[[#This Row],[Item]]</f>
        <v>0051436816-000080</v>
      </c>
      <c r="E313" s="21" t="s">
        <v>437</v>
      </c>
      <c r="F313" s="12">
        <v>45930</v>
      </c>
      <c r="G313" s="12"/>
      <c r="H313" s="11" t="s">
        <v>104</v>
      </c>
      <c r="I313" s="11" t="s">
        <v>111</v>
      </c>
      <c r="J313" s="13" t="s">
        <v>439</v>
      </c>
      <c r="K313" s="14" t="s">
        <v>1017</v>
      </c>
      <c r="L313" s="15" t="s">
        <v>27</v>
      </c>
      <c r="M313" s="15" t="s">
        <v>438</v>
      </c>
      <c r="N313" s="56">
        <v>46021</v>
      </c>
      <c r="O313" s="15">
        <f>NETWORKDAYS.INTL(WFTracker[[#This Row],[Start date]],WFTracker[[#This Row],[RM]],1,Holidays!D430:D445)</f>
        <v>19</v>
      </c>
      <c r="P313" s="12">
        <v>45904</v>
      </c>
      <c r="Q313" s="12">
        <v>45912</v>
      </c>
      <c r="R313" s="12">
        <v>45919</v>
      </c>
      <c r="S313" s="12" t="b">
        <f>ISBLANK(WFTracker[[#This Row],[Completion Date]])</f>
        <v>0</v>
      </c>
      <c r="T313" s="12" t="str">
        <f>TEXT(WFTracker[[#This Row],[Start date]],"mmm-yyyy")</f>
        <v>Sep-2025</v>
      </c>
      <c r="U313" s="11">
        <v>10</v>
      </c>
      <c r="V313" s="11">
        <f>NETWORKDAYS.INTL(WFTracker[[#This Row],[Start date]],WFTracker[[#This Row],[Due date]],1,Holidays!D430:D445)</f>
        <v>7</v>
      </c>
      <c r="W3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13" s="24">
        <f ca="1">WFTracker[[#This Row],[Active Time]]-WFTracker[[#This Row],[Completion Days Template]]</f>
        <v>4</v>
      </c>
      <c r="Y313" s="16" t="str">
        <f ca="1" xml:space="preserve"> IF(WFTracker[[#This Row],[Overdue Time '[Expected-Completion']]]&gt;0, "LATE","ON TIME")</f>
        <v>LATE</v>
      </c>
      <c r="Z313" s="16" t="str">
        <f ca="1">IF(WFTracker[[#This Row],[Overdue Time '[Expected-Completion']]] &gt;= 15, "SUPER LATE", Y313)</f>
        <v>LATE</v>
      </c>
      <c r="AA313" s="37" t="str">
        <f>IF(WFTracker[[#This Row],[Pre RM Opening Time]]&lt;WFTracker[[#This Row],[Old vs New Order Lead Time WF dead line]], "LATE BY ENG", "ON TIME BY ENG")</f>
        <v>ON TIME BY ENG</v>
      </c>
      <c r="AB313" s="37"/>
      <c r="AC313" s="15" t="str">
        <f>IF(WFTracker[[#This Row],[Competion Date Content]] = FALSE, "C", "i")</f>
        <v>C</v>
      </c>
      <c r="AD3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313" s="37" t="str">
        <f ca="1">IF(WFTracker[[#This Row],[Impact Time Post RM]]&gt;0, "IMPACTED", "NOT IMPACTED")</f>
        <v>NOT IMPACTED</v>
      </c>
      <c r="AF313" s="15"/>
      <c r="AG313" s="18"/>
      <c r="AH313" s="14" t="str">
        <f>IF(WFTracker[[#This Row],[Status]]="C", "Closed", IF(WFTracker[[#This Row],[Status]] = "x", "Cancelled", WFTracker[[#This Row],[Impact Time Post RM]]))</f>
        <v>Closed</v>
      </c>
      <c r="AI313" s="14" t="str">
        <f ca="1">IF(WFTracker[[#This Row],[Impact Time Post RM]]&lt;=0,"ON TIME","LATE")</f>
        <v>ON TIME</v>
      </c>
      <c r="AJ313" s="14" t="s">
        <v>984</v>
      </c>
      <c r="AK313" s="14">
        <v>18</v>
      </c>
      <c r="AL313" s="915">
        <f>IF(WFTracker[[#This Row],[Type]]="MAKE", WFTracker[[#This Row],[Due date]]+Filters!$J$111, WFTracker[[#This Row],[Due date]]+Filters!$J$135)</f>
        <v>45915.072512647552</v>
      </c>
      <c r="AM313" s="102" cm="1">
        <f t="array" ref="AM3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4" spans="1:39" ht="14.45">
      <c r="A314" t="str">
        <f>IF(WFTracker[[#This Row],[Order Number]]="SWBD", "QED2", "PZ4")</f>
        <v>PZ4</v>
      </c>
      <c r="B314" s="21" t="s">
        <v>228</v>
      </c>
      <c r="C314" s="21" t="s">
        <v>135</v>
      </c>
      <c r="D314" s="11" t="str">
        <f>WFTracker[[#This Row],[Order Number]]  &amp; "-" &amp; WFTracker[[#This Row],[Item]]</f>
        <v>0051004478-000010</v>
      </c>
      <c r="E314" s="21" t="s">
        <v>1030</v>
      </c>
      <c r="F314" s="12">
        <v>45813</v>
      </c>
      <c r="G314" s="12"/>
      <c r="H314" s="11" t="s">
        <v>113</v>
      </c>
      <c r="I314" s="11" t="s">
        <v>24</v>
      </c>
      <c r="J314" s="55" t="s">
        <v>1265</v>
      </c>
      <c r="K314" s="14" t="s">
        <v>1017</v>
      </c>
      <c r="L314" s="15" t="s">
        <v>27</v>
      </c>
      <c r="M314" s="29" t="s">
        <v>1120</v>
      </c>
      <c r="N314" s="57">
        <v>45939</v>
      </c>
      <c r="O314" s="15">
        <f>NETWORKDAYS.INTL(WFTracker[[#This Row],[Start date]],WFTracker[[#This Row],[RM]],1,Holidays!D6:D23)</f>
        <v>-67</v>
      </c>
      <c r="P314" s="12">
        <v>45905</v>
      </c>
      <c r="Q314" s="12">
        <v>45912</v>
      </c>
      <c r="R314" s="12">
        <v>45917</v>
      </c>
      <c r="S314" s="12" t="b">
        <f>ISBLANK(WFTracker[[#This Row],[Completion Date]])</f>
        <v>0</v>
      </c>
      <c r="T314" s="12" t="str">
        <f>TEXT(WFTracker[[#This Row],[Start date]],"mmm-yyyy")</f>
        <v>Sep-2025</v>
      </c>
      <c r="U314" s="11">
        <v>5</v>
      </c>
      <c r="V314" s="11">
        <f>NETWORKDAYS.INTL(WFTracker[[#This Row],[Start date]],WFTracker[[#This Row],[Due date]],1,Holidays!D6:D23)</f>
        <v>6</v>
      </c>
      <c r="W3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14" s="24">
        <f ca="1">WFTracker[[#This Row],[Active Time]]-WFTracker[[#This Row],[Completion Days Template]]</f>
        <v>2</v>
      </c>
      <c r="Y314" s="16" t="str">
        <f ca="1" xml:space="preserve"> IF(WFTracker[[#This Row],[Overdue Time '[Expected-Completion']]]&gt;0, "LATE","ON TIME")</f>
        <v>LATE</v>
      </c>
      <c r="Z314" s="16" t="str">
        <f ca="1">IF(WFTracker[[#This Row],[Overdue Time '[Expected-Completion']]] &gt;= 15, "SUPER LATE", Y314)</f>
        <v>LATE</v>
      </c>
      <c r="AA314" s="37" t="str">
        <f>IF(WFTracker[[#This Row],[Pre RM Opening Time]]&lt;WFTracker[[#This Row],[Old vs New Order Lead Time WF dead line]], "LATE BY ENG", "ON TIME BY ENG")</f>
        <v>LATE BY ENG</v>
      </c>
      <c r="AB314" s="37"/>
      <c r="AC314" s="15" t="str">
        <f>IF(WFTracker[[#This Row],[Competion Date Content]] = FALSE, "C", "i")</f>
        <v>C</v>
      </c>
      <c r="AD3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74</v>
      </c>
      <c r="AE314" s="37" t="str">
        <f ca="1">IF(WFTracker[[#This Row],[Impact Time Post RM]]&gt;0, "IMPACTED", "NOT IMPACTED")</f>
        <v>IMPACTED</v>
      </c>
      <c r="AF314" s="15"/>
      <c r="AG314" s="18"/>
      <c r="AH314" s="14" t="str">
        <f>IF(WFTracker[[#This Row],[Status]]="C", "Closed", IF(WFTracker[[#This Row],[Status]] = "x", "Cancelled", WFTracker[[#This Row],[Impact Time Post RM]]))</f>
        <v>Closed</v>
      </c>
      <c r="AI314" s="14" t="str">
        <f ca="1">IF(WFTracker[[#This Row],[Impact Time Post RM]]&lt;=0,"ON TIME","LATE")</f>
        <v>LATE</v>
      </c>
      <c r="AJ314" s="14" t="s">
        <v>984</v>
      </c>
      <c r="AK314" s="14">
        <v>18</v>
      </c>
      <c r="AL314" s="915">
        <f>IF(WFTracker[[#This Row],[Type]]="MAKE", WFTracker[[#This Row],[Due date]]+Filters!$J$111, WFTracker[[#This Row],[Due date]]+Filters!$J$135)</f>
        <v>45915.072512647552</v>
      </c>
      <c r="AM314" s="102" cm="1">
        <f t="array" ref="AM3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5" spans="1:39" ht="14.45">
      <c r="A315" t="str">
        <f>IF(WFTracker[[#This Row],[Order Number]]="SWBD", "QED2", "PZ4")</f>
        <v>PZ4</v>
      </c>
      <c r="B315" s="21" t="s">
        <v>1237</v>
      </c>
      <c r="C315" s="21" t="s">
        <v>135</v>
      </c>
      <c r="D315" s="23" t="str">
        <f>WFTracker[[#This Row],[Order Number]]  &amp; "-" &amp; WFTracker[[#This Row],[Item]]</f>
        <v>0051340498-000010</v>
      </c>
      <c r="E315" s="21" t="s">
        <v>445</v>
      </c>
      <c r="F315" s="12">
        <v>45919</v>
      </c>
      <c r="G315" s="12"/>
      <c r="H315" s="11" t="s">
        <v>237</v>
      </c>
      <c r="I315" s="11" t="s">
        <v>429</v>
      </c>
      <c r="J315" s="13" t="s">
        <v>446</v>
      </c>
      <c r="K315" s="14" t="s">
        <v>1017</v>
      </c>
      <c r="L315" s="15" t="s">
        <v>27</v>
      </c>
      <c r="M315" s="29" t="s">
        <v>1120</v>
      </c>
      <c r="N315" s="57">
        <v>46021</v>
      </c>
      <c r="O315" s="15">
        <f>NETWORKDAYS.INTL(WFTracker[[#This Row],[Start date]],WFTracker[[#This Row],[RM]],1,Holidays!D230:D245)</f>
        <v>11</v>
      </c>
      <c r="P315" s="12">
        <v>45905</v>
      </c>
      <c r="Q315" s="12">
        <v>45912</v>
      </c>
      <c r="R315" s="12">
        <v>45918</v>
      </c>
      <c r="S315" s="12" t="b">
        <f>ISBLANK(WFTracker[[#This Row],[Completion Date]])</f>
        <v>0</v>
      </c>
      <c r="T315" s="12" t="str">
        <f>TEXT(WFTracker[[#This Row],[Start date]],"mmm-yyyy")</f>
        <v>Sep-2025</v>
      </c>
      <c r="U315" s="11">
        <v>10</v>
      </c>
      <c r="V315" s="11">
        <f>NETWORKDAYS.INTL(WFTracker[[#This Row],[Start date]],WFTracker[[#This Row],[Due date]],1,Holidays!D230:D245)</f>
        <v>6</v>
      </c>
      <c r="W3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315" s="24">
        <f ca="1">WFTracker[[#This Row],[Active Time]]-WFTracker[[#This Row],[Completion Days Template]]</f>
        <v>3</v>
      </c>
      <c r="Y315" s="16" t="str">
        <f ca="1" xml:space="preserve"> IF(WFTracker[[#This Row],[Overdue Time '[Expected-Completion']]]&gt;0, "LATE","ON TIME")</f>
        <v>LATE</v>
      </c>
      <c r="Z315" s="16" t="str">
        <f ca="1">IF(WFTracker[[#This Row],[Overdue Time '[Expected-Completion']]] &gt;= 15, "SUPER LATE", Y315)</f>
        <v>LATE</v>
      </c>
      <c r="AA315" s="37" t="str">
        <f>IF(WFTracker[[#This Row],[Pre RM Opening Time]]&lt;WFTracker[[#This Row],[Old vs New Order Lead Time WF dead line]], "LATE BY ENG", "ON TIME BY ENG")</f>
        <v>ON TIME BY ENG</v>
      </c>
      <c r="AB315" s="37"/>
      <c r="AC315" s="15" t="str">
        <f>IF(WFTracker[[#This Row],[Competion Date Content]] = FALSE, "C", "i")</f>
        <v>C</v>
      </c>
      <c r="AD3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15" s="37" t="str">
        <f ca="1">IF(WFTracker[[#This Row],[Impact Time Post RM]]&gt;0, "IMPACTED", "NOT IMPACTED")</f>
        <v>NOT IMPACTED</v>
      </c>
      <c r="AF315" s="15"/>
      <c r="AG315" s="18"/>
      <c r="AH315" s="14" t="str">
        <f>IF(WFTracker[[#This Row],[Status]]="C", "Closed", IF(WFTracker[[#This Row],[Status]] = "x", "Cancelled", WFTracker[[#This Row],[Impact Time Post RM]]))</f>
        <v>Closed</v>
      </c>
      <c r="AI315" s="14" t="str">
        <f ca="1">IF(WFTracker[[#This Row],[Impact Time Post RM]]&lt;=0,"ON TIME","LATE")</f>
        <v>ON TIME</v>
      </c>
      <c r="AJ315" s="14" t="s">
        <v>984</v>
      </c>
      <c r="AK315" s="14">
        <v>18</v>
      </c>
      <c r="AL315" s="915">
        <f>IF(WFTracker[[#This Row],[Type]]="MAKE", WFTracker[[#This Row],[Due date]]+Filters!$J$111, WFTracker[[#This Row],[Due date]]+Filters!$J$135)</f>
        <v>45915.072512647552</v>
      </c>
      <c r="AM315" s="102" cm="1">
        <f t="array" ref="AM3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6" spans="1:39" ht="14.45">
      <c r="A316" t="str">
        <f>IF(WFTracker[[#This Row],[Order Number]]="SWBD", "QED2", "PZ4")</f>
        <v>QED2</v>
      </c>
      <c r="B316" s="21" t="s">
        <v>1239</v>
      </c>
      <c r="C316" s="21" t="s">
        <v>1052</v>
      </c>
      <c r="D316" s="23" t="str">
        <f>WFTracker[[#This Row],[Order Number]]  &amp; "-" &amp; WFTracker[[#This Row],[Item]]</f>
        <v>SWBD-switchboard f2.0</v>
      </c>
      <c r="E316" s="21" t="s">
        <v>1052</v>
      </c>
      <c r="F316" s="12">
        <v>45926</v>
      </c>
      <c r="G316" s="12"/>
      <c r="H316" s="11" t="s">
        <v>947</v>
      </c>
      <c r="I316" s="11" t="s">
        <v>1132</v>
      </c>
      <c r="J316" s="13" t="s">
        <v>1266</v>
      </c>
      <c r="K316" s="14" t="s">
        <v>1023</v>
      </c>
      <c r="L316" s="15" t="s">
        <v>27</v>
      </c>
      <c r="M316" s="29" t="s">
        <v>1120</v>
      </c>
      <c r="N316" s="57" t="s">
        <v>984</v>
      </c>
      <c r="O316" s="15">
        <f>NETWORKDAYS.INTL(WFTracker[[#This Row],[Start date]],WFTracker[[#This Row],[RM]],1,Holidays!D362:D377)</f>
        <v>16</v>
      </c>
      <c r="P316" s="12">
        <v>45905</v>
      </c>
      <c r="Q316" s="12">
        <v>45912</v>
      </c>
      <c r="R316" s="12">
        <v>45923</v>
      </c>
      <c r="S316" s="12" t="b">
        <f>ISBLANK(WFTracker[[#This Row],[Completion Date]])</f>
        <v>0</v>
      </c>
      <c r="T316" s="12" t="str">
        <f>TEXT(WFTracker[[#This Row],[Start date]],"mmm-yyyy")</f>
        <v>Sep-2025</v>
      </c>
      <c r="U316" s="11">
        <v>10</v>
      </c>
      <c r="V316" s="11">
        <f>NETWORKDAYS.INTL(WFTracker[[#This Row],[Start date]],WFTracker[[#This Row],[Due date]],1,Holidays!D362:D377)</f>
        <v>6</v>
      </c>
      <c r="W3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316" s="24">
        <f ca="1">WFTracker[[#This Row],[Active Time]]-WFTracker[[#This Row],[Completion Days Template]]</f>
        <v>6</v>
      </c>
      <c r="Y316" s="16" t="str">
        <f ca="1" xml:space="preserve"> IF(WFTracker[[#This Row],[Overdue Time '[Expected-Completion']]]&gt;0, "LATE","ON TIME")</f>
        <v>LATE</v>
      </c>
      <c r="Z316" s="16" t="str">
        <f ca="1">IF(WFTracker[[#This Row],[Overdue Time '[Expected-Completion']]] &gt;= 15, "SUPER LATE", Y316)</f>
        <v>LATE</v>
      </c>
      <c r="AA316" s="37" t="str">
        <f>IF(WFTracker[[#This Row],[Pre RM Opening Time]]&lt;WFTracker[[#This Row],[Old vs New Order Lead Time WF dead line]], "LATE BY ENG", "ON TIME BY ENG")</f>
        <v>ON TIME BY ENG</v>
      </c>
      <c r="AB316" s="37"/>
      <c r="AC316" s="15" t="str">
        <f>IF(WFTracker[[#This Row],[Competion Date Content]] = FALSE, "C", "I")</f>
        <v>C</v>
      </c>
      <c r="AD3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316" s="37" t="str">
        <f ca="1">IF(WFTracker[[#This Row],[Impact Time Post RM]]&gt;0, "IMPACTED", "NOT IMPACTED")</f>
        <v>NOT IMPACTED</v>
      </c>
      <c r="AF316" s="15"/>
      <c r="AG316" s="18"/>
      <c r="AH316" s="14" t="str">
        <f>IF(WFTracker[[#This Row],[Status]]="C", "Closed", IF(WFTracker[[#This Row],[Status]] = "x", "Cancelled", WFTracker[[#This Row],[Impact Time Post RM]]))</f>
        <v>Closed</v>
      </c>
      <c r="AI316" s="14" t="str">
        <f ca="1">IF(WFTracker[[#This Row],[Impact Time Post RM]]&lt;=0,"ON TIME","LATE")</f>
        <v>ON TIME</v>
      </c>
      <c r="AJ316" s="14" t="s">
        <v>984</v>
      </c>
      <c r="AK316" s="14">
        <v>18</v>
      </c>
      <c r="AL316" s="915">
        <f>IF(WFTracker[[#This Row],[Type]]="MAKE", WFTracker[[#This Row],[Due date]]+Filters!$J$111, WFTracker[[#This Row],[Due date]]+Filters!$J$135)</f>
        <v>45915.072512647552</v>
      </c>
      <c r="AM316" s="102" cm="1">
        <f t="array" ref="AM3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7" spans="1:39" ht="14.45">
      <c r="A317" t="str">
        <f>IF(WFTracker[[#This Row],[Order Number]]="SWBD", "QED2", "PZ4")</f>
        <v>QED2</v>
      </c>
      <c r="B317" s="21" t="s">
        <v>1239</v>
      </c>
      <c r="C317" s="21" t="s">
        <v>1052</v>
      </c>
      <c r="D317" s="23" t="str">
        <f>WFTracker[[#This Row],[Order Number]]  &amp; "-" &amp; WFTracker[[#This Row],[Item]]</f>
        <v>SWBD-switchboard f2.0</v>
      </c>
      <c r="E317" s="23" t="s">
        <v>1052</v>
      </c>
      <c r="F317" s="12">
        <v>45926</v>
      </c>
      <c r="G317" s="12"/>
      <c r="H317" s="11" t="s">
        <v>947</v>
      </c>
      <c r="I317" s="11" t="s">
        <v>1132</v>
      </c>
      <c r="J317" s="13" t="s">
        <v>1267</v>
      </c>
      <c r="K317" s="14" t="s">
        <v>1023</v>
      </c>
      <c r="L317" s="15" t="s">
        <v>27</v>
      </c>
      <c r="M317" s="29" t="s">
        <v>1120</v>
      </c>
      <c r="N317" s="57" t="s">
        <v>984</v>
      </c>
      <c r="O317" s="15">
        <f>NETWORKDAYS.INTL(WFTracker[[#This Row],[Start date]],WFTracker[[#This Row],[RM]],1,Holidays!D363:D378)</f>
        <v>16</v>
      </c>
      <c r="P317" s="12">
        <v>45905</v>
      </c>
      <c r="Q317" s="12">
        <v>45912</v>
      </c>
      <c r="R317" s="12">
        <v>45924</v>
      </c>
      <c r="S317" s="12" t="b">
        <f>ISBLANK(WFTracker[[#This Row],[Completion Date]])</f>
        <v>0</v>
      </c>
      <c r="T317" s="12" t="str">
        <f>TEXT(WFTracker[[#This Row],[Start date]],"mmm-yyyy")</f>
        <v>Sep-2025</v>
      </c>
      <c r="U317" s="11">
        <v>10</v>
      </c>
      <c r="V317" s="11">
        <f>NETWORKDAYS.INTL(WFTracker[[#This Row],[Start date]],WFTracker[[#This Row],[Due date]],1,Holidays!D363:D378)</f>
        <v>6</v>
      </c>
      <c r="W3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17" s="24">
        <f ca="1">WFTracker[[#This Row],[Active Time]]-WFTracker[[#This Row],[Completion Days Template]]</f>
        <v>7</v>
      </c>
      <c r="Y317" s="16" t="str">
        <f ca="1" xml:space="preserve"> IF(WFTracker[[#This Row],[Overdue Time '[Expected-Completion']]]&gt;0, "LATE","ON TIME")</f>
        <v>LATE</v>
      </c>
      <c r="Z317" s="16" t="str">
        <f ca="1">IF(WFTracker[[#This Row],[Overdue Time '[Expected-Completion']]] &gt;= 15, "SUPER LATE", Y317)</f>
        <v>LATE</v>
      </c>
      <c r="AA317" s="37" t="str">
        <f>IF(WFTracker[[#This Row],[Pre RM Opening Time]]&lt;WFTracker[[#This Row],[Old vs New Order Lead Time WF dead line]], "LATE BY ENG", "ON TIME BY ENG")</f>
        <v>ON TIME BY ENG</v>
      </c>
      <c r="AB317" s="37"/>
      <c r="AC317" s="15" t="str">
        <f>IF(WFTracker[[#This Row],[Competion Date Content]] = FALSE, "C", "I")</f>
        <v>C</v>
      </c>
      <c r="AD3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17" s="37" t="str">
        <f ca="1">IF(WFTracker[[#This Row],[Impact Time Post RM]]&gt;0, "IMPACTED", "NOT IMPACTED")</f>
        <v>NOT IMPACTED</v>
      </c>
      <c r="AF317" s="15"/>
      <c r="AG317" s="18"/>
      <c r="AH317" s="14" t="str">
        <f>IF(WFTracker[[#This Row],[Status]]="C", "Closed", IF(WFTracker[[#This Row],[Status]] = "x", "Cancelled", WFTracker[[#This Row],[Impact Time Post RM]]))</f>
        <v>Closed</v>
      </c>
      <c r="AI317" s="14" t="str">
        <f ca="1">IF(WFTracker[[#This Row],[Impact Time Post RM]]&lt;=0,"ON TIME","LATE")</f>
        <v>ON TIME</v>
      </c>
      <c r="AJ317" s="14" t="s">
        <v>984</v>
      </c>
      <c r="AK317" s="14">
        <v>18</v>
      </c>
      <c r="AL317" s="915">
        <f>IF(WFTracker[[#This Row],[Type]]="MAKE", WFTracker[[#This Row],[Due date]]+Filters!$J$111, WFTracker[[#This Row],[Due date]]+Filters!$J$135)</f>
        <v>45915.072512647552</v>
      </c>
      <c r="AM317" s="102" cm="1">
        <f t="array" ref="AM3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8" spans="1:39" ht="14.45">
      <c r="A318" t="str">
        <f>IF(WFTracker[[#This Row],[Order Number]]="SWBD", "QED2", "PZ4")</f>
        <v>QED2</v>
      </c>
      <c r="B318" s="21" t="s">
        <v>1239</v>
      </c>
      <c r="C318" s="21" t="s">
        <v>1052</v>
      </c>
      <c r="D318" s="23" t="str">
        <f>WFTracker[[#This Row],[Order Number]]  &amp; "-" &amp; WFTracker[[#This Row],[Item]]</f>
        <v>SWBD-switchboard f2.0</v>
      </c>
      <c r="E318" s="23" t="s">
        <v>1052</v>
      </c>
      <c r="F318" s="12">
        <v>45926</v>
      </c>
      <c r="G318" s="12"/>
      <c r="H318" s="11" t="s">
        <v>947</v>
      </c>
      <c r="I318" s="11" t="s">
        <v>1132</v>
      </c>
      <c r="J318" s="13" t="s">
        <v>1268</v>
      </c>
      <c r="K318" s="14" t="s">
        <v>1023</v>
      </c>
      <c r="L318" s="15" t="s">
        <v>27</v>
      </c>
      <c r="M318" s="29" t="s">
        <v>1120</v>
      </c>
      <c r="N318" s="57" t="s">
        <v>984</v>
      </c>
      <c r="O318" s="15">
        <f>NETWORKDAYS.INTL(WFTracker[[#This Row],[Start date]],WFTracker[[#This Row],[RM]],1,Holidays!D364:D379)</f>
        <v>16</v>
      </c>
      <c r="P318" s="12">
        <v>45905</v>
      </c>
      <c r="Q318" s="12">
        <v>45912</v>
      </c>
      <c r="R318" s="12">
        <v>45924</v>
      </c>
      <c r="S318" s="12" t="b">
        <f>ISBLANK(WFTracker[[#This Row],[Completion Date]])</f>
        <v>0</v>
      </c>
      <c r="T318" s="12" t="str">
        <f>TEXT(WFTracker[[#This Row],[Start date]],"mmm-yyyy")</f>
        <v>Sep-2025</v>
      </c>
      <c r="U318" s="11">
        <v>10</v>
      </c>
      <c r="V318" s="11">
        <f>NETWORKDAYS.INTL(WFTracker[[#This Row],[Start date]],WFTracker[[#This Row],[Due date]],1,Holidays!D364:D379)</f>
        <v>6</v>
      </c>
      <c r="W3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18" s="24">
        <f ca="1">WFTracker[[#This Row],[Active Time]]-WFTracker[[#This Row],[Completion Days Template]]</f>
        <v>7</v>
      </c>
      <c r="Y318" s="16" t="str">
        <f ca="1" xml:space="preserve"> IF(WFTracker[[#This Row],[Overdue Time '[Expected-Completion']]]&gt;0, "LATE","ON TIME")</f>
        <v>LATE</v>
      </c>
      <c r="Z318" s="16" t="str">
        <f ca="1">IF(WFTracker[[#This Row],[Overdue Time '[Expected-Completion']]] &gt;= 15, "SUPER LATE", Y318)</f>
        <v>LATE</v>
      </c>
      <c r="AA318" s="37" t="str">
        <f>IF(WFTracker[[#This Row],[Pre RM Opening Time]]&lt;WFTracker[[#This Row],[Old vs New Order Lead Time WF dead line]], "LATE BY ENG", "ON TIME BY ENG")</f>
        <v>ON TIME BY ENG</v>
      </c>
      <c r="AB318" s="37"/>
      <c r="AC318" s="15" t="str">
        <f>IF(WFTracker[[#This Row],[Competion Date Content]] = FALSE, "C", "I")</f>
        <v>C</v>
      </c>
      <c r="AD3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18" s="37" t="str">
        <f ca="1">IF(WFTracker[[#This Row],[Impact Time Post RM]]&gt;0, "IMPACTED", "NOT IMPACTED")</f>
        <v>NOT IMPACTED</v>
      </c>
      <c r="AF318" s="15"/>
      <c r="AG318" s="18"/>
      <c r="AH318" s="14" t="str">
        <f>IF(WFTracker[[#This Row],[Status]]="C", "Closed", IF(WFTracker[[#This Row],[Status]] = "x", "Cancelled", WFTracker[[#This Row],[Impact Time Post RM]]))</f>
        <v>Closed</v>
      </c>
      <c r="AI318" s="14" t="str">
        <f ca="1">IF(WFTracker[[#This Row],[Impact Time Post RM]]&lt;=0,"ON TIME","LATE")</f>
        <v>ON TIME</v>
      </c>
      <c r="AJ318" s="14" t="s">
        <v>984</v>
      </c>
      <c r="AK318" s="14">
        <v>18</v>
      </c>
      <c r="AL318" s="915">
        <f>IF(WFTracker[[#This Row],[Type]]="MAKE", WFTracker[[#This Row],[Due date]]+Filters!$J$111, WFTracker[[#This Row],[Due date]]+Filters!$J$135)</f>
        <v>45915.072512647552</v>
      </c>
      <c r="AM318" s="102" cm="1">
        <f t="array" ref="AM3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19" spans="1:39" ht="14.45">
      <c r="A319" t="str">
        <f>IF(WFTracker[[#This Row],[Order Number]]="SWBD", "QED2", "PZ4")</f>
        <v>QED2</v>
      </c>
      <c r="B319" s="21" t="s">
        <v>1239</v>
      </c>
      <c r="C319" s="21" t="s">
        <v>1052</v>
      </c>
      <c r="D319" s="23" t="str">
        <f>WFTracker[[#This Row],[Order Number]]  &amp; "-" &amp; WFTracker[[#This Row],[Item]]</f>
        <v>SWBD-switchboard f2.0</v>
      </c>
      <c r="E319" s="21" t="s">
        <v>1052</v>
      </c>
      <c r="F319" s="12">
        <v>45926</v>
      </c>
      <c r="G319" s="12"/>
      <c r="H319" s="11" t="s">
        <v>947</v>
      </c>
      <c r="I319" s="11" t="s">
        <v>1132</v>
      </c>
      <c r="J319" s="13" t="s">
        <v>1269</v>
      </c>
      <c r="K319" s="14" t="s">
        <v>1023</v>
      </c>
      <c r="L319" s="15" t="s">
        <v>27</v>
      </c>
      <c r="M319" s="29" t="s">
        <v>1120</v>
      </c>
      <c r="N319" s="57" t="s">
        <v>984</v>
      </c>
      <c r="O319" s="15">
        <f>NETWORKDAYS.INTL(WFTracker[[#This Row],[Start date]],WFTracker[[#This Row],[RM]],1,Holidays!D365:D380)</f>
        <v>16</v>
      </c>
      <c r="P319" s="12">
        <v>45905</v>
      </c>
      <c r="Q319" s="12">
        <v>45912</v>
      </c>
      <c r="R319" s="12">
        <v>45924</v>
      </c>
      <c r="S319" s="12" t="b">
        <f>ISBLANK(WFTracker[[#This Row],[Completion Date]])</f>
        <v>0</v>
      </c>
      <c r="T319" s="12" t="str">
        <f>TEXT(WFTracker[[#This Row],[Start date]],"mmm-yyyy")</f>
        <v>Sep-2025</v>
      </c>
      <c r="U319" s="11">
        <v>10</v>
      </c>
      <c r="V319" s="11">
        <f>NETWORKDAYS.INTL(WFTracker[[#This Row],[Start date]],WFTracker[[#This Row],[Due date]],1,Holidays!D365:D380)</f>
        <v>6</v>
      </c>
      <c r="W3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19" s="24">
        <f ca="1">WFTracker[[#This Row],[Active Time]]-WFTracker[[#This Row],[Completion Days Template]]</f>
        <v>7</v>
      </c>
      <c r="Y319" s="16" t="str">
        <f ca="1" xml:space="preserve"> IF(WFTracker[[#This Row],[Overdue Time '[Expected-Completion']]]&gt;0, "LATE","ON TIME")</f>
        <v>LATE</v>
      </c>
      <c r="Z319" s="16" t="str">
        <f ca="1">IF(WFTracker[[#This Row],[Overdue Time '[Expected-Completion']]] &gt;= 15, "SUPER LATE", Y319)</f>
        <v>LATE</v>
      </c>
      <c r="AA319" s="37" t="str">
        <f>IF(WFTracker[[#This Row],[Pre RM Opening Time]]&lt;WFTracker[[#This Row],[Old vs New Order Lead Time WF dead line]], "LATE BY ENG", "ON TIME BY ENG")</f>
        <v>ON TIME BY ENG</v>
      </c>
      <c r="AB319" s="37"/>
      <c r="AC319" s="15" t="str">
        <f>IF(WFTracker[[#This Row],[Competion Date Content]] = FALSE, "C", "I")</f>
        <v>C</v>
      </c>
      <c r="AD3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19" s="37" t="str">
        <f ca="1">IF(WFTracker[[#This Row],[Impact Time Post RM]]&gt;0, "IMPACTED", "NOT IMPACTED")</f>
        <v>NOT IMPACTED</v>
      </c>
      <c r="AF319" s="15"/>
      <c r="AG319" s="18"/>
      <c r="AH319" s="14" t="str">
        <f>IF(WFTracker[[#This Row],[Status]]="C", "Closed", IF(WFTracker[[#This Row],[Status]] = "x", "Cancelled", WFTracker[[#This Row],[Impact Time Post RM]]))</f>
        <v>Closed</v>
      </c>
      <c r="AI319" s="14" t="str">
        <f ca="1">IF(WFTracker[[#This Row],[Impact Time Post RM]]&lt;=0,"ON TIME","LATE")</f>
        <v>ON TIME</v>
      </c>
      <c r="AJ319" s="14" t="s">
        <v>984</v>
      </c>
      <c r="AK319" s="14">
        <v>18</v>
      </c>
      <c r="AL319" s="915">
        <f>IF(WFTracker[[#This Row],[Type]]="MAKE", WFTracker[[#This Row],[Due date]]+Filters!$J$111, WFTracker[[#This Row],[Due date]]+Filters!$J$135)</f>
        <v>45915.072512647552</v>
      </c>
      <c r="AM319" s="102" cm="1">
        <f t="array" ref="AM3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0" spans="1:39" ht="14.45">
      <c r="A320" t="str">
        <f>IF(WFTracker[[#This Row],[Order Number]]="SWBD", "QED2", "PZ4")</f>
        <v>QED2</v>
      </c>
      <c r="B320" s="21" t="s">
        <v>1239</v>
      </c>
      <c r="C320" s="21" t="s">
        <v>1052</v>
      </c>
      <c r="D320" s="23" t="str">
        <f>WFTracker[[#This Row],[Order Number]]  &amp; "-" &amp; WFTracker[[#This Row],[Item]]</f>
        <v>SWBD-switchboard f2.0</v>
      </c>
      <c r="E320" s="21" t="s">
        <v>1052</v>
      </c>
      <c r="F320" s="12">
        <v>45926</v>
      </c>
      <c r="G320" s="12"/>
      <c r="H320" s="11" t="s">
        <v>947</v>
      </c>
      <c r="I320" s="11" t="s">
        <v>1132</v>
      </c>
      <c r="J320" s="13" t="s">
        <v>1270</v>
      </c>
      <c r="K320" s="14" t="s">
        <v>1023</v>
      </c>
      <c r="L320" s="15" t="s">
        <v>27</v>
      </c>
      <c r="M320" s="29" t="s">
        <v>1120</v>
      </c>
      <c r="N320" s="57" t="s">
        <v>984</v>
      </c>
      <c r="O320" s="15">
        <f>NETWORKDAYS.INTL(WFTracker[[#This Row],[Start date]],WFTracker[[#This Row],[RM]],1,Holidays!D366:D381)</f>
        <v>16</v>
      </c>
      <c r="P320" s="12">
        <v>45905</v>
      </c>
      <c r="Q320" s="12">
        <v>45912</v>
      </c>
      <c r="R320" s="12">
        <v>45925</v>
      </c>
      <c r="S320" s="12" t="b">
        <f>ISBLANK(WFTracker[[#This Row],[Completion Date]])</f>
        <v>0</v>
      </c>
      <c r="T320" s="12" t="str">
        <f>TEXT(WFTracker[[#This Row],[Start date]],"mmm-yyyy")</f>
        <v>Sep-2025</v>
      </c>
      <c r="U320" s="11">
        <v>10</v>
      </c>
      <c r="V320" s="11">
        <f>NETWORKDAYS.INTL(WFTracker[[#This Row],[Start date]],WFTracker[[#This Row],[Due date]],1,Holidays!D366:D381)</f>
        <v>6</v>
      </c>
      <c r="W3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20" s="24">
        <f ca="1">WFTracker[[#This Row],[Active Time]]-WFTracker[[#This Row],[Completion Days Template]]</f>
        <v>8</v>
      </c>
      <c r="Y320" s="16" t="str">
        <f ca="1" xml:space="preserve"> IF(WFTracker[[#This Row],[Overdue Time '[Expected-Completion']]]&gt;0, "LATE","ON TIME")</f>
        <v>LATE</v>
      </c>
      <c r="Z320" s="16" t="str">
        <f ca="1">IF(WFTracker[[#This Row],[Overdue Time '[Expected-Completion']]] &gt;= 15, "SUPER LATE", Y320)</f>
        <v>LATE</v>
      </c>
      <c r="AA320" s="37" t="str">
        <f>IF(WFTracker[[#This Row],[Pre RM Opening Time]]&lt;WFTracker[[#This Row],[Old vs New Order Lead Time WF dead line]], "LATE BY ENG", "ON TIME BY ENG")</f>
        <v>ON TIME BY ENG</v>
      </c>
      <c r="AB320" s="37"/>
      <c r="AC320" s="15" t="str">
        <f>IF(WFTracker[[#This Row],[Competion Date Content]] = FALSE, "C", "I")</f>
        <v>C</v>
      </c>
      <c r="AD3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20" s="37" t="str">
        <f ca="1">IF(WFTracker[[#This Row],[Impact Time Post RM]]&gt;0, "IMPACTED", "NOT IMPACTED")</f>
        <v>NOT IMPACTED</v>
      </c>
      <c r="AF320" s="15"/>
      <c r="AG320" s="18"/>
      <c r="AH320" s="14" t="str">
        <f>IF(WFTracker[[#This Row],[Status]]="C", "Closed", IF(WFTracker[[#This Row],[Status]] = "x", "Cancelled", WFTracker[[#This Row],[Impact Time Post RM]]))</f>
        <v>Closed</v>
      </c>
      <c r="AI320" s="14" t="str">
        <f ca="1">IF(WFTracker[[#This Row],[Impact Time Post RM]]&lt;=0,"ON TIME","LATE")</f>
        <v>ON TIME</v>
      </c>
      <c r="AJ320" s="14" t="s">
        <v>984</v>
      </c>
      <c r="AK320" s="14">
        <v>18</v>
      </c>
      <c r="AL320" s="915">
        <f>IF(WFTracker[[#This Row],[Type]]="MAKE", WFTracker[[#This Row],[Due date]]+Filters!$J$111, WFTracker[[#This Row],[Due date]]+Filters!$J$135)</f>
        <v>45915.072512647552</v>
      </c>
      <c r="AM320" s="102" cm="1">
        <f t="array" ref="AM3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1" spans="1:39" ht="14.45">
      <c r="A321" t="str">
        <f>IF(WFTracker[[#This Row],[Order Number]]="SWBD", "QED2", "PZ4")</f>
        <v>QED2</v>
      </c>
      <c r="B321" s="21" t="s">
        <v>1239</v>
      </c>
      <c r="C321" s="21" t="s">
        <v>1052</v>
      </c>
      <c r="D321" s="23" t="str">
        <f>WFTracker[[#This Row],[Order Number]]  &amp; "-" &amp; WFTracker[[#This Row],[Item]]</f>
        <v>SWBD-switchboard f2.0</v>
      </c>
      <c r="E321" s="23" t="s">
        <v>1052</v>
      </c>
      <c r="F321" s="12">
        <v>45926</v>
      </c>
      <c r="G321" s="12"/>
      <c r="H321" s="11" t="s">
        <v>947</v>
      </c>
      <c r="I321" s="11" t="s">
        <v>1132</v>
      </c>
      <c r="J321" s="13" t="s">
        <v>1271</v>
      </c>
      <c r="K321" s="14" t="s">
        <v>1023</v>
      </c>
      <c r="L321" s="15" t="s">
        <v>27</v>
      </c>
      <c r="M321" s="29" t="s">
        <v>1120</v>
      </c>
      <c r="N321" s="57" t="s">
        <v>984</v>
      </c>
      <c r="O321" s="15">
        <f>NETWORKDAYS.INTL(WFTracker[[#This Row],[Start date]],WFTracker[[#This Row],[RM]],1,Holidays!D367:D382)</f>
        <v>16</v>
      </c>
      <c r="P321" s="12">
        <v>45905</v>
      </c>
      <c r="Q321" s="12">
        <v>45912</v>
      </c>
      <c r="R321" s="12">
        <v>45912</v>
      </c>
      <c r="S321" s="12" t="b">
        <f>ISBLANK(WFTracker[[#This Row],[Completion Date]])</f>
        <v>0</v>
      </c>
      <c r="T321" s="12" t="str">
        <f>TEXT(WFTracker[[#This Row],[Start date]],"mmm-yyyy")</f>
        <v>Sep-2025</v>
      </c>
      <c r="U321" s="11">
        <v>10</v>
      </c>
      <c r="V321" s="11">
        <f>NETWORKDAYS.INTL(WFTracker[[#This Row],[Start date]],WFTracker[[#This Row],[Due date]],1,Holidays!D367:D382)</f>
        <v>6</v>
      </c>
      <c r="W3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321" s="24">
        <f ca="1">WFTracker[[#This Row],[Active Time]]-WFTracker[[#This Row],[Completion Days Template]]</f>
        <v>0</v>
      </c>
      <c r="Y321" s="16" t="str">
        <f ca="1" xml:space="preserve"> IF(WFTracker[[#This Row],[Overdue Time '[Expected-Completion']]]&gt;0, "LATE","ON TIME")</f>
        <v>ON TIME</v>
      </c>
      <c r="Z321" s="16" t="str">
        <f ca="1">IF(WFTracker[[#This Row],[Overdue Time '[Expected-Completion']]] &gt;= 15, "SUPER LATE", Y321)</f>
        <v>ON TIME</v>
      </c>
      <c r="AA321" s="37" t="str">
        <f>IF(WFTracker[[#This Row],[Pre RM Opening Time]]&lt;WFTracker[[#This Row],[Old vs New Order Lead Time WF dead line]], "LATE BY ENG", "ON TIME BY ENG")</f>
        <v>ON TIME BY ENG</v>
      </c>
      <c r="AB321" s="37"/>
      <c r="AC321" s="15" t="str">
        <f>IF(WFTracker[[#This Row],[Competion Date Content]] = FALSE, "C", "I")</f>
        <v>C</v>
      </c>
      <c r="AD3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321" s="37" t="str">
        <f ca="1">IF(WFTracker[[#This Row],[Impact Time Post RM]]&gt;0, "IMPACTED", "NOT IMPACTED")</f>
        <v>NOT IMPACTED</v>
      </c>
      <c r="AF321" s="15"/>
      <c r="AG321" s="18"/>
      <c r="AH321" s="14" t="str">
        <f>IF(WFTracker[[#This Row],[Status]]="C", "Closed", IF(WFTracker[[#This Row],[Status]] = "x", "Cancelled", WFTracker[[#This Row],[Impact Time Post RM]]))</f>
        <v>Closed</v>
      </c>
      <c r="AI321" s="14" t="str">
        <f ca="1">IF(WFTracker[[#This Row],[Impact Time Post RM]]&lt;=0,"ON TIME","LATE")</f>
        <v>ON TIME</v>
      </c>
      <c r="AJ321" s="14" t="s">
        <v>984</v>
      </c>
      <c r="AK321" s="14">
        <v>18</v>
      </c>
      <c r="AL321" s="915">
        <f>IF(WFTracker[[#This Row],[Type]]="MAKE", WFTracker[[#This Row],[Due date]]+Filters!$J$111, WFTracker[[#This Row],[Due date]]+Filters!$J$135)</f>
        <v>45915.072512647552</v>
      </c>
      <c r="AM321" s="102" cm="1">
        <f t="array" ref="AM3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2" spans="1:39" ht="14.45">
      <c r="A322" t="str">
        <f>IF(WFTracker[[#This Row],[Order Number]]="SWBD", "QED2", "PZ4")</f>
        <v>QED2</v>
      </c>
      <c r="B322" s="21" t="s">
        <v>1239</v>
      </c>
      <c r="C322" s="21" t="s">
        <v>1052</v>
      </c>
      <c r="D322" s="23" t="str">
        <f>WFTracker[[#This Row],[Order Number]]  &amp; "-" &amp; WFTracker[[#This Row],[Item]]</f>
        <v>SWBD-switchboard f2.0</v>
      </c>
      <c r="E322" s="23" t="s">
        <v>1052</v>
      </c>
      <c r="F322" s="12">
        <v>45926</v>
      </c>
      <c r="G322" s="12"/>
      <c r="H322" s="11" t="s">
        <v>947</v>
      </c>
      <c r="I322" s="11" t="s">
        <v>1132</v>
      </c>
      <c r="J322" s="13" t="s">
        <v>1272</v>
      </c>
      <c r="K322" s="14" t="s">
        <v>1023</v>
      </c>
      <c r="L322" s="15" t="s">
        <v>27</v>
      </c>
      <c r="M322" s="29" t="s">
        <v>1120</v>
      </c>
      <c r="N322" s="57" t="s">
        <v>984</v>
      </c>
      <c r="O322" s="15">
        <f>NETWORKDAYS.INTL(WFTracker[[#This Row],[Start date]],WFTracker[[#This Row],[RM]],1,Holidays!D368:D383)</f>
        <v>16</v>
      </c>
      <c r="P322" s="12">
        <v>45905</v>
      </c>
      <c r="Q322" s="12">
        <v>45912</v>
      </c>
      <c r="R322" s="12">
        <v>45925</v>
      </c>
      <c r="S322" s="12" t="b">
        <f>ISBLANK(WFTracker[[#This Row],[Completion Date]])</f>
        <v>0</v>
      </c>
      <c r="T322" s="12" t="str">
        <f>TEXT(WFTracker[[#This Row],[Start date]],"mmm-yyyy")</f>
        <v>Sep-2025</v>
      </c>
      <c r="U322" s="11">
        <v>10</v>
      </c>
      <c r="V322" s="11">
        <f>NETWORKDAYS.INTL(WFTracker[[#This Row],[Start date]],WFTracker[[#This Row],[Due date]],1,Holidays!D368:D383)</f>
        <v>6</v>
      </c>
      <c r="W3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22" s="24">
        <f ca="1">WFTracker[[#This Row],[Active Time]]-WFTracker[[#This Row],[Completion Days Template]]</f>
        <v>8</v>
      </c>
      <c r="Y322" s="16" t="str">
        <f ca="1" xml:space="preserve"> IF(WFTracker[[#This Row],[Overdue Time '[Expected-Completion']]]&gt;0, "LATE","ON TIME")</f>
        <v>LATE</v>
      </c>
      <c r="Z322" s="16" t="str">
        <f ca="1">IF(WFTracker[[#This Row],[Overdue Time '[Expected-Completion']]] &gt;= 15, "SUPER LATE", Y322)</f>
        <v>LATE</v>
      </c>
      <c r="AA322" s="37" t="str">
        <f>IF(WFTracker[[#This Row],[Pre RM Opening Time]]&lt;WFTracker[[#This Row],[Old vs New Order Lead Time WF dead line]], "LATE BY ENG", "ON TIME BY ENG")</f>
        <v>ON TIME BY ENG</v>
      </c>
      <c r="AB322" s="37"/>
      <c r="AC322" s="15" t="str">
        <f>IF(WFTracker[[#This Row],[Competion Date Content]] = FALSE, "C", "I")</f>
        <v>C</v>
      </c>
      <c r="AD3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22" s="37" t="str">
        <f ca="1">IF(WFTracker[[#This Row],[Impact Time Post RM]]&gt;0, "IMPACTED", "NOT IMPACTED")</f>
        <v>NOT IMPACTED</v>
      </c>
      <c r="AF322" s="15"/>
      <c r="AG322" s="18"/>
      <c r="AH322" s="14" t="str">
        <f>IF(WFTracker[[#This Row],[Status]]="C", "Closed", IF(WFTracker[[#This Row],[Status]] = "x", "Cancelled", WFTracker[[#This Row],[Impact Time Post RM]]))</f>
        <v>Closed</v>
      </c>
      <c r="AI322" s="14" t="str">
        <f ca="1">IF(WFTracker[[#This Row],[Impact Time Post RM]]&lt;=0,"ON TIME","LATE")</f>
        <v>ON TIME</v>
      </c>
      <c r="AJ322" s="14" t="s">
        <v>984</v>
      </c>
      <c r="AK322" s="14">
        <v>18</v>
      </c>
      <c r="AL322" s="915">
        <f>IF(WFTracker[[#This Row],[Type]]="MAKE", WFTracker[[#This Row],[Due date]]+Filters!$J$111, WFTracker[[#This Row],[Due date]]+Filters!$J$135)</f>
        <v>45915.072512647552</v>
      </c>
      <c r="AM322" s="102" cm="1">
        <f t="array" ref="AM3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3" spans="1:39" ht="14.45">
      <c r="A323" t="str">
        <f>IF(WFTracker[[#This Row],[Order Number]]="SWBD", "QED2", "PZ4")</f>
        <v>QED2</v>
      </c>
      <c r="B323" s="21" t="s">
        <v>1239</v>
      </c>
      <c r="C323" s="21" t="s">
        <v>1052</v>
      </c>
      <c r="D323" s="23" t="str">
        <f>WFTracker[[#This Row],[Order Number]]  &amp; "-" &amp; WFTracker[[#This Row],[Item]]</f>
        <v>SWBD-switchboard f2.0</v>
      </c>
      <c r="E323" s="23" t="s">
        <v>1052</v>
      </c>
      <c r="F323" s="12">
        <v>45926</v>
      </c>
      <c r="G323" s="12"/>
      <c r="H323" s="11" t="s">
        <v>947</v>
      </c>
      <c r="I323" s="11" t="s">
        <v>1132</v>
      </c>
      <c r="J323" s="13" t="s">
        <v>1273</v>
      </c>
      <c r="K323" s="14" t="s">
        <v>1023</v>
      </c>
      <c r="L323" s="15" t="s">
        <v>27</v>
      </c>
      <c r="M323" s="29" t="s">
        <v>1120</v>
      </c>
      <c r="N323" s="57" t="s">
        <v>984</v>
      </c>
      <c r="O323" s="15">
        <f>NETWORKDAYS.INTL(WFTracker[[#This Row],[Start date]],WFTracker[[#This Row],[RM]],1,Holidays!D369:D384)</f>
        <v>16</v>
      </c>
      <c r="P323" s="12">
        <v>45905</v>
      </c>
      <c r="Q323" s="12">
        <v>45912</v>
      </c>
      <c r="R323" s="12">
        <v>45925</v>
      </c>
      <c r="S323" s="12" t="b">
        <f>ISBLANK(WFTracker[[#This Row],[Completion Date]])</f>
        <v>0</v>
      </c>
      <c r="T323" s="12" t="str">
        <f>TEXT(WFTracker[[#This Row],[Start date]],"mmm-yyyy")</f>
        <v>Sep-2025</v>
      </c>
      <c r="U323" s="11">
        <v>10</v>
      </c>
      <c r="V323" s="11">
        <f>NETWORKDAYS.INTL(WFTracker[[#This Row],[Start date]],WFTracker[[#This Row],[Due date]],1,Holidays!D369:D384)</f>
        <v>6</v>
      </c>
      <c r="W3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23" s="24">
        <f ca="1">WFTracker[[#This Row],[Active Time]]-WFTracker[[#This Row],[Completion Days Template]]</f>
        <v>8</v>
      </c>
      <c r="Y323" s="16" t="str">
        <f ca="1" xml:space="preserve"> IF(WFTracker[[#This Row],[Overdue Time '[Expected-Completion']]]&gt;0, "LATE","ON TIME")</f>
        <v>LATE</v>
      </c>
      <c r="Z323" s="16" t="str">
        <f ca="1">IF(WFTracker[[#This Row],[Overdue Time '[Expected-Completion']]] &gt;= 15, "SUPER LATE", Y323)</f>
        <v>LATE</v>
      </c>
      <c r="AA323" s="37" t="str">
        <f>IF(WFTracker[[#This Row],[Pre RM Opening Time]]&lt;WFTracker[[#This Row],[Old vs New Order Lead Time WF dead line]], "LATE BY ENG", "ON TIME BY ENG")</f>
        <v>ON TIME BY ENG</v>
      </c>
      <c r="AB323" s="37"/>
      <c r="AC323" s="15" t="str">
        <f>IF(WFTracker[[#This Row],[Competion Date Content]] = FALSE, "C", "I")</f>
        <v>C</v>
      </c>
      <c r="AD3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23" s="37" t="str">
        <f ca="1">IF(WFTracker[[#This Row],[Impact Time Post RM]]&gt;0, "IMPACTED", "NOT IMPACTED")</f>
        <v>NOT IMPACTED</v>
      </c>
      <c r="AF323" s="15"/>
      <c r="AG323" s="18"/>
      <c r="AH323" s="14" t="str">
        <f>IF(WFTracker[[#This Row],[Status]]="C", "Closed", IF(WFTracker[[#This Row],[Status]] = "x", "Cancelled", WFTracker[[#This Row],[Impact Time Post RM]]))</f>
        <v>Closed</v>
      </c>
      <c r="AI323" s="14" t="str">
        <f ca="1">IF(WFTracker[[#This Row],[Impact Time Post RM]]&lt;=0,"ON TIME","LATE")</f>
        <v>ON TIME</v>
      </c>
      <c r="AJ323" s="14" t="s">
        <v>984</v>
      </c>
      <c r="AK323" s="14">
        <v>18</v>
      </c>
      <c r="AL323" s="915">
        <f>IF(WFTracker[[#This Row],[Type]]="MAKE", WFTracker[[#This Row],[Due date]]+Filters!$J$111, WFTracker[[#This Row],[Due date]]+Filters!$J$135)</f>
        <v>45915.072512647552</v>
      </c>
      <c r="AM323" s="102" cm="1">
        <f t="array" ref="AM3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4" spans="1:39" ht="14.45">
      <c r="A324" t="str">
        <f>IF(WFTracker[[#This Row],[Order Number]]="SWBD", "QED2", "PZ4")</f>
        <v>QED2</v>
      </c>
      <c r="B324" s="21" t="s">
        <v>1239</v>
      </c>
      <c r="C324" s="21" t="s">
        <v>1052</v>
      </c>
      <c r="D324" s="23" t="str">
        <f>WFTracker[[#This Row],[Order Number]]  &amp; "-" &amp; WFTracker[[#This Row],[Item]]</f>
        <v>SWBD-switchboard f2.0</v>
      </c>
      <c r="E324" s="23" t="s">
        <v>1052</v>
      </c>
      <c r="F324" s="12">
        <v>45926</v>
      </c>
      <c r="G324" s="12"/>
      <c r="H324" s="11" t="s">
        <v>947</v>
      </c>
      <c r="I324" s="11" t="s">
        <v>1132</v>
      </c>
      <c r="J324" s="13" t="s">
        <v>1274</v>
      </c>
      <c r="K324" s="14" t="s">
        <v>1023</v>
      </c>
      <c r="L324" s="15" t="s">
        <v>27</v>
      </c>
      <c r="M324" s="29" t="s">
        <v>1120</v>
      </c>
      <c r="N324" s="57" t="s">
        <v>984</v>
      </c>
      <c r="O324" s="15">
        <f>NETWORKDAYS.INTL(WFTracker[[#This Row],[Start date]],WFTracker[[#This Row],[RM]],1,Holidays!D370:D385)</f>
        <v>16</v>
      </c>
      <c r="P324" s="12">
        <v>45905</v>
      </c>
      <c r="Q324" s="12">
        <v>45912</v>
      </c>
      <c r="R324" s="12">
        <v>45924</v>
      </c>
      <c r="S324" s="12" t="b">
        <f>ISBLANK(WFTracker[[#This Row],[Completion Date]])</f>
        <v>0</v>
      </c>
      <c r="T324" s="12" t="str">
        <f>TEXT(WFTracker[[#This Row],[Start date]],"mmm-yyyy")</f>
        <v>Sep-2025</v>
      </c>
      <c r="U324" s="11">
        <v>10</v>
      </c>
      <c r="V324" s="11">
        <f>NETWORKDAYS.INTL(WFTracker[[#This Row],[Start date]],WFTracker[[#This Row],[Due date]],1,Holidays!D370:D385)</f>
        <v>6</v>
      </c>
      <c r="W3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24" s="24">
        <f ca="1">WFTracker[[#This Row],[Active Time]]-WFTracker[[#This Row],[Completion Days Template]]</f>
        <v>7</v>
      </c>
      <c r="Y324" s="16" t="str">
        <f ca="1" xml:space="preserve"> IF(WFTracker[[#This Row],[Overdue Time '[Expected-Completion']]]&gt;0, "LATE","ON TIME")</f>
        <v>LATE</v>
      </c>
      <c r="Z324" s="16" t="str">
        <f ca="1">IF(WFTracker[[#This Row],[Overdue Time '[Expected-Completion']]] &gt;= 15, "SUPER LATE", Y324)</f>
        <v>LATE</v>
      </c>
      <c r="AA324" s="37" t="str">
        <f>IF(WFTracker[[#This Row],[Pre RM Opening Time]]&lt;WFTracker[[#This Row],[Old vs New Order Lead Time WF dead line]], "LATE BY ENG", "ON TIME BY ENG")</f>
        <v>ON TIME BY ENG</v>
      </c>
      <c r="AB324" s="37"/>
      <c r="AC324" s="15" t="str">
        <f>IF(WFTracker[[#This Row],[Competion Date Content]] = FALSE, "C", "I")</f>
        <v>C</v>
      </c>
      <c r="AD3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24" s="37" t="str">
        <f ca="1">IF(WFTracker[[#This Row],[Impact Time Post RM]]&gt;0, "IMPACTED", "NOT IMPACTED")</f>
        <v>NOT IMPACTED</v>
      </c>
      <c r="AF324" s="15"/>
      <c r="AG324" s="18"/>
      <c r="AH324" s="14" t="str">
        <f>IF(WFTracker[[#This Row],[Status]]="C", "Closed", IF(WFTracker[[#This Row],[Status]] = "x", "Cancelled", WFTracker[[#This Row],[Impact Time Post RM]]))</f>
        <v>Closed</v>
      </c>
      <c r="AI324" s="14" t="str">
        <f ca="1">IF(WFTracker[[#This Row],[Impact Time Post RM]]&lt;=0,"ON TIME","LATE")</f>
        <v>ON TIME</v>
      </c>
      <c r="AJ324" s="14" t="s">
        <v>984</v>
      </c>
      <c r="AK324" s="14">
        <v>18</v>
      </c>
      <c r="AL324" s="915">
        <f>IF(WFTracker[[#This Row],[Type]]="MAKE", WFTracker[[#This Row],[Due date]]+Filters!$J$111, WFTracker[[#This Row],[Due date]]+Filters!$J$135)</f>
        <v>45915.072512647552</v>
      </c>
      <c r="AM324" s="102" cm="1">
        <f t="array" ref="AM3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5" spans="1:39" ht="14.45">
      <c r="A325" t="str">
        <f>IF(WFTracker[[#This Row],[Order Number]]="SWBD", "QED2", "PZ4")</f>
        <v>QED2</v>
      </c>
      <c r="B325" s="21" t="s">
        <v>1239</v>
      </c>
      <c r="C325" s="21" t="s">
        <v>1052</v>
      </c>
      <c r="D325" s="23" t="str">
        <f>WFTracker[[#This Row],[Order Number]]  &amp; "-" &amp; WFTracker[[#This Row],[Item]]</f>
        <v>SWBD-switchboard f2.0</v>
      </c>
      <c r="E325" s="23" t="s">
        <v>1052</v>
      </c>
      <c r="F325" s="12">
        <v>45926</v>
      </c>
      <c r="G325" s="12"/>
      <c r="H325" s="11" t="s">
        <v>947</v>
      </c>
      <c r="I325" s="11" t="s">
        <v>1132</v>
      </c>
      <c r="J325" s="13" t="s">
        <v>1275</v>
      </c>
      <c r="K325" s="14" t="s">
        <v>1023</v>
      </c>
      <c r="L325" s="15" t="s">
        <v>27</v>
      </c>
      <c r="M325" s="29" t="s">
        <v>1120</v>
      </c>
      <c r="N325" s="57" t="s">
        <v>984</v>
      </c>
      <c r="O325" s="15">
        <f>NETWORKDAYS.INTL(WFTracker[[#This Row],[Start date]],WFTracker[[#This Row],[RM]],1,Holidays!D371:D386)</f>
        <v>16</v>
      </c>
      <c r="P325" s="12">
        <v>45905</v>
      </c>
      <c r="Q325" s="12">
        <v>45915</v>
      </c>
      <c r="R325" s="12">
        <v>45922</v>
      </c>
      <c r="S325" s="12" t="b">
        <f>ISBLANK(WFTracker[[#This Row],[Completion Date]])</f>
        <v>0</v>
      </c>
      <c r="T325" s="12" t="str">
        <f>TEXT(WFTracker[[#This Row],[Start date]],"mmm-yyyy")</f>
        <v>Sep-2025</v>
      </c>
      <c r="U325" s="11">
        <v>10</v>
      </c>
      <c r="V325" s="11">
        <f>NETWORKDAYS.INTL(WFTracker[[#This Row],[Start date]],WFTracker[[#This Row],[Due date]],1,Holidays!D371:D386)</f>
        <v>7</v>
      </c>
      <c r="W3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25" s="24">
        <f ca="1">WFTracker[[#This Row],[Active Time]]-WFTracker[[#This Row],[Completion Days Template]]</f>
        <v>4</v>
      </c>
      <c r="Y325" s="16" t="str">
        <f ca="1" xml:space="preserve"> IF(WFTracker[[#This Row],[Overdue Time '[Expected-Completion']]]&gt;0, "LATE","ON TIME")</f>
        <v>LATE</v>
      </c>
      <c r="Z325" s="16" t="str">
        <f ca="1">IF(WFTracker[[#This Row],[Overdue Time '[Expected-Completion']]] &gt;= 15, "SUPER LATE", Y325)</f>
        <v>LATE</v>
      </c>
      <c r="AA325" s="37" t="str">
        <f>IF(WFTracker[[#This Row],[Pre RM Opening Time]]&lt;WFTracker[[#This Row],[Old vs New Order Lead Time WF dead line]], "LATE BY ENG", "ON TIME BY ENG")</f>
        <v>ON TIME BY ENG</v>
      </c>
      <c r="AB325" s="37"/>
      <c r="AC325" s="15" t="str">
        <f>IF(WFTracker[[#This Row],[Competion Date Content]] = FALSE, "C", "I")</f>
        <v>C</v>
      </c>
      <c r="AD3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325" s="37" t="str">
        <f ca="1">IF(WFTracker[[#This Row],[Impact Time Post RM]]&gt;0, "IMPACTED", "NOT IMPACTED")</f>
        <v>NOT IMPACTED</v>
      </c>
      <c r="AF325" s="15"/>
      <c r="AG325" s="18"/>
      <c r="AH325" s="14" t="str">
        <f>IF(WFTracker[[#This Row],[Status]]="C", "Closed", IF(WFTracker[[#This Row],[Status]] = "x", "Cancelled", WFTracker[[#This Row],[Impact Time Post RM]]))</f>
        <v>Closed</v>
      </c>
      <c r="AI325" s="14" t="str">
        <f ca="1">IF(WFTracker[[#This Row],[Impact Time Post RM]]&lt;=0,"ON TIME","LATE")</f>
        <v>ON TIME</v>
      </c>
      <c r="AJ325" s="14" t="s">
        <v>984</v>
      </c>
      <c r="AK325" s="14">
        <v>18</v>
      </c>
      <c r="AL325" s="915">
        <f>IF(WFTracker[[#This Row],[Type]]="MAKE", WFTracker[[#This Row],[Due date]]+Filters!$J$111, WFTracker[[#This Row],[Due date]]+Filters!$J$135)</f>
        <v>45918.072512647552</v>
      </c>
      <c r="AM325" s="102" cm="1">
        <f t="array" ref="AM3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6" spans="1:39" ht="14.45">
      <c r="A326" t="str">
        <f>IF(WFTracker[[#This Row],[Order Number]]="SWBD", "QED2", "PZ4")</f>
        <v>QED2</v>
      </c>
      <c r="B326" s="21" t="s">
        <v>1239</v>
      </c>
      <c r="C326" s="21" t="s">
        <v>1052</v>
      </c>
      <c r="D326" s="23" t="str">
        <f>WFTracker[[#This Row],[Order Number]]  &amp; "-" &amp; WFTracker[[#This Row],[Item]]</f>
        <v>SWBD-switchboard f2.0</v>
      </c>
      <c r="E326" s="23" t="s">
        <v>1052</v>
      </c>
      <c r="F326" s="12">
        <v>45926</v>
      </c>
      <c r="G326" s="12"/>
      <c r="H326" s="11" t="s">
        <v>947</v>
      </c>
      <c r="I326" s="11" t="s">
        <v>1132</v>
      </c>
      <c r="J326" s="13" t="s">
        <v>1276</v>
      </c>
      <c r="K326" s="14" t="s">
        <v>1023</v>
      </c>
      <c r="L326" s="15" t="s">
        <v>27</v>
      </c>
      <c r="M326" s="29" t="s">
        <v>1120</v>
      </c>
      <c r="N326" s="57" t="s">
        <v>984</v>
      </c>
      <c r="O326" s="15">
        <f>NETWORKDAYS.INTL(WFTracker[[#This Row],[Start date]],WFTracker[[#This Row],[RM]],1,Holidays!D372:D387)</f>
        <v>16</v>
      </c>
      <c r="P326" s="12">
        <v>45905</v>
      </c>
      <c r="Q326" s="12">
        <v>45915</v>
      </c>
      <c r="R326" s="12">
        <v>45927</v>
      </c>
      <c r="S326" s="12" t="b">
        <f>ISBLANK(WFTracker[[#This Row],[Completion Date]])</f>
        <v>0</v>
      </c>
      <c r="T326" s="12" t="str">
        <f>TEXT(WFTracker[[#This Row],[Start date]],"mmm-yyyy")</f>
        <v>Sep-2025</v>
      </c>
      <c r="U326" s="11">
        <v>10</v>
      </c>
      <c r="V326" s="11">
        <f>NETWORKDAYS.INTL(WFTracker[[#This Row],[Start date]],WFTracker[[#This Row],[Due date]],1,Holidays!D372:D387)</f>
        <v>7</v>
      </c>
      <c r="W3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326" s="24">
        <f ca="1">WFTracker[[#This Row],[Active Time]]-WFTracker[[#This Row],[Completion Days Template]]</f>
        <v>8</v>
      </c>
      <c r="Y326" s="16" t="str">
        <f ca="1" xml:space="preserve"> IF(WFTracker[[#This Row],[Overdue Time '[Expected-Completion']]]&gt;0, "LATE","ON TIME")</f>
        <v>LATE</v>
      </c>
      <c r="Z326" s="16" t="str">
        <f ca="1">IF(WFTracker[[#This Row],[Overdue Time '[Expected-Completion']]] &gt;= 15, "SUPER LATE", Y326)</f>
        <v>LATE</v>
      </c>
      <c r="AA326" s="37" t="str">
        <f>IF(WFTracker[[#This Row],[Pre RM Opening Time]]&lt;WFTracker[[#This Row],[Old vs New Order Lead Time WF dead line]], "LATE BY ENG", "ON TIME BY ENG")</f>
        <v>ON TIME BY ENG</v>
      </c>
      <c r="AB326" s="37"/>
      <c r="AC326" s="15" t="str">
        <f>IF(WFTracker[[#This Row],[Competion Date Content]] = FALSE, "C", "I")</f>
        <v>C</v>
      </c>
      <c r="AD3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26" s="37" t="str">
        <f ca="1">IF(WFTracker[[#This Row],[Impact Time Post RM]]&gt;0, "IMPACTED", "NOT IMPACTED")</f>
        <v>IMPACTED</v>
      </c>
      <c r="AF326" s="15"/>
      <c r="AG326" s="18"/>
      <c r="AH326" s="14" t="str">
        <f>IF(WFTracker[[#This Row],[Status]]="C", "Closed", IF(WFTracker[[#This Row],[Status]] = "x", "Cancelled", WFTracker[[#This Row],[Impact Time Post RM]]))</f>
        <v>Closed</v>
      </c>
      <c r="AI326" s="14" t="str">
        <f ca="1">IF(WFTracker[[#This Row],[Impact Time Post RM]]&lt;=0,"ON TIME","LATE")</f>
        <v>LATE</v>
      </c>
      <c r="AJ326" s="14" t="s">
        <v>984</v>
      </c>
      <c r="AK326" s="14">
        <v>18</v>
      </c>
      <c r="AL326" s="915">
        <f>IF(WFTracker[[#This Row],[Type]]="MAKE", WFTracker[[#This Row],[Due date]]+Filters!$J$111, WFTracker[[#This Row],[Due date]]+Filters!$J$135)</f>
        <v>45918.072512647552</v>
      </c>
      <c r="AM326" s="102" cm="1">
        <f t="array" ref="AM3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7" spans="1:39" ht="14.45">
      <c r="A327" t="str">
        <f>IF(WFTracker[[#This Row],[Order Number]]="SWBD", "QED2", "PZ4")</f>
        <v>QED2</v>
      </c>
      <c r="B327" s="21" t="s">
        <v>1239</v>
      </c>
      <c r="C327" s="26" t="s">
        <v>1052</v>
      </c>
      <c r="D327" s="23" t="str">
        <f>WFTracker[[#This Row],[Order Number]]  &amp; "-" &amp; WFTracker[[#This Row],[Item]]</f>
        <v>SWBD-switchboard f2.0</v>
      </c>
      <c r="E327" s="23" t="s">
        <v>1052</v>
      </c>
      <c r="F327" s="12">
        <v>45926</v>
      </c>
      <c r="G327" s="12"/>
      <c r="H327" s="11" t="s">
        <v>947</v>
      </c>
      <c r="I327" s="11" t="s">
        <v>1132</v>
      </c>
      <c r="J327" s="13" t="s">
        <v>1277</v>
      </c>
      <c r="K327" s="14" t="s">
        <v>1023</v>
      </c>
      <c r="L327" s="15" t="s">
        <v>27</v>
      </c>
      <c r="M327" s="29" t="s">
        <v>1120</v>
      </c>
      <c r="N327" s="57" t="s">
        <v>984</v>
      </c>
      <c r="O327" s="15">
        <f>NETWORKDAYS.INTL(WFTracker[[#This Row],[Start date]],WFTracker[[#This Row],[RM]],1,Holidays!D373:D388)</f>
        <v>16</v>
      </c>
      <c r="P327" s="12">
        <v>45905</v>
      </c>
      <c r="Q327" s="12">
        <v>45915</v>
      </c>
      <c r="R327" s="12">
        <v>45925</v>
      </c>
      <c r="S327" s="12" t="b">
        <f>ISBLANK(WFTracker[[#This Row],[Completion Date]])</f>
        <v>0</v>
      </c>
      <c r="T327" s="12" t="str">
        <f>TEXT(WFTracker[[#This Row],[Start date]],"mmm-yyyy")</f>
        <v>Sep-2025</v>
      </c>
      <c r="U327" s="11">
        <v>10</v>
      </c>
      <c r="V327" s="11">
        <f>NETWORKDAYS.INTL(WFTracker[[#This Row],[Start date]],WFTracker[[#This Row],[Due date]],1,Holidays!D373:D388)</f>
        <v>7</v>
      </c>
      <c r="W3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27" s="24">
        <f ca="1">WFTracker[[#This Row],[Active Time]]-WFTracker[[#This Row],[Completion Days Template]]</f>
        <v>7</v>
      </c>
      <c r="Y327" s="16" t="str">
        <f ca="1" xml:space="preserve"> IF(WFTracker[[#This Row],[Overdue Time '[Expected-Completion']]]&gt;0, "LATE","ON TIME")</f>
        <v>LATE</v>
      </c>
      <c r="Z327" s="16" t="str">
        <f ca="1">IF(WFTracker[[#This Row],[Overdue Time '[Expected-Completion']]] &gt;= 15, "SUPER LATE", Y327)</f>
        <v>LATE</v>
      </c>
      <c r="AA327" s="37" t="str">
        <f>IF(WFTracker[[#This Row],[Pre RM Opening Time]]&lt;WFTracker[[#This Row],[Old vs New Order Lead Time WF dead line]], "LATE BY ENG", "ON TIME BY ENG")</f>
        <v>ON TIME BY ENG</v>
      </c>
      <c r="AB327" s="37"/>
      <c r="AC327" s="15" t="str">
        <f>IF(WFTracker[[#This Row],[Competion Date Content]] = FALSE, "C", "I")</f>
        <v>C</v>
      </c>
      <c r="AD3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27" s="37" t="str">
        <f ca="1">IF(WFTracker[[#This Row],[Impact Time Post RM]]&gt;0, "IMPACTED", "NOT IMPACTED")</f>
        <v>NOT IMPACTED</v>
      </c>
      <c r="AF327" s="15"/>
      <c r="AG327" s="18"/>
      <c r="AH327" s="14" t="str">
        <f>IF(WFTracker[[#This Row],[Status]]="C", "Closed", IF(WFTracker[[#This Row],[Status]] = "x", "Cancelled", WFTracker[[#This Row],[Impact Time Post RM]]))</f>
        <v>Closed</v>
      </c>
      <c r="AI327" s="14" t="str">
        <f ca="1">IF(WFTracker[[#This Row],[Impact Time Post RM]]&lt;=0,"ON TIME","LATE")</f>
        <v>ON TIME</v>
      </c>
      <c r="AJ327" s="14" t="s">
        <v>984</v>
      </c>
      <c r="AK327" s="14">
        <v>18</v>
      </c>
      <c r="AL327" s="915">
        <f>IF(WFTracker[[#This Row],[Type]]="MAKE", WFTracker[[#This Row],[Due date]]+Filters!$J$111, WFTracker[[#This Row],[Due date]]+Filters!$J$135)</f>
        <v>45918.072512647552</v>
      </c>
      <c r="AM327" s="102" cm="1">
        <f t="array" ref="AM3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8" spans="1:39" ht="14.45">
      <c r="A328" t="str">
        <f>IF(WFTracker[[#This Row],[Order Number]]="SWBD", "QED2", "PZ4")</f>
        <v>QED2</v>
      </c>
      <c r="B328" s="21" t="s">
        <v>1239</v>
      </c>
      <c r="C328" s="26" t="s">
        <v>1053</v>
      </c>
      <c r="D328" s="23" t="str">
        <f>WFTracker[[#This Row],[Order Number]]  &amp; "-" &amp; WFTracker[[#This Row],[Item]]</f>
        <v>SWBD-meta rsb Proyecto META SWB</v>
      </c>
      <c r="E328" s="23" t="s">
        <v>1053</v>
      </c>
      <c r="F328" s="12">
        <v>45926</v>
      </c>
      <c r="G328" s="12"/>
      <c r="H328" s="11" t="s">
        <v>947</v>
      </c>
      <c r="I328" s="11" t="s">
        <v>1132</v>
      </c>
      <c r="J328" s="13" t="s">
        <v>1278</v>
      </c>
      <c r="K328" s="14" t="s">
        <v>1023</v>
      </c>
      <c r="L328" s="15" t="s">
        <v>40</v>
      </c>
      <c r="M328" s="29" t="s">
        <v>1120</v>
      </c>
      <c r="N328" s="57" t="s">
        <v>984</v>
      </c>
      <c r="O328" s="15">
        <f>NETWORKDAYS.INTL(WFTracker[[#This Row],[Start date]],WFTracker[[#This Row],[RM]],1,Holidays!D374:D389)</f>
        <v>16</v>
      </c>
      <c r="P328" s="12">
        <v>45905</v>
      </c>
      <c r="Q328" s="12">
        <v>45917</v>
      </c>
      <c r="R328" s="12">
        <v>45925</v>
      </c>
      <c r="S328" s="12" t="b">
        <f>ISBLANK(WFTracker[[#This Row],[Completion Date]])</f>
        <v>0</v>
      </c>
      <c r="T328" s="12" t="str">
        <f>TEXT(WFTracker[[#This Row],[Start date]],"mmm-yyyy")</f>
        <v>Sep-2025</v>
      </c>
      <c r="U328" s="11">
        <v>10</v>
      </c>
      <c r="V328" s="11">
        <f>NETWORKDAYS.INTL(WFTracker[[#This Row],[Start date]],WFTracker[[#This Row],[Due date]],1,Holidays!D374:D389)</f>
        <v>9</v>
      </c>
      <c r="W3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28" s="24">
        <f ca="1">WFTracker[[#This Row],[Active Time]]-WFTracker[[#This Row],[Completion Days Template]]</f>
        <v>5</v>
      </c>
      <c r="Y328" s="16" t="str">
        <f ca="1" xml:space="preserve"> IF(WFTracker[[#This Row],[Overdue Time '[Expected-Completion']]]&gt;0, "LATE","ON TIME")</f>
        <v>LATE</v>
      </c>
      <c r="Z328" s="16" t="str">
        <f ca="1">IF(WFTracker[[#This Row],[Overdue Time '[Expected-Completion']]] &gt;= 15, "SUPER LATE", Y328)</f>
        <v>LATE</v>
      </c>
      <c r="AA328" s="37" t="str">
        <f>IF(WFTracker[[#This Row],[Pre RM Opening Time]]&lt;WFTracker[[#This Row],[Old vs New Order Lead Time WF dead line]], "LATE BY ENG", "ON TIME BY ENG")</f>
        <v>ON TIME BY ENG</v>
      </c>
      <c r="AB328" s="37"/>
      <c r="AC328" s="15" t="str">
        <f>IF(WFTracker[[#This Row],[Competion Date Content]] = FALSE, "C", "I")</f>
        <v>C</v>
      </c>
      <c r="AD3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28" s="37" t="str">
        <f ca="1">IF(WFTracker[[#This Row],[Impact Time Post RM]]&gt;0, "IMPACTED", "NOT IMPACTED")</f>
        <v>NOT IMPACTED</v>
      </c>
      <c r="AF328" s="15"/>
      <c r="AG328" s="18"/>
      <c r="AH328" s="14" t="str">
        <f>IF(WFTracker[[#This Row],[Status]]="C", "Closed", IF(WFTracker[[#This Row],[Status]] = "x", "Cancelled", WFTracker[[#This Row],[Impact Time Post RM]]))</f>
        <v>Closed</v>
      </c>
      <c r="AI328" s="14" t="str">
        <f ca="1">IF(WFTracker[[#This Row],[Impact Time Post RM]]&lt;=0,"ON TIME","LATE")</f>
        <v>ON TIME</v>
      </c>
      <c r="AJ328" s="14" t="s">
        <v>984</v>
      </c>
      <c r="AK328" s="14">
        <v>17</v>
      </c>
      <c r="AL328" s="915">
        <f>IF(WFTracker[[#This Row],[Type]]="MAKE", WFTracker[[#This Row],[Due date]]+Filters!$J$111, WFTracker[[#This Row],[Due date]]+Filters!$J$135)</f>
        <v>45917.415686274508</v>
      </c>
      <c r="AM328" s="102" cm="1">
        <f t="array" ref="AM32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29" spans="1:39" ht="14.45">
      <c r="A329" t="str">
        <f>IF(WFTracker[[#This Row],[Order Number]]="SWBD", "QED2", "PZ4")</f>
        <v>QED2</v>
      </c>
      <c r="B329" s="21" t="s">
        <v>1239</v>
      </c>
      <c r="C329" s="21" t="s">
        <v>1053</v>
      </c>
      <c r="D329" s="23" t="str">
        <f>WFTracker[[#This Row],[Order Number]]  &amp; "-" &amp; WFTracker[[#This Row],[Item]]</f>
        <v>SWBD-meta rsb Proyecto META SWB</v>
      </c>
      <c r="E329" s="23" t="s">
        <v>1053</v>
      </c>
      <c r="F329" s="12">
        <v>45926</v>
      </c>
      <c r="G329" s="12"/>
      <c r="H329" s="11" t="s">
        <v>947</v>
      </c>
      <c r="I329" s="11" t="s">
        <v>1132</v>
      </c>
      <c r="J329" s="13" t="s">
        <v>1279</v>
      </c>
      <c r="K329" s="14" t="s">
        <v>1023</v>
      </c>
      <c r="L329" s="15" t="s">
        <v>40</v>
      </c>
      <c r="M329" s="29" t="s">
        <v>1120</v>
      </c>
      <c r="N329" s="57" t="s">
        <v>984</v>
      </c>
      <c r="O329" s="15">
        <f>NETWORKDAYS.INTL(WFTracker[[#This Row],[Start date]],WFTracker[[#This Row],[RM]],1,Holidays!D375:D390)</f>
        <v>16</v>
      </c>
      <c r="P329" s="12">
        <v>45905</v>
      </c>
      <c r="Q329" s="12">
        <v>45917</v>
      </c>
      <c r="R329" s="12">
        <v>45923</v>
      </c>
      <c r="S329" s="12" t="b">
        <f>ISBLANK(WFTracker[[#This Row],[Completion Date]])</f>
        <v>0</v>
      </c>
      <c r="T329" s="12" t="str">
        <f>TEXT(WFTracker[[#This Row],[Start date]],"mmm-yyyy")</f>
        <v>Sep-2025</v>
      </c>
      <c r="U329" s="11">
        <v>10</v>
      </c>
      <c r="V329" s="11">
        <f>NETWORKDAYS.INTL(WFTracker[[#This Row],[Start date]],WFTracker[[#This Row],[Due date]],1,Holidays!D375:D390)</f>
        <v>9</v>
      </c>
      <c r="W3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329" s="24">
        <f ca="1">WFTracker[[#This Row],[Active Time]]-WFTracker[[#This Row],[Completion Days Template]]</f>
        <v>3</v>
      </c>
      <c r="Y329" s="16" t="str">
        <f ca="1" xml:space="preserve"> IF(WFTracker[[#This Row],[Overdue Time '[Expected-Completion']]]&gt;0, "LATE","ON TIME")</f>
        <v>LATE</v>
      </c>
      <c r="Z329" s="16" t="str">
        <f ca="1">IF(WFTracker[[#This Row],[Overdue Time '[Expected-Completion']]] &gt;= 15, "SUPER LATE", Y329)</f>
        <v>LATE</v>
      </c>
      <c r="AA329" s="37" t="str">
        <f>IF(WFTracker[[#This Row],[Pre RM Opening Time]]&lt;WFTracker[[#This Row],[Old vs New Order Lead Time WF dead line]], "LATE BY ENG", "ON TIME BY ENG")</f>
        <v>ON TIME BY ENG</v>
      </c>
      <c r="AB329" s="37"/>
      <c r="AC329" s="15" t="str">
        <f>IF(WFTracker[[#This Row],[Competion Date Content]] = FALSE, "C", "I")</f>
        <v>C</v>
      </c>
      <c r="AD3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329" s="37" t="str">
        <f ca="1">IF(WFTracker[[#This Row],[Impact Time Post RM]]&gt;0, "IMPACTED", "NOT IMPACTED")</f>
        <v>NOT IMPACTED</v>
      </c>
      <c r="AF329" s="15"/>
      <c r="AG329" s="18"/>
      <c r="AH329" s="14" t="str">
        <f>IF(WFTracker[[#This Row],[Status]]="C", "Closed", IF(WFTracker[[#This Row],[Status]] = "x", "Cancelled", WFTracker[[#This Row],[Impact Time Post RM]]))</f>
        <v>Closed</v>
      </c>
      <c r="AI329" s="14" t="str">
        <f ca="1">IF(WFTracker[[#This Row],[Impact Time Post RM]]&lt;=0,"ON TIME","LATE")</f>
        <v>ON TIME</v>
      </c>
      <c r="AJ329" s="14" t="s">
        <v>984</v>
      </c>
      <c r="AK329" s="14">
        <v>17</v>
      </c>
      <c r="AL329" s="915">
        <f>IF(WFTracker[[#This Row],[Type]]="MAKE", WFTracker[[#This Row],[Due date]]+Filters!$J$111, WFTracker[[#This Row],[Due date]]+Filters!$J$135)</f>
        <v>45917.415686274508</v>
      </c>
      <c r="AM329" s="102" cm="1">
        <f t="array" ref="AM3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0" spans="1:39" ht="15" customHeight="1">
      <c r="A330" t="str">
        <f>IF(WFTracker[[#This Row],[Order Number]]="SWBD", "QED2", "PZ4")</f>
        <v>PZ4</v>
      </c>
      <c r="B330" s="21" t="s">
        <v>436</v>
      </c>
      <c r="C330" s="35" t="s">
        <v>293</v>
      </c>
      <c r="D330" s="11" t="str">
        <f>WFTracker[[#This Row],[Order Number]]  &amp; "-" &amp; WFTracker[[#This Row],[Item]]</f>
        <v>0051436816-000080</v>
      </c>
      <c r="E330" s="23" t="s">
        <v>437</v>
      </c>
      <c r="F330" s="12">
        <v>45930</v>
      </c>
      <c r="G330" s="12"/>
      <c r="H330" s="11" t="s">
        <v>104</v>
      </c>
      <c r="I330" s="11" t="s">
        <v>111</v>
      </c>
      <c r="J330" s="13" t="s">
        <v>444</v>
      </c>
      <c r="K330" s="14" t="s">
        <v>1017</v>
      </c>
      <c r="L330" s="15" t="s">
        <v>27</v>
      </c>
      <c r="M330" s="29" t="s">
        <v>438</v>
      </c>
      <c r="N330" s="57">
        <v>46021</v>
      </c>
      <c r="O330" s="15">
        <f>NETWORKDAYS.INTL(WFTracker[[#This Row],[Start date]],WFTracker[[#This Row],[RM]],1,Holidays!D400:D415)</f>
        <v>18</v>
      </c>
      <c r="P330" s="12">
        <v>45905</v>
      </c>
      <c r="Q330" s="12">
        <v>45912</v>
      </c>
      <c r="R330" s="12">
        <v>45919</v>
      </c>
      <c r="S330" s="12" t="b">
        <f>ISBLANK(WFTracker[[#This Row],[Completion Date]])</f>
        <v>0</v>
      </c>
      <c r="T330" s="12" t="str">
        <f>TEXT(WFTracker[[#This Row],[Start date]],"mmm-yyyy")</f>
        <v>Sep-2025</v>
      </c>
      <c r="U330" s="11">
        <v>10</v>
      </c>
      <c r="V330" s="11">
        <f>NETWORKDAYS.INTL(WFTracker[[#This Row],[Start date]],WFTracker[[#This Row],[Due date]],1,Holidays!D400:D415)</f>
        <v>6</v>
      </c>
      <c r="W3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30" s="24">
        <f ca="1">WFTracker[[#This Row],[Active Time]]-WFTracker[[#This Row],[Completion Days Template]]</f>
        <v>4</v>
      </c>
      <c r="Y330" s="16" t="str">
        <f ca="1" xml:space="preserve"> IF(WFTracker[[#This Row],[Overdue Time '[Expected-Completion']]]&gt;0, "LATE","ON TIME")</f>
        <v>LATE</v>
      </c>
      <c r="Z330" s="16" t="str">
        <f ca="1">IF(WFTracker[[#This Row],[Overdue Time '[Expected-Completion']]] &gt;= 15, "SUPER LATE", Y330)</f>
        <v>LATE</v>
      </c>
      <c r="AA330" s="37" t="str">
        <f>IF(WFTracker[[#This Row],[Pre RM Opening Time]]&lt;WFTracker[[#This Row],[Old vs New Order Lead Time WF dead line]], "LATE BY ENG", "ON TIME BY ENG")</f>
        <v>ON TIME BY ENG</v>
      </c>
      <c r="AB330" s="37"/>
      <c r="AC330" s="15" t="str">
        <f>IF(WFTracker[[#This Row],[Competion Date Content]] = FALSE, "C", "i")</f>
        <v>C</v>
      </c>
      <c r="AD3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330" s="37" t="str">
        <f ca="1">IF(WFTracker[[#This Row],[Impact Time Post RM]]&gt;0, "IMPACTED", "NOT IMPACTED")</f>
        <v>NOT IMPACTED</v>
      </c>
      <c r="AF330" s="15"/>
      <c r="AG330" s="18"/>
      <c r="AH330" s="14" t="str">
        <f>IF(WFTracker[[#This Row],[Status]]="C", "Closed", IF(WFTracker[[#This Row],[Status]] = "x", "Cancelled", WFTracker[[#This Row],[Impact Time Post RM]]))</f>
        <v>Closed</v>
      </c>
      <c r="AI330" s="14" t="str">
        <f ca="1">IF(WFTracker[[#This Row],[Impact Time Post RM]]&lt;=0,"ON TIME","LATE")</f>
        <v>ON TIME</v>
      </c>
      <c r="AJ330" s="14" t="s">
        <v>984</v>
      </c>
      <c r="AK330" s="14">
        <v>18</v>
      </c>
      <c r="AL330" s="915">
        <f>IF(WFTracker[[#This Row],[Type]]="MAKE", WFTracker[[#This Row],[Due date]]+Filters!$J$111, WFTracker[[#This Row],[Due date]]+Filters!$J$135)</f>
        <v>45915.072512647552</v>
      </c>
      <c r="AM330" s="102" cm="1">
        <f t="array" ref="AM3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1" spans="1:39" ht="15" customHeight="1">
      <c r="A331" t="str">
        <f>IF(WFTracker[[#This Row],[Order Number]]="SWBD", "QED2", "PZ4")</f>
        <v>PZ4</v>
      </c>
      <c r="B331" s="21" t="s">
        <v>447</v>
      </c>
      <c r="C331" s="21" t="s">
        <v>448</v>
      </c>
      <c r="D331" s="11" t="str">
        <f>WFTracker[[#This Row],[Order Number]]  &amp; "-" &amp; WFTracker[[#This Row],[Item]]</f>
        <v>0051536680-000150</v>
      </c>
      <c r="E331" s="23" t="s">
        <v>621</v>
      </c>
      <c r="F331" s="12">
        <v>45905</v>
      </c>
      <c r="G331" s="12"/>
      <c r="H331" s="11" t="s">
        <v>295</v>
      </c>
      <c r="I331" s="11" t="s">
        <v>1154</v>
      </c>
      <c r="J331" s="13" t="s">
        <v>465</v>
      </c>
      <c r="K331" s="14" t="s">
        <v>1017</v>
      </c>
      <c r="L331" s="15" t="s">
        <v>27</v>
      </c>
      <c r="M331" s="29" t="s">
        <v>1120</v>
      </c>
      <c r="N331" s="57">
        <v>46008</v>
      </c>
      <c r="O331" s="15">
        <f>NETWORKDAYS.INTL(WFTracker[[#This Row],[Start date]],WFTracker[[#This Row],[RM]],1,Holidays!D58:D73)</f>
        <v>-3</v>
      </c>
      <c r="P331" s="12">
        <v>45909</v>
      </c>
      <c r="Q331" s="12">
        <v>45916</v>
      </c>
      <c r="R331" s="12">
        <v>45920</v>
      </c>
      <c r="S331" s="12" t="b">
        <f>ISBLANK(WFTracker[[#This Row],[Completion Date]])</f>
        <v>0</v>
      </c>
      <c r="T331" s="12" t="str">
        <f>TEXT(WFTracker[[#This Row],[Start date]],"mmm-yyyy")</f>
        <v>Sep-2025</v>
      </c>
      <c r="U331" s="11">
        <v>10</v>
      </c>
      <c r="V331" s="11">
        <f>NETWORKDAYS.INTL(WFTracker[[#This Row],[Start date]],WFTracker[[#This Row],[Due date]],1,Holidays!D58:D73)</f>
        <v>6</v>
      </c>
      <c r="W3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31" s="24">
        <f ca="1">WFTracker[[#This Row],[Active Time]]-WFTracker[[#This Row],[Completion Days Template]]</f>
        <v>2</v>
      </c>
      <c r="Y331" s="16" t="str">
        <f ca="1" xml:space="preserve"> IF(WFTracker[[#This Row],[Overdue Time '[Expected-Completion']]]&gt;0, "LATE","ON TIME")</f>
        <v>LATE</v>
      </c>
      <c r="Z331" s="16" t="str">
        <f ca="1">IF(WFTracker[[#This Row],[Overdue Time '[Expected-Completion']]] &gt;= 15, "SUPER LATE", Y331)</f>
        <v>LATE</v>
      </c>
      <c r="AA331" s="37" t="str">
        <f>IF(WFTracker[[#This Row],[Pre RM Opening Time]]&lt;WFTracker[[#This Row],[Old vs New Order Lead Time WF dead line]], "LATE BY ENG", "ON TIME BY ENG")</f>
        <v>LATE BY ENG</v>
      </c>
      <c r="AB331" s="37"/>
      <c r="AC331" s="15" t="str">
        <f>IF(WFTracker[[#This Row],[Competion Date Content]] = FALSE, "C", "i")</f>
        <v>C</v>
      </c>
      <c r="AD3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331" s="37" t="str">
        <f ca="1">IF(WFTracker[[#This Row],[Impact Time Post RM]]&gt;0, "IMPACTED", "NOT IMPACTED")</f>
        <v>IMPACTED</v>
      </c>
      <c r="AF331" s="15"/>
      <c r="AG331" s="18"/>
      <c r="AH331" s="14" t="str">
        <f>IF(WFTracker[[#This Row],[Status]]="C", "Closed", IF(WFTracker[[#This Row],[Status]] = "x", "Cancelled", WFTracker[[#This Row],[Impact Time Post RM]]))</f>
        <v>Closed</v>
      </c>
      <c r="AI331" s="14" t="str">
        <f ca="1">IF(WFTracker[[#This Row],[Impact Time Post RM]]&lt;=0,"ON TIME","LATE")</f>
        <v>LATE</v>
      </c>
      <c r="AJ331" s="14" t="s">
        <v>984</v>
      </c>
      <c r="AK331" s="14">
        <v>18</v>
      </c>
      <c r="AL331" s="915">
        <f>IF(WFTracker[[#This Row],[Type]]="MAKE", WFTracker[[#This Row],[Due date]]+Filters!$J$111, WFTracker[[#This Row],[Due date]]+Filters!$J$135)</f>
        <v>45919.072512647552</v>
      </c>
      <c r="AM331" s="102" cm="1">
        <f t="array" ref="AM3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2" spans="1:39" ht="15" customHeight="1">
      <c r="A332" t="str">
        <f>IF(WFTracker[[#This Row],[Order Number]]="SWBD", "QED2", "PZ4")</f>
        <v>PZ4</v>
      </c>
      <c r="B332" s="21" t="s">
        <v>473</v>
      </c>
      <c r="C332" s="21" t="s">
        <v>1204</v>
      </c>
      <c r="D332" s="23" t="str">
        <f>WFTracker[[#This Row],[Order Number]]  &amp; "-" &amp; WFTracker[[#This Row],[Item]]</f>
        <v>0051472151-000010 &amp; 000020</v>
      </c>
      <c r="E332" s="23" t="s">
        <v>474</v>
      </c>
      <c r="F332" s="41">
        <v>45911</v>
      </c>
      <c r="G332" s="41"/>
      <c r="H332" s="11" t="s">
        <v>110</v>
      </c>
      <c r="I332" s="11" t="s">
        <v>260</v>
      </c>
      <c r="J332" s="13" t="s">
        <v>1280</v>
      </c>
      <c r="K332" s="14" t="s">
        <v>1023</v>
      </c>
      <c r="L332" s="15" t="s">
        <v>27</v>
      </c>
      <c r="M332" s="29" t="s">
        <v>1120</v>
      </c>
      <c r="N332" s="57">
        <v>46010</v>
      </c>
      <c r="O332" s="15">
        <f>NETWORKDAYS.INTL(WFTracker[[#This Row],[Start date]],WFTracker[[#This Row],[RM]],1,Holidays!D78:D93)</f>
        <v>3</v>
      </c>
      <c r="P332" s="12">
        <v>45909</v>
      </c>
      <c r="Q332" s="12">
        <v>45916</v>
      </c>
      <c r="R332" s="12">
        <v>45912</v>
      </c>
      <c r="S332" s="12" t="b">
        <f>ISBLANK(WFTracker[[#This Row],[Completion Date]])</f>
        <v>0</v>
      </c>
      <c r="T332" s="12" t="str">
        <f>TEXT(WFTracker[[#This Row],[Start date]],"mmm-yyyy")</f>
        <v>Sep-2025</v>
      </c>
      <c r="U332" s="11">
        <v>10</v>
      </c>
      <c r="V332" s="11">
        <f>NETWORKDAYS.INTL(WFTracker[[#This Row],[Start date]],WFTracker[[#This Row],[Due date]],1,Holidays!D78:D93)</f>
        <v>6</v>
      </c>
      <c r="W3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332" s="24">
        <f ca="1">WFTracker[[#This Row],[Active Time]]-WFTracker[[#This Row],[Completion Days Template]]</f>
        <v>-2</v>
      </c>
      <c r="Y332" s="16" t="str">
        <f ca="1" xml:space="preserve"> IF(WFTracker[[#This Row],[Overdue Time '[Expected-Completion']]]&gt;0, "LATE","ON TIME")</f>
        <v>ON TIME</v>
      </c>
      <c r="Z332" s="16" t="str">
        <f ca="1">IF(WFTracker[[#This Row],[Overdue Time '[Expected-Completion']]] &gt;= 15, "SUPER LATE", Y332)</f>
        <v>ON TIME</v>
      </c>
      <c r="AA332" s="37" t="str">
        <f>IF(WFTracker[[#This Row],[Pre RM Opening Time]]&lt;WFTracker[[#This Row],[Old vs New Order Lead Time WF dead line]], "LATE BY ENG", "ON TIME BY ENG")</f>
        <v>LATE BY ENG</v>
      </c>
      <c r="AB332" s="37"/>
      <c r="AC332" s="15" t="str">
        <f>IF(WFTracker[[#This Row],[Competion Date Content]] = FALSE, "C", "i")</f>
        <v>C</v>
      </c>
      <c r="AD3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332" s="37" t="str">
        <f ca="1">IF(WFTracker[[#This Row],[Impact Time Post RM]]&gt;0, "IMPACTED", "NOT IMPACTED")</f>
        <v>IMPACTED</v>
      </c>
      <c r="AF332" s="15"/>
      <c r="AG332" s="18"/>
      <c r="AH332" s="14" t="str">
        <f>IF(WFTracker[[#This Row],[Status]]="C", "Closed", IF(WFTracker[[#This Row],[Status]] = "x", "Cancelled", WFTracker[[#This Row],[Impact Time Post RM]]))</f>
        <v>Closed</v>
      </c>
      <c r="AI332" s="14" t="str">
        <f ca="1">IF(WFTracker[[#This Row],[Impact Time Post RM]]&lt;=0,"ON TIME","LATE")</f>
        <v>LATE</v>
      </c>
      <c r="AJ332" s="14" t="s">
        <v>984</v>
      </c>
      <c r="AK332" s="14">
        <v>18</v>
      </c>
      <c r="AL332" s="915">
        <f>IF(WFTracker[[#This Row],[Type]]="MAKE", WFTracker[[#This Row],[Due date]]+Filters!$J$111, WFTracker[[#This Row],[Due date]]+Filters!$J$135)</f>
        <v>45919.072512647552</v>
      </c>
      <c r="AM332" s="102" cm="1">
        <f t="array" ref="AM3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3" spans="1:39" ht="15" customHeight="1">
      <c r="A333" t="str">
        <f>IF(WFTracker[[#This Row],[Order Number]]="SWBD", "QED2", "PZ4")</f>
        <v>QED2</v>
      </c>
      <c r="B333" s="21" t="s">
        <v>1239</v>
      </c>
      <c r="C333" s="21" t="s">
        <v>1052</v>
      </c>
      <c r="D333" s="23" t="str">
        <f>WFTracker[[#This Row],[Order Number]]  &amp; "-" &amp; WFTracker[[#This Row],[Item]]</f>
        <v>SWBD-switchboard f2.0</v>
      </c>
      <c r="E333" s="23" t="s">
        <v>1052</v>
      </c>
      <c r="F333" s="12">
        <v>45926</v>
      </c>
      <c r="G333" s="12"/>
      <c r="H333" s="11" t="s">
        <v>947</v>
      </c>
      <c r="I333" s="11" t="s">
        <v>1132</v>
      </c>
      <c r="J333" s="13" t="s">
        <v>1281</v>
      </c>
      <c r="K333" s="14" t="s">
        <v>1023</v>
      </c>
      <c r="L333" s="15" t="s">
        <v>27</v>
      </c>
      <c r="M333" s="29" t="s">
        <v>1120</v>
      </c>
      <c r="N333" s="57" t="s">
        <v>984</v>
      </c>
      <c r="O333" s="15">
        <f>NETWORKDAYS.INTL(WFTracker[[#This Row],[Start date]],WFTracker[[#This Row],[RM]],1,Holidays!D320:D335)</f>
        <v>14</v>
      </c>
      <c r="P333" s="12">
        <v>45909</v>
      </c>
      <c r="Q333" s="12">
        <v>45916</v>
      </c>
      <c r="R333" s="12">
        <v>45927</v>
      </c>
      <c r="S333" s="12" t="b">
        <f>ISBLANK(WFTracker[[#This Row],[Completion Date]])</f>
        <v>0</v>
      </c>
      <c r="T333" s="12" t="str">
        <f>TEXT(WFTracker[[#This Row],[Start date]],"mmm-yyyy")</f>
        <v>Sep-2025</v>
      </c>
      <c r="U333" s="11">
        <v>10</v>
      </c>
      <c r="V333" s="11">
        <f>NETWORKDAYS.INTL(WFTracker[[#This Row],[Start date]],WFTracker[[#This Row],[Due date]],1,Holidays!D320:D335)</f>
        <v>6</v>
      </c>
      <c r="W3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33" s="24">
        <f ca="1">WFTracker[[#This Row],[Active Time]]-WFTracker[[#This Row],[Completion Days Template]]</f>
        <v>7</v>
      </c>
      <c r="Y333" s="16" t="str">
        <f ca="1" xml:space="preserve"> IF(WFTracker[[#This Row],[Overdue Time '[Expected-Completion']]]&gt;0, "LATE","ON TIME")</f>
        <v>LATE</v>
      </c>
      <c r="Z333" s="16" t="str">
        <f ca="1">IF(WFTracker[[#This Row],[Overdue Time '[Expected-Completion']]] &gt;= 15, "SUPER LATE", Y333)</f>
        <v>LATE</v>
      </c>
      <c r="AA333" s="37" t="str">
        <f>IF(WFTracker[[#This Row],[Pre RM Opening Time]]&lt;WFTracker[[#This Row],[Old vs New Order Lead Time WF dead line]], "LATE BY ENG", "ON TIME BY ENG")</f>
        <v>ON TIME BY ENG</v>
      </c>
      <c r="AB333" s="37"/>
      <c r="AC333" s="15" t="str">
        <f>IF(WFTracker[[#This Row],[Competion Date Content]] = FALSE, "C", "I")</f>
        <v>C</v>
      </c>
      <c r="AD3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33" s="37" t="str">
        <f ca="1">IF(WFTracker[[#This Row],[Impact Time Post RM]]&gt;0, "IMPACTED", "NOT IMPACTED")</f>
        <v>IMPACTED</v>
      </c>
      <c r="AF333" s="15"/>
      <c r="AG333" s="18"/>
      <c r="AH333" s="14" t="str">
        <f>IF(WFTracker[[#This Row],[Status]]="C", "Closed", IF(WFTracker[[#This Row],[Status]] = "x", "Cancelled", WFTracker[[#This Row],[Impact Time Post RM]]))</f>
        <v>Closed</v>
      </c>
      <c r="AI333" s="14" t="str">
        <f ca="1">IF(WFTracker[[#This Row],[Impact Time Post RM]]&lt;=0,"ON TIME","LATE")</f>
        <v>LATE</v>
      </c>
      <c r="AJ333" s="14" t="s">
        <v>984</v>
      </c>
      <c r="AK333" s="14">
        <v>18</v>
      </c>
      <c r="AL333" s="915">
        <f>IF(WFTracker[[#This Row],[Type]]="MAKE", WFTracker[[#This Row],[Due date]]+Filters!$J$111, WFTracker[[#This Row],[Due date]]+Filters!$J$135)</f>
        <v>45919.072512647552</v>
      </c>
      <c r="AM333" s="102" cm="1">
        <f t="array" ref="AM3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4" spans="1:39" ht="15" customHeight="1">
      <c r="A334" t="str">
        <f>IF(WFTracker[[#This Row],[Order Number]]="SWBD", "QED2", "PZ4")</f>
        <v>QED2</v>
      </c>
      <c r="B334" s="21" t="s">
        <v>1239</v>
      </c>
      <c r="C334" s="21" t="s">
        <v>1052</v>
      </c>
      <c r="D334" s="23" t="str">
        <f>WFTracker[[#This Row],[Order Number]]  &amp; "-" &amp; WFTracker[[#This Row],[Item]]</f>
        <v>SWBD-switchboard f2.0</v>
      </c>
      <c r="E334" s="23" t="s">
        <v>1052</v>
      </c>
      <c r="F334" s="12">
        <v>45926</v>
      </c>
      <c r="G334" s="12"/>
      <c r="H334" s="11" t="s">
        <v>947</v>
      </c>
      <c r="I334" s="11" t="s">
        <v>1132</v>
      </c>
      <c r="J334" s="13" t="s">
        <v>1282</v>
      </c>
      <c r="K334" s="14" t="s">
        <v>1023</v>
      </c>
      <c r="L334" s="15" t="s">
        <v>27</v>
      </c>
      <c r="M334" s="29" t="s">
        <v>1120</v>
      </c>
      <c r="N334" s="57" t="s">
        <v>984</v>
      </c>
      <c r="O334" s="15">
        <f>NETWORKDAYS.INTL(WFTracker[[#This Row],[Start date]],WFTracker[[#This Row],[RM]],1,Holidays!D321:D336)</f>
        <v>14</v>
      </c>
      <c r="P334" s="12">
        <v>45909</v>
      </c>
      <c r="Q334" s="12">
        <v>45916</v>
      </c>
      <c r="R334" s="12">
        <v>45924</v>
      </c>
      <c r="S334" s="12" t="b">
        <f>ISBLANK(WFTracker[[#This Row],[Completion Date]])</f>
        <v>0</v>
      </c>
      <c r="T334" s="12" t="str">
        <f>TEXT(WFTracker[[#This Row],[Start date]],"mmm-yyyy")</f>
        <v>Sep-2025</v>
      </c>
      <c r="U334" s="11">
        <v>10</v>
      </c>
      <c r="V334" s="11">
        <f>NETWORKDAYS.INTL(WFTracker[[#This Row],[Start date]],WFTracker[[#This Row],[Due date]],1,Holidays!D321:D336)</f>
        <v>6</v>
      </c>
      <c r="W3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34" s="24">
        <f ca="1">WFTracker[[#This Row],[Active Time]]-WFTracker[[#This Row],[Completion Days Template]]</f>
        <v>5</v>
      </c>
      <c r="Y334" s="16" t="str">
        <f ca="1" xml:space="preserve"> IF(WFTracker[[#This Row],[Overdue Time '[Expected-Completion']]]&gt;0, "LATE","ON TIME")</f>
        <v>LATE</v>
      </c>
      <c r="Z334" s="16" t="str">
        <f ca="1">IF(WFTracker[[#This Row],[Overdue Time '[Expected-Completion']]] &gt;= 15, "SUPER LATE", Y334)</f>
        <v>LATE</v>
      </c>
      <c r="AA334" s="37" t="str">
        <f>IF(WFTracker[[#This Row],[Pre RM Opening Time]]&lt;WFTracker[[#This Row],[Old vs New Order Lead Time WF dead line]], "LATE BY ENG", "ON TIME BY ENG")</f>
        <v>ON TIME BY ENG</v>
      </c>
      <c r="AB334" s="37"/>
      <c r="AC334" s="15" t="str">
        <f>IF(WFTracker[[#This Row],[Competion Date Content]] = FALSE, "C", "I")</f>
        <v>C</v>
      </c>
      <c r="AD3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34" s="37" t="str">
        <f ca="1">IF(WFTracker[[#This Row],[Impact Time Post RM]]&gt;0, "IMPACTED", "NOT IMPACTED")</f>
        <v>NOT IMPACTED</v>
      </c>
      <c r="AF334" s="15"/>
      <c r="AG334" s="18"/>
      <c r="AH334" s="14" t="str">
        <f>IF(WFTracker[[#This Row],[Status]]="C", "Closed", IF(WFTracker[[#This Row],[Status]] = "x", "Cancelled", WFTracker[[#This Row],[Impact Time Post RM]]))</f>
        <v>Closed</v>
      </c>
      <c r="AI334" s="14" t="str">
        <f ca="1">IF(WFTracker[[#This Row],[Impact Time Post RM]]&lt;=0,"ON TIME","LATE")</f>
        <v>ON TIME</v>
      </c>
      <c r="AJ334" s="14" t="s">
        <v>984</v>
      </c>
      <c r="AK334" s="14">
        <v>18</v>
      </c>
      <c r="AL334" s="915">
        <f>IF(WFTracker[[#This Row],[Type]]="MAKE", WFTracker[[#This Row],[Due date]]+Filters!$J$111, WFTracker[[#This Row],[Due date]]+Filters!$J$135)</f>
        <v>45919.072512647552</v>
      </c>
      <c r="AM334" s="102" cm="1">
        <f t="array" ref="AM3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5" spans="1:39" ht="15" customHeight="1">
      <c r="A335" t="str">
        <f>IF(WFTracker[[#This Row],[Order Number]]="SWBD", "QED2", "PZ4")</f>
        <v>QED2</v>
      </c>
      <c r="B335" s="21" t="s">
        <v>1239</v>
      </c>
      <c r="C335" s="21" t="s">
        <v>1054</v>
      </c>
      <c r="D335" s="23" t="str">
        <f>WFTracker[[#This Row],[Order Number]]  &amp; "-" &amp; WFTracker[[#This Row],[Item]]</f>
        <v>SWBD-META 2.0</v>
      </c>
      <c r="E335" s="23" t="s">
        <v>1054</v>
      </c>
      <c r="F335" s="12">
        <v>45926</v>
      </c>
      <c r="G335" s="12"/>
      <c r="H335" s="11" t="s">
        <v>947</v>
      </c>
      <c r="I335" s="11" t="s">
        <v>1132</v>
      </c>
      <c r="J335" s="13" t="s">
        <v>1283</v>
      </c>
      <c r="K335" s="14" t="s">
        <v>1023</v>
      </c>
      <c r="L335" s="15" t="s">
        <v>27</v>
      </c>
      <c r="M335" s="29" t="s">
        <v>1120</v>
      </c>
      <c r="N335" s="57" t="s">
        <v>984</v>
      </c>
      <c r="O335" s="15">
        <f>NETWORKDAYS.INTL(WFTracker[[#This Row],[Start date]],WFTracker[[#This Row],[RM]],1,Holidays!D322:D337)</f>
        <v>14</v>
      </c>
      <c r="P335" s="12">
        <v>45909</v>
      </c>
      <c r="Q335" s="12">
        <v>45918</v>
      </c>
      <c r="R335" s="12">
        <v>45927</v>
      </c>
      <c r="S335" s="12" t="b">
        <f>ISBLANK(WFTracker[[#This Row],[Completion Date]])</f>
        <v>0</v>
      </c>
      <c r="T335" s="12" t="str">
        <f>TEXT(WFTracker[[#This Row],[Start date]],"mmm-yyyy")</f>
        <v>Sep-2025</v>
      </c>
      <c r="U335" s="11">
        <v>10</v>
      </c>
      <c r="V335" s="11">
        <f>NETWORKDAYS.INTL(WFTracker[[#This Row],[Start date]],WFTracker[[#This Row],[Due date]],1,Holidays!D322:D337)</f>
        <v>8</v>
      </c>
      <c r="W3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35" s="24">
        <f ca="1">WFTracker[[#This Row],[Active Time]]-WFTracker[[#This Row],[Completion Days Template]]</f>
        <v>5</v>
      </c>
      <c r="Y335" s="16" t="str">
        <f ca="1" xml:space="preserve"> IF(WFTracker[[#This Row],[Overdue Time '[Expected-Completion']]]&gt;0, "LATE","ON TIME")</f>
        <v>LATE</v>
      </c>
      <c r="Z335" s="16" t="str">
        <f ca="1">IF(WFTracker[[#This Row],[Overdue Time '[Expected-Completion']]] &gt;= 15, "SUPER LATE", Y335)</f>
        <v>LATE</v>
      </c>
      <c r="AA335" s="37" t="str">
        <f>IF(WFTracker[[#This Row],[Pre RM Opening Time]]&lt;WFTracker[[#This Row],[Old vs New Order Lead Time WF dead line]], "LATE BY ENG", "ON TIME BY ENG")</f>
        <v>ON TIME BY ENG</v>
      </c>
      <c r="AB335" s="37"/>
      <c r="AC335" s="15" t="str">
        <f>IF(WFTracker[[#This Row],[Competion Date Content]] = FALSE, "C", "I")</f>
        <v>C</v>
      </c>
      <c r="AD3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35" s="37" t="str">
        <f ca="1">IF(WFTracker[[#This Row],[Impact Time Post RM]]&gt;0, "IMPACTED", "NOT IMPACTED")</f>
        <v>IMPACTED</v>
      </c>
      <c r="AF335" s="15"/>
      <c r="AG335" s="18"/>
      <c r="AH335" s="14" t="str">
        <f>IF(WFTracker[[#This Row],[Status]]="C", "Closed", IF(WFTracker[[#This Row],[Status]] = "x", "Cancelled", WFTracker[[#This Row],[Impact Time Post RM]]))</f>
        <v>Closed</v>
      </c>
      <c r="AI335" s="14" t="str">
        <f ca="1">IF(WFTracker[[#This Row],[Impact Time Post RM]]&lt;=0,"ON TIME","LATE")</f>
        <v>LATE</v>
      </c>
      <c r="AJ335" s="14" t="s">
        <v>984</v>
      </c>
      <c r="AK335" s="14">
        <v>18</v>
      </c>
      <c r="AL335" s="915">
        <f>IF(WFTracker[[#This Row],[Type]]="MAKE", WFTracker[[#This Row],[Due date]]+Filters!$J$111, WFTracker[[#This Row],[Due date]]+Filters!$J$135)</f>
        <v>45921.072512647552</v>
      </c>
      <c r="AM335" s="102" cm="1">
        <f t="array" ref="AM3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6" spans="1:39" ht="15" customHeight="1">
      <c r="A336" t="str">
        <f>IF(WFTracker[[#This Row],[Order Number]]="SWBD", "QED2", "PZ4")</f>
        <v>QED2</v>
      </c>
      <c r="B336" s="21" t="s">
        <v>1239</v>
      </c>
      <c r="C336" s="21" t="s">
        <v>1052</v>
      </c>
      <c r="D336" s="23" t="str">
        <f>WFTracker[[#This Row],[Order Number]]  &amp; "-" &amp; WFTracker[[#This Row],[Item]]</f>
        <v>SWBD-switchboard f2.0</v>
      </c>
      <c r="E336" s="23" t="s">
        <v>1052</v>
      </c>
      <c r="F336" s="12">
        <v>45926</v>
      </c>
      <c r="G336" s="12"/>
      <c r="H336" s="11" t="s">
        <v>947</v>
      </c>
      <c r="I336" s="11" t="s">
        <v>1132</v>
      </c>
      <c r="J336" s="13" t="s">
        <v>1284</v>
      </c>
      <c r="K336" s="14" t="s">
        <v>1023</v>
      </c>
      <c r="L336" s="15" t="s">
        <v>40</v>
      </c>
      <c r="M336" s="29" t="s">
        <v>1120</v>
      </c>
      <c r="N336" s="57" t="s">
        <v>984</v>
      </c>
      <c r="O336" s="15">
        <f>NETWORKDAYS.INTL(WFTracker[[#This Row],[Start date]],WFTracker[[#This Row],[RM]],1,Holidays!D323:D338)</f>
        <v>14</v>
      </c>
      <c r="P336" s="12">
        <v>45909</v>
      </c>
      <c r="Q336" s="12">
        <v>45919</v>
      </c>
      <c r="R336" s="12">
        <v>45918</v>
      </c>
      <c r="S336" s="12" t="b">
        <f>ISBLANK(WFTracker[[#This Row],[Completion Date]])</f>
        <v>0</v>
      </c>
      <c r="T336" s="12" t="str">
        <f>TEXT(WFTracker[[#This Row],[Start date]],"mmm-yyyy")</f>
        <v>Sep-2025</v>
      </c>
      <c r="U336" s="11">
        <v>10</v>
      </c>
      <c r="V336" s="11">
        <f>NETWORKDAYS.INTL(WFTracker[[#This Row],[Start date]],WFTracker[[#This Row],[Due date]],1,Holidays!D323:D338)</f>
        <v>9</v>
      </c>
      <c r="W3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36" s="24">
        <f ca="1">WFTracker[[#This Row],[Active Time]]-WFTracker[[#This Row],[Completion Days Template]]</f>
        <v>-2</v>
      </c>
      <c r="Y336" s="16" t="str">
        <f ca="1" xml:space="preserve"> IF(WFTracker[[#This Row],[Overdue Time '[Expected-Completion']]]&gt;0, "LATE","ON TIME")</f>
        <v>ON TIME</v>
      </c>
      <c r="Z336" s="16" t="str">
        <f ca="1">IF(WFTracker[[#This Row],[Overdue Time '[Expected-Completion']]] &gt;= 15, "SUPER LATE", Y336)</f>
        <v>ON TIME</v>
      </c>
      <c r="AA336" s="37" t="str">
        <f>IF(WFTracker[[#This Row],[Pre RM Opening Time]]&lt;WFTracker[[#This Row],[Old vs New Order Lead Time WF dead line]], "LATE BY ENG", "ON TIME BY ENG")</f>
        <v>ON TIME BY ENG</v>
      </c>
      <c r="AB336" s="37"/>
      <c r="AC336" s="15" t="str">
        <f>IF(WFTracker[[#This Row],[Competion Date Content]] = FALSE, "C", "I")</f>
        <v>C</v>
      </c>
      <c r="AD3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336" s="25" t="str">
        <f ca="1">IF(WFTracker[[#This Row],[Impact Time Post RM]]&gt;0, "IMPACTED", "NOT IMPACTED")</f>
        <v>NOT IMPACTED</v>
      </c>
      <c r="AF336" s="15"/>
      <c r="AG336" s="18"/>
      <c r="AH336" s="14" t="str">
        <f>IF(WFTracker[[#This Row],[Status]]="C", "Closed", IF(WFTracker[[#This Row],[Status]] = "x", "Cancelled", WFTracker[[#This Row],[Impact Time Post RM]]))</f>
        <v>Closed</v>
      </c>
      <c r="AI336" s="14" t="str">
        <f ca="1">IF(WFTracker[[#This Row],[Impact Time Post RM]]&lt;=0,"ON TIME","LATE")</f>
        <v>ON TIME</v>
      </c>
      <c r="AJ336" s="14" t="s">
        <v>984</v>
      </c>
      <c r="AK336" s="14">
        <v>17</v>
      </c>
      <c r="AL336" s="915">
        <f>IF(WFTracker[[#This Row],[Type]]="MAKE", WFTracker[[#This Row],[Due date]]+Filters!$J$111, WFTracker[[#This Row],[Due date]]+Filters!$J$135)</f>
        <v>45919.415686274508</v>
      </c>
      <c r="AM336" s="102" cm="1">
        <f t="array" ref="AM3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7" spans="1:39" ht="15" customHeight="1">
      <c r="A337" t="str">
        <f>IF(WFTracker[[#This Row],[Order Number]]="SWBD", "QED2", "PZ4")</f>
        <v>PZ4</v>
      </c>
      <c r="B337" s="21" t="s">
        <v>401</v>
      </c>
      <c r="C337" s="21" t="s">
        <v>135</v>
      </c>
      <c r="D337" s="11" t="str">
        <f>WFTracker[[#This Row],[Order Number]]  &amp; "-" &amp; WFTracker[[#This Row],[Item]]</f>
        <v>0051199001-000010</v>
      </c>
      <c r="E337" s="23" t="s">
        <v>1020</v>
      </c>
      <c r="F337" s="12">
        <v>45936</v>
      </c>
      <c r="G337" s="12"/>
      <c r="H337" s="11" t="s">
        <v>237</v>
      </c>
      <c r="I337" s="11" t="s">
        <v>1132</v>
      </c>
      <c r="J337" s="13" t="s">
        <v>1285</v>
      </c>
      <c r="K337" s="14" t="s">
        <v>1023</v>
      </c>
      <c r="L337" s="15" t="s">
        <v>40</v>
      </c>
      <c r="M337" s="29" t="s">
        <v>1181</v>
      </c>
      <c r="N337" s="57">
        <v>45987</v>
      </c>
      <c r="O337" s="15">
        <f>NETWORKDAYS.INTL(WFTracker[[#This Row],[Start date]],WFTracker[[#This Row],[RM]],1,Holidays!D31:D44)</f>
        <v>19</v>
      </c>
      <c r="P337" s="12">
        <v>45910</v>
      </c>
      <c r="Q337" s="12">
        <v>45922</v>
      </c>
      <c r="R337" s="12">
        <v>45922</v>
      </c>
      <c r="S337" s="12" t="b">
        <f>ISBLANK(WFTracker[[#This Row],[Completion Date]])</f>
        <v>0</v>
      </c>
      <c r="T337" s="12" t="str">
        <f>TEXT(WFTracker[[#This Row],[Start date]],"mmm-yyyy")</f>
        <v>Sep-2025</v>
      </c>
      <c r="U337" s="11">
        <v>5</v>
      </c>
      <c r="V337" s="11">
        <f>NETWORKDAYS.INTL(WFTracker[[#This Row],[Start date]],WFTracker[[#This Row],[Due date]],1,Holidays!D31:D44)</f>
        <v>9</v>
      </c>
      <c r="W3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37" s="24">
        <f ca="1">WFTracker[[#This Row],[Active Time]]-WFTracker[[#This Row],[Completion Days Template]]</f>
        <v>-1</v>
      </c>
      <c r="Y337" s="16" t="str">
        <f ca="1" xml:space="preserve"> IF(WFTracker[[#This Row],[Overdue Time '[Expected-Completion']]]&gt;0, "LATE","ON TIME")</f>
        <v>ON TIME</v>
      </c>
      <c r="Z337" s="16" t="str">
        <f ca="1">IF(WFTracker[[#This Row],[Overdue Time '[Expected-Completion']]] &gt;= 15, "SUPER LATE", Y337)</f>
        <v>ON TIME</v>
      </c>
      <c r="AA337" s="37" t="str">
        <f>IF(WFTracker[[#This Row],[Pre RM Opening Time]]&lt;WFTracker[[#This Row],[Old vs New Order Lead Time WF dead line]], "LATE BY ENG", "ON TIME BY ENG")</f>
        <v>ON TIME BY ENG</v>
      </c>
      <c r="AB337" s="37"/>
      <c r="AC337" s="15" t="str">
        <f>IF(WFTracker[[#This Row],[Competion Date Content]] = FALSE, "C", "i")</f>
        <v>C</v>
      </c>
      <c r="AD3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337" s="37" t="str">
        <f ca="1">IF(WFTracker[[#This Row],[Impact Time Post RM]]&gt;0, "IMPACTED", "NOT IMPACTED")</f>
        <v>NOT IMPACTED</v>
      </c>
      <c r="AF337" s="15"/>
      <c r="AG337" s="18"/>
      <c r="AH337" s="14" t="str">
        <f>IF(WFTracker[[#This Row],[Status]]="C", "Closed", IF(WFTracker[[#This Row],[Status]] = "x", "Cancelled", WFTracker[[#This Row],[Impact Time Post RM]]))</f>
        <v>Closed</v>
      </c>
      <c r="AI337" s="14" t="str">
        <f ca="1">IF(WFTracker[[#This Row],[Impact Time Post RM]]&lt;=0,"ON TIME","LATE")</f>
        <v>ON TIME</v>
      </c>
      <c r="AJ337" s="14" t="s">
        <v>984</v>
      </c>
      <c r="AK337" s="14">
        <v>17</v>
      </c>
      <c r="AL337" s="915">
        <f>IF(WFTracker[[#This Row],[Type]]="MAKE", WFTracker[[#This Row],[Due date]]+Filters!$J$111, WFTracker[[#This Row],[Due date]]+Filters!$J$135)</f>
        <v>45922.415686274508</v>
      </c>
      <c r="AM337" s="102" cm="1">
        <f t="array" ref="AM3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8" spans="1:39" ht="15" customHeight="1">
      <c r="A338" t="str">
        <f>IF(WFTracker[[#This Row],[Order Number]]="SWBD", "QED2", "PZ4")</f>
        <v>QED2</v>
      </c>
      <c r="B338" s="21" t="s">
        <v>1239</v>
      </c>
      <c r="C338" s="21" t="s">
        <v>1286</v>
      </c>
      <c r="D338" s="23" t="str">
        <f>WFTracker[[#This Row],[Order Number]]  &amp; "-" &amp; WFTracker[[#This Row],[Item]]</f>
        <v>SWBD-meta 2.0</v>
      </c>
      <c r="E338" s="23" t="s">
        <v>1286</v>
      </c>
      <c r="F338" s="12">
        <v>45926</v>
      </c>
      <c r="G338" s="12"/>
      <c r="H338" s="11" t="s">
        <v>947</v>
      </c>
      <c r="I338" s="11" t="s">
        <v>1132</v>
      </c>
      <c r="J338" s="13" t="s">
        <v>1287</v>
      </c>
      <c r="K338" s="14" t="s">
        <v>1023</v>
      </c>
      <c r="L338" s="15" t="s">
        <v>40</v>
      </c>
      <c r="M338" s="29" t="s">
        <v>1120</v>
      </c>
      <c r="N338" s="57" t="s">
        <v>984</v>
      </c>
      <c r="O338" s="15">
        <f>NETWORKDAYS.INTL(WFTracker[[#This Row],[Start date]],WFTracker[[#This Row],[RM]],1,Holidays!D291:D306)</f>
        <v>13</v>
      </c>
      <c r="P338" s="12">
        <v>45910</v>
      </c>
      <c r="Q338" s="12">
        <v>45922</v>
      </c>
      <c r="R338" s="12">
        <v>45927</v>
      </c>
      <c r="S338" s="12" t="b">
        <f>ISBLANK(WFTracker[[#This Row],[Completion Date]])</f>
        <v>0</v>
      </c>
      <c r="T338" s="12" t="str">
        <f>TEXT(WFTracker[[#This Row],[Start date]],"mmm-yyyy")</f>
        <v>Sep-2025</v>
      </c>
      <c r="U338" s="11">
        <v>10</v>
      </c>
      <c r="V338" s="11">
        <f>NETWORKDAYS.INTL(WFTracker[[#This Row],[Start date]],WFTracker[[#This Row],[Due date]],1,Holidays!D291:D306)</f>
        <v>9</v>
      </c>
      <c r="W3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338" s="24">
        <f ca="1">WFTracker[[#This Row],[Active Time]]-WFTracker[[#This Row],[Completion Days Template]]</f>
        <v>3</v>
      </c>
      <c r="Y338" s="16" t="str">
        <f ca="1" xml:space="preserve"> IF(WFTracker[[#This Row],[Overdue Time '[Expected-Completion']]]&gt;0, "LATE","ON TIME")</f>
        <v>LATE</v>
      </c>
      <c r="Z338" s="16" t="str">
        <f ca="1">IF(WFTracker[[#This Row],[Overdue Time '[Expected-Completion']]] &gt;= 15, "SUPER LATE", Y338)</f>
        <v>LATE</v>
      </c>
      <c r="AA338" s="37" t="str">
        <f>IF(WFTracker[[#This Row],[Pre RM Opening Time]]&lt;WFTracker[[#This Row],[Old vs New Order Lead Time WF dead line]], "LATE BY ENG", "ON TIME BY ENG")</f>
        <v>ON TIME BY ENG</v>
      </c>
      <c r="AB338" s="37"/>
      <c r="AC338" s="15" t="str">
        <f>IF(WFTracker[[#This Row],[Competion Date Content]] = FALSE, "C", "I")</f>
        <v>C</v>
      </c>
      <c r="AD3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38" s="37" t="str">
        <f ca="1">IF(WFTracker[[#This Row],[Impact Time Post RM]]&gt;0, "IMPACTED", "NOT IMPACTED")</f>
        <v>IMPACTED</v>
      </c>
      <c r="AF338" s="15"/>
      <c r="AG338" s="18"/>
      <c r="AH338" s="14" t="str">
        <f>IF(WFTracker[[#This Row],[Status]]="C", "Closed", IF(WFTracker[[#This Row],[Status]] = "x", "Cancelled", WFTracker[[#This Row],[Impact Time Post RM]]))</f>
        <v>Closed</v>
      </c>
      <c r="AI338" s="14" t="str">
        <f ca="1">IF(WFTracker[[#This Row],[Impact Time Post RM]]&lt;=0,"ON TIME","LATE")</f>
        <v>LATE</v>
      </c>
      <c r="AJ338" s="14" t="s">
        <v>984</v>
      </c>
      <c r="AK338" s="14">
        <v>17</v>
      </c>
      <c r="AL338" s="915">
        <f>IF(WFTracker[[#This Row],[Type]]="MAKE", WFTracker[[#This Row],[Due date]]+Filters!$J$111, WFTracker[[#This Row],[Due date]]+Filters!$J$135)</f>
        <v>45922.415686274508</v>
      </c>
      <c r="AM338" s="102" cm="1">
        <f t="array" ref="AM3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39" spans="1:39" ht="15" customHeight="1">
      <c r="A339" t="str">
        <f>IF(WFTracker[[#This Row],[Order Number]]="SWBD", "QED2", "PZ4")</f>
        <v>PZ4</v>
      </c>
      <c r="B339" s="21" t="s">
        <v>114</v>
      </c>
      <c r="C339" s="21" t="s">
        <v>257</v>
      </c>
      <c r="D339" s="11" t="str">
        <f>WFTracker[[#This Row],[Order Number]]  &amp; "-" &amp; WFTracker[[#This Row],[Item]]</f>
        <v>0050754152-000090</v>
      </c>
      <c r="E339" s="23" t="s">
        <v>116</v>
      </c>
      <c r="F339" s="12">
        <v>45839</v>
      </c>
      <c r="G339" s="12"/>
      <c r="H339" s="11" t="s">
        <v>113</v>
      </c>
      <c r="I339" s="11" t="s">
        <v>186</v>
      </c>
      <c r="J339" s="13" t="s">
        <v>1288</v>
      </c>
      <c r="K339" s="14" t="s">
        <v>1017</v>
      </c>
      <c r="L339" s="15" t="s">
        <v>27</v>
      </c>
      <c r="M339" s="15" t="s">
        <v>1120</v>
      </c>
      <c r="N339" s="57">
        <v>45922</v>
      </c>
      <c r="O339" s="15">
        <f>NETWORKDAYS.INTL(WFTracker[[#This Row],[Start date]],WFTracker[[#This Row],[RM]],1,Holidays!D292:D307)</f>
        <v>-53</v>
      </c>
      <c r="P339" s="12">
        <v>45911</v>
      </c>
      <c r="Q339" s="12">
        <v>45919</v>
      </c>
      <c r="R339" s="12">
        <v>45915</v>
      </c>
      <c r="S339" s="12" t="b">
        <f>ISBLANK(WFTracker[[#This Row],[Completion Date]])</f>
        <v>0</v>
      </c>
      <c r="T339" s="12" t="str">
        <f>TEXT(WFTracker[[#This Row],[Start date]],"mmm-yyyy")</f>
        <v>Sep-2025</v>
      </c>
      <c r="U339" s="11">
        <v>5</v>
      </c>
      <c r="V339" s="11">
        <f>NETWORKDAYS.INTL(WFTracker[[#This Row],[Start date]],WFTracker[[#This Row],[Due date]],1,Holidays!D292:D307)</f>
        <v>7</v>
      </c>
      <c r="W3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339" s="24">
        <f ca="1">WFTracker[[#This Row],[Active Time]]-WFTracker[[#This Row],[Completion Days Template]]</f>
        <v>-4</v>
      </c>
      <c r="Y339" s="16" t="str">
        <f ca="1" xml:space="preserve"> IF(WFTracker[[#This Row],[Overdue Time '[Expected-Completion']]]&gt;0, "LATE","ON TIME")</f>
        <v>ON TIME</v>
      </c>
      <c r="Z339" s="16" t="str">
        <f ca="1">IF(WFTracker[[#This Row],[Overdue Time '[Expected-Completion']]] &gt;= 15, "SUPER LATE", Y339)</f>
        <v>ON TIME</v>
      </c>
      <c r="AA339" s="37" t="str">
        <f>IF(WFTracker[[#This Row],[Pre RM Opening Time]]&lt;WFTracker[[#This Row],[Old vs New Order Lead Time WF dead line]], "LATE BY ENG", "ON TIME BY ENG")</f>
        <v>LATE BY ENG</v>
      </c>
      <c r="AB339" s="37"/>
      <c r="AC339" s="15" t="str">
        <f>IF(WFTracker[[#This Row],[Competion Date Content]] = FALSE, "C", "i")</f>
        <v>C</v>
      </c>
      <c r="AD3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55</v>
      </c>
      <c r="AE339" s="37" t="str">
        <f ca="1">IF(WFTracker[[#This Row],[Impact Time Post RM]]&gt;0, "IMPACTED", "NOT IMPACTED")</f>
        <v>IMPACTED</v>
      </c>
      <c r="AF339" s="15"/>
      <c r="AG339" s="18"/>
      <c r="AH339" s="14" t="str">
        <f>IF(WFTracker[[#This Row],[Status]]="C", "Closed", IF(WFTracker[[#This Row],[Status]] = "x", "Cancelled", WFTracker[[#This Row],[Impact Time Post RM]]))</f>
        <v>Closed</v>
      </c>
      <c r="AI339" s="14" t="str">
        <f ca="1">IF(WFTracker[[#This Row],[Impact Time Post RM]]&lt;=0,"ON TIME","LATE")</f>
        <v>LATE</v>
      </c>
      <c r="AJ339" s="14" t="s">
        <v>984</v>
      </c>
      <c r="AK339" s="14">
        <v>18</v>
      </c>
      <c r="AL339" s="915">
        <f>IF(WFTracker[[#This Row],[Type]]="MAKE", WFTracker[[#This Row],[Due date]]+Filters!$J$111, WFTracker[[#This Row],[Due date]]+Filters!$J$135)</f>
        <v>45922.072512647552</v>
      </c>
      <c r="AM339" s="102" cm="1">
        <f t="array" ref="AM3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0" spans="1:39" ht="15" customHeight="1">
      <c r="A340" t="str">
        <f>IF(WFTracker[[#This Row],[Order Number]]="SWBD", "QED2", "PZ4")</f>
        <v>PZ4</v>
      </c>
      <c r="B340" s="21" t="s">
        <v>401</v>
      </c>
      <c r="C340" s="21" t="s">
        <v>135</v>
      </c>
      <c r="D340" s="11" t="str">
        <f>WFTracker[[#This Row],[Order Number]]  &amp; "-" &amp; WFTracker[[#This Row],[Item]]</f>
        <v>0051199001-000010</v>
      </c>
      <c r="E340" s="23" t="s">
        <v>1020</v>
      </c>
      <c r="F340" s="12">
        <v>45936</v>
      </c>
      <c r="G340" s="12"/>
      <c r="H340" s="11" t="s">
        <v>237</v>
      </c>
      <c r="I340" s="11" t="s">
        <v>1132</v>
      </c>
      <c r="J340" s="13" t="s">
        <v>1289</v>
      </c>
      <c r="K340" s="14" t="s">
        <v>1023</v>
      </c>
      <c r="L340" s="15" t="s">
        <v>40</v>
      </c>
      <c r="M340" s="29" t="s">
        <v>1181</v>
      </c>
      <c r="N340" s="57">
        <v>45987</v>
      </c>
      <c r="O340" s="15">
        <f>NETWORKDAYS.INTL(WFTracker[[#This Row],[Start date]],WFTracker[[#This Row],[RM]],1,Holidays!D293:D308)</f>
        <v>17</v>
      </c>
      <c r="P340" s="12">
        <v>45912</v>
      </c>
      <c r="Q340" s="12">
        <v>45926</v>
      </c>
      <c r="R340" s="12">
        <v>45931</v>
      </c>
      <c r="S340" s="12" t="b">
        <f>ISBLANK(WFTracker[[#This Row],[Completion Date]])</f>
        <v>0</v>
      </c>
      <c r="T340" s="12" t="str">
        <f>TEXT(WFTracker[[#This Row],[Start date]],"mmm-yyyy")</f>
        <v>Sep-2025</v>
      </c>
      <c r="U340" s="11">
        <v>5</v>
      </c>
      <c r="V340" s="11">
        <f>NETWORKDAYS.INTL(WFTracker[[#This Row],[Start date]],WFTracker[[#This Row],[Due date]],1,Holidays!D293:D308)</f>
        <v>11</v>
      </c>
      <c r="W3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40" s="24">
        <f ca="1">WFTracker[[#This Row],[Active Time]]-WFTracker[[#This Row],[Completion Days Template]]</f>
        <v>2</v>
      </c>
      <c r="Y340" s="16" t="str">
        <f ca="1" xml:space="preserve"> IF(WFTracker[[#This Row],[Overdue Time '[Expected-Completion']]]&gt;0, "LATE","ON TIME")</f>
        <v>LATE</v>
      </c>
      <c r="Z340" s="16" t="str">
        <f ca="1">IF(WFTracker[[#This Row],[Overdue Time '[Expected-Completion']]] &gt;= 15, "SUPER LATE", Y340)</f>
        <v>LATE</v>
      </c>
      <c r="AA340" s="37" t="str">
        <f>IF(WFTracker[[#This Row],[Pre RM Opening Time]]&lt;WFTracker[[#This Row],[Old vs New Order Lead Time WF dead line]], "LATE BY ENG", "ON TIME BY ENG")</f>
        <v>ON TIME BY ENG</v>
      </c>
      <c r="AB340" s="37" t="s">
        <v>1290</v>
      </c>
      <c r="AC340" s="15" t="str">
        <f>IF(WFTracker[[#This Row],[Competion Date Content]] = FALSE, "C", "i")</f>
        <v>C</v>
      </c>
      <c r="AD3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340" s="37" t="str">
        <f ca="1">IF(WFTracker[[#This Row],[Impact Time Post RM]]&gt;0, "IMPACTED", "NOT IMPACTED")</f>
        <v>NOT IMPACTED</v>
      </c>
      <c r="AF340" s="15"/>
      <c r="AG340" s="18"/>
      <c r="AH340" s="14" t="str">
        <f>IF(WFTracker[[#This Row],[Status]]="C", "Closed", IF(WFTracker[[#This Row],[Status]] = "x", "Cancelled", WFTracker[[#This Row],[Impact Time Post RM]]))</f>
        <v>Closed</v>
      </c>
      <c r="AI340" s="14" t="str">
        <f ca="1">IF(WFTracker[[#This Row],[Impact Time Post RM]]&lt;=0,"ON TIME","LATE")</f>
        <v>ON TIME</v>
      </c>
      <c r="AJ340" s="14" t="s">
        <v>984</v>
      </c>
      <c r="AK340" s="14">
        <v>17</v>
      </c>
      <c r="AL340" s="915">
        <f>IF(WFTracker[[#This Row],[Type]]="MAKE", WFTracker[[#This Row],[Due date]]+Filters!$J$111, WFTracker[[#This Row],[Due date]]+Filters!$J$135)</f>
        <v>45926.415686274508</v>
      </c>
      <c r="AM340" s="102" cm="1">
        <f t="array" ref="AM3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1" spans="1:39" ht="15" customHeight="1">
      <c r="A341" t="str">
        <f>IF(WFTracker[[#This Row],[Order Number]]="SWBD", "QED2", "PZ4")</f>
        <v>PZ4</v>
      </c>
      <c r="B341" s="21" t="s">
        <v>384</v>
      </c>
      <c r="C341" s="21" t="s">
        <v>389</v>
      </c>
      <c r="D341" s="11" t="str">
        <f>WFTracker[[#This Row],[Order Number]]  &amp; "-" &amp; WFTracker[[#This Row],[Item]]</f>
        <v>0051306085-000300</v>
      </c>
      <c r="E341" s="23" t="s">
        <v>350</v>
      </c>
      <c r="F341" s="12">
        <v>45910</v>
      </c>
      <c r="G341" s="12"/>
      <c r="H341" s="11" t="s">
        <v>259</v>
      </c>
      <c r="I341" s="11" t="s">
        <v>1154</v>
      </c>
      <c r="J341" s="13" t="s">
        <v>1291</v>
      </c>
      <c r="K341" s="14" t="s">
        <v>1023</v>
      </c>
      <c r="L341" s="15" t="s">
        <v>40</v>
      </c>
      <c r="M341" s="29" t="s">
        <v>1120</v>
      </c>
      <c r="N341" s="57">
        <v>45789</v>
      </c>
      <c r="O341" s="15">
        <f>NETWORKDAYS.INTL(WFTracker[[#This Row],[Start date]],WFTracker[[#This Row],[RM]],1,Holidays!D38:D53)</f>
        <v>-3</v>
      </c>
      <c r="P341" s="12">
        <v>45912</v>
      </c>
      <c r="Q341" s="12">
        <v>45925</v>
      </c>
      <c r="R341" s="12">
        <v>45925</v>
      </c>
      <c r="S341" s="12" t="b">
        <f>ISBLANK(WFTracker[[#This Row],[Completion Date]])</f>
        <v>0</v>
      </c>
      <c r="T341" s="12" t="str">
        <f>TEXT(WFTracker[[#This Row],[Start date]],"mmm-yyyy")</f>
        <v>Sep-2025</v>
      </c>
      <c r="U341" s="11">
        <v>5</v>
      </c>
      <c r="V341" s="11">
        <f>NETWORKDAYS.INTL(WFTracker[[#This Row],[Start date]],WFTracker[[#This Row],[Due date]],1,Holidays!D38:D53)</f>
        <v>10</v>
      </c>
      <c r="W3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341" s="24">
        <f ca="1">WFTracker[[#This Row],[Active Time]]-WFTracker[[#This Row],[Completion Days Template]]</f>
        <v>-1</v>
      </c>
      <c r="Y341" s="16" t="str">
        <f ca="1" xml:space="preserve"> IF(WFTracker[[#This Row],[Overdue Time '[Expected-Completion']]]&gt;0, "LATE","ON TIME")</f>
        <v>ON TIME</v>
      </c>
      <c r="Z341" s="16" t="str">
        <f ca="1">IF(WFTracker[[#This Row],[Overdue Time '[Expected-Completion']]] &gt;= 15, "SUPER LATE", Y341)</f>
        <v>ON TIME</v>
      </c>
      <c r="AA341" s="37" t="str">
        <f>IF(WFTracker[[#This Row],[Pre RM Opening Time]]&lt;WFTracker[[#This Row],[Old vs New Order Lead Time WF dead line]], "LATE BY ENG", "ON TIME BY ENG")</f>
        <v>LATE BY ENG</v>
      </c>
      <c r="AB341" s="37"/>
      <c r="AC341" s="15" t="str">
        <f>IF(WFTracker[[#This Row],[Competion Date Content]] = FALSE, "C", "i")</f>
        <v>C</v>
      </c>
      <c r="AD3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341" s="37" t="str">
        <f ca="1">IF(WFTracker[[#This Row],[Impact Time Post RM]]&gt;0, "IMPACTED", "NOT IMPACTED")</f>
        <v>IMPACTED</v>
      </c>
      <c r="AF341" s="15"/>
      <c r="AG341" s="18"/>
      <c r="AH341" s="14" t="str">
        <f>IF(WFTracker[[#This Row],[Status]]="C", "Closed", IF(WFTracker[[#This Row],[Status]] = "x", "Cancelled", WFTracker[[#This Row],[Impact Time Post RM]]))</f>
        <v>Closed</v>
      </c>
      <c r="AI341" s="14" t="str">
        <f ca="1">IF(WFTracker[[#This Row],[Impact Time Post RM]]&lt;=0,"ON TIME","LATE")</f>
        <v>LATE</v>
      </c>
      <c r="AJ341" s="14" t="s">
        <v>984</v>
      </c>
      <c r="AK341" s="14">
        <v>17</v>
      </c>
      <c r="AL341" s="915">
        <f>IF(WFTracker[[#This Row],[Type]]="MAKE", WFTracker[[#This Row],[Due date]]+Filters!$J$111, WFTracker[[#This Row],[Due date]]+Filters!$J$135)</f>
        <v>45925.415686274508</v>
      </c>
      <c r="AM341" s="102" cm="1">
        <f t="array" ref="AM3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2" spans="1:39" ht="15" customHeight="1">
      <c r="A342" t="str">
        <f>IF(WFTracker[[#This Row],[Order Number]]="SWBD", "QED2", "PZ4")</f>
        <v>QED2</v>
      </c>
      <c r="B342" s="21" t="s">
        <v>1239</v>
      </c>
      <c r="C342" s="21" t="s">
        <v>1286</v>
      </c>
      <c r="D342" s="23" t="str">
        <f>WFTracker[[#This Row],[Order Number]]  &amp; "-" &amp; WFTracker[[#This Row],[Item]]</f>
        <v>SWBD-meta 2.0</v>
      </c>
      <c r="E342" s="23" t="s">
        <v>1286</v>
      </c>
      <c r="F342" s="12">
        <v>45926</v>
      </c>
      <c r="G342" s="12"/>
      <c r="H342" s="11" t="s">
        <v>947</v>
      </c>
      <c r="I342" s="11" t="s">
        <v>1132</v>
      </c>
      <c r="J342" s="13" t="s">
        <v>1292</v>
      </c>
      <c r="K342" s="14" t="s">
        <v>1023</v>
      </c>
      <c r="L342" s="15" t="s">
        <v>27</v>
      </c>
      <c r="M342" s="29" t="s">
        <v>1120</v>
      </c>
      <c r="N342" s="57" t="s">
        <v>984</v>
      </c>
      <c r="O342" s="15">
        <f>NETWORKDAYS.INTL(WFTracker[[#This Row],[Start date]],WFTracker[[#This Row],[RM]],1,Holidays!D231:D246)</f>
        <v>11</v>
      </c>
      <c r="P342" s="12">
        <v>45912</v>
      </c>
      <c r="Q342" s="12">
        <v>45922</v>
      </c>
      <c r="R342" s="12">
        <v>45919</v>
      </c>
      <c r="S342" s="12" t="b">
        <f>ISBLANK(WFTracker[[#This Row],[Completion Date]])</f>
        <v>0</v>
      </c>
      <c r="T342" s="12" t="str">
        <f>TEXT(WFTracker[[#This Row],[Start date]],"mmm-yyyy")</f>
        <v>Sep-2025</v>
      </c>
      <c r="U342" s="11">
        <v>10</v>
      </c>
      <c r="V342" s="11">
        <f>NETWORKDAYS.INTL(WFTracker[[#This Row],[Start date]],WFTracker[[#This Row],[Due date]],1,Holidays!D231:D246)</f>
        <v>7</v>
      </c>
      <c r="W3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342" s="24">
        <f ca="1">WFTracker[[#This Row],[Active Time]]-WFTracker[[#This Row],[Completion Days Template]]</f>
        <v>-2</v>
      </c>
      <c r="Y342" s="16" t="str">
        <f ca="1" xml:space="preserve"> IF(WFTracker[[#This Row],[Overdue Time '[Expected-Completion']]]&gt;0, "LATE","ON TIME")</f>
        <v>ON TIME</v>
      </c>
      <c r="Z342" s="16" t="str">
        <f ca="1">IF(WFTracker[[#This Row],[Overdue Time '[Expected-Completion']]] &gt;= 15, "SUPER LATE", Y342)</f>
        <v>ON TIME</v>
      </c>
      <c r="AA342" s="37" t="str">
        <f>IF(WFTracker[[#This Row],[Pre RM Opening Time]]&lt;WFTracker[[#This Row],[Old vs New Order Lead Time WF dead line]], "LATE BY ENG", "ON TIME BY ENG")</f>
        <v>ON TIME BY ENG</v>
      </c>
      <c r="AB342" s="37"/>
      <c r="AC342" s="15" t="str">
        <f>IF(WFTracker[[#This Row],[Competion Date Content]] = FALSE, "C", "I")</f>
        <v>C</v>
      </c>
      <c r="AD3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342" s="37" t="str">
        <f ca="1">IF(WFTracker[[#This Row],[Impact Time Post RM]]&gt;0, "IMPACTED", "NOT IMPACTED")</f>
        <v>NOT IMPACTED</v>
      </c>
      <c r="AF342" s="15"/>
      <c r="AG342" s="18"/>
      <c r="AH342" s="14" t="str">
        <f>IF(WFTracker[[#This Row],[Status]]="C", "Closed", IF(WFTracker[[#This Row],[Status]] = "x", "Cancelled", WFTracker[[#This Row],[Impact Time Post RM]]))</f>
        <v>Closed</v>
      </c>
      <c r="AI342" s="14" t="str">
        <f ca="1">IF(WFTracker[[#This Row],[Impact Time Post RM]]&lt;=0,"ON TIME","LATE")</f>
        <v>ON TIME</v>
      </c>
      <c r="AJ342" s="14" t="s">
        <v>984</v>
      </c>
      <c r="AK342" s="14">
        <v>18</v>
      </c>
      <c r="AL342" s="915">
        <f>IF(WFTracker[[#This Row],[Type]]="MAKE", WFTracker[[#This Row],[Due date]]+Filters!$J$111, WFTracker[[#This Row],[Due date]]+Filters!$J$135)</f>
        <v>45925.072512647552</v>
      </c>
      <c r="AM342" s="102" cm="1">
        <f t="array" ref="AM3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3" spans="1:39" ht="15" customHeight="1">
      <c r="A343" t="str">
        <f>IF(WFTracker[[#This Row],[Order Number]]="SWBD", "QED2", "PZ4")</f>
        <v>PZ4</v>
      </c>
      <c r="B343" s="21" t="s">
        <v>490</v>
      </c>
      <c r="C343" s="26" t="s">
        <v>141</v>
      </c>
      <c r="D343" s="11" t="str">
        <f>WFTracker[[#This Row],[Order Number]]  &amp; "-" &amp; WFTracker[[#This Row],[Item]]</f>
        <v>0051442285-000110</v>
      </c>
      <c r="E343" s="23" t="s">
        <v>491</v>
      </c>
      <c r="F343" s="12">
        <v>45945</v>
      </c>
      <c r="G343" s="12"/>
      <c r="H343" s="11" t="s">
        <v>113</v>
      </c>
      <c r="I343" s="11" t="s">
        <v>37</v>
      </c>
      <c r="J343" s="13" t="s">
        <v>492</v>
      </c>
      <c r="K343" s="14" t="s">
        <v>1017</v>
      </c>
      <c r="L343" s="15" t="s">
        <v>27</v>
      </c>
      <c r="M343" s="29" t="s">
        <v>438</v>
      </c>
      <c r="N343" s="57">
        <v>46008</v>
      </c>
      <c r="O343" s="15">
        <f>NETWORKDAYS.INTL(WFTracker[[#This Row],[Start date]],WFTracker[[#This Row],[RM]],1,Holidays!D505:D520)</f>
        <v>24</v>
      </c>
      <c r="P343" s="12">
        <v>45912</v>
      </c>
      <c r="Q343" s="12">
        <v>45922</v>
      </c>
      <c r="R343" s="12">
        <v>45919</v>
      </c>
      <c r="S343" s="12" t="b">
        <f>ISBLANK(WFTracker[[#This Row],[Completion Date]])</f>
        <v>0</v>
      </c>
      <c r="T343" s="12" t="str">
        <f>TEXT(WFTracker[[#This Row],[Start date]],"mmm-yyyy")</f>
        <v>Sep-2025</v>
      </c>
      <c r="U343" s="11">
        <v>10</v>
      </c>
      <c r="V343" s="11">
        <f>NETWORKDAYS.INTL(WFTracker[[#This Row],[Start date]],WFTracker[[#This Row],[Due date]],1,Holidays!D505:D520)</f>
        <v>7</v>
      </c>
      <c r="W3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343" s="24">
        <f ca="1">WFTracker[[#This Row],[Active Time]]-WFTracker[[#This Row],[Completion Days Template]]</f>
        <v>-2</v>
      </c>
      <c r="Y343" s="16" t="str">
        <f ca="1" xml:space="preserve"> IF(WFTracker[[#This Row],[Overdue Time '[Expected-Completion']]]&gt;0, "LATE","ON TIME")</f>
        <v>ON TIME</v>
      </c>
      <c r="Z343" s="16" t="str">
        <f ca="1">IF(WFTracker[[#This Row],[Overdue Time '[Expected-Completion']]] &gt;= 15, "SUPER LATE", Y343)</f>
        <v>ON TIME</v>
      </c>
      <c r="AA343" s="37" t="str">
        <f>IF(WFTracker[[#This Row],[Pre RM Opening Time]]&lt;WFTracker[[#This Row],[Old vs New Order Lead Time WF dead line]], "LATE BY ENG", "ON TIME BY ENG")</f>
        <v>ON TIME BY ENG</v>
      </c>
      <c r="AB343" s="37"/>
      <c r="AC343" s="15" t="str">
        <f>IF(WFTracker[[#This Row],[Competion Date Content]] = FALSE, "C", "i")</f>
        <v>C</v>
      </c>
      <c r="AD3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-19</v>
      </c>
      <c r="AE343" s="37" t="str">
        <f ca="1">IF(WFTracker[[#This Row],[Impact Time Post RM]]&gt;0, "IMPACTED", "NOT IMPACTED")</f>
        <v>NOT IMPACTED</v>
      </c>
      <c r="AF343" s="15"/>
      <c r="AG343" s="18"/>
      <c r="AH343" s="14" t="str">
        <f>IF(WFTracker[[#This Row],[Status]]="C", "Closed", IF(WFTracker[[#This Row],[Status]] = "x", "Cancelled", WFTracker[[#This Row],[Impact Time Post RM]]))</f>
        <v>Closed</v>
      </c>
      <c r="AI343" s="14" t="str">
        <f ca="1">IF(WFTracker[[#This Row],[Impact Time Post RM]]&lt;=0,"ON TIME","LATE")</f>
        <v>ON TIME</v>
      </c>
      <c r="AJ343" s="14" t="s">
        <v>984</v>
      </c>
      <c r="AK343" s="14">
        <v>18</v>
      </c>
      <c r="AL343" s="915">
        <f>IF(WFTracker[[#This Row],[Type]]="MAKE", WFTracker[[#This Row],[Due date]]+Filters!$J$111, WFTracker[[#This Row],[Due date]]+Filters!$J$135)</f>
        <v>45925.072512647552</v>
      </c>
      <c r="AM343" s="102" cm="1">
        <f t="array" ref="AM3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4" spans="1:39" ht="15" customHeight="1">
      <c r="A344" t="str">
        <f>IF(WFTracker[[#This Row],[Order Number]]="SWBD", "QED2", "PZ4")</f>
        <v>PZ4</v>
      </c>
      <c r="B344" s="21" t="s">
        <v>483</v>
      </c>
      <c r="C344" s="26" t="s">
        <v>214</v>
      </c>
      <c r="D344" s="11" t="str">
        <f>WFTracker[[#This Row],[Order Number]]  &amp; "-" &amp; WFTracker[[#This Row],[Item]]</f>
        <v>0051424832-000020</v>
      </c>
      <c r="E344" s="23" t="s">
        <v>484</v>
      </c>
      <c r="F344" s="12">
        <v>45930</v>
      </c>
      <c r="G344" s="12"/>
      <c r="H344" s="11" t="s">
        <v>117</v>
      </c>
      <c r="I344" s="11" t="s">
        <v>264</v>
      </c>
      <c r="J344" s="55" t="s">
        <v>1293</v>
      </c>
      <c r="K344" s="14" t="s">
        <v>1023</v>
      </c>
      <c r="L344" s="15" t="s">
        <v>27</v>
      </c>
      <c r="M344" s="29" t="s">
        <v>1120</v>
      </c>
      <c r="N344" s="56">
        <v>46037</v>
      </c>
      <c r="O344" s="15">
        <f>NETWORKDAYS.INTL(WFTracker[[#This Row],[Start date]],WFTracker[[#This Row],[RM]],1,Holidays!D232:D247)</f>
        <v>10</v>
      </c>
      <c r="P344" s="12">
        <v>45917</v>
      </c>
      <c r="Q344" s="12">
        <v>45924</v>
      </c>
      <c r="R344" s="12">
        <v>45924</v>
      </c>
      <c r="S344" s="12" t="b">
        <f>ISBLANK(WFTracker[[#This Row],[Completion Date]])</f>
        <v>0</v>
      </c>
      <c r="T344" s="12" t="str">
        <f>TEXT(WFTracker[[#This Row],[Start date]],"mmm-yyyy")</f>
        <v>Sep-2025</v>
      </c>
      <c r="U344" s="11">
        <v>10</v>
      </c>
      <c r="V344" s="11">
        <f>NETWORKDAYS.INTL(WFTracker[[#This Row],[Start date]],WFTracker[[#This Row],[Due date]],1,Holidays!D232:D247)</f>
        <v>6</v>
      </c>
      <c r="W3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344" s="24">
        <f ca="1">WFTracker[[#This Row],[Active Time]]-WFTracker[[#This Row],[Completion Days Template]]</f>
        <v>0</v>
      </c>
      <c r="Y344" s="16" t="str">
        <f ca="1" xml:space="preserve"> IF(WFTracker[[#This Row],[Overdue Time '[Expected-Completion']]]&gt;0, "LATE","ON TIME")</f>
        <v>ON TIME</v>
      </c>
      <c r="Z344" s="16" t="str">
        <f ca="1">IF(WFTracker[[#This Row],[Overdue Time '[Expected-Completion']]] &gt;= 15, "SUPER LATE", Y344)</f>
        <v>ON TIME</v>
      </c>
      <c r="AA344" s="37" t="str">
        <f>IF(WFTracker[[#This Row],[Pre RM Opening Time]]&lt;WFTracker[[#This Row],[Old vs New Order Lead Time WF dead line]], "LATE BY ENG", "ON TIME BY ENG")</f>
        <v>ON TIME BY ENG</v>
      </c>
      <c r="AB344" s="37"/>
      <c r="AC344" s="15" t="str">
        <f>IF(WFTracker[[#This Row],[Competion Date Content]] = FALSE, "C", "i")</f>
        <v>C</v>
      </c>
      <c r="AD3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344" s="37" t="str">
        <f ca="1">IF(WFTracker[[#This Row],[Impact Time Post RM]]&gt;0, "IMPACTED", "NOT IMPACTED")</f>
        <v>NOT IMPACTED</v>
      </c>
      <c r="AF344" s="15"/>
      <c r="AG344" s="18"/>
      <c r="AH344" s="14" t="str">
        <f>IF(WFTracker[[#This Row],[Status]]="C", "Closed", IF(WFTracker[[#This Row],[Status]] = "x", "Cancelled", WFTracker[[#This Row],[Impact Time Post RM]]))</f>
        <v>Closed</v>
      </c>
      <c r="AI344" s="14" t="str">
        <f ca="1">IF(WFTracker[[#This Row],[Impact Time Post RM]]&lt;=0,"ON TIME","LATE")</f>
        <v>ON TIME</v>
      </c>
      <c r="AJ344" s="14" t="s">
        <v>984</v>
      </c>
      <c r="AK344" s="14">
        <v>18</v>
      </c>
      <c r="AL344" s="915">
        <f>IF(WFTracker[[#This Row],[Type]]="MAKE", WFTracker[[#This Row],[Due date]]+Filters!$J$111, WFTracker[[#This Row],[Due date]]+Filters!$J$135)</f>
        <v>45927.072512647552</v>
      </c>
      <c r="AM344" s="102" cm="1">
        <f t="array" ref="AM3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5" spans="1:39" ht="15" customHeight="1">
      <c r="A345" t="str">
        <f>IF(WFTracker[[#This Row],[Order Number]]="SWBD", "QED2", "PZ4")</f>
        <v>PZ4</v>
      </c>
      <c r="B345" s="21" t="s">
        <v>483</v>
      </c>
      <c r="C345" s="26" t="s">
        <v>214</v>
      </c>
      <c r="D345" s="11" t="str">
        <f>WFTracker[[#This Row],[Order Number]]  &amp; "-" &amp; WFTracker[[#This Row],[Item]]</f>
        <v>0051424832-000020</v>
      </c>
      <c r="E345" s="23" t="s">
        <v>484</v>
      </c>
      <c r="F345" s="12">
        <v>45930</v>
      </c>
      <c r="G345" s="12"/>
      <c r="H345" s="11" t="s">
        <v>117</v>
      </c>
      <c r="I345" s="11" t="s">
        <v>264</v>
      </c>
      <c r="J345" s="55" t="s">
        <v>1294</v>
      </c>
      <c r="K345" s="14" t="s">
        <v>1023</v>
      </c>
      <c r="L345" s="15" t="s">
        <v>27</v>
      </c>
      <c r="M345" s="15" t="s">
        <v>1120</v>
      </c>
      <c r="N345" s="56">
        <v>46037</v>
      </c>
      <c r="O345" s="15">
        <f>NETWORKDAYS.INTL(WFTracker[[#This Row],[Start date]],WFTracker[[#This Row],[RM]],1,Holidays!D233:D248)</f>
        <v>10</v>
      </c>
      <c r="P345" s="12">
        <v>45917</v>
      </c>
      <c r="Q345" s="12">
        <v>45924</v>
      </c>
      <c r="R345" s="12">
        <v>45923</v>
      </c>
      <c r="S345" s="12" t="b">
        <f>ISBLANK(WFTracker[[#This Row],[Completion Date]])</f>
        <v>0</v>
      </c>
      <c r="T345" s="12" t="str">
        <f>TEXT(WFTracker[[#This Row],[Start date]],"mmm-yyyy")</f>
        <v>Sep-2025</v>
      </c>
      <c r="U345" s="11">
        <v>10</v>
      </c>
      <c r="V345" s="11">
        <f>NETWORKDAYS.INTL(WFTracker[[#This Row],[Start date]],WFTracker[[#This Row],[Due date]],1,Holidays!D233:D248)</f>
        <v>6</v>
      </c>
      <c r="W3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345" s="24">
        <f ca="1">WFTracker[[#This Row],[Active Time]]-WFTracker[[#This Row],[Completion Days Template]]</f>
        <v>-1</v>
      </c>
      <c r="Y345" s="16" t="str">
        <f ca="1" xml:space="preserve"> IF(WFTracker[[#This Row],[Overdue Time '[Expected-Completion']]]&gt;0, "LATE","ON TIME")</f>
        <v>ON TIME</v>
      </c>
      <c r="Z345" s="16" t="str">
        <f ca="1">IF(WFTracker[[#This Row],[Overdue Time '[Expected-Completion']]] &gt;= 15, "SUPER LATE", Y345)</f>
        <v>ON TIME</v>
      </c>
      <c r="AA345" s="37" t="str">
        <f>IF(WFTracker[[#This Row],[Pre RM Opening Time]]&lt;WFTracker[[#This Row],[Old vs New Order Lead Time WF dead line]], "LATE BY ENG", "ON TIME BY ENG")</f>
        <v>ON TIME BY ENG</v>
      </c>
      <c r="AB345" s="37"/>
      <c r="AC345" s="15" t="str">
        <f>IF(WFTracker[[#This Row],[Competion Date Content]] = FALSE, "C", "i")</f>
        <v>C</v>
      </c>
      <c r="AD3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345" s="37" t="str">
        <f ca="1">IF(WFTracker[[#This Row],[Impact Time Post RM]]&gt;0, "IMPACTED", "NOT IMPACTED")</f>
        <v>NOT IMPACTED</v>
      </c>
      <c r="AF345" s="15"/>
      <c r="AG345" s="18"/>
      <c r="AH345" s="14" t="str">
        <f>IF(WFTracker[[#This Row],[Status]]="C", "Closed", IF(WFTracker[[#This Row],[Status]] = "x", "Cancelled", WFTracker[[#This Row],[Impact Time Post RM]]))</f>
        <v>Closed</v>
      </c>
      <c r="AI345" s="14" t="str">
        <f ca="1">IF(WFTracker[[#This Row],[Impact Time Post RM]]&lt;=0,"ON TIME","LATE")</f>
        <v>ON TIME</v>
      </c>
      <c r="AJ345" s="14" t="s">
        <v>984</v>
      </c>
      <c r="AK345" s="14">
        <v>18</v>
      </c>
      <c r="AL345" s="915">
        <f>IF(WFTracker[[#This Row],[Type]]="MAKE", WFTracker[[#This Row],[Due date]]+Filters!$J$111, WFTracker[[#This Row],[Due date]]+Filters!$J$135)</f>
        <v>45927.072512647552</v>
      </c>
      <c r="AM345" s="102" cm="1">
        <f t="array" ref="AM3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6" spans="1:39" ht="15" customHeight="1">
      <c r="A346" t="str">
        <f>IF(WFTracker[[#This Row],[Order Number]]="SWBD", "QED2", "PZ4")</f>
        <v>PZ4</v>
      </c>
      <c r="B346" s="21" t="s">
        <v>1258</v>
      </c>
      <c r="C346" s="26" t="s">
        <v>1259</v>
      </c>
      <c r="D346" s="11" t="str">
        <f>WFTracker[[#This Row],[Order Number]]  &amp; "-" &amp; WFTracker[[#This Row],[Item]]</f>
        <v>0051086218-003900</v>
      </c>
      <c r="E346" s="23" t="s">
        <v>1041</v>
      </c>
      <c r="F346" s="12">
        <v>45946</v>
      </c>
      <c r="G346" s="12"/>
      <c r="H346" s="11" t="s">
        <v>117</v>
      </c>
      <c r="I346" s="11"/>
      <c r="J346" s="13" t="s">
        <v>1295</v>
      </c>
      <c r="K346" s="14" t="s">
        <v>1023</v>
      </c>
      <c r="L346" s="15" t="s">
        <v>27</v>
      </c>
      <c r="M346" s="15" t="s">
        <v>1120</v>
      </c>
      <c r="N346" s="73" t="s">
        <v>1296</v>
      </c>
      <c r="O346" s="15">
        <f>NETWORKDAYS.INTL(WFTracker[[#This Row],[Start date]],WFTracker[[#This Row],[RM]],1,Holidays!D502:D517)</f>
        <v>22</v>
      </c>
      <c r="P346" s="12">
        <v>45917</v>
      </c>
      <c r="Q346" s="12">
        <v>45924</v>
      </c>
      <c r="R346" s="12">
        <v>45927</v>
      </c>
      <c r="S346" s="12" t="b">
        <f>ISBLANK(WFTracker[[#This Row],[Completion Date]])</f>
        <v>0</v>
      </c>
      <c r="T346" s="12" t="str">
        <f>TEXT(WFTracker[[#This Row],[Start date]],"mmm-yyyy")</f>
        <v>Sep-2025</v>
      </c>
      <c r="U346" s="11">
        <v>10</v>
      </c>
      <c r="V346" s="11">
        <f>NETWORKDAYS.INTL(WFTracker[[#This Row],[Start date]],WFTracker[[#This Row],[Due date]],1,Holidays!D502:D517)</f>
        <v>6</v>
      </c>
      <c r="W3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46" s="24">
        <f ca="1">WFTracker[[#This Row],[Active Time]]-WFTracker[[#This Row],[Completion Days Template]]</f>
        <v>2</v>
      </c>
      <c r="Y346" s="16" t="str">
        <f ca="1" xml:space="preserve"> IF(WFTracker[[#This Row],[Overdue Time '[Expected-Completion']]]&gt;0, "LATE","ON TIME")</f>
        <v>LATE</v>
      </c>
      <c r="Z346" s="16" t="str">
        <f ca="1">IF(WFTracker[[#This Row],[Overdue Time '[Expected-Completion']]] &gt;= 15, "SUPER LATE", Y346)</f>
        <v>LATE</v>
      </c>
      <c r="AA346" s="37" t="str">
        <f>IF(WFTracker[[#This Row],[Pre RM Opening Time]]&lt;WFTracker[[#This Row],[Old vs New Order Lead Time WF dead line]], "LATE BY ENG", "ON TIME BY ENG")</f>
        <v>ON TIME BY ENG</v>
      </c>
      <c r="AB346" s="37"/>
      <c r="AC346" s="15" t="str">
        <f>IF(WFTracker[[#This Row],[Competion Date Content]] = FALSE, "C", "i")</f>
        <v>C</v>
      </c>
      <c r="AD3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346" s="37" t="str">
        <f ca="1">IF(WFTracker[[#This Row],[Impact Time Post RM]]&gt;0, "IMPACTED", "NOT IMPACTED")</f>
        <v>NOT IMPACTED</v>
      </c>
      <c r="AF346" s="15"/>
      <c r="AG346" s="18"/>
      <c r="AH346" s="14" t="str">
        <f>IF(WFTracker[[#This Row],[Status]]="C", "Closed", IF(WFTracker[[#This Row],[Status]] = "x", "Cancelled", WFTracker[[#This Row],[Impact Time Post RM]]))</f>
        <v>Closed</v>
      </c>
      <c r="AI346" s="14" t="str">
        <f ca="1">IF(WFTracker[[#This Row],[Impact Time Post RM]]&lt;=0,"ON TIME","LATE")</f>
        <v>ON TIME</v>
      </c>
      <c r="AJ346" s="14" t="s">
        <v>984</v>
      </c>
      <c r="AK346" s="14">
        <v>18</v>
      </c>
      <c r="AL346" s="915">
        <f>IF(WFTracker[[#This Row],[Type]]="MAKE", WFTracker[[#This Row],[Due date]]+Filters!$J$111, WFTracker[[#This Row],[Due date]]+Filters!$J$135)</f>
        <v>45927.072512647552</v>
      </c>
      <c r="AM346" s="102" cm="1">
        <f t="array" ref="AM3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7" spans="1:39" ht="15" customHeight="1">
      <c r="A347" t="str">
        <f>IF(WFTracker[[#This Row],[Order Number]]="SWBD", "QED2", "PZ4")</f>
        <v>PZ4</v>
      </c>
      <c r="B347" s="23" t="s">
        <v>1297</v>
      </c>
      <c r="C347" s="21" t="s">
        <v>1298</v>
      </c>
      <c r="D347" s="11" t="str">
        <f>WFTracker[[#This Row],[Order Number]]  &amp; "-" &amp; WFTracker[[#This Row],[Item]]</f>
        <v>051576246-000020&amp;30&amp;40&amp;50&amp;60</v>
      </c>
      <c r="E347" s="23" t="s">
        <v>551</v>
      </c>
      <c r="F347" s="12">
        <v>45954</v>
      </c>
      <c r="G347" s="12"/>
      <c r="H347" s="11" t="s">
        <v>80</v>
      </c>
      <c r="I347" s="11" t="s">
        <v>1154</v>
      </c>
      <c r="J347" s="55" t="s">
        <v>1299</v>
      </c>
      <c r="K347" s="14" t="s">
        <v>1023</v>
      </c>
      <c r="L347" s="15" t="s">
        <v>40</v>
      </c>
      <c r="M347" s="29" t="s">
        <v>1120</v>
      </c>
      <c r="N347" s="56">
        <v>46052</v>
      </c>
      <c r="O347" s="15">
        <f>NETWORKDAYS.INTL(WFTracker[[#This Row],[Start date]],WFTracker[[#This Row],[RM]],1,Holidays!D546:D561)</f>
        <v>28</v>
      </c>
      <c r="P347" s="12">
        <v>45917</v>
      </c>
      <c r="Q347" s="12">
        <v>45929</v>
      </c>
      <c r="R347" s="12">
        <v>45932</v>
      </c>
      <c r="S347" s="12" t="b">
        <f>ISBLANK(WFTracker[[#This Row],[Completion Date]])</f>
        <v>0</v>
      </c>
      <c r="T347" s="12" t="str">
        <f>TEXT(WFTracker[[#This Row],[Start date]],"mmm-yyyy")</f>
        <v>Sep-2025</v>
      </c>
      <c r="U347" s="11">
        <v>10</v>
      </c>
      <c r="V347" s="11">
        <f>NETWORKDAYS.INTL(WFTracker[[#This Row],[Start date]],WFTracker[[#This Row],[Due date]],1,Holidays!D546:D561)</f>
        <v>9</v>
      </c>
      <c r="W3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347" s="24">
        <f ca="1">WFTracker[[#This Row],[Active Time]]-WFTracker[[#This Row],[Completion Days Template]]</f>
        <v>3</v>
      </c>
      <c r="Y347" s="16" t="str">
        <f ca="1" xml:space="preserve"> IF(WFTracker[[#This Row],[Overdue Time '[Expected-Completion']]]&gt;0, "LATE","ON TIME")</f>
        <v>LATE</v>
      </c>
      <c r="Z347" s="16" t="str">
        <f ca="1">IF(WFTracker[[#This Row],[Overdue Time '[Expected-Completion']]] &gt;= 15, "SUPER LATE", Y347)</f>
        <v>LATE</v>
      </c>
      <c r="AA347" s="37" t="str">
        <f>IF(WFTracker[[#This Row],[Pre RM Opening Time]]&lt;WFTracker[[#This Row],[Old vs New Order Lead Time WF dead line]], "LATE BY ENG", "ON TIME BY ENG")</f>
        <v>ON TIME BY ENG</v>
      </c>
      <c r="AB347" s="37"/>
      <c r="AC347" s="15" t="str">
        <f>IF(WFTracker[[#This Row],[Competion Date Content]] = FALSE, "C", "i")</f>
        <v>C</v>
      </c>
      <c r="AD3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347" s="37" t="str">
        <f ca="1">IF(WFTracker[[#This Row],[Impact Time Post RM]]&gt;0, "IMPACTED", "NOT IMPACTED")</f>
        <v>NOT IMPACTED</v>
      </c>
      <c r="AF347" s="15"/>
      <c r="AG347" s="18"/>
      <c r="AH347" s="14" t="str">
        <f>IF(WFTracker[[#This Row],[Status]]="C", "Closed", IF(WFTracker[[#This Row],[Status]] = "x", "Cancelled", WFTracker[[#This Row],[Impact Time Post RM]]))</f>
        <v>Closed</v>
      </c>
      <c r="AI347" s="14" t="str">
        <f ca="1">IF(WFTracker[[#This Row],[Impact Time Post RM]]&lt;=0,"ON TIME","LATE")</f>
        <v>ON TIME</v>
      </c>
      <c r="AJ347" s="14" t="s">
        <v>984</v>
      </c>
      <c r="AK347" s="14">
        <v>17</v>
      </c>
      <c r="AL347" s="915">
        <f>IF(WFTracker[[#This Row],[Type]]="MAKE", WFTracker[[#This Row],[Due date]]+Filters!$J$111, WFTracker[[#This Row],[Due date]]+Filters!$J$135)</f>
        <v>45929.415686274508</v>
      </c>
      <c r="AM347" s="102" cm="1">
        <f t="array" ref="AM3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48" spans="1:39" ht="15" customHeight="1">
      <c r="A348" t="str">
        <f>IF(WFTracker[[#This Row],[Order Number]]="SWBD", "QED2", "PZ4")</f>
        <v>PZ4</v>
      </c>
      <c r="B348" s="23" t="s">
        <v>550</v>
      </c>
      <c r="C348" s="21" t="s">
        <v>1298</v>
      </c>
      <c r="D348" s="11" t="str">
        <f>WFTracker[[#This Row],[Order Number]]  &amp; "-" &amp; WFTracker[[#This Row],[Item]]</f>
        <v>0051576246-000020&amp;30&amp;40&amp;50&amp;60</v>
      </c>
      <c r="E348" s="23" t="s">
        <v>551</v>
      </c>
      <c r="F348" s="12">
        <v>45954</v>
      </c>
      <c r="G348" s="12"/>
      <c r="H348" s="11" t="s">
        <v>80</v>
      </c>
      <c r="I348" s="11" t="s">
        <v>1154</v>
      </c>
      <c r="J348" s="55" t="s">
        <v>1300</v>
      </c>
      <c r="K348" s="14" t="s">
        <v>1023</v>
      </c>
      <c r="L348" s="15" t="s">
        <v>40</v>
      </c>
      <c r="M348" s="29" t="s">
        <v>1120</v>
      </c>
      <c r="N348" s="56">
        <v>46052</v>
      </c>
      <c r="O348" s="15">
        <f>NETWORKDAYS.INTL(WFTracker[[#This Row],[Start date]],WFTracker[[#This Row],[RM]],1,Holidays!D547:D562)</f>
        <v>28</v>
      </c>
      <c r="P348" s="12">
        <v>45917</v>
      </c>
      <c r="Q348" s="12">
        <v>45929</v>
      </c>
      <c r="R348" s="12">
        <v>45918</v>
      </c>
      <c r="S348" s="12" t="b">
        <f>ISBLANK(WFTracker[[#This Row],[Completion Date]])</f>
        <v>0</v>
      </c>
      <c r="T348" s="12" t="str">
        <f>TEXT(WFTracker[[#This Row],[Start date]],"mmm-yyyy")</f>
        <v>Sep-2025</v>
      </c>
      <c r="U348" s="11">
        <v>10</v>
      </c>
      <c r="V348" s="11">
        <f>NETWORKDAYS.INTL(WFTracker[[#This Row],[Start date]],WFTracker[[#This Row],[Due date]],1,Holidays!D547:D562)</f>
        <v>9</v>
      </c>
      <c r="W3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348" s="24">
        <f ca="1">WFTracker[[#This Row],[Active Time]]-WFTracker[[#This Row],[Completion Days Template]]</f>
        <v>-7</v>
      </c>
      <c r="Y348" s="16" t="str">
        <f ca="1" xml:space="preserve"> IF(WFTracker[[#This Row],[Overdue Time '[Expected-Completion']]]&gt;0, "LATE","ON TIME")</f>
        <v>ON TIME</v>
      </c>
      <c r="Z348" s="16" t="str">
        <f ca="1">IF(WFTracker[[#This Row],[Overdue Time '[Expected-Completion']]] &gt;= 15, "SUPER LATE", Y348)</f>
        <v>ON TIME</v>
      </c>
      <c r="AA348" s="37" t="str">
        <f>IF(WFTracker[[#This Row],[Pre RM Opening Time]]&lt;WFTracker[[#This Row],[Old vs New Order Lead Time WF dead line]], "LATE BY ENG", "ON TIME BY ENG")</f>
        <v>ON TIME BY ENG</v>
      </c>
      <c r="AB348" s="37"/>
      <c r="AC348" s="15" t="s">
        <v>1011</v>
      </c>
      <c r="AD3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348" s="25" t="str">
        <f ca="1">IF(WFTracker[[#This Row],[Impact Time Post RM]]&gt;0, "IMPACTED", "NOT IMPACTED")</f>
        <v>NOT IMPACTED</v>
      </c>
      <c r="AF348" s="15"/>
      <c r="AG348" s="18" t="s">
        <v>1301</v>
      </c>
      <c r="AH348" s="14" t="str">
        <f>IF(WFTracker[[#This Row],[Status]]="C", "Closed", IF(WFTracker[[#This Row],[Status]] = "x", "Cancelled", WFTracker[[#This Row],[Impact Time Post RM]]))</f>
        <v>Cancelled</v>
      </c>
      <c r="AI348" s="14" t="str">
        <f ca="1">IF(WFTracker[[#This Row],[Impact Time Post RM]]&lt;=0,"ON TIME","LATE")</f>
        <v>ON TIME</v>
      </c>
      <c r="AJ348" s="14" t="s">
        <v>984</v>
      </c>
      <c r="AK348" s="14">
        <v>0</v>
      </c>
      <c r="AL348" s="915">
        <f>IF(WFTracker[[#This Row],[Type]]="MAKE", WFTracker[[#This Row],[Due date]]+Filters!$J$111, WFTracker[[#This Row],[Due date]]+Filters!$J$135)</f>
        <v>45929.415686274508</v>
      </c>
      <c r="AM348" s="102" cm="1">
        <f t="array" ref="AM348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349" spans="1:39" ht="15" customHeight="1">
      <c r="A349" t="str">
        <f>IF(WFTracker[[#This Row],[Order Number]]="SWBD", "QED2", "PZ4")</f>
        <v>PZ4</v>
      </c>
      <c r="B349" s="26" t="s">
        <v>550</v>
      </c>
      <c r="C349" s="1000" t="s">
        <v>1298</v>
      </c>
      <c r="D349" s="11" t="str">
        <f>WFTracker[[#This Row],[Order Number]]  &amp; "-" &amp; WFTracker[[#This Row],[Item]]</f>
        <v>0051576246-000020&amp;30&amp;40&amp;50&amp;60</v>
      </c>
      <c r="E349" s="23" t="s">
        <v>551</v>
      </c>
      <c r="F349" s="12">
        <v>45954</v>
      </c>
      <c r="G349" s="12"/>
      <c r="H349" s="11" t="s">
        <v>80</v>
      </c>
      <c r="I349" s="11" t="s">
        <v>1154</v>
      </c>
      <c r="J349" s="55" t="s">
        <v>1302</v>
      </c>
      <c r="K349" s="14" t="s">
        <v>1023</v>
      </c>
      <c r="L349" s="15" t="s">
        <v>40</v>
      </c>
      <c r="M349" s="15" t="s">
        <v>1120</v>
      </c>
      <c r="N349" s="56">
        <v>46052</v>
      </c>
      <c r="O349" s="15">
        <f>NETWORKDAYS.INTL(WFTracker[[#This Row],[Start date]],WFTracker[[#This Row],[RM]],1,Holidays!D548:D563)</f>
        <v>28</v>
      </c>
      <c r="P349" s="12">
        <v>45917</v>
      </c>
      <c r="Q349" s="12">
        <v>45929</v>
      </c>
      <c r="R349" s="12">
        <v>45918</v>
      </c>
      <c r="S349" s="12" t="b">
        <f>ISBLANK(WFTracker[[#This Row],[Completion Date]])</f>
        <v>0</v>
      </c>
      <c r="T349" s="12" t="str">
        <f>TEXT(WFTracker[[#This Row],[Start date]],"mmm-yyyy")</f>
        <v>Sep-2025</v>
      </c>
      <c r="U349" s="11">
        <v>5</v>
      </c>
      <c r="V349" s="11">
        <f>NETWORKDAYS.INTL(WFTracker[[#This Row],[Start date]],WFTracker[[#This Row],[Due date]],1,Holidays!D548:D563)</f>
        <v>9</v>
      </c>
      <c r="W3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349" s="24">
        <f ca="1">WFTracker[[#This Row],[Active Time]]-WFTracker[[#This Row],[Completion Days Template]]</f>
        <v>-7</v>
      </c>
      <c r="Y349" s="16" t="str">
        <f ca="1" xml:space="preserve"> IF(WFTracker[[#This Row],[Overdue Time '[Expected-Completion']]]&gt;0, "LATE","ON TIME")</f>
        <v>ON TIME</v>
      </c>
      <c r="Z349" s="16" t="str">
        <f ca="1">IF(WFTracker[[#This Row],[Overdue Time '[Expected-Completion']]] &gt;= 15, "SUPER LATE", Y349)</f>
        <v>ON TIME</v>
      </c>
      <c r="AA349" s="37" t="str">
        <f>IF(WFTracker[[#This Row],[Pre RM Opening Time]]&lt;WFTracker[[#This Row],[Old vs New Order Lead Time WF dead line]], "LATE BY ENG", "ON TIME BY ENG")</f>
        <v>ON TIME BY ENG</v>
      </c>
      <c r="AB349" s="37"/>
      <c r="AC349" s="15" t="s">
        <v>46</v>
      </c>
      <c r="AD3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349" s="25" t="str">
        <f ca="1">IF(WFTracker[[#This Row],[Impact Time Post RM]]&gt;0, "IMPACTED", "NOT IMPACTED")</f>
        <v>NOT IMPACTED</v>
      </c>
      <c r="AF349" s="15"/>
      <c r="AG349" s="18" t="s">
        <v>1303</v>
      </c>
      <c r="AH349" s="14" t="str">
        <f>IF(WFTracker[[#This Row],[Status]]="C", "Closed", IF(WFTracker[[#This Row],[Status]] = "x", "Cancelled", WFTracker[[#This Row],[Impact Time Post RM]]))</f>
        <v>Cancelled</v>
      </c>
      <c r="AI349" s="14" t="str">
        <f ca="1">IF(WFTracker[[#This Row],[Impact Time Post RM]]&lt;=0,"ON TIME","LATE")</f>
        <v>ON TIME</v>
      </c>
      <c r="AJ349" s="14" t="s">
        <v>984</v>
      </c>
      <c r="AK349" s="14">
        <v>0</v>
      </c>
      <c r="AL349" s="915">
        <f>IF(WFTracker[[#This Row],[Type]]="MAKE", WFTracker[[#This Row],[Due date]]+Filters!$J$111, WFTracker[[#This Row],[Due date]]+Filters!$J$135)</f>
        <v>45929.415686274508</v>
      </c>
      <c r="AM349" s="102" cm="1">
        <f t="array" ref="AM349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350" spans="1:39" ht="15" customHeight="1">
      <c r="A350" t="str">
        <f>IF(WFTracker[[#This Row],[Order Number]]="SWBD", "QED2", "PZ4")</f>
        <v>PZ4</v>
      </c>
      <c r="B350" s="26" t="s">
        <v>550</v>
      </c>
      <c r="C350" s="1000" t="s">
        <v>1298</v>
      </c>
      <c r="D350" s="23" t="str">
        <f>WFTracker[[#This Row],[Order Number]]  &amp; "-" &amp; WFTracker[[#This Row],[Item]]</f>
        <v>0051576246-000020&amp;30&amp;40&amp;50&amp;60</v>
      </c>
      <c r="E350" s="23" t="s">
        <v>551</v>
      </c>
      <c r="F350" s="12">
        <v>45954</v>
      </c>
      <c r="G350" s="12"/>
      <c r="H350" s="11" t="s">
        <v>80</v>
      </c>
      <c r="I350" s="11" t="s">
        <v>1154</v>
      </c>
      <c r="J350" s="55" t="s">
        <v>1304</v>
      </c>
      <c r="K350" s="14" t="s">
        <v>1023</v>
      </c>
      <c r="L350" s="15" t="s">
        <v>40</v>
      </c>
      <c r="M350" s="15" t="s">
        <v>1120</v>
      </c>
      <c r="N350" s="57">
        <v>46052</v>
      </c>
      <c r="O350" s="15">
        <f>NETWORKDAYS.INTL(WFTracker[[#This Row],[Start date]],WFTracker[[#This Row],[RM]],1,Holidays!D549:D564)</f>
        <v>28</v>
      </c>
      <c r="P350" s="12">
        <v>45917</v>
      </c>
      <c r="Q350" s="12">
        <v>45929</v>
      </c>
      <c r="R350" s="12">
        <v>45918</v>
      </c>
      <c r="S350" s="12" t="b">
        <f>ISBLANK(WFTracker[[#This Row],[Completion Date]])</f>
        <v>0</v>
      </c>
      <c r="T350" s="12" t="str">
        <f>TEXT(WFTracker[[#This Row],[Start date]],"mmm-yyyy")</f>
        <v>Sep-2025</v>
      </c>
      <c r="U350" s="11">
        <v>5</v>
      </c>
      <c r="V350" s="11">
        <f>NETWORKDAYS.INTL(WFTracker[[#This Row],[Start date]],WFTracker[[#This Row],[Due date]],1,Holidays!D549:D564)</f>
        <v>9</v>
      </c>
      <c r="W3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350" s="24">
        <f ca="1">WFTracker[[#This Row],[Active Time]]-WFTracker[[#This Row],[Completion Days Template]]</f>
        <v>-7</v>
      </c>
      <c r="Y350" s="16" t="str">
        <f ca="1" xml:space="preserve"> IF(WFTracker[[#This Row],[Overdue Time '[Expected-Completion']]]&gt;0, "LATE","ON TIME")</f>
        <v>ON TIME</v>
      </c>
      <c r="Z350" s="16" t="str">
        <f ca="1">IF(WFTracker[[#This Row],[Overdue Time '[Expected-Completion']]] &gt;= 15, "SUPER LATE", Y350)</f>
        <v>ON TIME</v>
      </c>
      <c r="AA350" s="37" t="str">
        <f>IF(WFTracker[[#This Row],[Pre RM Opening Time]]&lt;WFTracker[[#This Row],[Old vs New Order Lead Time WF dead line]], "LATE BY ENG", "ON TIME BY ENG")</f>
        <v>ON TIME BY ENG</v>
      </c>
      <c r="AB350" s="37"/>
      <c r="AC350" s="15" t="s">
        <v>46</v>
      </c>
      <c r="AD3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350" s="25" t="str">
        <f ca="1">IF(WFTracker[[#This Row],[Impact Time Post RM]]&gt;0, "IMPACTED", "NOT IMPACTED")</f>
        <v>NOT IMPACTED</v>
      </c>
      <c r="AF350" s="15"/>
      <c r="AG350" s="18" t="s">
        <v>1303</v>
      </c>
      <c r="AH350" s="14" t="str">
        <f>IF(WFTracker[[#This Row],[Status]]="C", "Closed", IF(WFTracker[[#This Row],[Status]] = "x", "Cancelled", WFTracker[[#This Row],[Impact Time Post RM]]))</f>
        <v>Cancelled</v>
      </c>
      <c r="AI350" s="14" t="str">
        <f ca="1">IF(WFTracker[[#This Row],[Impact Time Post RM]]&lt;=0,"ON TIME","LATE")</f>
        <v>ON TIME</v>
      </c>
      <c r="AJ350" s="14" t="s">
        <v>984</v>
      </c>
      <c r="AK350" s="14">
        <v>0</v>
      </c>
      <c r="AL350" s="915">
        <f>IF(WFTracker[[#This Row],[Type]]="MAKE", WFTracker[[#This Row],[Due date]]+Filters!$J$111, WFTracker[[#This Row],[Due date]]+Filters!$J$135)</f>
        <v>45929.415686274508</v>
      </c>
      <c r="AM350" s="102" cm="1">
        <f t="array" ref="AM350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351" spans="1:39" ht="15" customHeight="1">
      <c r="A351" t="str">
        <f>IF(WFTracker[[#This Row],[Order Number]]="SWBD", "QED2", "PZ4")</f>
        <v>QED2</v>
      </c>
      <c r="B351" s="26" t="s">
        <v>1239</v>
      </c>
      <c r="C351" s="26" t="s">
        <v>1051</v>
      </c>
      <c r="D351" s="23" t="str">
        <f>WFTracker[[#This Row],[Order Number]]  &amp; "-" &amp; WFTracker[[#This Row],[Item]]</f>
        <v>SWBD-meta rsb #80</v>
      </c>
      <c r="E351" s="23" t="s">
        <v>1051</v>
      </c>
      <c r="F351" s="12">
        <v>45926</v>
      </c>
      <c r="G351" s="12"/>
      <c r="H351" s="11" t="s">
        <v>947</v>
      </c>
      <c r="I351" s="11" t="s">
        <v>1132</v>
      </c>
      <c r="J351" s="13" t="s">
        <v>1305</v>
      </c>
      <c r="K351" s="14" t="s">
        <v>1023</v>
      </c>
      <c r="L351" s="15" t="s">
        <v>40</v>
      </c>
      <c r="M351" s="29" t="s">
        <v>1120</v>
      </c>
      <c r="N351" s="57" t="s">
        <v>984</v>
      </c>
      <c r="O351" s="15">
        <f>NETWORKDAYS.INTL(WFTracker[[#This Row],[Start date]],WFTracker[[#This Row],[RM]],1,Holidays!D143:D158)</f>
        <v>7</v>
      </c>
      <c r="P351" s="12">
        <v>45918</v>
      </c>
      <c r="Q351" s="12">
        <v>45930</v>
      </c>
      <c r="R351" s="12">
        <v>45927</v>
      </c>
      <c r="S351" s="12" t="b">
        <f>ISBLANK(WFTracker[[#This Row],[Completion Date]])</f>
        <v>0</v>
      </c>
      <c r="T351" s="12" t="str">
        <f>TEXT(WFTracker[[#This Row],[Start date]],"mmm-yyyy")</f>
        <v>Sep-2025</v>
      </c>
      <c r="U351" s="11">
        <v>10</v>
      </c>
      <c r="V351" s="11">
        <f>NETWORKDAYS.INTL(WFTracker[[#This Row],[Start date]],WFTracker[[#This Row],[Due date]],1,Holidays!D143:D158)</f>
        <v>9</v>
      </c>
      <c r="W3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51" s="24">
        <f ca="1">WFTracker[[#This Row],[Active Time]]-WFTracker[[#This Row],[Completion Days Template]]</f>
        <v>-2</v>
      </c>
      <c r="Y351" s="16" t="str">
        <f ca="1" xml:space="preserve"> IF(WFTracker[[#This Row],[Overdue Time '[Expected-Completion']]]&gt;0, "LATE","ON TIME")</f>
        <v>ON TIME</v>
      </c>
      <c r="Z351" s="16" t="str">
        <f ca="1">IF(WFTracker[[#This Row],[Overdue Time '[Expected-Completion']]] &gt;= 15, "SUPER LATE", Y351)</f>
        <v>ON TIME</v>
      </c>
      <c r="AA351" s="37" t="str">
        <f>IF(WFTracker[[#This Row],[Pre RM Opening Time]]&lt;WFTracker[[#This Row],[Old vs New Order Lead Time WF dead line]], "LATE BY ENG", "ON TIME BY ENG")</f>
        <v>LATE BY ENG</v>
      </c>
      <c r="AB351" s="37"/>
      <c r="AC351" s="15" t="str">
        <f>IF(WFTracker[[#This Row],[Competion Date Content]] = FALSE, "C", "I")</f>
        <v>C</v>
      </c>
      <c r="AD3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51" s="25" t="str">
        <f ca="1">IF(WFTracker[[#This Row],[Impact Time Post RM]]&gt;0, "IMPACTED", "NOT IMPACTED")</f>
        <v>IMPACTED</v>
      </c>
      <c r="AF351" s="15"/>
      <c r="AG351" s="18"/>
      <c r="AH351" s="14" t="str">
        <f>IF(WFTracker[[#This Row],[Status]]="C", "Closed", IF(WFTracker[[#This Row],[Status]] = "x", "Cancelled", WFTracker[[#This Row],[Impact Time Post RM]]))</f>
        <v>Closed</v>
      </c>
      <c r="AI351" s="14" t="str">
        <f ca="1">IF(WFTracker[[#This Row],[Impact Time Post RM]]&lt;=0,"ON TIME","LATE")</f>
        <v>LATE</v>
      </c>
      <c r="AJ351" s="14" t="s">
        <v>984</v>
      </c>
      <c r="AK351" s="14">
        <v>17</v>
      </c>
      <c r="AL351" s="915">
        <f>IF(WFTracker[[#This Row],[Type]]="MAKE", WFTracker[[#This Row],[Due date]]+Filters!$J$111, WFTracker[[#This Row],[Due date]]+Filters!$J$135)</f>
        <v>45930.415686274508</v>
      </c>
      <c r="AM351" s="102" cm="1">
        <f t="array" ref="AM35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2" spans="1:39" ht="15" customHeight="1">
      <c r="A352" t="str">
        <f>IF(WFTracker[[#This Row],[Order Number]]="SWBD", "QED2", "PZ4")</f>
        <v>QED2</v>
      </c>
      <c r="B352" s="26" t="s">
        <v>1239</v>
      </c>
      <c r="C352" s="26" t="s">
        <v>1051</v>
      </c>
      <c r="D352" s="23" t="str">
        <f>WFTracker[[#This Row],[Order Number]]  &amp; "-" &amp; WFTracker[[#This Row],[Item]]</f>
        <v>SWBD-meta rsb #80</v>
      </c>
      <c r="E352" s="23" t="s">
        <v>1051</v>
      </c>
      <c r="F352" s="12">
        <v>45926</v>
      </c>
      <c r="G352" s="12"/>
      <c r="H352" s="11" t="s">
        <v>947</v>
      </c>
      <c r="I352" s="11" t="s">
        <v>1132</v>
      </c>
      <c r="J352" s="13" t="s">
        <v>1306</v>
      </c>
      <c r="K352" s="14" t="s">
        <v>1023</v>
      </c>
      <c r="L352" s="15" t="s">
        <v>40</v>
      </c>
      <c r="M352" s="15" t="s">
        <v>1120</v>
      </c>
      <c r="N352" s="56" t="s">
        <v>984</v>
      </c>
      <c r="O352" s="15">
        <f>NETWORKDAYS.INTL(WFTracker[[#This Row],[Start date]],WFTracker[[#This Row],[RM]],1,Holidays!D144:D159)</f>
        <v>7</v>
      </c>
      <c r="P352" s="12">
        <v>45918</v>
      </c>
      <c r="Q352" s="12">
        <v>45930</v>
      </c>
      <c r="R352" s="12">
        <v>45927</v>
      </c>
      <c r="S352" s="12" t="b">
        <f>ISBLANK(WFTracker[[#This Row],[Completion Date]])</f>
        <v>0</v>
      </c>
      <c r="T352" s="12" t="str">
        <f>TEXT(WFTracker[[#This Row],[Start date]],"mmm-yyyy")</f>
        <v>Sep-2025</v>
      </c>
      <c r="U352" s="11">
        <v>10</v>
      </c>
      <c r="V352" s="11">
        <f>NETWORKDAYS.INTL(WFTracker[[#This Row],[Start date]],WFTracker[[#This Row],[Due date]],1,Holidays!D144:D159)</f>
        <v>9</v>
      </c>
      <c r="W3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52" s="24">
        <f ca="1">WFTracker[[#This Row],[Active Time]]-WFTracker[[#This Row],[Completion Days Template]]</f>
        <v>-2</v>
      </c>
      <c r="Y352" s="16" t="str">
        <f ca="1" xml:space="preserve"> IF(WFTracker[[#This Row],[Overdue Time '[Expected-Completion']]]&gt;0, "LATE","ON TIME")</f>
        <v>ON TIME</v>
      </c>
      <c r="Z352" s="16" t="str">
        <f ca="1">IF(WFTracker[[#This Row],[Overdue Time '[Expected-Completion']]] &gt;= 15, "SUPER LATE", Y352)</f>
        <v>ON TIME</v>
      </c>
      <c r="AA352" s="37" t="str">
        <f>IF(WFTracker[[#This Row],[Pre RM Opening Time]]&lt;WFTracker[[#This Row],[Old vs New Order Lead Time WF dead line]], "LATE BY ENG", "ON TIME BY ENG")</f>
        <v>LATE BY ENG</v>
      </c>
      <c r="AB352" s="37"/>
      <c r="AC352" s="15" t="str">
        <f>IF(WFTracker[[#This Row],[Competion Date Content]] = FALSE, "C", "I")</f>
        <v>C</v>
      </c>
      <c r="AD3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52" s="25" t="str">
        <f ca="1">IF(WFTracker[[#This Row],[Impact Time Post RM]]&gt;0, "IMPACTED", "NOT IMPACTED")</f>
        <v>IMPACTED</v>
      </c>
      <c r="AF352" s="15"/>
      <c r="AG352" s="18"/>
      <c r="AH352" s="14" t="str">
        <f>IF(WFTracker[[#This Row],[Status]]="C", "Closed", IF(WFTracker[[#This Row],[Status]] = "x", "Cancelled", WFTracker[[#This Row],[Impact Time Post RM]]))</f>
        <v>Closed</v>
      </c>
      <c r="AI352" s="14" t="str">
        <f ca="1">IF(WFTracker[[#This Row],[Impact Time Post RM]]&lt;=0,"ON TIME","LATE")</f>
        <v>LATE</v>
      </c>
      <c r="AJ352" s="14" t="s">
        <v>984</v>
      </c>
      <c r="AK352" s="14">
        <v>17</v>
      </c>
      <c r="AL352" s="915">
        <f>IF(WFTracker[[#This Row],[Type]]="MAKE", WFTracker[[#This Row],[Due date]]+Filters!$J$111, WFTracker[[#This Row],[Due date]]+Filters!$J$135)</f>
        <v>45930.415686274508</v>
      </c>
      <c r="AM352" s="102" cm="1">
        <f t="array" ref="AM3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3" spans="1:39" ht="15" customHeight="1">
      <c r="A353" t="str">
        <f>IF(WFTracker[[#This Row],[Order Number]]="SWBD", "QED2", "PZ4")</f>
        <v>QED2</v>
      </c>
      <c r="B353" s="21" t="s">
        <v>1239</v>
      </c>
      <c r="C353" s="21" t="s">
        <v>1051</v>
      </c>
      <c r="D353" s="23" t="str">
        <f>WFTracker[[#This Row],[Order Number]]  &amp; "-" &amp; WFTracker[[#This Row],[Item]]</f>
        <v>SWBD-meta rsb #80</v>
      </c>
      <c r="E353" s="23" t="s">
        <v>1051</v>
      </c>
      <c r="F353" s="12">
        <v>45926</v>
      </c>
      <c r="G353" s="12"/>
      <c r="H353" s="11" t="s">
        <v>947</v>
      </c>
      <c r="I353" s="11" t="s">
        <v>1132</v>
      </c>
      <c r="J353" s="13" t="s">
        <v>1307</v>
      </c>
      <c r="K353" s="14" t="s">
        <v>1023</v>
      </c>
      <c r="L353" s="15" t="s">
        <v>40</v>
      </c>
      <c r="M353" s="15" t="s">
        <v>1120</v>
      </c>
      <c r="N353" s="56" t="s">
        <v>984</v>
      </c>
      <c r="O353" s="15">
        <f>NETWORKDAYS.INTL(WFTracker[[#This Row],[Start date]],WFTracker[[#This Row],[RM]],1,Holidays!D145:D160)</f>
        <v>7</v>
      </c>
      <c r="P353" s="12">
        <v>45918</v>
      </c>
      <c r="Q353" s="12">
        <v>45930</v>
      </c>
      <c r="R353" s="12">
        <v>45924</v>
      </c>
      <c r="S353" s="12" t="b">
        <f>ISBLANK(WFTracker[[#This Row],[Completion Date]])</f>
        <v>0</v>
      </c>
      <c r="T353" s="12" t="str">
        <f>TEXT(WFTracker[[#This Row],[Start date]],"mmm-yyyy")</f>
        <v>Sep-2025</v>
      </c>
      <c r="U353" s="11">
        <v>10</v>
      </c>
      <c r="V353" s="11">
        <f>NETWORKDAYS.INTL(WFTracker[[#This Row],[Start date]],WFTracker[[#This Row],[Due date]],1,Holidays!D145:D160)</f>
        <v>9</v>
      </c>
      <c r="W3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353" s="24">
        <f ca="1">WFTracker[[#This Row],[Active Time]]-WFTracker[[#This Row],[Completion Days Template]]</f>
        <v>-4</v>
      </c>
      <c r="Y353" s="16" t="str">
        <f ca="1" xml:space="preserve"> IF(WFTracker[[#This Row],[Overdue Time '[Expected-Completion']]]&gt;0, "LATE","ON TIME")</f>
        <v>ON TIME</v>
      </c>
      <c r="Z353" s="16" t="str">
        <f ca="1">IF(WFTracker[[#This Row],[Overdue Time '[Expected-Completion']]] &gt;= 15, "SUPER LATE", Y353)</f>
        <v>ON TIME</v>
      </c>
      <c r="AA353" s="37" t="str">
        <f>IF(WFTracker[[#This Row],[Pre RM Opening Time]]&lt;WFTracker[[#This Row],[Old vs New Order Lead Time WF dead line]], "LATE BY ENG", "ON TIME BY ENG")</f>
        <v>LATE BY ENG</v>
      </c>
      <c r="AB353" s="37"/>
      <c r="AC353" s="15" t="str">
        <f>IF(WFTracker[[#This Row],[Competion Date Content]] = FALSE, "C", "I")</f>
        <v>C</v>
      </c>
      <c r="AD3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53" s="25" t="str">
        <f ca="1">IF(WFTracker[[#This Row],[Impact Time Post RM]]&gt;0, "IMPACTED", "NOT IMPACTED")</f>
        <v>NOT IMPACTED</v>
      </c>
      <c r="AF353" s="15"/>
      <c r="AG353" s="18"/>
      <c r="AH353" s="14" t="str">
        <f>IF(WFTracker[[#This Row],[Status]]="C", "Closed", IF(WFTracker[[#This Row],[Status]] = "x", "Cancelled", WFTracker[[#This Row],[Impact Time Post RM]]))</f>
        <v>Closed</v>
      </c>
      <c r="AI353" s="14" t="str">
        <f ca="1">IF(WFTracker[[#This Row],[Impact Time Post RM]]&lt;=0,"ON TIME","LATE")</f>
        <v>ON TIME</v>
      </c>
      <c r="AJ353" s="14" t="s">
        <v>984</v>
      </c>
      <c r="AK353" s="14">
        <v>17</v>
      </c>
      <c r="AL353" s="915">
        <f>IF(WFTracker[[#This Row],[Type]]="MAKE", WFTracker[[#This Row],[Due date]]+Filters!$J$111, WFTracker[[#This Row],[Due date]]+Filters!$J$135)</f>
        <v>45930.415686274508</v>
      </c>
      <c r="AM353" s="102" cm="1">
        <f t="array" ref="AM3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4" spans="1:39" ht="15" customHeight="1">
      <c r="A354" t="str">
        <f>IF(WFTracker[[#This Row],[Order Number]]="SWBD", "QED2", "PZ4")</f>
        <v>PZ4</v>
      </c>
      <c r="B354" s="23" t="s">
        <v>490</v>
      </c>
      <c r="C354" s="904" t="s">
        <v>282</v>
      </c>
      <c r="D354" s="11" t="str">
        <f>WFTracker[[#This Row],[Order Number]]  &amp; "-" &amp; WFTracker[[#This Row],[Item]]</f>
        <v>0051442285-000070</v>
      </c>
      <c r="E354" s="23" t="s">
        <v>491</v>
      </c>
      <c r="F354" s="12">
        <v>45945</v>
      </c>
      <c r="G354" s="12"/>
      <c r="H354" s="11" t="s">
        <v>104</v>
      </c>
      <c r="I354" s="11" t="s">
        <v>37</v>
      </c>
      <c r="J354" s="55" t="s">
        <v>499</v>
      </c>
      <c r="K354" s="14" t="s">
        <v>1017</v>
      </c>
      <c r="L354" s="15" t="s">
        <v>27</v>
      </c>
      <c r="M354" s="29" t="s">
        <v>438</v>
      </c>
      <c r="N354" s="56">
        <v>46008</v>
      </c>
      <c r="O354" s="15">
        <f>NETWORKDAYS.INTL(WFTracker[[#This Row],[Start date]],WFTracker[[#This Row],[RM]],1,Holidays!D481:D496)</f>
        <v>20</v>
      </c>
      <c r="P354" s="27">
        <v>45918</v>
      </c>
      <c r="Q354" s="27">
        <v>45925</v>
      </c>
      <c r="R354" s="12">
        <v>45933</v>
      </c>
      <c r="S354" s="12" t="b">
        <f>ISBLANK(WFTracker[[#This Row],[Completion Date]])</f>
        <v>0</v>
      </c>
      <c r="T354" s="12" t="str">
        <f>TEXT(WFTracker[[#This Row],[Start date]],"mmm-yyyy")</f>
        <v>Sep-2025</v>
      </c>
      <c r="U354" s="11">
        <v>10</v>
      </c>
      <c r="V354" s="11">
        <f>NETWORKDAYS.INTL(WFTracker[[#This Row],[Start date]],WFTracker[[#This Row],[Due date]],1,Holidays!D481:D496)</f>
        <v>6</v>
      </c>
      <c r="W3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354" s="24">
        <f ca="1">WFTracker[[#This Row],[Active Time]]-WFTracker[[#This Row],[Completion Days Template]]</f>
        <v>6</v>
      </c>
      <c r="Y354" s="16" t="str">
        <f ca="1" xml:space="preserve"> IF(WFTracker[[#This Row],[Overdue Time '[Expected-Completion']]]&gt;0, "LATE","ON TIME")</f>
        <v>LATE</v>
      </c>
      <c r="Z354" s="16" t="str">
        <f ca="1">IF(WFTracker[[#This Row],[Overdue Time '[Expected-Completion']]] &gt;= 15, "SUPER LATE", Y354)</f>
        <v>LATE</v>
      </c>
      <c r="AA354" s="37" t="str">
        <f>IF(WFTracker[[#This Row],[Pre RM Opening Time]]&lt;WFTracker[[#This Row],[Old vs New Order Lead Time WF dead line]], "LATE BY ENG", "ON TIME BY ENG")</f>
        <v>ON TIME BY ENG</v>
      </c>
      <c r="AB354" s="37"/>
      <c r="AC354" s="15" t="str">
        <f>IF(WFTracker[[#This Row],[Competion Date Content]] = FALSE, "C", "i")</f>
        <v>C</v>
      </c>
      <c r="AD3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354" s="37" t="str">
        <f ca="1">IF(WFTracker[[#This Row],[Impact Time Post RM]]&gt;0, "IMPACTED", "NOT IMPACTED")</f>
        <v>NOT IMPACTED</v>
      </c>
      <c r="AF354" s="15"/>
      <c r="AG354" s="18"/>
      <c r="AH354" s="14" t="str">
        <f>IF(WFTracker[[#This Row],[Status]]="C", "Closed", IF(WFTracker[[#This Row],[Status]] = "x", "Cancelled", WFTracker[[#This Row],[Impact Time Post RM]]))</f>
        <v>Closed</v>
      </c>
      <c r="AI354" s="14" t="str">
        <f ca="1">IF(WFTracker[[#This Row],[Impact Time Post RM]]&lt;=0,"ON TIME","LATE")</f>
        <v>ON TIME</v>
      </c>
      <c r="AJ354" s="14" t="s">
        <v>984</v>
      </c>
      <c r="AK354" s="14">
        <v>18</v>
      </c>
      <c r="AL354" s="915">
        <f>IF(WFTracker[[#This Row],[Type]]="MAKE", WFTracker[[#This Row],[Due date]]+Filters!$J$111, WFTracker[[#This Row],[Due date]]+Filters!$J$135)</f>
        <v>45928.072512647552</v>
      </c>
      <c r="AM354" s="102" cm="1">
        <f t="array" ref="AM3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5" spans="1:39" ht="15" customHeight="1">
      <c r="A355" t="str">
        <f>IF(WFTracker[[#This Row],[Order Number]]="SWBD", "QED2", "PZ4")</f>
        <v>PZ4</v>
      </c>
      <c r="B355" s="21" t="s">
        <v>490</v>
      </c>
      <c r="C355" s="35" t="s">
        <v>282</v>
      </c>
      <c r="D355" s="11" t="str">
        <f>WFTracker[[#This Row],[Order Number]]  &amp; "-" &amp; WFTracker[[#This Row],[Item]]</f>
        <v>0051442285-000070</v>
      </c>
      <c r="E355" s="23" t="s">
        <v>491</v>
      </c>
      <c r="F355" s="12">
        <v>45945</v>
      </c>
      <c r="G355" s="12"/>
      <c r="H355" s="11" t="s">
        <v>104</v>
      </c>
      <c r="I355" s="11" t="s">
        <v>37</v>
      </c>
      <c r="J355" s="55" t="s">
        <v>527</v>
      </c>
      <c r="K355" s="14" t="s">
        <v>1017</v>
      </c>
      <c r="L355" s="15" t="s">
        <v>27</v>
      </c>
      <c r="M355" s="29" t="s">
        <v>438</v>
      </c>
      <c r="N355" s="57">
        <v>46008</v>
      </c>
      <c r="O355" s="15">
        <f>NETWORKDAYS.INTL(WFTracker[[#This Row],[Start date]],WFTracker[[#This Row],[RM]],1,Holidays!D482:D497)</f>
        <v>20</v>
      </c>
      <c r="P355" s="12">
        <v>45918</v>
      </c>
      <c r="Q355" s="12">
        <v>45925</v>
      </c>
      <c r="R355" s="12">
        <v>45938</v>
      </c>
      <c r="S355" s="12" t="b">
        <f>ISBLANK(WFTracker[[#This Row],[Completion Date]])</f>
        <v>0</v>
      </c>
      <c r="T355" s="12" t="str">
        <f>TEXT(WFTracker[[#This Row],[Start date]],"mmm-yyyy")</f>
        <v>Sep-2025</v>
      </c>
      <c r="U355" s="11">
        <v>10</v>
      </c>
      <c r="V355" s="11">
        <f>NETWORKDAYS.INTL(WFTracker[[#This Row],[Start date]],WFTracker[[#This Row],[Due date]],1,Holidays!D482:D497)</f>
        <v>6</v>
      </c>
      <c r="W3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355" s="24">
        <f ca="1">WFTracker[[#This Row],[Active Time]]-WFTracker[[#This Row],[Completion Days Template]]</f>
        <v>9</v>
      </c>
      <c r="Y355" s="16" t="str">
        <f ca="1" xml:space="preserve"> IF(WFTracker[[#This Row],[Overdue Time '[Expected-Completion']]]&gt;0, "LATE","ON TIME")</f>
        <v>LATE</v>
      </c>
      <c r="Z355" s="16" t="str">
        <f ca="1">IF(WFTracker[[#This Row],[Overdue Time '[Expected-Completion']]] &gt;= 15, "SUPER LATE", Y355)</f>
        <v>LATE</v>
      </c>
      <c r="AA355" s="37" t="str">
        <f>IF(WFTracker[[#This Row],[Pre RM Opening Time]]&lt;WFTracker[[#This Row],[Old vs New Order Lead Time WF dead line]], "LATE BY ENG", "ON TIME BY ENG")</f>
        <v>ON TIME BY ENG</v>
      </c>
      <c r="AB355" s="37"/>
      <c r="AC355" s="15" t="str">
        <f>IF(WFTracker[[#This Row],[Competion Date Content]] = FALSE, "C", "i")</f>
        <v>C</v>
      </c>
      <c r="AD3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355" s="37" t="str">
        <f ca="1">IF(WFTracker[[#This Row],[Impact Time Post RM]]&gt;0, "IMPACTED", "NOT IMPACTED")</f>
        <v>NOT IMPACTED</v>
      </c>
      <c r="AF355" s="15"/>
      <c r="AG355" s="18"/>
      <c r="AH355" s="14" t="str">
        <f>IF(WFTracker[[#This Row],[Status]]="C", "Closed", IF(WFTracker[[#This Row],[Status]] = "x", "Cancelled", WFTracker[[#This Row],[Impact Time Post RM]]))</f>
        <v>Closed</v>
      </c>
      <c r="AI355" s="14" t="str">
        <f ca="1">IF(WFTracker[[#This Row],[Impact Time Post RM]]&lt;=0,"ON TIME","LATE")</f>
        <v>ON TIME</v>
      </c>
      <c r="AJ355" s="14" t="s">
        <v>984</v>
      </c>
      <c r="AK355" s="14">
        <v>18</v>
      </c>
      <c r="AL355" s="915">
        <f>IF(WFTracker[[#This Row],[Type]]="MAKE", WFTracker[[#This Row],[Due date]]+Filters!$J$111, WFTracker[[#This Row],[Due date]]+Filters!$J$135)</f>
        <v>45928.072512647552</v>
      </c>
      <c r="AM355" s="102" cm="1">
        <f t="array" ref="AM35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6" spans="1:39" ht="15" customHeight="1">
      <c r="A356" t="str">
        <f>IF(WFTracker[[#This Row],[Order Number]]="SWBD", "QED2", "PZ4")</f>
        <v>PZ4</v>
      </c>
      <c r="B356" s="21" t="s">
        <v>490</v>
      </c>
      <c r="C356" s="35" t="s">
        <v>282</v>
      </c>
      <c r="D356" s="11" t="str">
        <f>WFTracker[[#This Row],[Order Number]]  &amp; "-" &amp; WFTracker[[#This Row],[Item]]</f>
        <v>0051442285-000070</v>
      </c>
      <c r="E356" s="23" t="s">
        <v>491</v>
      </c>
      <c r="F356" s="12">
        <v>45945</v>
      </c>
      <c r="G356" s="12"/>
      <c r="H356" s="11" t="s">
        <v>104</v>
      </c>
      <c r="I356" s="11" t="s">
        <v>37</v>
      </c>
      <c r="J356" s="55" t="s">
        <v>501</v>
      </c>
      <c r="K356" s="14" t="s">
        <v>1017</v>
      </c>
      <c r="L356" s="15" t="s">
        <v>40</v>
      </c>
      <c r="M356" s="29" t="s">
        <v>438</v>
      </c>
      <c r="N356" s="57">
        <v>46008</v>
      </c>
      <c r="O356" s="15">
        <f>NETWORKDAYS.INTL(WFTracker[[#This Row],[Start date]],WFTracker[[#This Row],[RM]],1,Holidays!D483:D498)</f>
        <v>20</v>
      </c>
      <c r="P356" s="12">
        <v>45918</v>
      </c>
      <c r="Q356" s="12">
        <v>45925</v>
      </c>
      <c r="R356" s="12">
        <v>45932</v>
      </c>
      <c r="S356" s="12" t="b">
        <f>ISBLANK(WFTracker[[#This Row],[Completion Date]])</f>
        <v>0</v>
      </c>
      <c r="T356" s="12" t="str">
        <f>TEXT(WFTracker[[#This Row],[Start date]],"mmm-yyyy")</f>
        <v>Sep-2025</v>
      </c>
      <c r="U356" s="11">
        <v>10</v>
      </c>
      <c r="V356" s="11">
        <f>NETWORKDAYS.INTL(WFTracker[[#This Row],[Start date]],WFTracker[[#This Row],[Due date]],1,Holidays!D483:D498)</f>
        <v>6</v>
      </c>
      <c r="W3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356" s="24">
        <f ca="1">WFTracker[[#This Row],[Active Time]]-WFTracker[[#This Row],[Completion Days Template]]</f>
        <v>5</v>
      </c>
      <c r="Y356" s="16" t="str">
        <f ca="1" xml:space="preserve"> IF(WFTracker[[#This Row],[Overdue Time '[Expected-Completion']]]&gt;0, "LATE","ON TIME")</f>
        <v>LATE</v>
      </c>
      <c r="Z356" s="16" t="str">
        <f ca="1">IF(WFTracker[[#This Row],[Overdue Time '[Expected-Completion']]] &gt;= 15, "SUPER LATE", Y356)</f>
        <v>LATE</v>
      </c>
      <c r="AA356" s="37" t="str">
        <f>IF(WFTracker[[#This Row],[Pre RM Opening Time]]&lt;WFTracker[[#This Row],[Old vs New Order Lead Time WF dead line]], "LATE BY ENG", "ON TIME BY ENG")</f>
        <v>ON TIME BY ENG</v>
      </c>
      <c r="AB356" s="37"/>
      <c r="AC356" s="15" t="str">
        <f>IF(WFTracker[[#This Row],[Competion Date Content]] = FALSE, "C", "i")</f>
        <v>C</v>
      </c>
      <c r="AD3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356" s="37" t="str">
        <f ca="1">IF(WFTracker[[#This Row],[Impact Time Post RM]]&gt;0, "IMPACTED", "NOT IMPACTED")</f>
        <v>NOT IMPACTED</v>
      </c>
      <c r="AF356" s="15"/>
      <c r="AG356" s="18"/>
      <c r="AH356" s="14" t="str">
        <f>IF(WFTracker[[#This Row],[Status]]="C", "Closed", IF(WFTracker[[#This Row],[Status]] = "x", "Cancelled", WFTracker[[#This Row],[Impact Time Post RM]]))</f>
        <v>Closed</v>
      </c>
      <c r="AI356" s="14" t="str">
        <f ca="1">IF(WFTracker[[#This Row],[Impact Time Post RM]]&lt;=0,"ON TIME","LATE")</f>
        <v>ON TIME</v>
      </c>
      <c r="AJ356" s="14" t="s">
        <v>984</v>
      </c>
      <c r="AK356" s="14">
        <v>17</v>
      </c>
      <c r="AL356" s="915">
        <f>IF(WFTracker[[#This Row],[Type]]="MAKE", WFTracker[[#This Row],[Due date]]+Filters!$J$111, WFTracker[[#This Row],[Due date]]+Filters!$J$135)</f>
        <v>45925.415686274508</v>
      </c>
      <c r="AM356" s="102" cm="1">
        <f t="array" ref="AM3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7" spans="1:39" ht="15" customHeight="1">
      <c r="A357" t="str">
        <f>IF(WFTracker[[#This Row],[Order Number]]="SWBD", "QED2", "PZ4")</f>
        <v>PZ4</v>
      </c>
      <c r="B357" s="21" t="s">
        <v>490</v>
      </c>
      <c r="C357" s="35" t="s">
        <v>282</v>
      </c>
      <c r="D357" s="11" t="str">
        <f>WFTracker[[#This Row],[Order Number]]  &amp; "-" &amp; WFTracker[[#This Row],[Item]]</f>
        <v>0051442285-000070</v>
      </c>
      <c r="E357" s="23" t="s">
        <v>491</v>
      </c>
      <c r="F357" s="12">
        <v>45945</v>
      </c>
      <c r="G357" s="12"/>
      <c r="H357" s="11" t="s">
        <v>104</v>
      </c>
      <c r="I357" s="11" t="s">
        <v>37</v>
      </c>
      <c r="J357" s="55" t="s">
        <v>513</v>
      </c>
      <c r="K357" s="14" t="s">
        <v>1017</v>
      </c>
      <c r="L357" s="15" t="s">
        <v>27</v>
      </c>
      <c r="M357" s="29" t="s">
        <v>438</v>
      </c>
      <c r="N357" s="57">
        <v>46008</v>
      </c>
      <c r="O357" s="15">
        <f>NETWORKDAYS.INTL(WFTracker[[#This Row],[Start date]],WFTracker[[#This Row],[RM]],1,Holidays!D452:D467)</f>
        <v>19</v>
      </c>
      <c r="P357" s="12">
        <v>45919</v>
      </c>
      <c r="Q357" s="12">
        <v>45926</v>
      </c>
      <c r="R357" s="12">
        <v>45929</v>
      </c>
      <c r="S357" s="12" t="b">
        <f>ISBLANK(WFTracker[[#This Row],[Completion Date]])</f>
        <v>0</v>
      </c>
      <c r="T357" s="12" t="str">
        <f>TEXT(WFTracker[[#This Row],[Start date]],"mmm-yyyy")</f>
        <v>Sep-2025</v>
      </c>
      <c r="U357" s="11">
        <v>10</v>
      </c>
      <c r="V357" s="11">
        <f>NETWORKDAYS.INTL(WFTracker[[#This Row],[Start date]],WFTracker[[#This Row],[Due date]],1,Holidays!D452:D467)</f>
        <v>6</v>
      </c>
      <c r="W3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57" s="24">
        <f ca="1">WFTracker[[#This Row],[Active Time]]-WFTracker[[#This Row],[Completion Days Template]]</f>
        <v>1</v>
      </c>
      <c r="Y357" s="16" t="str">
        <f ca="1" xml:space="preserve"> IF(WFTracker[[#This Row],[Overdue Time '[Expected-Completion']]]&gt;0, "LATE","ON TIME")</f>
        <v>LATE</v>
      </c>
      <c r="Z357" s="16" t="str">
        <f ca="1">IF(WFTracker[[#This Row],[Overdue Time '[Expected-Completion']]] &gt;= 15, "SUPER LATE", Y357)</f>
        <v>LATE</v>
      </c>
      <c r="AA357" s="37" t="str">
        <f>IF(WFTracker[[#This Row],[Pre RM Opening Time]]&lt;WFTracker[[#This Row],[Old vs New Order Lead Time WF dead line]], "LATE BY ENG", "ON TIME BY ENG")</f>
        <v>ON TIME BY ENG</v>
      </c>
      <c r="AB357" s="37"/>
      <c r="AC357" s="15" t="str">
        <f>IF(WFTracker[[#This Row],[Competion Date Content]] = FALSE, "C", "i")</f>
        <v>C</v>
      </c>
      <c r="AD3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357" s="37" t="str">
        <f ca="1">IF(WFTracker[[#This Row],[Impact Time Post RM]]&gt;0, "IMPACTED", "NOT IMPACTED")</f>
        <v>NOT IMPACTED</v>
      </c>
      <c r="AF357" s="15"/>
      <c r="AG357" s="18"/>
      <c r="AH357" s="14" t="str">
        <f>IF(WFTracker[[#This Row],[Status]]="C", "Closed", IF(WFTracker[[#This Row],[Status]] = "x", "Cancelled", WFTracker[[#This Row],[Impact Time Post RM]]))</f>
        <v>Closed</v>
      </c>
      <c r="AI357" s="14" t="str">
        <f ca="1">IF(WFTracker[[#This Row],[Impact Time Post RM]]&lt;=0,"ON TIME","LATE")</f>
        <v>ON TIME</v>
      </c>
      <c r="AJ357" s="14" t="s">
        <v>984</v>
      </c>
      <c r="AK357" s="14">
        <v>18</v>
      </c>
      <c r="AL357" s="915">
        <f>IF(WFTracker[[#This Row],[Type]]="MAKE", WFTracker[[#This Row],[Due date]]+Filters!$J$111, WFTracker[[#This Row],[Due date]]+Filters!$J$135)</f>
        <v>45929.072512647552</v>
      </c>
      <c r="AM357" s="102" cm="1">
        <f t="array" ref="AM35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8" spans="1:39" ht="15" customHeight="1">
      <c r="A358" t="str">
        <f>IF(WFTracker[[#This Row],[Order Number]]="SWBD", "QED2", "PZ4")</f>
        <v>PZ4</v>
      </c>
      <c r="B358" s="21" t="s">
        <v>490</v>
      </c>
      <c r="C358" s="35" t="s">
        <v>282</v>
      </c>
      <c r="D358" s="11" t="str">
        <f>WFTracker[[#This Row],[Order Number]]  &amp; "-" &amp; WFTracker[[#This Row],[Item]]</f>
        <v>0051442285-000070</v>
      </c>
      <c r="E358" s="23" t="s">
        <v>491</v>
      </c>
      <c r="F358" s="12">
        <v>45945</v>
      </c>
      <c r="G358" s="12"/>
      <c r="H358" s="11" t="s">
        <v>104</v>
      </c>
      <c r="I358" s="11" t="s">
        <v>37</v>
      </c>
      <c r="J358" s="55" t="s">
        <v>519</v>
      </c>
      <c r="K358" s="14" t="s">
        <v>1017</v>
      </c>
      <c r="L358" s="15" t="s">
        <v>27</v>
      </c>
      <c r="M358" s="29" t="s">
        <v>438</v>
      </c>
      <c r="N358" s="57">
        <v>46008</v>
      </c>
      <c r="O358" s="15">
        <f>NETWORKDAYS.INTL(WFTracker[[#This Row],[Start date]],WFTracker[[#This Row],[RM]],1,Holidays!D453:D468)</f>
        <v>19</v>
      </c>
      <c r="P358" s="12">
        <v>45919</v>
      </c>
      <c r="Q358" s="12">
        <v>45926</v>
      </c>
      <c r="R358" s="12">
        <v>45943</v>
      </c>
      <c r="S358" s="12" t="b">
        <f>ISBLANK(WFTracker[[#This Row],[Completion Date]])</f>
        <v>0</v>
      </c>
      <c r="T358" s="12" t="str">
        <f>TEXT(WFTracker[[#This Row],[Start date]],"mmm-yyyy")</f>
        <v>Sep-2025</v>
      </c>
      <c r="U358" s="11">
        <v>10</v>
      </c>
      <c r="V358" s="11">
        <f>NETWORKDAYS.INTL(WFTracker[[#This Row],[Start date]],WFTracker[[#This Row],[Due date]],1,Holidays!D453:D468)</f>
        <v>6</v>
      </c>
      <c r="W3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358" s="24">
        <f ca="1">WFTracker[[#This Row],[Active Time]]-WFTracker[[#This Row],[Completion Days Template]]</f>
        <v>11</v>
      </c>
      <c r="Y358" s="16" t="str">
        <f ca="1" xml:space="preserve"> IF(WFTracker[[#This Row],[Overdue Time '[Expected-Completion']]]&gt;0, "LATE","ON TIME")</f>
        <v>LATE</v>
      </c>
      <c r="Z358" s="16" t="str">
        <f ca="1">IF(WFTracker[[#This Row],[Overdue Time '[Expected-Completion']]] &gt;= 15, "SUPER LATE", Y358)</f>
        <v>LATE</v>
      </c>
      <c r="AA358" s="37" t="str">
        <f>IF(WFTracker[[#This Row],[Pre RM Opening Time]]&lt;WFTracker[[#This Row],[Old vs New Order Lead Time WF dead line]], "LATE BY ENG", "ON TIME BY ENG")</f>
        <v>ON TIME BY ENG</v>
      </c>
      <c r="AB358" s="37"/>
      <c r="AC358" s="15" t="str">
        <f>IF(WFTracker[[#This Row],[Competion Date Content]] = FALSE, "C", "i")</f>
        <v>C</v>
      </c>
      <c r="AD3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58" s="37" t="str">
        <f ca="1">IF(WFTracker[[#This Row],[Impact Time Post RM]]&gt;0, "IMPACTED", "NOT IMPACTED")</f>
        <v>NOT IMPACTED</v>
      </c>
      <c r="AF358" s="15"/>
      <c r="AG358" s="18"/>
      <c r="AH358" s="14" t="str">
        <f>IF(WFTracker[[#This Row],[Status]]="C", "Closed", IF(WFTracker[[#This Row],[Status]] = "x", "Cancelled", WFTracker[[#This Row],[Impact Time Post RM]]))</f>
        <v>Closed</v>
      </c>
      <c r="AI358" s="14" t="str">
        <f ca="1">IF(WFTracker[[#This Row],[Impact Time Post RM]]&lt;=0,"ON TIME","LATE")</f>
        <v>ON TIME</v>
      </c>
      <c r="AJ358" s="14" t="s">
        <v>984</v>
      </c>
      <c r="AK358" s="14">
        <v>18</v>
      </c>
      <c r="AL358" s="915">
        <f>IF(WFTracker[[#This Row],[Type]]="MAKE", WFTracker[[#This Row],[Due date]]+Filters!$J$111, WFTracker[[#This Row],[Due date]]+Filters!$J$135)</f>
        <v>45929.072512647552</v>
      </c>
      <c r="AM358" s="102" cm="1">
        <f t="array" ref="AM3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59" spans="1:39" ht="15" customHeight="1">
      <c r="A359" t="str">
        <f>IF(WFTracker[[#This Row],[Order Number]]="SWBD", "QED2", "PZ4")</f>
        <v>PZ4</v>
      </c>
      <c r="B359" s="21" t="s">
        <v>490</v>
      </c>
      <c r="C359" s="35" t="s">
        <v>282</v>
      </c>
      <c r="D359" s="11" t="str">
        <f>WFTracker[[#This Row],[Order Number]]  &amp; "-" &amp; WFTracker[[#This Row],[Item]]</f>
        <v>0051442285-000070</v>
      </c>
      <c r="E359" s="23" t="s">
        <v>491</v>
      </c>
      <c r="F359" s="12">
        <v>45945</v>
      </c>
      <c r="G359" s="12"/>
      <c r="H359" s="11" t="s">
        <v>104</v>
      </c>
      <c r="I359" s="11" t="s">
        <v>37</v>
      </c>
      <c r="J359" s="55" t="s">
        <v>523</v>
      </c>
      <c r="K359" s="14" t="s">
        <v>1017</v>
      </c>
      <c r="L359" s="15" t="s">
        <v>27</v>
      </c>
      <c r="M359" s="29" t="s">
        <v>438</v>
      </c>
      <c r="N359" s="57">
        <v>46008</v>
      </c>
      <c r="O359" s="15">
        <f>NETWORKDAYS.INTL(WFTracker[[#This Row],[Start date]],WFTracker[[#This Row],[RM]],1,Holidays!D454:D469)</f>
        <v>19</v>
      </c>
      <c r="P359" s="12">
        <v>45919</v>
      </c>
      <c r="Q359" s="12">
        <v>45926</v>
      </c>
      <c r="R359" s="12">
        <v>45945</v>
      </c>
      <c r="S359" s="12" t="b">
        <f>ISBLANK(WFTracker[[#This Row],[Completion Date]])</f>
        <v>0</v>
      </c>
      <c r="T359" s="12" t="str">
        <f>TEXT(WFTracker[[#This Row],[Start date]],"mmm-yyyy")</f>
        <v>Sep-2025</v>
      </c>
      <c r="U359" s="11">
        <v>10</v>
      </c>
      <c r="V359" s="11">
        <f>NETWORKDAYS.INTL(WFTracker[[#This Row],[Start date]],WFTracker[[#This Row],[Due date]],1,Holidays!D454:D469)</f>
        <v>6</v>
      </c>
      <c r="W3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359" s="24">
        <f ca="1">WFTracker[[#This Row],[Active Time]]-WFTracker[[#This Row],[Completion Days Template]]</f>
        <v>13</v>
      </c>
      <c r="Y359" s="16" t="str">
        <f ca="1" xml:space="preserve"> IF(WFTracker[[#This Row],[Overdue Time '[Expected-Completion']]]&gt;0, "LATE","ON TIME")</f>
        <v>LATE</v>
      </c>
      <c r="Z359" s="16" t="str">
        <f ca="1">IF(WFTracker[[#This Row],[Overdue Time '[Expected-Completion']]] &gt;= 15, "SUPER LATE", Y359)</f>
        <v>LATE</v>
      </c>
      <c r="AA359" s="37" t="str">
        <f>IF(WFTracker[[#This Row],[Pre RM Opening Time]]&lt;WFTracker[[#This Row],[Old vs New Order Lead Time WF dead line]], "LATE BY ENG", "ON TIME BY ENG")</f>
        <v>ON TIME BY ENG</v>
      </c>
      <c r="AB359" s="37"/>
      <c r="AC359" s="15" t="str">
        <f>IF(WFTracker[[#This Row],[Competion Date Content]] = FALSE, "C", "I")</f>
        <v>C</v>
      </c>
      <c r="AD3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59" s="37" t="str">
        <f ca="1">IF(WFTracker[[#This Row],[Impact Time Post RM]]&gt;0, "IMPACTED", "NOT IMPACTED")</f>
        <v>IMPACTED</v>
      </c>
      <c r="AF359" s="15"/>
      <c r="AG359" s="18"/>
      <c r="AH359" s="14" t="str">
        <f>IF(WFTracker[[#This Row],[Status]]="C", "Closed", IF(WFTracker[[#This Row],[Status]] = "x", "Cancelled", WFTracker[[#This Row],[Impact Time Post RM]]))</f>
        <v>Closed</v>
      </c>
      <c r="AI359" s="14" t="str">
        <f ca="1">IF(WFTracker[[#This Row],[Impact Time Post RM]]&lt;=0,"ON TIME","LATE")</f>
        <v>LATE</v>
      </c>
      <c r="AJ359" s="14" t="s">
        <v>984</v>
      </c>
      <c r="AK359" s="14">
        <v>18</v>
      </c>
      <c r="AL359" s="915">
        <f>IF(WFTracker[[#This Row],[Type]]="MAKE", WFTracker[[#This Row],[Due date]]+Filters!$J$111, WFTracker[[#This Row],[Due date]]+Filters!$J$135)</f>
        <v>45929.072512647552</v>
      </c>
      <c r="AM359" s="101" cm="1">
        <f t="array" ref="AM3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0" spans="1:39" ht="15" customHeight="1">
      <c r="A360" t="str">
        <f>IF(WFTracker[[#This Row],[Order Number]]="SWBD", "QED2", "PZ4")</f>
        <v>PZ4</v>
      </c>
      <c r="B360" s="35" t="s">
        <v>490</v>
      </c>
      <c r="C360" s="35" t="s">
        <v>293</v>
      </c>
      <c r="D360" s="11" t="str">
        <f>WFTracker[[#This Row],[Order Number]]  &amp; "-" &amp; WFTracker[[#This Row],[Item]]</f>
        <v>0051442285-000080</v>
      </c>
      <c r="E360" s="23" t="s">
        <v>491</v>
      </c>
      <c r="F360" s="12">
        <v>45945</v>
      </c>
      <c r="G360" s="12"/>
      <c r="H360" s="11" t="s">
        <v>104</v>
      </c>
      <c r="I360" s="11" t="s">
        <v>37</v>
      </c>
      <c r="J360" s="55" t="s">
        <v>497</v>
      </c>
      <c r="K360" s="14" t="s">
        <v>1017</v>
      </c>
      <c r="L360" s="15" t="s">
        <v>27</v>
      </c>
      <c r="M360" s="29" t="s">
        <v>438</v>
      </c>
      <c r="N360" s="57">
        <v>46008</v>
      </c>
      <c r="O360" s="15">
        <f>NETWORKDAYS.INTL(WFTracker[[#This Row],[Start date]],WFTracker[[#This Row],[RM]],1,Holidays!D455:D470)</f>
        <v>19</v>
      </c>
      <c r="P360" s="12">
        <v>45919</v>
      </c>
      <c r="Q360" s="12">
        <v>45926</v>
      </c>
      <c r="R360" s="12">
        <v>45945</v>
      </c>
      <c r="S360" s="12" t="b">
        <f>ISBLANK(WFTracker[[#This Row],[Completion Date]])</f>
        <v>0</v>
      </c>
      <c r="T360" s="12" t="str">
        <f>TEXT(WFTracker[[#This Row],[Start date]],"mmm-yyyy")</f>
        <v>Sep-2025</v>
      </c>
      <c r="U360" s="11">
        <v>10</v>
      </c>
      <c r="V360" s="11">
        <f>NETWORKDAYS.INTL(WFTracker[[#This Row],[Start date]],WFTracker[[#This Row],[Due date]],1,Holidays!D455:D470)</f>
        <v>6</v>
      </c>
      <c r="W3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360" s="24">
        <f ca="1">WFTracker[[#This Row],[Active Time]]-WFTracker[[#This Row],[Completion Days Template]]</f>
        <v>13</v>
      </c>
      <c r="Y360" s="16" t="str">
        <f ca="1" xml:space="preserve"> IF(WFTracker[[#This Row],[Overdue Time '[Expected-Completion']]]&gt;0, "LATE","ON TIME")</f>
        <v>LATE</v>
      </c>
      <c r="Z360" s="16" t="str">
        <f ca="1">IF(WFTracker[[#This Row],[Overdue Time '[Expected-Completion']]] &gt;= 15, "SUPER LATE", Y360)</f>
        <v>LATE</v>
      </c>
      <c r="AA360" s="37" t="str">
        <f>IF(WFTracker[[#This Row],[Pre RM Opening Time]]&lt;WFTracker[[#This Row],[Old vs New Order Lead Time WF dead line]], "LATE BY ENG", "ON TIME BY ENG")</f>
        <v>ON TIME BY ENG</v>
      </c>
      <c r="AB360" s="37"/>
      <c r="AC360" s="15" t="str">
        <f>IF(WFTracker[[#This Row],[Competion Date Content]] = FALSE, "C", "i")</f>
        <v>C</v>
      </c>
      <c r="AD3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60" s="37" t="str">
        <f ca="1">IF(WFTracker[[#This Row],[Impact Time Post RM]]&gt;0, "IMPACTED", "NOT IMPACTED")</f>
        <v>IMPACTED</v>
      </c>
      <c r="AF360" s="15"/>
      <c r="AG360" s="18"/>
      <c r="AH360" s="14" t="str">
        <f>IF(WFTracker[[#This Row],[Status]]="C", "Closed", IF(WFTracker[[#This Row],[Status]] = "x", "Cancelled", WFTracker[[#This Row],[Impact Time Post RM]]))</f>
        <v>Closed</v>
      </c>
      <c r="AI360" s="14" t="str">
        <f ca="1">IF(WFTracker[[#This Row],[Impact Time Post RM]]&lt;=0,"ON TIME","LATE")</f>
        <v>LATE</v>
      </c>
      <c r="AJ360" s="14" t="s">
        <v>984</v>
      </c>
      <c r="AK360" s="14">
        <v>18</v>
      </c>
      <c r="AL360" s="915">
        <f>IF(WFTracker[[#This Row],[Type]]="MAKE", WFTracker[[#This Row],[Due date]]+Filters!$J$111, WFTracker[[#This Row],[Due date]]+Filters!$J$135)</f>
        <v>45929.072512647552</v>
      </c>
      <c r="AM360" s="102" cm="1">
        <f t="array" ref="AM3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1" spans="1:39" ht="15" customHeight="1">
      <c r="A361" t="str">
        <f>IF(WFTracker[[#This Row],[Order Number]]="SWBD", "QED2", "PZ4")</f>
        <v>PZ4</v>
      </c>
      <c r="B361" s="21" t="s">
        <v>490</v>
      </c>
      <c r="C361" s="35" t="s">
        <v>282</v>
      </c>
      <c r="D361" s="11" t="str">
        <f>WFTracker[[#This Row],[Order Number]]  &amp; "-" &amp; WFTracker[[#This Row],[Item]]</f>
        <v>0051442285-000070</v>
      </c>
      <c r="E361" s="23" t="s">
        <v>491</v>
      </c>
      <c r="F361" s="12">
        <v>45945</v>
      </c>
      <c r="G361" s="12"/>
      <c r="H361" s="11" t="s">
        <v>104</v>
      </c>
      <c r="I361" s="11" t="s">
        <v>37</v>
      </c>
      <c r="J361" s="55" t="s">
        <v>517</v>
      </c>
      <c r="K361" s="14" t="s">
        <v>1017</v>
      </c>
      <c r="L361" s="15" t="s">
        <v>27</v>
      </c>
      <c r="M361" s="29" t="s">
        <v>438</v>
      </c>
      <c r="N361" s="57">
        <v>46008</v>
      </c>
      <c r="O361" s="15">
        <f>NETWORKDAYS.INTL(WFTracker[[#This Row],[Start date]],WFTracker[[#This Row],[RM]],1,Holidays!D456:D471)</f>
        <v>19</v>
      </c>
      <c r="P361" s="12">
        <v>45919</v>
      </c>
      <c r="Q361" s="12">
        <v>45929</v>
      </c>
      <c r="R361" s="12">
        <v>45943</v>
      </c>
      <c r="S361" s="12" t="b">
        <f>ISBLANK(WFTracker[[#This Row],[Completion Date]])</f>
        <v>0</v>
      </c>
      <c r="T361" s="12" t="str">
        <f>TEXT(WFTracker[[#This Row],[Start date]],"mmm-yyyy")</f>
        <v>Sep-2025</v>
      </c>
      <c r="U361" s="11">
        <v>10</v>
      </c>
      <c r="V361" s="11">
        <f>NETWORKDAYS.INTL(WFTracker[[#This Row],[Start date]],WFTracker[[#This Row],[Due date]],1,Holidays!D456:D471)</f>
        <v>7</v>
      </c>
      <c r="W3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361" s="24">
        <f ca="1">WFTracker[[#This Row],[Active Time]]-WFTracker[[#This Row],[Completion Days Template]]</f>
        <v>10</v>
      </c>
      <c r="Y361" s="16" t="str">
        <f ca="1" xml:space="preserve"> IF(WFTracker[[#This Row],[Overdue Time '[Expected-Completion']]]&gt;0, "LATE","ON TIME")</f>
        <v>LATE</v>
      </c>
      <c r="Z361" s="16" t="str">
        <f ca="1">IF(WFTracker[[#This Row],[Overdue Time '[Expected-Completion']]] &gt;= 15, "SUPER LATE", Y361)</f>
        <v>LATE</v>
      </c>
      <c r="AA361" s="37" t="str">
        <f>IF(WFTracker[[#This Row],[Pre RM Opening Time]]&lt;WFTracker[[#This Row],[Old vs New Order Lead Time WF dead line]], "LATE BY ENG", "ON TIME BY ENG")</f>
        <v>ON TIME BY ENG</v>
      </c>
      <c r="AB361" s="37"/>
      <c r="AC361" s="15" t="str">
        <f>IF(WFTracker[[#This Row],[Competion Date Content]] = FALSE, "C", "i")</f>
        <v>C</v>
      </c>
      <c r="AD3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61" s="37" t="str">
        <f ca="1">IF(WFTracker[[#This Row],[Impact Time Post RM]]&gt;0, "IMPACTED", "NOT IMPACTED")</f>
        <v>NOT IMPACTED</v>
      </c>
      <c r="AF361" s="15"/>
      <c r="AG361" s="18"/>
      <c r="AH361" s="14" t="str">
        <f>IF(WFTracker[[#This Row],[Status]]="C", "Closed", IF(WFTracker[[#This Row],[Status]] = "x", "Cancelled", WFTracker[[#This Row],[Impact Time Post RM]]))</f>
        <v>Closed</v>
      </c>
      <c r="AI361" s="14" t="str">
        <f ca="1">IF(WFTracker[[#This Row],[Impact Time Post RM]]&lt;=0,"ON TIME","LATE")</f>
        <v>ON TIME</v>
      </c>
      <c r="AJ361" s="14" t="s">
        <v>984</v>
      </c>
      <c r="AK361" s="14">
        <v>18</v>
      </c>
      <c r="AL361" s="915">
        <f>IF(WFTracker[[#This Row],[Type]]="MAKE", WFTracker[[#This Row],[Due date]]+Filters!$J$111, WFTracker[[#This Row],[Due date]]+Filters!$J$135)</f>
        <v>45932.072512647552</v>
      </c>
      <c r="AM361" s="102" cm="1">
        <f t="array" ref="AM3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2" spans="1:39" ht="15" customHeight="1">
      <c r="A362" t="str">
        <f>IF(WFTracker[[#This Row],[Order Number]]="SWBD", "QED2", "PZ4")</f>
        <v>PZ4</v>
      </c>
      <c r="B362" s="21" t="s">
        <v>490</v>
      </c>
      <c r="C362" s="35" t="s">
        <v>282</v>
      </c>
      <c r="D362" s="11" t="str">
        <f>WFTracker[[#This Row],[Order Number]]  &amp; "-" &amp; WFTracker[[#This Row],[Item]]</f>
        <v>0051442285-000070</v>
      </c>
      <c r="E362" s="23" t="s">
        <v>491</v>
      </c>
      <c r="F362" s="12">
        <v>45945</v>
      </c>
      <c r="G362" s="12"/>
      <c r="H362" s="11" t="s">
        <v>104</v>
      </c>
      <c r="I362" s="11" t="s">
        <v>37</v>
      </c>
      <c r="J362" s="13" t="s">
        <v>515</v>
      </c>
      <c r="K362" s="14" t="s">
        <v>1017</v>
      </c>
      <c r="L362" s="15" t="s">
        <v>27</v>
      </c>
      <c r="M362" s="29" t="s">
        <v>438</v>
      </c>
      <c r="N362" s="57">
        <v>46008</v>
      </c>
      <c r="O362" s="15">
        <f>NETWORKDAYS.INTL(WFTracker[[#This Row],[Start date]],WFTracker[[#This Row],[RM]],1,Holidays!D457:D472)</f>
        <v>19</v>
      </c>
      <c r="P362" s="12">
        <v>45919</v>
      </c>
      <c r="Q362" s="12">
        <v>45929</v>
      </c>
      <c r="R362" s="12">
        <v>45943</v>
      </c>
      <c r="S362" s="12" t="b">
        <f>ISBLANK(WFTracker[[#This Row],[Completion Date]])</f>
        <v>0</v>
      </c>
      <c r="T362" s="12" t="str">
        <f>TEXT(WFTracker[[#This Row],[Start date]],"mmm-yyyy")</f>
        <v>Sep-2025</v>
      </c>
      <c r="U362" s="11">
        <v>10</v>
      </c>
      <c r="V362" s="11">
        <f>NETWORKDAYS.INTL(WFTracker[[#This Row],[Start date]],WFTracker[[#This Row],[Due date]],1,Holidays!D457:D472)</f>
        <v>7</v>
      </c>
      <c r="W3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362" s="24">
        <f ca="1">WFTracker[[#This Row],[Active Time]]-WFTracker[[#This Row],[Completion Days Template]]</f>
        <v>10</v>
      </c>
      <c r="Y362" s="16" t="str">
        <f ca="1" xml:space="preserve"> IF(WFTracker[[#This Row],[Overdue Time '[Expected-Completion']]]&gt;0, "LATE","ON TIME")</f>
        <v>LATE</v>
      </c>
      <c r="Z362" s="16" t="str">
        <f ca="1">IF(WFTracker[[#This Row],[Overdue Time '[Expected-Completion']]] &gt;= 15, "SUPER LATE", Y362)</f>
        <v>LATE</v>
      </c>
      <c r="AA362" s="37" t="str">
        <f>IF(WFTracker[[#This Row],[Pre RM Opening Time]]&lt;WFTracker[[#This Row],[Old vs New Order Lead Time WF dead line]], "LATE BY ENG", "ON TIME BY ENG")</f>
        <v>ON TIME BY ENG</v>
      </c>
      <c r="AB362" s="37"/>
      <c r="AC362" s="15" t="str">
        <f>IF(WFTracker[[#This Row],[Competion Date Content]] = FALSE, "C", "i")</f>
        <v>C</v>
      </c>
      <c r="AD3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62" s="37" t="str">
        <f ca="1">IF(WFTracker[[#This Row],[Impact Time Post RM]]&gt;0, "IMPACTED", "NOT IMPACTED")</f>
        <v>NOT IMPACTED</v>
      </c>
      <c r="AF362" s="15"/>
      <c r="AG362" s="18"/>
      <c r="AH362" s="14" t="str">
        <f>IF(WFTracker[[#This Row],[Status]]="C", "Closed", IF(WFTracker[[#This Row],[Status]] = "x", "Cancelled", WFTracker[[#This Row],[Impact Time Post RM]]))</f>
        <v>Closed</v>
      </c>
      <c r="AI362" s="14" t="str">
        <f ca="1">IF(WFTracker[[#This Row],[Impact Time Post RM]]&lt;=0,"ON TIME","LATE")</f>
        <v>ON TIME</v>
      </c>
      <c r="AJ362" s="14" t="s">
        <v>984</v>
      </c>
      <c r="AK362" s="14">
        <v>18</v>
      </c>
      <c r="AL362" s="915">
        <f>IF(WFTracker[[#This Row],[Type]]="MAKE", WFTracker[[#This Row],[Due date]]+Filters!$J$111, WFTracker[[#This Row],[Due date]]+Filters!$J$135)</f>
        <v>45932.072512647552</v>
      </c>
      <c r="AM362" s="102" cm="1">
        <f t="array" ref="AM3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3" spans="1:39" ht="15" customHeight="1">
      <c r="A363" t="str">
        <f>IF(WFTracker[[#This Row],[Order Number]]="SWBD", "QED2", "PZ4")</f>
        <v>PZ4</v>
      </c>
      <c r="B363" s="21" t="s">
        <v>490</v>
      </c>
      <c r="C363" s="35" t="s">
        <v>282</v>
      </c>
      <c r="D363" s="11" t="str">
        <f>WFTracker[[#This Row],[Order Number]]  &amp; "-" &amp; WFTracker[[#This Row],[Item]]</f>
        <v>0051442285-000070</v>
      </c>
      <c r="E363" s="23" t="s">
        <v>491</v>
      </c>
      <c r="F363" s="12">
        <v>45945</v>
      </c>
      <c r="G363" s="12"/>
      <c r="H363" s="11" t="s">
        <v>104</v>
      </c>
      <c r="I363" s="11" t="s">
        <v>37</v>
      </c>
      <c r="J363" s="55" t="s">
        <v>498</v>
      </c>
      <c r="K363" s="14" t="s">
        <v>1017</v>
      </c>
      <c r="L363" s="15" t="s">
        <v>40</v>
      </c>
      <c r="M363" s="29" t="s">
        <v>438</v>
      </c>
      <c r="N363" s="57">
        <v>46008</v>
      </c>
      <c r="O363" s="15">
        <f>NETWORKDAYS.INTL(WFTracker[[#This Row],[Start date]],WFTracker[[#This Row],[RM]],1,Holidays!D458:D473)</f>
        <v>19</v>
      </c>
      <c r="P363" s="12">
        <v>45919</v>
      </c>
      <c r="Q363" s="12">
        <v>45931</v>
      </c>
      <c r="R363" s="12">
        <v>45932</v>
      </c>
      <c r="S363" s="12" t="b">
        <f>ISBLANK(WFTracker[[#This Row],[Completion Date]])</f>
        <v>0</v>
      </c>
      <c r="T363" s="12" t="str">
        <f>TEXT(WFTracker[[#This Row],[Start date]],"mmm-yyyy")</f>
        <v>Sep-2025</v>
      </c>
      <c r="U363" s="11">
        <v>10</v>
      </c>
      <c r="V363" s="11">
        <f>NETWORKDAYS.INTL(WFTracker[[#This Row],[Start date]],WFTracker[[#This Row],[Due date]],1,Holidays!D458:D473)</f>
        <v>9</v>
      </c>
      <c r="W3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63" s="24">
        <f ca="1">WFTracker[[#This Row],[Active Time]]-WFTracker[[#This Row],[Completion Days Template]]</f>
        <v>1</v>
      </c>
      <c r="Y363" s="16" t="str">
        <f ca="1" xml:space="preserve"> IF(WFTracker[[#This Row],[Overdue Time '[Expected-Completion']]]&gt;0, "LATE","ON TIME")</f>
        <v>LATE</v>
      </c>
      <c r="Z363" s="16" t="str">
        <f ca="1">IF(WFTracker[[#This Row],[Overdue Time '[Expected-Completion']]] &gt;= 15, "SUPER LATE", Y363)</f>
        <v>LATE</v>
      </c>
      <c r="AA363" s="37" t="str">
        <f>IF(WFTracker[[#This Row],[Pre RM Opening Time]]&lt;WFTracker[[#This Row],[Old vs New Order Lead Time WF dead line]], "LATE BY ENG", "ON TIME BY ENG")</f>
        <v>ON TIME BY ENG</v>
      </c>
      <c r="AB363" s="37"/>
      <c r="AC363" s="15" t="str">
        <f>IF(WFTracker[[#This Row],[Competion Date Content]] = FALSE, "C", "i")</f>
        <v>C</v>
      </c>
      <c r="AD3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363" s="37" t="str">
        <f ca="1">IF(WFTracker[[#This Row],[Impact Time Post RM]]&gt;0, "IMPACTED", "NOT IMPACTED")</f>
        <v>NOT IMPACTED</v>
      </c>
      <c r="AF363" s="15"/>
      <c r="AG363" s="18"/>
      <c r="AH363" s="14" t="str">
        <f>IF(WFTracker[[#This Row],[Status]]="C", "Closed", IF(WFTracker[[#This Row],[Status]] = "x", "Cancelled", WFTracker[[#This Row],[Impact Time Post RM]]))</f>
        <v>Closed</v>
      </c>
      <c r="AI363" s="14" t="str">
        <f ca="1">IF(WFTracker[[#This Row],[Impact Time Post RM]]&lt;=0,"ON TIME","LATE")</f>
        <v>ON TIME</v>
      </c>
      <c r="AJ363" s="14" t="s">
        <v>984</v>
      </c>
      <c r="AK363" s="14">
        <v>17</v>
      </c>
      <c r="AL363" s="915">
        <f>IF(WFTracker[[#This Row],[Type]]="MAKE", WFTracker[[#This Row],[Due date]]+Filters!$J$111, WFTracker[[#This Row],[Due date]]+Filters!$J$135)</f>
        <v>45931.415686274508</v>
      </c>
      <c r="AM363" s="102" cm="1">
        <f t="array" ref="AM3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4" spans="1:39" ht="15" customHeight="1">
      <c r="A364" t="str">
        <f>IF(WFTracker[[#This Row],[Order Number]]="SWBD", "QED2", "PZ4")</f>
        <v>PZ4</v>
      </c>
      <c r="B364" s="21" t="s">
        <v>550</v>
      </c>
      <c r="C364" s="1001" t="s">
        <v>1298</v>
      </c>
      <c r="D364" s="11" t="str">
        <f>WFTracker[[#This Row],[Order Number]]  &amp; "-" &amp; WFTracker[[#This Row],[Item]]</f>
        <v>0051576246-000020&amp;30&amp;40&amp;50&amp;60</v>
      </c>
      <c r="E364" s="23" t="s">
        <v>551</v>
      </c>
      <c r="F364" s="12">
        <v>45954</v>
      </c>
      <c r="G364" s="12"/>
      <c r="H364" s="11" t="s">
        <v>80</v>
      </c>
      <c r="I364" s="11" t="s">
        <v>1154</v>
      </c>
      <c r="J364" s="55" t="s">
        <v>566</v>
      </c>
      <c r="K364" s="14" t="s">
        <v>1023</v>
      </c>
      <c r="L364" s="15" t="s">
        <v>27</v>
      </c>
      <c r="M364" s="29" t="s">
        <v>1120</v>
      </c>
      <c r="N364" s="57">
        <v>46052</v>
      </c>
      <c r="O364" s="15">
        <f>NETWORKDAYS.INTL(WFTracker[[#This Row],[Start date]],WFTracker[[#This Row],[RM]],1,Holidays!D521:D536)</f>
        <v>26</v>
      </c>
      <c r="P364" s="12">
        <v>45919</v>
      </c>
      <c r="Q364" s="12">
        <v>45929</v>
      </c>
      <c r="R364" s="12">
        <v>45950</v>
      </c>
      <c r="S364" s="12" t="b">
        <f>ISBLANK(WFTracker[[#This Row],[Completion Date]])</f>
        <v>0</v>
      </c>
      <c r="T364" s="12" t="str">
        <f>TEXT(WFTracker[[#This Row],[Start date]],"mmm-yyyy")</f>
        <v>Sep-2025</v>
      </c>
      <c r="U364" s="11">
        <v>10</v>
      </c>
      <c r="V364" s="11">
        <f>NETWORKDAYS.INTL(WFTracker[[#This Row],[Start date]],WFTracker[[#This Row],[Due date]],1,Holidays!D521:D536)</f>
        <v>7</v>
      </c>
      <c r="W3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22</v>
      </c>
      <c r="X364" s="24">
        <f ca="1">WFTracker[[#This Row],[Active Time]]-WFTracker[[#This Row],[Completion Days Template]]</f>
        <v>15</v>
      </c>
      <c r="Y364" s="16" t="str">
        <f ca="1" xml:space="preserve"> IF(WFTracker[[#This Row],[Overdue Time '[Expected-Completion']]]&gt;0, "LATE","ON TIME")</f>
        <v>LATE</v>
      </c>
      <c r="Z364" s="16" t="str">
        <f ca="1">IF(WFTracker[[#This Row],[Overdue Time '[Expected-Completion']]] &gt;= 15, "SUPER LATE", Y364)</f>
        <v>SUPER LATE</v>
      </c>
      <c r="AA364" s="37" t="str">
        <f>IF(WFTracker[[#This Row],[Pre RM Opening Time]]&lt;WFTracker[[#This Row],[Old vs New Order Lead Time WF dead line]], "LATE BY ENG", "ON TIME BY ENG")</f>
        <v>ON TIME BY ENG</v>
      </c>
      <c r="AB364" s="37"/>
      <c r="AC364" s="15" t="str">
        <f>IF(WFTracker[[#This Row],[Competion Date Content]] = FALSE, "C", "i")</f>
        <v>C</v>
      </c>
      <c r="AD3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364" s="37" t="str">
        <f ca="1">IF(WFTracker[[#This Row],[Impact Time Post RM]]&gt;0, "IMPACTED", "NOT IMPACTED")</f>
        <v>NOT IMPACTED</v>
      </c>
      <c r="AF364" s="15"/>
      <c r="AG364" s="18"/>
      <c r="AH364" s="14" t="str">
        <f>IF(WFTracker[[#This Row],[Status]]="C", "Closed", IF(WFTracker[[#This Row],[Status]] = "x", "Cancelled", WFTracker[[#This Row],[Impact Time Post RM]]))</f>
        <v>Closed</v>
      </c>
      <c r="AI364" s="14" t="str">
        <f ca="1">IF(WFTracker[[#This Row],[Impact Time Post RM]]&lt;=0,"ON TIME","LATE")</f>
        <v>ON TIME</v>
      </c>
      <c r="AJ364" s="14" t="s">
        <v>984</v>
      </c>
      <c r="AK364" s="14">
        <v>18</v>
      </c>
      <c r="AL364" s="915">
        <f>IF(WFTracker[[#This Row],[Type]]="MAKE", WFTracker[[#This Row],[Due date]]+Filters!$J$111, WFTracker[[#This Row],[Due date]]+Filters!$J$135)</f>
        <v>45932.072512647552</v>
      </c>
      <c r="AM364" s="101" cm="1">
        <f t="array" ref="AM3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5" spans="1:39" ht="15" customHeight="1">
      <c r="A365" t="str">
        <f>IF(WFTracker[[#This Row],[Order Number]]="SWBD", "QED2", "PZ4")</f>
        <v>PZ4</v>
      </c>
      <c r="B365" s="21" t="s">
        <v>1297</v>
      </c>
      <c r="C365" s="21" t="s">
        <v>1298</v>
      </c>
      <c r="D365" s="11" t="str">
        <f>WFTracker[[#This Row],[Order Number]]  &amp; "-" &amp; WFTracker[[#This Row],[Item]]</f>
        <v>051576246-000020&amp;30&amp;40&amp;50&amp;60</v>
      </c>
      <c r="E365" s="23" t="s">
        <v>551</v>
      </c>
      <c r="F365" s="12">
        <v>45954</v>
      </c>
      <c r="G365" s="12"/>
      <c r="H365" s="11" t="s">
        <v>80</v>
      </c>
      <c r="I365" t="s">
        <v>1154</v>
      </c>
      <c r="J365" s="55" t="s">
        <v>1308</v>
      </c>
      <c r="K365" s="14" t="s">
        <v>1023</v>
      </c>
      <c r="L365" s="15" t="s">
        <v>27</v>
      </c>
      <c r="M365" s="29" t="s">
        <v>1120</v>
      </c>
      <c r="N365" s="57">
        <v>46030</v>
      </c>
      <c r="O365" s="15">
        <f>NETWORKDAYS.INTL(WFTracker[[#This Row],[Start date]],WFTracker[[#This Row],[RM]],1,Holidays!D522:D537)</f>
        <v>26</v>
      </c>
      <c r="P365" s="12">
        <v>45919</v>
      </c>
      <c r="Q365" s="12">
        <v>45929</v>
      </c>
      <c r="R365" s="12">
        <v>45954</v>
      </c>
      <c r="S365" s="12" t="b">
        <f>ISBLANK(WFTracker[[#This Row],[Completion Date]])</f>
        <v>0</v>
      </c>
      <c r="T365" s="12" t="str">
        <f>TEXT(WFTracker[[#This Row],[Start date]],"mmm-yyyy")</f>
        <v>Sep-2025</v>
      </c>
      <c r="U365" s="11">
        <v>10</v>
      </c>
      <c r="V365" s="11">
        <f>NETWORKDAYS.INTL(WFTracker[[#This Row],[Start date]],WFTracker[[#This Row],[Due date]],1,Holidays!D522:D537)</f>
        <v>7</v>
      </c>
      <c r="W3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26</v>
      </c>
      <c r="X365" s="24">
        <f ca="1">WFTracker[[#This Row],[Active Time]]-WFTracker[[#This Row],[Completion Days Template]]</f>
        <v>19</v>
      </c>
      <c r="Y365" s="16" t="str">
        <f ca="1" xml:space="preserve"> IF(WFTracker[[#This Row],[Overdue Time '[Expected-Completion']]]&gt;0, "LATE","ON TIME")</f>
        <v>LATE</v>
      </c>
      <c r="Z365" s="16" t="str">
        <f ca="1">IF(WFTracker[[#This Row],[Overdue Time '[Expected-Completion']]] &gt;= 15, "SUPER LATE", Y365)</f>
        <v>SUPER LATE</v>
      </c>
      <c r="AA365" s="37" t="str">
        <f>IF(WFTracker[[#This Row],[Pre RM Opening Time]]&lt;WFTracker[[#This Row],[Old vs New Order Lead Time WF dead line]], "LATE BY ENG", "ON TIME BY ENG")</f>
        <v>ON TIME BY ENG</v>
      </c>
      <c r="AB365" s="37"/>
      <c r="AC365" s="15" t="str">
        <f>IF(WFTracker[[#This Row],[Competion Date Content]] = FALSE, "C", "i")</f>
        <v>C</v>
      </c>
      <c r="AD3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65" s="37" t="str">
        <f ca="1">IF(WFTracker[[#This Row],[Impact Time Post RM]]&gt;0, "IMPACTED", "NOT IMPACTED")</f>
        <v>IMPACTED</v>
      </c>
      <c r="AF365" s="15"/>
      <c r="AG365" s="18"/>
      <c r="AH365" s="14" t="str">
        <f>IF(WFTracker[[#This Row],[Status]]="C", "Closed", IF(WFTracker[[#This Row],[Status]] = "x", "Cancelled", WFTracker[[#This Row],[Impact Time Post RM]]))</f>
        <v>Closed</v>
      </c>
      <c r="AI365" s="14" t="str">
        <f ca="1">IF(WFTracker[[#This Row],[Impact Time Post RM]]&lt;=0,"ON TIME","LATE")</f>
        <v>LATE</v>
      </c>
      <c r="AJ365" s="14" t="s">
        <v>984</v>
      </c>
      <c r="AK365" s="14">
        <v>18</v>
      </c>
      <c r="AL365" s="915">
        <f>IF(WFTracker[[#This Row],[Type]]="MAKE", WFTracker[[#This Row],[Due date]]+Filters!$J$111, WFTracker[[#This Row],[Due date]]+Filters!$J$135)</f>
        <v>45932.072512647552</v>
      </c>
      <c r="AM365" s="102" cm="1">
        <f t="array" ref="AM3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6" spans="1:39" ht="15" customHeight="1">
      <c r="A366" t="str">
        <f>IF(WFTracker[[#This Row],[Order Number]]="SWBD", "QED2", "PZ4")</f>
        <v>PZ4</v>
      </c>
      <c r="B366" s="21" t="s">
        <v>550</v>
      </c>
      <c r="C366" s="1001" t="s">
        <v>1298</v>
      </c>
      <c r="D366" s="11" t="str">
        <f>WFTracker[[#This Row],[Order Number]]  &amp; "-" &amp; WFTracker[[#This Row],[Item]]</f>
        <v>0051576246-000020&amp;30&amp;40&amp;50&amp;60</v>
      </c>
      <c r="E366" s="23" t="s">
        <v>551</v>
      </c>
      <c r="F366" s="12">
        <v>45954</v>
      </c>
      <c r="G366" s="12"/>
      <c r="H366" s="11" t="s">
        <v>80</v>
      </c>
      <c r="I366" s="11" t="s">
        <v>1154</v>
      </c>
      <c r="J366" s="55" t="s">
        <v>1309</v>
      </c>
      <c r="K366" s="14" t="s">
        <v>1023</v>
      </c>
      <c r="L366" s="15" t="s">
        <v>27</v>
      </c>
      <c r="M366" s="29" t="s">
        <v>1120</v>
      </c>
      <c r="N366" s="57">
        <v>46052</v>
      </c>
      <c r="O366" s="15">
        <f>NETWORKDAYS.INTL(WFTracker[[#This Row],[Start date]],WFTracker[[#This Row],[RM]],1,Holidays!D523:D538)</f>
        <v>26</v>
      </c>
      <c r="P366" s="12">
        <v>45919</v>
      </c>
      <c r="Q366" s="12">
        <v>45930</v>
      </c>
      <c r="R366" s="12">
        <v>45950</v>
      </c>
      <c r="S366" s="12" t="b">
        <f>ISBLANK(WFTracker[[#This Row],[Completion Date]])</f>
        <v>0</v>
      </c>
      <c r="T366" s="12" t="str">
        <f>TEXT(WFTracker[[#This Row],[Start date]],"mmm-yyyy")</f>
        <v>Sep-2025</v>
      </c>
      <c r="U366" s="11">
        <v>10</v>
      </c>
      <c r="V366" s="11">
        <f>NETWORKDAYS.INTL(WFTracker[[#This Row],[Start date]],WFTracker[[#This Row],[Due date]],1,Holidays!D523:D538)</f>
        <v>8</v>
      </c>
      <c r="W3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22</v>
      </c>
      <c r="X366" s="24">
        <f ca="1">WFTracker[[#This Row],[Active Time]]-WFTracker[[#This Row],[Completion Days Template]]</f>
        <v>14</v>
      </c>
      <c r="Y366" s="16" t="str">
        <f ca="1" xml:space="preserve"> IF(WFTracker[[#This Row],[Overdue Time '[Expected-Completion']]]&gt;0, "LATE","ON TIME")</f>
        <v>LATE</v>
      </c>
      <c r="Z366" s="16" t="str">
        <f ca="1">IF(WFTracker[[#This Row],[Overdue Time '[Expected-Completion']]] &gt;= 15, "SUPER LATE", Y366)</f>
        <v>LATE</v>
      </c>
      <c r="AA366" s="37" t="str">
        <f>IF(WFTracker[[#This Row],[Pre RM Opening Time]]&lt;WFTracker[[#This Row],[Old vs New Order Lead Time WF dead line]], "LATE BY ENG", "ON TIME BY ENG")</f>
        <v>ON TIME BY ENG</v>
      </c>
      <c r="AB366" s="37"/>
      <c r="AC366" s="15" t="str">
        <f>IF(WFTracker[[#This Row],[Competion Date Content]] = FALSE, "C", "i")</f>
        <v>C</v>
      </c>
      <c r="AD3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366" s="37" t="str">
        <f ca="1">IF(WFTracker[[#This Row],[Impact Time Post RM]]&gt;0, "IMPACTED", "NOT IMPACTED")</f>
        <v>NOT IMPACTED</v>
      </c>
      <c r="AF366" s="15"/>
      <c r="AG366" s="18"/>
      <c r="AH366" s="14" t="str">
        <f>IF(WFTracker[[#This Row],[Status]]="C", "Closed", IF(WFTracker[[#This Row],[Status]] = "x", "Cancelled", WFTracker[[#This Row],[Impact Time Post RM]]))</f>
        <v>Closed</v>
      </c>
      <c r="AI366" s="14" t="str">
        <f ca="1">IF(WFTracker[[#This Row],[Impact Time Post RM]]&lt;=0,"ON TIME","LATE")</f>
        <v>ON TIME</v>
      </c>
      <c r="AJ366" s="14" t="s">
        <v>984</v>
      </c>
      <c r="AK366" s="14">
        <v>18</v>
      </c>
      <c r="AL366" s="915">
        <f>IF(WFTracker[[#This Row],[Type]]="MAKE", WFTracker[[#This Row],[Due date]]+Filters!$J$111, WFTracker[[#This Row],[Due date]]+Filters!$J$135)</f>
        <v>45933.072512647552</v>
      </c>
      <c r="AM366" s="101" cm="1">
        <f t="array" ref="AM36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7" spans="1:39" ht="15" customHeight="1">
      <c r="A367" t="str">
        <f>IF(WFTracker[[#This Row],[Order Number]]="SWBD", "QED2", "PZ4")</f>
        <v>PZ4</v>
      </c>
      <c r="B367" s="21" t="s">
        <v>550</v>
      </c>
      <c r="C367" s="1001" t="s">
        <v>1298</v>
      </c>
      <c r="D367" s="11" t="str">
        <f>WFTracker[[#This Row],[Order Number]]  &amp; "-" &amp; WFTracker[[#This Row],[Item]]</f>
        <v>0051576246-000020&amp;30&amp;40&amp;50&amp;60</v>
      </c>
      <c r="E367" s="23" t="s">
        <v>551</v>
      </c>
      <c r="F367" s="12">
        <v>45954</v>
      </c>
      <c r="G367" s="12"/>
      <c r="H367" s="11" t="s">
        <v>80</v>
      </c>
      <c r="I367" s="11" t="s">
        <v>1154</v>
      </c>
      <c r="J367" s="55" t="s">
        <v>1310</v>
      </c>
      <c r="K367" s="14" t="s">
        <v>1023</v>
      </c>
      <c r="L367" s="15" t="s">
        <v>40</v>
      </c>
      <c r="M367" s="29" t="s">
        <v>1120</v>
      </c>
      <c r="N367" s="57">
        <v>46052</v>
      </c>
      <c r="O367" s="15">
        <f>NETWORKDAYS.INTL(WFTracker[[#This Row],[Start date]],WFTracker[[#This Row],[RM]],1,Holidays!D524:D539)</f>
        <v>26</v>
      </c>
      <c r="P367" s="12">
        <v>45919</v>
      </c>
      <c r="Q367" s="12">
        <v>45931</v>
      </c>
      <c r="R367" s="12">
        <v>45943</v>
      </c>
      <c r="S367" s="12" t="b">
        <f>ISBLANK(WFTracker[[#This Row],[Completion Date]])</f>
        <v>0</v>
      </c>
      <c r="T367" s="12" t="str">
        <f>TEXT(WFTracker[[#This Row],[Start date]],"mmm-yyyy")</f>
        <v>Sep-2025</v>
      </c>
      <c r="U367" s="11">
        <v>10</v>
      </c>
      <c r="V367" s="11">
        <f>NETWORKDAYS.INTL(WFTracker[[#This Row],[Start date]],WFTracker[[#This Row],[Due date]],1,Holidays!D524:D539)</f>
        <v>9</v>
      </c>
      <c r="W3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367" s="24">
        <f ca="1">WFTracker[[#This Row],[Active Time]]-WFTracker[[#This Row],[Completion Days Template]]</f>
        <v>8</v>
      </c>
      <c r="Y367" s="16" t="str">
        <f ca="1" xml:space="preserve"> IF(WFTracker[[#This Row],[Overdue Time '[Expected-Completion']]]&gt;0, "LATE","ON TIME")</f>
        <v>LATE</v>
      </c>
      <c r="Z367" s="16" t="str">
        <f ca="1">IF(WFTracker[[#This Row],[Overdue Time '[Expected-Completion']]] &gt;= 15, "SUPER LATE", Y367)</f>
        <v>LATE</v>
      </c>
      <c r="AA367" s="37" t="str">
        <f>IF(WFTracker[[#This Row],[Pre RM Opening Time]]&lt;WFTracker[[#This Row],[Old vs New Order Lead Time WF dead line]], "LATE BY ENG", "ON TIME BY ENG")</f>
        <v>ON TIME BY ENG</v>
      </c>
      <c r="AB367" s="37"/>
      <c r="AC367" s="15" t="str">
        <f>IF(WFTracker[[#This Row],[Competion Date Content]] = FALSE, "C", "i")</f>
        <v>C</v>
      </c>
      <c r="AD3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367" s="37" t="str">
        <f ca="1">IF(WFTracker[[#This Row],[Impact Time Post RM]]&gt;0, "IMPACTED", "NOT IMPACTED")</f>
        <v>NOT IMPACTED</v>
      </c>
      <c r="AF367" s="15"/>
      <c r="AG367" s="18"/>
      <c r="AH367" s="14" t="str">
        <f>IF(WFTracker[[#This Row],[Status]]="C", "Closed", IF(WFTracker[[#This Row],[Status]] = "x", "Cancelled", WFTracker[[#This Row],[Impact Time Post RM]]))</f>
        <v>Closed</v>
      </c>
      <c r="AI367" s="14" t="str">
        <f ca="1">IF(WFTracker[[#This Row],[Impact Time Post RM]]&lt;=0,"ON TIME","LATE")</f>
        <v>ON TIME</v>
      </c>
      <c r="AJ367" s="14" t="s">
        <v>984</v>
      </c>
      <c r="AK367" s="14">
        <v>17</v>
      </c>
      <c r="AL367" s="915">
        <f>IF(WFTracker[[#This Row],[Type]]="MAKE", WFTracker[[#This Row],[Due date]]+Filters!$J$111, WFTracker[[#This Row],[Due date]]+Filters!$J$135)</f>
        <v>45931.415686274508</v>
      </c>
      <c r="AM367" s="102" cm="1">
        <f t="array" ref="AM3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8" spans="1:39" ht="15" customHeight="1">
      <c r="A368" t="str">
        <f>IF(WFTracker[[#This Row],[Order Number]]="SWBD", "QED2", "PZ4")</f>
        <v>PZ4</v>
      </c>
      <c r="B368" s="21" t="s">
        <v>550</v>
      </c>
      <c r="C368" s="1001" t="s">
        <v>1298</v>
      </c>
      <c r="D368" s="11" t="str">
        <f>WFTracker[[#This Row],[Order Number]]  &amp; "-" &amp; WFTracker[[#This Row],[Item]]</f>
        <v>0051576246-000020&amp;30&amp;40&amp;50&amp;60</v>
      </c>
      <c r="E368" s="23" t="s">
        <v>551</v>
      </c>
      <c r="F368" s="12">
        <v>45954</v>
      </c>
      <c r="G368" s="12"/>
      <c r="H368" s="11" t="s">
        <v>80</v>
      </c>
      <c r="I368" s="11" t="s">
        <v>1154</v>
      </c>
      <c r="J368" s="55" t="s">
        <v>565</v>
      </c>
      <c r="K368" s="14" t="s">
        <v>1023</v>
      </c>
      <c r="L368" s="15" t="s">
        <v>27</v>
      </c>
      <c r="M368" s="15" t="s">
        <v>1120</v>
      </c>
      <c r="N368" s="56">
        <v>46052</v>
      </c>
      <c r="O368" s="15">
        <f>NETWORKDAYS.INTL(WFTracker[[#This Row],[Start date]],WFTracker[[#This Row],[RM]],1,Holidays!D525:D540)</f>
        <v>26</v>
      </c>
      <c r="P368" s="12">
        <v>45919</v>
      </c>
      <c r="Q368" s="12">
        <v>45931</v>
      </c>
      <c r="R368" s="12">
        <v>45951</v>
      </c>
      <c r="S368" s="12" t="b">
        <f>ISBLANK(WFTracker[[#This Row],[Completion Date]])</f>
        <v>0</v>
      </c>
      <c r="T368" s="12" t="str">
        <f>TEXT(WFTracker[[#This Row],[Start date]],"mmm-yyyy")</f>
        <v>Sep-2025</v>
      </c>
      <c r="U368" s="11">
        <v>10</v>
      </c>
      <c r="V368" s="11">
        <f>NETWORKDAYS.INTL(WFTracker[[#This Row],[Start date]],WFTracker[[#This Row],[Due date]],1,Holidays!D525:D540)</f>
        <v>9</v>
      </c>
      <c r="W3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23</v>
      </c>
      <c r="X368" s="24">
        <f ca="1">WFTracker[[#This Row],[Active Time]]-WFTracker[[#This Row],[Completion Days Template]]</f>
        <v>14</v>
      </c>
      <c r="Y368" s="16" t="str">
        <f ca="1" xml:space="preserve"> IF(WFTracker[[#This Row],[Overdue Time '[Expected-Completion']]]&gt;0, "LATE","ON TIME")</f>
        <v>LATE</v>
      </c>
      <c r="Z368" s="16" t="str">
        <f ca="1">IF(WFTracker[[#This Row],[Overdue Time '[Expected-Completion']]] &gt;= 15, "SUPER LATE", Y368)</f>
        <v>LATE</v>
      </c>
      <c r="AA368" s="37" t="str">
        <f>IF(WFTracker[[#This Row],[Pre RM Opening Time]]&lt;WFTracker[[#This Row],[Old vs New Order Lead Time WF dead line]], "LATE BY ENG", "ON TIME BY ENG")</f>
        <v>ON TIME BY ENG</v>
      </c>
      <c r="AB368" s="37"/>
      <c r="AC368" s="15" t="str">
        <f>IF(WFTracker[[#This Row],[Competion Date Content]] = FALSE, "C", "i")</f>
        <v>C</v>
      </c>
      <c r="AD3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368" s="37" t="str">
        <f ca="1">IF(WFTracker[[#This Row],[Impact Time Post RM]]&gt;0, "IMPACTED", "NOT IMPACTED")</f>
        <v>NOT IMPACTED</v>
      </c>
      <c r="AF368" s="15"/>
      <c r="AG368" s="18"/>
      <c r="AH368" s="14" t="str">
        <f>IF(WFTracker[[#This Row],[Status]]="C", "Closed", IF(WFTracker[[#This Row],[Status]] = "x", "Cancelled", WFTracker[[#This Row],[Impact Time Post RM]]))</f>
        <v>Closed</v>
      </c>
      <c r="AI368" s="14" t="str">
        <f ca="1">IF(WFTracker[[#This Row],[Impact Time Post RM]]&lt;=0,"ON TIME","LATE")</f>
        <v>ON TIME</v>
      </c>
      <c r="AJ368" s="14" t="s">
        <v>984</v>
      </c>
      <c r="AK368" s="14">
        <v>18</v>
      </c>
      <c r="AL368" s="915">
        <f>IF(WFTracker[[#This Row],[Type]]="MAKE", WFTracker[[#This Row],[Due date]]+Filters!$J$111, WFTracker[[#This Row],[Due date]]+Filters!$J$135)</f>
        <v>45934.072512647552</v>
      </c>
      <c r="AM368" s="101" cm="1">
        <f t="array" ref="AM3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69" spans="1:39" ht="15" customHeight="1">
      <c r="A369" t="str">
        <f>IF(WFTracker[[#This Row],[Order Number]]="SWBD", "QED2", "PZ4")</f>
        <v>PZ4</v>
      </c>
      <c r="B369" s="21" t="s">
        <v>550</v>
      </c>
      <c r="C369" s="1001" t="s">
        <v>1298</v>
      </c>
      <c r="D369" s="11" t="str">
        <f>WFTracker[[#This Row],[Order Number]]  &amp; "-" &amp; WFTracker[[#This Row],[Item]]</f>
        <v>0051576246-000020&amp;30&amp;40&amp;50&amp;60</v>
      </c>
      <c r="E369" s="23" t="s">
        <v>551</v>
      </c>
      <c r="F369" s="12">
        <v>45954</v>
      </c>
      <c r="G369" s="12"/>
      <c r="H369" s="11" t="s">
        <v>80</v>
      </c>
      <c r="I369" s="11" t="s">
        <v>1154</v>
      </c>
      <c r="J369" s="55" t="s">
        <v>564</v>
      </c>
      <c r="K369" s="14" t="s">
        <v>1023</v>
      </c>
      <c r="L369" s="15" t="s">
        <v>27</v>
      </c>
      <c r="M369" s="15" t="s">
        <v>1120</v>
      </c>
      <c r="N369" s="56">
        <v>46052</v>
      </c>
      <c r="O369" s="15">
        <f>NETWORKDAYS.INTL(WFTracker[[#This Row],[Start date]],WFTracker[[#This Row],[RM]],1,Holidays!D526:D541)</f>
        <v>26</v>
      </c>
      <c r="P369" s="12">
        <v>45919</v>
      </c>
      <c r="Q369" s="12">
        <v>45933</v>
      </c>
      <c r="R369" s="12">
        <v>45952</v>
      </c>
      <c r="S369" s="12" t="b">
        <f>ISBLANK(WFTracker[[#This Row],[Completion Date]])</f>
        <v>0</v>
      </c>
      <c r="T369" s="12" t="str">
        <f>TEXT(WFTracker[[#This Row],[Start date]],"mmm-yyyy")</f>
        <v>Sep-2025</v>
      </c>
      <c r="U369" s="11">
        <v>10</v>
      </c>
      <c r="V369" s="11">
        <f>NETWORKDAYS.INTL(WFTracker[[#This Row],[Start date]],WFTracker[[#This Row],[Due date]],1,Holidays!D526:D541)</f>
        <v>11</v>
      </c>
      <c r="W3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24</v>
      </c>
      <c r="X369" s="24">
        <f ca="1">WFTracker[[#This Row],[Active Time]]-WFTracker[[#This Row],[Completion Days Template]]</f>
        <v>13</v>
      </c>
      <c r="Y369" s="16" t="str">
        <f ca="1" xml:space="preserve"> IF(WFTracker[[#This Row],[Overdue Time '[Expected-Completion']]]&gt;0, "LATE","ON TIME")</f>
        <v>LATE</v>
      </c>
      <c r="Z369" s="16" t="str">
        <f ca="1">IF(WFTracker[[#This Row],[Overdue Time '[Expected-Completion']]] &gt;= 15, "SUPER LATE", Y369)</f>
        <v>LATE</v>
      </c>
      <c r="AA369" s="37" t="str">
        <f>IF(WFTracker[[#This Row],[Pre RM Opening Time]]&lt;WFTracker[[#This Row],[Old vs New Order Lead Time WF dead line]], "LATE BY ENG", "ON TIME BY ENG")</f>
        <v>ON TIME BY ENG</v>
      </c>
      <c r="AB369" s="37"/>
      <c r="AC369" s="15" t="str">
        <f>IF(WFTracker[[#This Row],[Competion Date Content]] = FALSE, "C", "i")</f>
        <v>C</v>
      </c>
      <c r="AD3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69" s="37" t="str">
        <f ca="1">IF(WFTracker[[#This Row],[Impact Time Post RM]]&gt;0, "IMPACTED", "NOT IMPACTED")</f>
        <v>NOT IMPACTED</v>
      </c>
      <c r="AF369" s="15"/>
      <c r="AG369" s="18"/>
      <c r="AH369" s="14" t="str">
        <f>IF(WFTracker[[#This Row],[Status]]="C", "Closed", IF(WFTracker[[#This Row],[Status]] = "x", "Cancelled", WFTracker[[#This Row],[Impact Time Post RM]]))</f>
        <v>Closed</v>
      </c>
      <c r="AI369" s="14" t="str">
        <f ca="1">IF(WFTracker[[#This Row],[Impact Time Post RM]]&lt;=0,"ON TIME","LATE")</f>
        <v>ON TIME</v>
      </c>
      <c r="AJ369" s="14" t="s">
        <v>984</v>
      </c>
      <c r="AK369" s="14">
        <v>18</v>
      </c>
      <c r="AL369" s="915">
        <f>IF(WFTracker[[#This Row],[Type]]="MAKE", WFTracker[[#This Row],[Due date]]+Filters!$J$111, WFTracker[[#This Row],[Due date]]+Filters!$J$135)</f>
        <v>45936.072512647552</v>
      </c>
      <c r="AM369" s="101" cm="1">
        <f t="array" ref="AM3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0" spans="1:39" ht="15" customHeight="1">
      <c r="A370" t="str">
        <f>IF(WFTracker[[#This Row],[Order Number]]="SWBD", "QED2", "PZ4")</f>
        <v>PZ4</v>
      </c>
      <c r="B370" s="21" t="s">
        <v>550</v>
      </c>
      <c r="C370" s="1001" t="s">
        <v>1298</v>
      </c>
      <c r="D370" s="11" t="str">
        <f>WFTracker[[#This Row],[Order Number]]  &amp; "-" &amp; WFTracker[[#This Row],[Item]]</f>
        <v>0051576246-000020&amp;30&amp;40&amp;50&amp;60</v>
      </c>
      <c r="E370" s="23" t="s">
        <v>551</v>
      </c>
      <c r="F370" s="12">
        <v>45954</v>
      </c>
      <c r="G370" s="12"/>
      <c r="H370" s="11" t="s">
        <v>80</v>
      </c>
      <c r="I370" s="11" t="s">
        <v>1154</v>
      </c>
      <c r="J370" s="55" t="s">
        <v>1311</v>
      </c>
      <c r="K370" s="14" t="s">
        <v>1023</v>
      </c>
      <c r="L370" s="15" t="s">
        <v>27</v>
      </c>
      <c r="M370" s="29" t="s">
        <v>1120</v>
      </c>
      <c r="N370" s="57">
        <v>46052</v>
      </c>
      <c r="O370" s="15">
        <f>NETWORKDAYS.INTL(WFTracker[[#This Row],[Start date]],WFTracker[[#This Row],[RM]],1,Holidays!D527:D542)</f>
        <v>26</v>
      </c>
      <c r="P370" s="12">
        <v>45919</v>
      </c>
      <c r="Q370" s="12">
        <v>45934</v>
      </c>
      <c r="R370" s="12">
        <v>45952</v>
      </c>
      <c r="S370" s="12" t="b">
        <f>ISBLANK(WFTracker[[#This Row],[Completion Date]])</f>
        <v>0</v>
      </c>
      <c r="T370" s="12" t="str">
        <f>TEXT(WFTracker[[#This Row],[Start date]],"mmm-yyyy")</f>
        <v>Sep-2025</v>
      </c>
      <c r="U370" s="11">
        <v>10</v>
      </c>
      <c r="V370" s="11">
        <f>NETWORKDAYS.INTL(WFTracker[[#This Row],[Start date]],WFTracker[[#This Row],[Due date]],1,Holidays!D527:D542)</f>
        <v>11</v>
      </c>
      <c r="W3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24</v>
      </c>
      <c r="X370" s="24">
        <f ca="1">WFTracker[[#This Row],[Active Time]]-WFTracker[[#This Row],[Completion Days Template]]</f>
        <v>13</v>
      </c>
      <c r="Y370" s="16" t="str">
        <f ca="1" xml:space="preserve"> IF(WFTracker[[#This Row],[Overdue Time '[Expected-Completion']]]&gt;0, "LATE","ON TIME")</f>
        <v>LATE</v>
      </c>
      <c r="Z370" s="16" t="str">
        <f ca="1">IF(WFTracker[[#This Row],[Overdue Time '[Expected-Completion']]] &gt;= 15, "SUPER LATE", Y370)</f>
        <v>LATE</v>
      </c>
      <c r="AA370" s="37" t="str">
        <f>IF(WFTracker[[#This Row],[Pre RM Opening Time]]&lt;WFTracker[[#This Row],[Old vs New Order Lead Time WF dead line]], "LATE BY ENG", "ON TIME BY ENG")</f>
        <v>ON TIME BY ENG</v>
      </c>
      <c r="AB370" s="37"/>
      <c r="AC370" s="15" t="str">
        <f>IF(WFTracker[[#This Row],[Competion Date Content]] = FALSE, "C", "i")</f>
        <v>C</v>
      </c>
      <c r="AD3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70" s="37" t="str">
        <f ca="1">IF(WFTracker[[#This Row],[Impact Time Post RM]]&gt;0, "IMPACTED", "NOT IMPACTED")</f>
        <v>NOT IMPACTED</v>
      </c>
      <c r="AF370" s="15"/>
      <c r="AG370" s="18"/>
      <c r="AH370" s="14" t="str">
        <f>IF(WFTracker[[#This Row],[Status]]="C", "Closed", IF(WFTracker[[#This Row],[Status]] = "x", "Cancelled", WFTracker[[#This Row],[Impact Time Post RM]]))</f>
        <v>Closed</v>
      </c>
      <c r="AI370" s="14" t="str">
        <f ca="1">IF(WFTracker[[#This Row],[Impact Time Post RM]]&lt;=0,"ON TIME","LATE")</f>
        <v>ON TIME</v>
      </c>
      <c r="AJ370" s="14" t="s">
        <v>984</v>
      </c>
      <c r="AK370" s="14">
        <v>18</v>
      </c>
      <c r="AL370" s="915">
        <f>IF(WFTracker[[#This Row],[Type]]="MAKE", WFTracker[[#This Row],[Due date]]+Filters!$J$111, WFTracker[[#This Row],[Due date]]+Filters!$J$135)</f>
        <v>45937.072512647552</v>
      </c>
      <c r="AM370" s="101" cm="1">
        <f t="array" ref="AM3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1" spans="1:39" ht="15" customHeight="1">
      <c r="A371" t="str">
        <f>IF(WFTracker[[#This Row],[Order Number]]="SWBD", "QED2", "PZ4")</f>
        <v>PZ4</v>
      </c>
      <c r="B371" s="21" t="s">
        <v>550</v>
      </c>
      <c r="C371" s="1001" t="s">
        <v>1298</v>
      </c>
      <c r="D371" s="11" t="str">
        <f>WFTracker[[#This Row],[Order Number]]  &amp; "-" &amp; WFTracker[[#This Row],[Item]]</f>
        <v>0051576246-000020&amp;30&amp;40&amp;50&amp;60</v>
      </c>
      <c r="E371" s="23" t="s">
        <v>551</v>
      </c>
      <c r="F371" s="12">
        <v>45954</v>
      </c>
      <c r="G371" s="12"/>
      <c r="H371" s="11" t="s">
        <v>80</v>
      </c>
      <c r="I371" s="11" t="s">
        <v>1154</v>
      </c>
      <c r="J371" s="55" t="s">
        <v>1312</v>
      </c>
      <c r="K371" s="14" t="s">
        <v>1023</v>
      </c>
      <c r="L371" s="15" t="s">
        <v>27</v>
      </c>
      <c r="M371" s="29" t="s">
        <v>1120</v>
      </c>
      <c r="N371" s="56">
        <v>46052</v>
      </c>
      <c r="O371" s="15">
        <f>NETWORKDAYS.INTL(WFTracker[[#This Row],[Start date]],WFTracker[[#This Row],[RM]],1,Holidays!D528:D543)</f>
        <v>26</v>
      </c>
      <c r="P371" s="12">
        <v>45919</v>
      </c>
      <c r="Q371" s="12">
        <v>45935</v>
      </c>
      <c r="R371" s="12">
        <v>45953</v>
      </c>
      <c r="S371" s="12" t="b">
        <f>ISBLANK(WFTracker[[#This Row],[Completion Date]])</f>
        <v>0</v>
      </c>
      <c r="T371" s="12" t="str">
        <f>TEXT(WFTracker[[#This Row],[Start date]],"mmm-yyyy")</f>
        <v>Sep-2025</v>
      </c>
      <c r="U371" s="11">
        <v>10</v>
      </c>
      <c r="V371" s="11">
        <f>NETWORKDAYS.INTL(WFTracker[[#This Row],[Start date]],WFTracker[[#This Row],[Due date]],1,Holidays!D528:D543)</f>
        <v>11</v>
      </c>
      <c r="W3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25</v>
      </c>
      <c r="X371" s="24">
        <f ca="1">WFTracker[[#This Row],[Active Time]]-WFTracker[[#This Row],[Completion Days Template]]</f>
        <v>14</v>
      </c>
      <c r="Y371" s="16" t="str">
        <f ca="1" xml:space="preserve"> IF(WFTracker[[#This Row],[Overdue Time '[Expected-Completion']]]&gt;0, "LATE","ON TIME")</f>
        <v>LATE</v>
      </c>
      <c r="Z371" s="16" t="str">
        <f ca="1">IF(WFTracker[[#This Row],[Overdue Time '[Expected-Completion']]] &gt;= 15, "SUPER LATE", Y371)</f>
        <v>LATE</v>
      </c>
      <c r="AA371" s="37" t="str">
        <f>IF(WFTracker[[#This Row],[Pre RM Opening Time]]&lt;WFTracker[[#This Row],[Old vs New Order Lead Time WF dead line]], "LATE BY ENG", "ON TIME BY ENG")</f>
        <v>ON TIME BY ENG</v>
      </c>
      <c r="AB371" s="37"/>
      <c r="AC371" s="15" t="str">
        <f>IF(WFTracker[[#This Row],[Competion Date Content]] = FALSE, "C", "i")</f>
        <v>C</v>
      </c>
      <c r="AD3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71" s="37" t="str">
        <f ca="1">IF(WFTracker[[#This Row],[Impact Time Post RM]]&gt;0, "IMPACTED", "NOT IMPACTED")</f>
        <v>NOT IMPACTED</v>
      </c>
      <c r="AF371" s="15"/>
      <c r="AG371" s="18"/>
      <c r="AH371" s="14" t="str">
        <f>IF(WFTracker[[#This Row],[Status]]="C", "Closed", IF(WFTracker[[#This Row],[Status]] = "x", "Cancelled", WFTracker[[#This Row],[Impact Time Post RM]]))</f>
        <v>Closed</v>
      </c>
      <c r="AI371" s="14" t="str">
        <f ca="1">IF(WFTracker[[#This Row],[Impact Time Post RM]]&lt;=0,"ON TIME","LATE")</f>
        <v>ON TIME</v>
      </c>
      <c r="AJ371" s="14" t="s">
        <v>984</v>
      </c>
      <c r="AK371" s="14">
        <v>18</v>
      </c>
      <c r="AL371" s="915">
        <f>IF(WFTracker[[#This Row],[Type]]="MAKE", WFTracker[[#This Row],[Due date]]+Filters!$J$111, WFTracker[[#This Row],[Due date]]+Filters!$J$135)</f>
        <v>45938.072512647552</v>
      </c>
      <c r="AM371" s="101" cm="1">
        <f t="array" ref="AM3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2" spans="1:39" ht="15" customHeight="1">
      <c r="A372" t="str">
        <f>IF(WFTracker[[#This Row],[Order Number]]="SWBD", "QED2", "PZ4")</f>
        <v>PZ4</v>
      </c>
      <c r="B372" s="21" t="s">
        <v>550</v>
      </c>
      <c r="C372" s="1001" t="s">
        <v>1298</v>
      </c>
      <c r="D372" s="11" t="str">
        <f>WFTracker[[#This Row],[Order Number]]  &amp; "-" &amp; WFTracker[[#This Row],[Item]]</f>
        <v>0051576246-000020&amp;30&amp;40&amp;50&amp;60</v>
      </c>
      <c r="E372" s="23" t="s">
        <v>551</v>
      </c>
      <c r="F372" s="12">
        <v>45954</v>
      </c>
      <c r="G372" s="12"/>
      <c r="H372" s="11" t="s">
        <v>80</v>
      </c>
      <c r="I372" s="11" t="s">
        <v>1154</v>
      </c>
      <c r="J372" s="55" t="s">
        <v>562</v>
      </c>
      <c r="K372" s="14" t="s">
        <v>1023</v>
      </c>
      <c r="L372" s="15" t="s">
        <v>27</v>
      </c>
      <c r="M372" s="29" t="s">
        <v>1120</v>
      </c>
      <c r="N372" s="57">
        <v>46052</v>
      </c>
      <c r="O372" s="15">
        <f>NETWORKDAYS.INTL(WFTracker[[#This Row],[Start date]],WFTracker[[#This Row],[RM]],1,Holidays!D529:D544)</f>
        <v>26</v>
      </c>
      <c r="P372" s="12">
        <v>45919</v>
      </c>
      <c r="Q372" s="12">
        <v>45936</v>
      </c>
      <c r="R372" s="12">
        <v>45953</v>
      </c>
      <c r="S372" s="12" t="b">
        <f>ISBLANK(WFTracker[[#This Row],[Completion Date]])</f>
        <v>0</v>
      </c>
      <c r="T372" s="12" t="str">
        <f>TEXT(WFTracker[[#This Row],[Start date]],"mmm-yyyy")</f>
        <v>Sep-2025</v>
      </c>
      <c r="U372" s="11">
        <v>10</v>
      </c>
      <c r="V372" s="11">
        <f>NETWORKDAYS.INTL(WFTracker[[#This Row],[Start date]],WFTracker[[#This Row],[Due date]],1,Holidays!D529:D544)</f>
        <v>12</v>
      </c>
      <c r="W3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25</v>
      </c>
      <c r="X372" s="24">
        <f ca="1">WFTracker[[#This Row],[Active Time]]-WFTracker[[#This Row],[Completion Days Template]]</f>
        <v>13</v>
      </c>
      <c r="Y372" s="16" t="str">
        <f ca="1" xml:space="preserve"> IF(WFTracker[[#This Row],[Overdue Time '[Expected-Completion']]]&gt;0, "LATE","ON TIME")</f>
        <v>LATE</v>
      </c>
      <c r="Z372" s="16" t="str">
        <f ca="1">IF(WFTracker[[#This Row],[Overdue Time '[Expected-Completion']]] &gt;= 15, "SUPER LATE", Y372)</f>
        <v>LATE</v>
      </c>
      <c r="AA372" s="37" t="str">
        <f>IF(WFTracker[[#This Row],[Pre RM Opening Time]]&lt;WFTracker[[#This Row],[Old vs New Order Lead Time WF dead line]], "LATE BY ENG", "ON TIME BY ENG")</f>
        <v>ON TIME BY ENG</v>
      </c>
      <c r="AB372" s="37"/>
      <c r="AC372" s="15" t="str">
        <f>IF(WFTracker[[#This Row],[Competion Date Content]] = FALSE, "C", "i")</f>
        <v>C</v>
      </c>
      <c r="AD3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72" s="37" t="str">
        <f ca="1">IF(WFTracker[[#This Row],[Impact Time Post RM]]&gt;0, "IMPACTED", "NOT IMPACTED")</f>
        <v>NOT IMPACTED</v>
      </c>
      <c r="AF372" s="15"/>
      <c r="AG372" s="18"/>
      <c r="AH372" s="14" t="str">
        <f>IF(WFTracker[[#This Row],[Status]]="C", "Closed", IF(WFTracker[[#This Row],[Status]] = "x", "Cancelled", WFTracker[[#This Row],[Impact Time Post RM]]))</f>
        <v>Closed</v>
      </c>
      <c r="AI372" s="14" t="str">
        <f ca="1">IF(WFTracker[[#This Row],[Impact Time Post RM]]&lt;=0,"ON TIME","LATE")</f>
        <v>ON TIME</v>
      </c>
      <c r="AJ372" s="14" t="s">
        <v>984</v>
      </c>
      <c r="AK372" s="14">
        <v>18</v>
      </c>
      <c r="AL372" s="915">
        <f>IF(WFTracker[[#This Row],[Type]]="MAKE", WFTracker[[#This Row],[Due date]]+Filters!$J$111, WFTracker[[#This Row],[Due date]]+Filters!$J$135)</f>
        <v>45939.072512647552</v>
      </c>
      <c r="AM372" s="101" cm="1">
        <f t="array" ref="AM3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3" spans="1:39" ht="15" customHeight="1">
      <c r="A373" t="str">
        <f>IF(WFTracker[[#This Row],[Order Number]]="SWBD", "QED2", "PZ4")</f>
        <v>PZ4</v>
      </c>
      <c r="B373" s="21" t="s">
        <v>550</v>
      </c>
      <c r="C373" s="1001" t="s">
        <v>1298</v>
      </c>
      <c r="D373" s="11" t="str">
        <f>WFTracker[[#This Row],[Order Number]]  &amp; "-" &amp; WFTracker[[#This Row],[Item]]</f>
        <v>0051576246-000020&amp;30&amp;40&amp;50&amp;60</v>
      </c>
      <c r="E373" s="23" t="s">
        <v>551</v>
      </c>
      <c r="F373" s="12">
        <v>45954</v>
      </c>
      <c r="G373" s="12"/>
      <c r="H373" s="11" t="s">
        <v>80</v>
      </c>
      <c r="I373" s="11" t="s">
        <v>1154</v>
      </c>
      <c r="J373" s="55" t="s">
        <v>1313</v>
      </c>
      <c r="K373" s="14" t="s">
        <v>1023</v>
      </c>
      <c r="L373" s="15" t="s">
        <v>40</v>
      </c>
      <c r="M373" s="15" t="s">
        <v>1120</v>
      </c>
      <c r="N373" s="56">
        <v>46052</v>
      </c>
      <c r="O373" s="15">
        <f>NETWORKDAYS.INTL(WFTracker[[#This Row],[Start date]],WFTracker[[#This Row],[RM]],1,Holidays!D530:D545)</f>
        <v>26</v>
      </c>
      <c r="P373" s="12">
        <v>45919</v>
      </c>
      <c r="Q373" s="12">
        <v>45937</v>
      </c>
      <c r="R373" s="12">
        <v>45952</v>
      </c>
      <c r="S373" s="12" t="b">
        <f>ISBLANK(WFTracker[[#This Row],[Completion Date]])</f>
        <v>0</v>
      </c>
      <c r="T373" s="12" t="str">
        <f>TEXT(WFTracker[[#This Row],[Start date]],"mmm-yyyy")</f>
        <v>Sep-2025</v>
      </c>
      <c r="U373" s="11">
        <v>10</v>
      </c>
      <c r="V373" s="11">
        <f>NETWORKDAYS.INTL(WFTracker[[#This Row],[Start date]],WFTracker[[#This Row],[Due date]],1,Holidays!D530:D545)</f>
        <v>13</v>
      </c>
      <c r="W3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24</v>
      </c>
      <c r="X373" s="24">
        <f ca="1">WFTracker[[#This Row],[Active Time]]-WFTracker[[#This Row],[Completion Days Template]]</f>
        <v>11</v>
      </c>
      <c r="Y373" s="16" t="str">
        <f ca="1" xml:space="preserve"> IF(WFTracker[[#This Row],[Overdue Time '[Expected-Completion']]]&gt;0, "LATE","ON TIME")</f>
        <v>LATE</v>
      </c>
      <c r="Z373" s="16" t="str">
        <f ca="1">IF(WFTracker[[#This Row],[Overdue Time '[Expected-Completion']]] &gt;= 15, "SUPER LATE", Y373)</f>
        <v>LATE</v>
      </c>
      <c r="AA373" s="37" t="str">
        <f>IF(WFTracker[[#This Row],[Pre RM Opening Time]]&lt;WFTracker[[#This Row],[Old vs New Order Lead Time WF dead line]], "LATE BY ENG", "ON TIME BY ENG")</f>
        <v>ON TIME BY ENG</v>
      </c>
      <c r="AB373" s="37"/>
      <c r="AC373" s="15" t="str">
        <f>IF(WFTracker[[#This Row],[Competion Date Content]] = FALSE, "C", "i")</f>
        <v>C</v>
      </c>
      <c r="AD3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73" s="37" t="str">
        <f ca="1">IF(WFTracker[[#This Row],[Impact Time Post RM]]&gt;0, "IMPACTED", "NOT IMPACTED")</f>
        <v>NOT IMPACTED</v>
      </c>
      <c r="AF373" s="15"/>
      <c r="AG373" s="18"/>
      <c r="AH373" s="14" t="str">
        <f>IF(WFTracker[[#This Row],[Status]]="C", "Closed", IF(WFTracker[[#This Row],[Status]] = "x", "Cancelled", WFTracker[[#This Row],[Impact Time Post RM]]))</f>
        <v>Closed</v>
      </c>
      <c r="AI373" s="14" t="str">
        <f ca="1">IF(WFTracker[[#This Row],[Impact Time Post RM]]&lt;=0,"ON TIME","LATE")</f>
        <v>ON TIME</v>
      </c>
      <c r="AJ373" s="14" t="s">
        <v>984</v>
      </c>
      <c r="AK373" s="14">
        <v>17</v>
      </c>
      <c r="AL373" s="915">
        <f>IF(WFTracker[[#This Row],[Type]]="MAKE", WFTracker[[#This Row],[Due date]]+Filters!$J$111, WFTracker[[#This Row],[Due date]]+Filters!$J$135)</f>
        <v>45937.415686274508</v>
      </c>
      <c r="AM373" s="101" cm="1">
        <f t="array" ref="AM3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4" spans="1:39" ht="15" customHeight="1">
      <c r="A374" t="str">
        <f>IF(WFTracker[[#This Row],[Order Number]]="SWBD", "QED2", "PZ4")</f>
        <v>PZ4</v>
      </c>
      <c r="B374" s="21" t="s">
        <v>550</v>
      </c>
      <c r="C374" s="1001" t="s">
        <v>1298</v>
      </c>
      <c r="D374" s="11" t="str">
        <f>WFTracker[[#This Row],[Order Number]]  &amp; "-" &amp; WFTracker[[#This Row],[Item]]</f>
        <v>0051576246-000020&amp;30&amp;40&amp;50&amp;60</v>
      </c>
      <c r="E374" s="23" t="s">
        <v>551</v>
      </c>
      <c r="F374" s="12">
        <v>45954</v>
      </c>
      <c r="G374" s="12"/>
      <c r="H374" s="11" t="s">
        <v>80</v>
      </c>
      <c r="I374" s="11" t="s">
        <v>1154</v>
      </c>
      <c r="J374" s="55" t="s">
        <v>1314</v>
      </c>
      <c r="K374" s="14" t="s">
        <v>1023</v>
      </c>
      <c r="L374" s="15" t="s">
        <v>27</v>
      </c>
      <c r="M374" s="29" t="s">
        <v>1120</v>
      </c>
      <c r="N374" s="57">
        <v>46052</v>
      </c>
      <c r="O374" s="15">
        <f>NETWORKDAYS.INTL(WFTracker[[#This Row],[Start date]],WFTracker[[#This Row],[RM]],1,Holidays!D531:D546)</f>
        <v>26</v>
      </c>
      <c r="P374" s="12">
        <v>45919</v>
      </c>
      <c r="Q374" s="12">
        <v>45938</v>
      </c>
      <c r="R374" s="12">
        <v>45932</v>
      </c>
      <c r="S374" s="12" t="b">
        <f>ISBLANK(WFTracker[[#This Row],[Completion Date]])</f>
        <v>0</v>
      </c>
      <c r="T374" s="12" t="str">
        <f>TEXT(WFTracker[[#This Row],[Start date]],"mmm-yyyy")</f>
        <v>Sep-2025</v>
      </c>
      <c r="U374" s="11">
        <v>10</v>
      </c>
      <c r="V374" s="11">
        <f>NETWORKDAYS.INTL(WFTracker[[#This Row],[Start date]],WFTracker[[#This Row],[Due date]],1,Holidays!D531:D546)</f>
        <v>14</v>
      </c>
      <c r="W3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74" s="24">
        <f ca="1">WFTracker[[#This Row],[Active Time]]-WFTracker[[#This Row],[Completion Days Template]]</f>
        <v>-4</v>
      </c>
      <c r="Y374" s="16" t="str">
        <f ca="1" xml:space="preserve"> IF(WFTracker[[#This Row],[Overdue Time '[Expected-Completion']]]&gt;0, "LATE","ON TIME")</f>
        <v>ON TIME</v>
      </c>
      <c r="Z374" s="16" t="str">
        <f ca="1">IF(WFTracker[[#This Row],[Overdue Time '[Expected-Completion']]] &gt;= 15, "SUPER LATE", Y374)</f>
        <v>ON TIME</v>
      </c>
      <c r="AA374" s="37" t="str">
        <f>IF(WFTracker[[#This Row],[Pre RM Opening Time]]&lt;WFTracker[[#This Row],[Old vs New Order Lead Time WF dead line]], "LATE BY ENG", "ON TIME BY ENG")</f>
        <v>ON TIME BY ENG</v>
      </c>
      <c r="AB374" s="37"/>
      <c r="AC374" s="15" t="str">
        <f>IF(WFTracker[[#This Row],[Competion Date Content]] = FALSE, "C", "i")</f>
        <v>C</v>
      </c>
      <c r="AD3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374" s="37" t="str">
        <f ca="1">IF(WFTracker[[#This Row],[Impact Time Post RM]]&gt;0, "IMPACTED", "NOT IMPACTED")</f>
        <v>NOT IMPACTED</v>
      </c>
      <c r="AF374" s="15"/>
      <c r="AG374" s="18"/>
      <c r="AH374" s="14" t="str">
        <f>IF(WFTracker[[#This Row],[Status]]="C", "Closed", IF(WFTracker[[#This Row],[Status]] = "x", "Cancelled", WFTracker[[#This Row],[Impact Time Post RM]]))</f>
        <v>Closed</v>
      </c>
      <c r="AI374" s="14" t="str">
        <f ca="1">IF(WFTracker[[#This Row],[Impact Time Post RM]]&lt;=0,"ON TIME","LATE")</f>
        <v>ON TIME</v>
      </c>
      <c r="AJ374" s="14" t="s">
        <v>984</v>
      </c>
      <c r="AK374" s="14">
        <v>18</v>
      </c>
      <c r="AL374" s="915">
        <f>IF(WFTracker[[#This Row],[Type]]="MAKE", WFTracker[[#This Row],[Due date]]+Filters!$J$111, WFTracker[[#This Row],[Due date]]+Filters!$J$135)</f>
        <v>45941.072512647552</v>
      </c>
      <c r="AM374" s="102" cm="1">
        <f t="array" ref="AM3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5" spans="1:39" ht="15" customHeight="1">
      <c r="A375" t="str">
        <f>IF(WFTracker[[#This Row],[Order Number]]="SWBD", "QED2", "PZ4")</f>
        <v>PZ4</v>
      </c>
      <c r="B375" s="21" t="s">
        <v>447</v>
      </c>
      <c r="C375" s="1001" t="s">
        <v>1315</v>
      </c>
      <c r="D375" s="11" t="str">
        <f>WFTracker[[#This Row],[Order Number]]  &amp; "-" &amp; WFTracker[[#This Row],[Item]]</f>
        <v>0051536680-000030&amp;90</v>
      </c>
      <c r="E375" s="23" t="s">
        <v>621</v>
      </c>
      <c r="F375" s="12">
        <v>45975</v>
      </c>
      <c r="G375" s="12"/>
      <c r="H375" s="11" t="s">
        <v>295</v>
      </c>
      <c r="I375" s="11"/>
      <c r="J375" s="55" t="s">
        <v>1316</v>
      </c>
      <c r="K375" s="14" t="s">
        <v>1023</v>
      </c>
      <c r="L375" s="15" t="s">
        <v>27</v>
      </c>
      <c r="M375" s="29" t="s">
        <v>1120</v>
      </c>
      <c r="N375" s="57">
        <v>46148</v>
      </c>
      <c r="O375" s="15">
        <f>NETWORKDAYS.INTL(WFTracker[[#This Row],[Start date]],WFTracker[[#This Row],[RM]],1,Holidays!D609:D624)</f>
        <v>41</v>
      </c>
      <c r="P375" s="12">
        <v>45919</v>
      </c>
      <c r="Q375" s="12">
        <v>45939</v>
      </c>
      <c r="R375" s="12">
        <v>45946</v>
      </c>
      <c r="S375" s="12" t="b">
        <f>ISBLANK(WFTracker[[#This Row],[Completion Date]])</f>
        <v>0</v>
      </c>
      <c r="T375" s="12" t="str">
        <f>TEXT(WFTracker[[#This Row],[Start date]],"mmm-yyyy")</f>
        <v>Sep-2025</v>
      </c>
      <c r="U375" s="11">
        <v>10</v>
      </c>
      <c r="V375" s="11">
        <f>NETWORKDAYS.INTL(WFTracker[[#This Row],[Start date]],WFTracker[[#This Row],[Due date]],1,Holidays!D609:D624)</f>
        <v>15</v>
      </c>
      <c r="W3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20</v>
      </c>
      <c r="X375" s="24">
        <f ca="1">WFTracker[[#This Row],[Active Time]]-WFTracker[[#This Row],[Completion Days Template]]</f>
        <v>5</v>
      </c>
      <c r="Y375" s="16" t="str">
        <f ca="1" xml:space="preserve"> IF(WFTracker[[#This Row],[Overdue Time '[Expected-Completion']]]&gt;0, "LATE","ON TIME")</f>
        <v>LATE</v>
      </c>
      <c r="Z375" s="16" t="str">
        <f ca="1">IF(WFTracker[[#This Row],[Overdue Time '[Expected-Completion']]] &gt;= 15, "SUPER LATE", Y375)</f>
        <v>LATE</v>
      </c>
      <c r="AA375" s="37" t="str">
        <f>IF(WFTracker[[#This Row],[Pre RM Opening Time]]&lt;WFTracker[[#This Row],[Old vs New Order Lead Time WF dead line]], "LATE BY ENG", "ON TIME BY ENG")</f>
        <v>ON TIME BY ENG</v>
      </c>
      <c r="AB375" s="37"/>
      <c r="AC375" s="15" t="str">
        <f>IF(WFTracker[[#This Row],[Competion Date Content]] = FALSE, "C", "i")</f>
        <v>C</v>
      </c>
      <c r="AD3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375" s="37" t="str">
        <f ca="1">IF(WFTracker[[#This Row],[Impact Time Post RM]]&gt;0, "IMPACTED", "NOT IMPACTED")</f>
        <v>NOT IMPACTED</v>
      </c>
      <c r="AF375" s="15"/>
      <c r="AG375" s="18"/>
      <c r="AH375" s="14" t="str">
        <f>IF(WFTracker[[#This Row],[Status]]="C", "Closed", IF(WFTracker[[#This Row],[Status]] = "x", "Cancelled", WFTracker[[#This Row],[Impact Time Post RM]]))</f>
        <v>Closed</v>
      </c>
      <c r="AI375" s="14" t="str">
        <f ca="1">IF(WFTracker[[#This Row],[Impact Time Post RM]]&lt;=0,"ON TIME","LATE")</f>
        <v>ON TIME</v>
      </c>
      <c r="AJ375" s="14" t="s">
        <v>984</v>
      </c>
      <c r="AK375" s="14">
        <v>18</v>
      </c>
      <c r="AL375" s="915">
        <f>IF(WFTracker[[#This Row],[Type]]="MAKE", WFTracker[[#This Row],[Due date]]+Filters!$J$111, WFTracker[[#This Row],[Due date]]+Filters!$J$135)</f>
        <v>45942.072512647552</v>
      </c>
      <c r="AM375" s="102" cm="1">
        <f t="array" ref="AM3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6" spans="1:39" ht="15" customHeight="1">
      <c r="A376" t="str">
        <f>IF(WFTracker[[#This Row],[Order Number]]="SWBD", "QED2", "PZ4")</f>
        <v>PZ4</v>
      </c>
      <c r="B376" s="21" t="s">
        <v>447</v>
      </c>
      <c r="C376" s="1001" t="s">
        <v>1315</v>
      </c>
      <c r="D376" s="11" t="str">
        <f>WFTracker[[#This Row],[Order Number]]  &amp; "-" &amp; WFTracker[[#This Row],[Item]]</f>
        <v>0051536680-000030&amp;90</v>
      </c>
      <c r="E376" s="23" t="s">
        <v>621</v>
      </c>
      <c r="F376" s="12">
        <v>45975</v>
      </c>
      <c r="G376" s="12"/>
      <c r="H376" s="11" t="s">
        <v>295</v>
      </c>
      <c r="I376" s="11"/>
      <c r="J376" s="55" t="s">
        <v>1317</v>
      </c>
      <c r="K376" s="14" t="s">
        <v>1023</v>
      </c>
      <c r="L376" s="15" t="s">
        <v>27</v>
      </c>
      <c r="M376" s="29" t="s">
        <v>1120</v>
      </c>
      <c r="N376" s="57">
        <v>46148</v>
      </c>
      <c r="O376" s="15">
        <f>NETWORKDAYS.INTL(WFTracker[[#This Row],[Start date]],WFTracker[[#This Row],[RM]],1,Holidays!D610:D625)</f>
        <v>41</v>
      </c>
      <c r="P376" s="12">
        <v>45919</v>
      </c>
      <c r="Q376" s="12">
        <v>45940</v>
      </c>
      <c r="R376" s="12">
        <v>45926</v>
      </c>
      <c r="S376" s="12" t="b">
        <f>ISBLANK(WFTracker[[#This Row],[Completion Date]])</f>
        <v>0</v>
      </c>
      <c r="T376" s="12" t="str">
        <f>TEXT(WFTracker[[#This Row],[Start date]],"mmm-yyyy")</f>
        <v>Sep-2025</v>
      </c>
      <c r="U376" s="11">
        <v>10</v>
      </c>
      <c r="V376" s="11">
        <f>NETWORKDAYS.INTL(WFTracker[[#This Row],[Start date]],WFTracker[[#This Row],[Due date]],1,Holidays!D610:D625)</f>
        <v>16</v>
      </c>
      <c r="W3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376" s="24">
        <f ca="1">WFTracker[[#This Row],[Active Time]]-WFTracker[[#This Row],[Completion Days Template]]</f>
        <v>-10</v>
      </c>
      <c r="Y376" s="16" t="str">
        <f ca="1" xml:space="preserve"> IF(WFTracker[[#This Row],[Overdue Time '[Expected-Completion']]]&gt;0, "LATE","ON TIME")</f>
        <v>ON TIME</v>
      </c>
      <c r="Z376" s="16" t="str">
        <f ca="1">IF(WFTracker[[#This Row],[Overdue Time '[Expected-Completion']]] &gt;= 15, "SUPER LATE", Y376)</f>
        <v>ON TIME</v>
      </c>
      <c r="AA376" s="37" t="str">
        <f>IF(WFTracker[[#This Row],[Pre RM Opening Time]]&lt;WFTracker[[#This Row],[Old vs New Order Lead Time WF dead line]], "LATE BY ENG", "ON TIME BY ENG")</f>
        <v>ON TIME BY ENG</v>
      </c>
      <c r="AB376" s="37"/>
      <c r="AC376" s="15" t="str">
        <f>IF(WFTracker[[#This Row],[Competion Date Content]] = FALSE, "C", "i")</f>
        <v>C</v>
      </c>
      <c r="AD3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-35</v>
      </c>
      <c r="AE376" s="37" t="str">
        <f ca="1">IF(WFTracker[[#This Row],[Impact Time Post RM]]&gt;0, "IMPACTED", "NOT IMPACTED")</f>
        <v>NOT IMPACTED</v>
      </c>
      <c r="AF376" s="15"/>
      <c r="AG376" s="18"/>
      <c r="AH376" s="14" t="str">
        <f>IF(WFTracker[[#This Row],[Status]]="C", "Closed", IF(WFTracker[[#This Row],[Status]] = "x", "Cancelled", WFTracker[[#This Row],[Impact Time Post RM]]))</f>
        <v>Closed</v>
      </c>
      <c r="AI376" s="14" t="str">
        <f ca="1">IF(WFTracker[[#This Row],[Impact Time Post RM]]&lt;=0,"ON TIME","LATE")</f>
        <v>ON TIME</v>
      </c>
      <c r="AJ376" s="14" t="s">
        <v>984</v>
      </c>
      <c r="AK376" s="14">
        <v>18</v>
      </c>
      <c r="AL376" s="915">
        <f>IF(WFTracker[[#This Row],[Type]]="MAKE", WFTracker[[#This Row],[Due date]]+Filters!$J$111, WFTracker[[#This Row],[Due date]]+Filters!$J$135)</f>
        <v>45943.072512647552</v>
      </c>
      <c r="AM376" s="102" cm="1">
        <f t="array" ref="AM3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7" spans="1:39" ht="15" customHeight="1">
      <c r="A377" t="str">
        <f>IF(WFTracker[[#This Row],[Order Number]]="SWBD", "QED2", "PZ4")</f>
        <v>PZ4</v>
      </c>
      <c r="B377" s="35" t="s">
        <v>490</v>
      </c>
      <c r="C377" s="903" t="s">
        <v>293</v>
      </c>
      <c r="D377" s="11" t="str">
        <f>WFTracker[[#This Row],[Order Number]]  &amp; "-" &amp; WFTracker[[#This Row],[Item]]</f>
        <v>0051442285-000080</v>
      </c>
      <c r="E377" s="23" t="s">
        <v>491</v>
      </c>
      <c r="F377" s="12">
        <v>45945</v>
      </c>
      <c r="G377" s="12"/>
      <c r="H377" s="11" t="s">
        <v>104</v>
      </c>
      <c r="I377" s="11" t="s">
        <v>37</v>
      </c>
      <c r="J377" s="55" t="s">
        <v>496</v>
      </c>
      <c r="K377" s="14" t="s">
        <v>1017</v>
      </c>
      <c r="L377" s="15" t="s">
        <v>27</v>
      </c>
      <c r="M377" s="15" t="s">
        <v>438</v>
      </c>
      <c r="N377" s="56">
        <v>46008</v>
      </c>
      <c r="O377" s="15">
        <f>NETWORKDAYS.INTL(WFTracker[[#This Row],[Start date]],WFTracker[[#This Row],[RM]],1,Holidays!D431:D446)</f>
        <v>18</v>
      </c>
      <c r="P377" s="12">
        <v>45922</v>
      </c>
      <c r="Q377" s="12">
        <v>45929</v>
      </c>
      <c r="R377" s="12">
        <v>45943</v>
      </c>
      <c r="S377" s="12" t="b">
        <f>ISBLANK(WFTracker[[#This Row],[Completion Date]])</f>
        <v>0</v>
      </c>
      <c r="T377" s="12" t="str">
        <f>TEXT(WFTracker[[#This Row],[Start date]],"mmm-yyyy")</f>
        <v>Sep-2025</v>
      </c>
      <c r="U377" s="11">
        <v>10</v>
      </c>
      <c r="V377" s="11">
        <f>NETWORKDAYS.INTL(WFTracker[[#This Row],[Start date]],WFTracker[[#This Row],[Due date]],1,Holidays!D431:D446)</f>
        <v>6</v>
      </c>
      <c r="W3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377" s="24">
        <f ca="1">WFTracker[[#This Row],[Active Time]]-WFTracker[[#This Row],[Completion Days Template]]</f>
        <v>10</v>
      </c>
      <c r="Y377" s="16" t="str">
        <f ca="1" xml:space="preserve"> IF(WFTracker[[#This Row],[Overdue Time '[Expected-Completion']]]&gt;0, "LATE","ON TIME")</f>
        <v>LATE</v>
      </c>
      <c r="Z377" s="16" t="str">
        <f ca="1">IF(WFTracker[[#This Row],[Overdue Time '[Expected-Completion']]] &gt;= 15, "SUPER LATE", Y377)</f>
        <v>LATE</v>
      </c>
      <c r="AA377" s="37" t="str">
        <f>IF(WFTracker[[#This Row],[Pre RM Opening Time]]&lt;WFTracker[[#This Row],[Old vs New Order Lead Time WF dead line]], "LATE BY ENG", "ON TIME BY ENG")</f>
        <v>ON TIME BY ENG</v>
      </c>
      <c r="AB377" s="37"/>
      <c r="AC377" s="15" t="str">
        <f>IF(WFTracker[[#This Row],[Competion Date Content]] = FALSE, "C", "i")</f>
        <v>C</v>
      </c>
      <c r="AD3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77" s="37" t="str">
        <f ca="1">IF(WFTracker[[#This Row],[Impact Time Post RM]]&gt;0, "IMPACTED", "NOT IMPACTED")</f>
        <v>NOT IMPACTED</v>
      </c>
      <c r="AF377" s="15"/>
      <c r="AG377" s="18"/>
      <c r="AH377" s="14" t="str">
        <f>IF(WFTracker[[#This Row],[Status]]="C", "Closed", IF(WFTracker[[#This Row],[Status]] = "x", "Cancelled", WFTracker[[#This Row],[Impact Time Post RM]]))</f>
        <v>Closed</v>
      </c>
      <c r="AI377" s="14" t="str">
        <f ca="1">IF(WFTracker[[#This Row],[Impact Time Post RM]]&lt;=0,"ON TIME","LATE")</f>
        <v>ON TIME</v>
      </c>
      <c r="AJ377" s="14" t="s">
        <v>984</v>
      </c>
      <c r="AK377" s="14">
        <v>18</v>
      </c>
      <c r="AL377" s="915">
        <f>IF(WFTracker[[#This Row],[Type]]="MAKE", WFTracker[[#This Row],[Due date]]+Filters!$J$111, WFTracker[[#This Row],[Due date]]+Filters!$J$135)</f>
        <v>45932.072512647552</v>
      </c>
      <c r="AM377" s="102" cm="1">
        <f t="array" ref="AM3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8" spans="1:39" ht="15" customHeight="1">
      <c r="A378" t="str">
        <f>IF(WFTracker[[#This Row],[Order Number]]="SWBD", "QED2", "PZ4")</f>
        <v>PZ4</v>
      </c>
      <c r="B378" s="35" t="s">
        <v>490</v>
      </c>
      <c r="C378" s="35" t="s">
        <v>293</v>
      </c>
      <c r="D378" s="11" t="str">
        <f>WFTracker[[#This Row],[Order Number]]  &amp; "-" &amp; WFTracker[[#This Row],[Item]]</f>
        <v>0051442285-000080</v>
      </c>
      <c r="E378" s="23" t="s">
        <v>491</v>
      </c>
      <c r="F378" s="12">
        <v>45945</v>
      </c>
      <c r="G378" s="12"/>
      <c r="H378" s="11" t="s">
        <v>104</v>
      </c>
      <c r="I378" s="11" t="s">
        <v>37</v>
      </c>
      <c r="J378" s="55" t="s">
        <v>495</v>
      </c>
      <c r="K378" s="14" t="s">
        <v>1017</v>
      </c>
      <c r="L378" s="15" t="s">
        <v>27</v>
      </c>
      <c r="M378" s="29" t="s">
        <v>438</v>
      </c>
      <c r="N378" s="57">
        <v>46008</v>
      </c>
      <c r="O378" s="15">
        <f>NETWORKDAYS.INTL(WFTracker[[#This Row],[Start date]],WFTracker[[#This Row],[RM]],1,Holidays!D432:D447)</f>
        <v>18</v>
      </c>
      <c r="P378" s="12">
        <v>45922</v>
      </c>
      <c r="Q378" s="12">
        <v>45929</v>
      </c>
      <c r="R378" s="12">
        <v>45934</v>
      </c>
      <c r="S378" s="12" t="b">
        <f>ISBLANK(WFTracker[[#This Row],[Completion Date]])</f>
        <v>0</v>
      </c>
      <c r="T378" s="12" t="str">
        <f>TEXT(WFTracker[[#This Row],[Start date]],"mmm-yyyy")</f>
        <v>Sep-2025</v>
      </c>
      <c r="U378" s="11">
        <v>10</v>
      </c>
      <c r="V378" s="11">
        <f>NETWORKDAYS.INTL(WFTracker[[#This Row],[Start date]],WFTracker[[#This Row],[Due date]],1,Holidays!D432:D447)</f>
        <v>6</v>
      </c>
      <c r="W3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78" s="24">
        <f ca="1">WFTracker[[#This Row],[Active Time]]-WFTracker[[#This Row],[Completion Days Template]]</f>
        <v>4</v>
      </c>
      <c r="Y378" s="16" t="str">
        <f ca="1" xml:space="preserve"> IF(WFTracker[[#This Row],[Overdue Time '[Expected-Completion']]]&gt;0, "LATE","ON TIME")</f>
        <v>LATE</v>
      </c>
      <c r="Z378" s="16" t="str">
        <f ca="1">IF(WFTracker[[#This Row],[Overdue Time '[Expected-Completion']]] &gt;= 15, "SUPER LATE", Y378)</f>
        <v>LATE</v>
      </c>
      <c r="AA378" s="37" t="str">
        <f>IF(WFTracker[[#This Row],[Pre RM Opening Time]]&lt;WFTracker[[#This Row],[Old vs New Order Lead Time WF dead line]], "LATE BY ENG", "ON TIME BY ENG")</f>
        <v>ON TIME BY ENG</v>
      </c>
      <c r="AB378" s="37"/>
      <c r="AC378" s="15" t="str">
        <f>IF(WFTracker[[#This Row],[Competion Date Content]] = FALSE, "C", "i")</f>
        <v>C</v>
      </c>
      <c r="AD3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378" s="37" t="str">
        <f ca="1">IF(WFTracker[[#This Row],[Impact Time Post RM]]&gt;0, "IMPACTED", "NOT IMPACTED")</f>
        <v>NOT IMPACTED</v>
      </c>
      <c r="AF378" s="15"/>
      <c r="AG378" s="18"/>
      <c r="AH378" s="14" t="str">
        <f>IF(WFTracker[[#This Row],[Status]]="C", "Closed", IF(WFTracker[[#This Row],[Status]] = "x", "Cancelled", WFTracker[[#This Row],[Impact Time Post RM]]))</f>
        <v>Closed</v>
      </c>
      <c r="AI378" s="14" t="str">
        <f ca="1">IF(WFTracker[[#This Row],[Impact Time Post RM]]&lt;=0,"ON TIME","LATE")</f>
        <v>ON TIME</v>
      </c>
      <c r="AJ378" s="14" t="s">
        <v>984</v>
      </c>
      <c r="AK378" s="14">
        <v>18</v>
      </c>
      <c r="AL378" s="915">
        <f>IF(WFTracker[[#This Row],[Type]]="MAKE", WFTracker[[#This Row],[Due date]]+Filters!$J$111, WFTracker[[#This Row],[Due date]]+Filters!$J$135)</f>
        <v>45932.072512647552</v>
      </c>
      <c r="AM378" s="102" cm="1">
        <f t="array" ref="AM37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79" spans="1:39" ht="15" customHeight="1">
      <c r="A379" t="str">
        <f>IF(WFTracker[[#This Row],[Order Number]]="SWBD", "QED2", "PZ4")</f>
        <v>PZ4</v>
      </c>
      <c r="B379" s="35" t="s">
        <v>490</v>
      </c>
      <c r="C379" s="35" t="s">
        <v>293</v>
      </c>
      <c r="D379" s="11" t="str">
        <f>WFTracker[[#This Row],[Order Number]]  &amp; "-" &amp; WFTracker[[#This Row],[Item]]</f>
        <v>0051442285-000080</v>
      </c>
      <c r="E379" s="23" t="s">
        <v>491</v>
      </c>
      <c r="F379" s="12">
        <v>45945</v>
      </c>
      <c r="G379" s="12"/>
      <c r="H379" s="11" t="s">
        <v>104</v>
      </c>
      <c r="I379" s="11" t="s">
        <v>37</v>
      </c>
      <c r="J379" s="55" t="s">
        <v>494</v>
      </c>
      <c r="K379" s="14" t="s">
        <v>1017</v>
      </c>
      <c r="L379" s="15" t="s">
        <v>27</v>
      </c>
      <c r="M379" s="29" t="s">
        <v>438</v>
      </c>
      <c r="N379" s="57">
        <v>46008</v>
      </c>
      <c r="O379" s="29">
        <f>NETWORKDAYS.INTL(WFTracker[[#This Row],[Start date]],WFTracker[[#This Row],[RM]],1,Holidays!D433:D448)</f>
        <v>18</v>
      </c>
      <c r="P379" s="12">
        <v>45922</v>
      </c>
      <c r="Q379" s="12">
        <v>45929</v>
      </c>
      <c r="R379" s="12">
        <v>45945</v>
      </c>
      <c r="S379" s="27" t="b">
        <f>ISBLANK(WFTracker[[#This Row],[Completion Date]])</f>
        <v>0</v>
      </c>
      <c r="T379" s="27" t="str">
        <f>TEXT(WFTracker[[#This Row],[Start date]],"mmm-yyyy")</f>
        <v>Sep-2025</v>
      </c>
      <c r="U379" s="11">
        <v>10</v>
      </c>
      <c r="V379" s="11">
        <f>NETWORKDAYS.INTL(WFTracker[[#This Row],[Start date]],WFTracker[[#This Row],[Due date]],1,Holidays!D433:D448)</f>
        <v>6</v>
      </c>
      <c r="W3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379" s="30">
        <f ca="1">WFTracker[[#This Row],[Active Time]]-WFTracker[[#This Row],[Completion Days Template]]</f>
        <v>12</v>
      </c>
      <c r="Y379" s="34" t="str">
        <f ca="1" xml:space="preserve"> IF(WFTracker[[#This Row],[Overdue Time '[Expected-Completion']]]&gt;0, "LATE","ON TIME")</f>
        <v>LATE</v>
      </c>
      <c r="Z379" s="34" t="str">
        <f ca="1">IF(WFTracker[[#This Row],[Overdue Time '[Expected-Completion']]] &gt;= 15, "SUPER LATE", Y379)</f>
        <v>LATE</v>
      </c>
      <c r="AA379" s="105" t="str">
        <f>IF(WFTracker[[#This Row],[Pre RM Opening Time]]&lt;WFTracker[[#This Row],[Old vs New Order Lead Time WF dead line]], "LATE BY ENG", "ON TIME BY ENG")</f>
        <v>ON TIME BY ENG</v>
      </c>
      <c r="AB379" s="105"/>
      <c r="AC379" s="15" t="str">
        <f>IF(WFTracker[[#This Row],[Competion Date Content]] = FALSE, "C", "i")</f>
        <v>C</v>
      </c>
      <c r="AD3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79" s="105" t="str">
        <f ca="1">IF(WFTracker[[#This Row],[Impact Time Post RM]]&gt;0, "IMPACTED", "NOT IMPACTED")</f>
        <v>IMPACTED</v>
      </c>
      <c r="AF379" s="15"/>
      <c r="AG379" s="42"/>
      <c r="AH379" s="14" t="str">
        <f>IF(WFTracker[[#This Row],[Status]]="C", "Closed", IF(WFTracker[[#This Row],[Status]] = "x", "Cancelled", WFTracker[[#This Row],[Impact Time Post RM]]))</f>
        <v>Closed</v>
      </c>
      <c r="AI379" s="14" t="str">
        <f ca="1">IF(WFTracker[[#This Row],[Impact Time Post RM]]&lt;=0,"ON TIME","LATE")</f>
        <v>LATE</v>
      </c>
      <c r="AJ379" s="14" t="s">
        <v>984</v>
      </c>
      <c r="AK379" s="14">
        <v>18</v>
      </c>
      <c r="AL379" s="915">
        <f>IF(WFTracker[[#This Row],[Type]]="MAKE", WFTracker[[#This Row],[Due date]]+Filters!$J$111, WFTracker[[#This Row],[Due date]]+Filters!$J$135)</f>
        <v>45932.072512647552</v>
      </c>
      <c r="AM379" s="101" cm="1">
        <f t="array" ref="AM3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0" spans="1:39" ht="15" customHeight="1">
      <c r="A380" t="str">
        <f>IF(WFTracker[[#This Row],[Order Number]]="SWBD", "QED2", "PZ4")</f>
        <v>PZ4</v>
      </c>
      <c r="B380" s="21" t="s">
        <v>535</v>
      </c>
      <c r="C380" s="35" t="s">
        <v>135</v>
      </c>
      <c r="D380" s="11" t="str">
        <f>WFTracker[[#This Row],[Order Number]]  &amp; "-" &amp; WFTracker[[#This Row],[Item]]</f>
        <v>0051449809-000010</v>
      </c>
      <c r="E380" s="23" t="s">
        <v>536</v>
      </c>
      <c r="F380" s="12">
        <v>45945</v>
      </c>
      <c r="G380" s="12"/>
      <c r="H380" s="11" t="s">
        <v>305</v>
      </c>
      <c r="I380" s="11"/>
      <c r="J380" s="55" t="s">
        <v>1318</v>
      </c>
      <c r="K380" s="14" t="s">
        <v>1023</v>
      </c>
      <c r="L380" s="15" t="s">
        <v>27</v>
      </c>
      <c r="M380" s="29" t="s">
        <v>1120</v>
      </c>
      <c r="N380" s="57">
        <v>46108</v>
      </c>
      <c r="O380" s="29">
        <f>NETWORKDAYS.INTL(WFTracker[[#This Row],[Start date]],WFTracker[[#This Row],[RM]],1,Holidays!D434:D449)</f>
        <v>18</v>
      </c>
      <c r="P380" s="12">
        <v>45922</v>
      </c>
      <c r="Q380" s="12">
        <v>45930</v>
      </c>
      <c r="R380" s="12">
        <v>45926</v>
      </c>
      <c r="S380" s="27" t="b">
        <f>ISBLANK(WFTracker[[#This Row],[Completion Date]])</f>
        <v>0</v>
      </c>
      <c r="T380" s="27" t="str">
        <f>TEXT(WFTracker[[#This Row],[Start date]],"mmm-yyyy")</f>
        <v>Sep-2025</v>
      </c>
      <c r="U380" s="11">
        <v>10</v>
      </c>
      <c r="V380" s="11">
        <f>NETWORKDAYS.INTL(WFTracker[[#This Row],[Start date]],WFTracker[[#This Row],[Due date]],1,Holidays!D434:D449)</f>
        <v>7</v>
      </c>
      <c r="W3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380" s="30">
        <f ca="1">WFTracker[[#This Row],[Active Time]]-WFTracker[[#This Row],[Completion Days Template]]</f>
        <v>-2</v>
      </c>
      <c r="Y380" s="34" t="str">
        <f ca="1" xml:space="preserve"> IF(WFTracker[[#This Row],[Overdue Time '[Expected-Completion']]]&gt;0, "LATE","ON TIME")</f>
        <v>ON TIME</v>
      </c>
      <c r="Z380" s="34" t="str">
        <f ca="1">IF(WFTracker[[#This Row],[Overdue Time '[Expected-Completion']]] &gt;= 15, "SUPER LATE", Y380)</f>
        <v>ON TIME</v>
      </c>
      <c r="AA380" s="105" t="str">
        <f>IF(WFTracker[[#This Row],[Pre RM Opening Time]]&lt;WFTracker[[#This Row],[Old vs New Order Lead Time WF dead line]], "LATE BY ENG", "ON TIME BY ENG")</f>
        <v>ON TIME BY ENG</v>
      </c>
      <c r="AB380" s="105"/>
      <c r="AC380" s="15" t="str">
        <f>IF(WFTracker[[#This Row],[Competion Date Content]] = FALSE, "C", "i")</f>
        <v>C</v>
      </c>
      <c r="AD3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380" s="105" t="str">
        <f ca="1">IF(WFTracker[[#This Row],[Impact Time Post RM]]&gt;0, "IMPACTED", "NOT IMPACTED")</f>
        <v>NOT IMPACTED</v>
      </c>
      <c r="AF380" s="15"/>
      <c r="AG380" s="42"/>
      <c r="AH380" s="14" t="str">
        <f>IF(WFTracker[[#This Row],[Status]]="C", "Closed", IF(WFTracker[[#This Row],[Status]] = "x", "Cancelled", WFTracker[[#This Row],[Impact Time Post RM]]))</f>
        <v>Closed</v>
      </c>
      <c r="AI380" s="14" t="str">
        <f ca="1">IF(WFTracker[[#This Row],[Impact Time Post RM]]&lt;=0,"ON TIME","LATE")</f>
        <v>ON TIME</v>
      </c>
      <c r="AJ380" s="14" t="s">
        <v>984</v>
      </c>
      <c r="AK380" s="14">
        <v>18</v>
      </c>
      <c r="AL380" s="915">
        <f>IF(WFTracker[[#This Row],[Type]]="MAKE", WFTracker[[#This Row],[Due date]]+Filters!$J$111, WFTracker[[#This Row],[Due date]]+Filters!$J$135)</f>
        <v>45933.072512647552</v>
      </c>
      <c r="AM380" s="102" cm="1">
        <f t="array" ref="AM3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1" spans="1:39" ht="15" customHeight="1">
      <c r="A381" t="str">
        <f>IF(WFTracker[[#This Row],[Order Number]]="SWBD", "QED2", "PZ4")</f>
        <v>PZ4</v>
      </c>
      <c r="B381" s="35" t="s">
        <v>490</v>
      </c>
      <c r="C381" s="35" t="s">
        <v>293</v>
      </c>
      <c r="D381" s="11" t="str">
        <f>WFTracker[[#This Row],[Order Number]]  &amp; "-" &amp; WFTracker[[#This Row],[Item]]</f>
        <v>0051442285-000080</v>
      </c>
      <c r="E381" s="23" t="s">
        <v>491</v>
      </c>
      <c r="F381" s="12">
        <v>45945</v>
      </c>
      <c r="G381" s="12"/>
      <c r="H381" s="11" t="s">
        <v>104</v>
      </c>
      <c r="I381" s="11" t="s">
        <v>37</v>
      </c>
      <c r="J381" s="55" t="s">
        <v>493</v>
      </c>
      <c r="K381" s="14" t="s">
        <v>1017</v>
      </c>
      <c r="L381" s="15" t="s">
        <v>40</v>
      </c>
      <c r="M381" s="29" t="s">
        <v>438</v>
      </c>
      <c r="N381" s="57">
        <v>46008</v>
      </c>
      <c r="O381" s="29">
        <f>NETWORKDAYS.INTL(WFTracker[[#This Row],[Start date]],WFTracker[[#This Row],[RM]],1,Holidays!D435:D450)</f>
        <v>18</v>
      </c>
      <c r="P381" s="12">
        <v>45922</v>
      </c>
      <c r="Q381" s="12">
        <v>45932</v>
      </c>
      <c r="R381" s="12">
        <v>45943</v>
      </c>
      <c r="S381" s="27" t="b">
        <f>ISBLANK(WFTracker[[#This Row],[Completion Date]])</f>
        <v>0</v>
      </c>
      <c r="T381" s="27" t="str">
        <f>TEXT(WFTracker[[#This Row],[Start date]],"mmm-yyyy")</f>
        <v>Sep-2025</v>
      </c>
      <c r="U381" s="11">
        <v>10</v>
      </c>
      <c r="V381" s="11">
        <f>NETWORKDAYS.INTL(WFTracker[[#This Row],[Start date]],WFTracker[[#This Row],[Due date]],1,Holidays!D435:D450)</f>
        <v>9</v>
      </c>
      <c r="W3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381" s="30">
        <f ca="1">WFTracker[[#This Row],[Active Time]]-WFTracker[[#This Row],[Completion Days Template]]</f>
        <v>7</v>
      </c>
      <c r="Y381" s="34" t="str">
        <f ca="1" xml:space="preserve"> IF(WFTracker[[#This Row],[Overdue Time '[Expected-Completion']]]&gt;0, "LATE","ON TIME")</f>
        <v>LATE</v>
      </c>
      <c r="Z381" s="34" t="str">
        <f ca="1">IF(WFTracker[[#This Row],[Overdue Time '[Expected-Completion']]] &gt;= 15, "SUPER LATE", Y381)</f>
        <v>LATE</v>
      </c>
      <c r="AA381" s="105" t="str">
        <f>IF(WFTracker[[#This Row],[Pre RM Opening Time]]&lt;WFTracker[[#This Row],[Old vs New Order Lead Time WF dead line]], "LATE BY ENG", "ON TIME BY ENG")</f>
        <v>ON TIME BY ENG</v>
      </c>
      <c r="AB381" s="105"/>
      <c r="AC381" s="15" t="str">
        <f>IF(WFTracker[[#This Row],[Competion Date Content]] = FALSE, "C", "i")</f>
        <v>C</v>
      </c>
      <c r="AD3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81" s="105" t="str">
        <f ca="1">IF(WFTracker[[#This Row],[Impact Time Post RM]]&gt;0, "IMPACTED", "NOT IMPACTED")</f>
        <v>NOT IMPACTED</v>
      </c>
      <c r="AF381" s="15"/>
      <c r="AG381" s="42"/>
      <c r="AH381" s="14" t="str">
        <f>IF(WFTracker[[#This Row],[Status]]="C", "Closed", IF(WFTracker[[#This Row],[Status]] = "x", "Cancelled", WFTracker[[#This Row],[Impact Time Post RM]]))</f>
        <v>Closed</v>
      </c>
      <c r="AI381" s="14" t="str">
        <f ca="1">IF(WFTracker[[#This Row],[Impact Time Post RM]]&lt;=0,"ON TIME","LATE")</f>
        <v>ON TIME</v>
      </c>
      <c r="AJ381" s="14" t="s">
        <v>984</v>
      </c>
      <c r="AK381" s="14">
        <v>17</v>
      </c>
      <c r="AL381" s="915">
        <f>IF(WFTracker[[#This Row],[Type]]="MAKE", WFTracker[[#This Row],[Due date]]+Filters!$J$111, WFTracker[[#This Row],[Due date]]+Filters!$J$135)</f>
        <v>45932.415686274508</v>
      </c>
      <c r="AM381" s="102" cm="1">
        <f t="array" ref="AM3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2" spans="1:39" ht="15" customHeight="1">
      <c r="A382" t="str">
        <f>IF(WFTracker[[#This Row],[Order Number]]="SWBD", "QED2", "PZ4")</f>
        <v>PZ4</v>
      </c>
      <c r="B382" s="21" t="s">
        <v>490</v>
      </c>
      <c r="C382" s="35" t="s">
        <v>282</v>
      </c>
      <c r="D382" s="11" t="str">
        <f>WFTracker[[#This Row],[Order Number]]  &amp; "-" &amp; WFTracker[[#This Row],[Item]]</f>
        <v>0051442285-000070</v>
      </c>
      <c r="E382" s="23" t="s">
        <v>491</v>
      </c>
      <c r="F382" s="12">
        <v>45945</v>
      </c>
      <c r="G382" s="12"/>
      <c r="H382" s="11" t="s">
        <v>104</v>
      </c>
      <c r="I382" s="11" t="s">
        <v>37</v>
      </c>
      <c r="J382" s="55" t="s">
        <v>1319</v>
      </c>
      <c r="K382" s="14" t="s">
        <v>1023</v>
      </c>
      <c r="L382" s="15" t="s">
        <v>40</v>
      </c>
      <c r="M382" s="29" t="s">
        <v>438</v>
      </c>
      <c r="N382" s="57">
        <v>46008</v>
      </c>
      <c r="O382" s="29">
        <f>NETWORKDAYS.INTL(WFTracker[[#This Row],[Start date]],WFTracker[[#This Row],[RM]],1,Holidays!D436:D451)</f>
        <v>18</v>
      </c>
      <c r="P382" s="12">
        <v>45922</v>
      </c>
      <c r="Q382" s="12">
        <v>45932</v>
      </c>
      <c r="R382" s="12">
        <v>45933</v>
      </c>
      <c r="S382" s="27" t="b">
        <f>ISBLANK(WFTracker[[#This Row],[Completion Date]])</f>
        <v>0</v>
      </c>
      <c r="T382" s="27" t="str">
        <f>TEXT(WFTracker[[#This Row],[Start date]],"mmm-yyyy")</f>
        <v>Sep-2025</v>
      </c>
      <c r="U382">
        <v>10</v>
      </c>
      <c r="V382" s="11">
        <f>NETWORKDAYS.INTL(WFTracker[[#This Row],[Start date]],WFTracker[[#This Row],[Due date]],1,Holidays!D436:D451)</f>
        <v>9</v>
      </c>
      <c r="W3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82" s="30">
        <f ca="1">WFTracker[[#This Row],[Active Time]]-WFTracker[[#This Row],[Completion Days Template]]</f>
        <v>1</v>
      </c>
      <c r="Y382" s="34" t="str">
        <f ca="1" xml:space="preserve"> IF(WFTracker[[#This Row],[Overdue Time '[Expected-Completion']]]&gt;0, "LATE","ON TIME")</f>
        <v>LATE</v>
      </c>
      <c r="Z382" s="34" t="str">
        <f ca="1">IF(WFTracker[[#This Row],[Overdue Time '[Expected-Completion']]] &gt;= 15, "SUPER LATE", Y382)</f>
        <v>LATE</v>
      </c>
      <c r="AA382" s="105" t="str">
        <f>IF(WFTracker[[#This Row],[Pre RM Opening Time]]&lt;WFTracker[[#This Row],[Old vs New Order Lead Time WF dead line]], "LATE BY ENG", "ON TIME BY ENG")</f>
        <v>ON TIME BY ENG</v>
      </c>
      <c r="AB382" s="105"/>
      <c r="AC382" s="15" t="str">
        <f>IF(WFTracker[[#This Row],[Competion Date Content]] = FALSE, "C", "i")</f>
        <v>C</v>
      </c>
      <c r="AD3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382" s="105" t="str">
        <f ca="1">IF(WFTracker[[#This Row],[Impact Time Post RM]]&gt;0, "IMPACTED", "NOT IMPACTED")</f>
        <v>NOT IMPACTED</v>
      </c>
      <c r="AF382" s="15"/>
      <c r="AG382" s="42"/>
      <c r="AH382" s="14" t="str">
        <f>IF(WFTracker[[#This Row],[Status]]="C", "Closed", IF(WFTracker[[#This Row],[Status]] = "x", "Cancelled", WFTracker[[#This Row],[Impact Time Post RM]]))</f>
        <v>Closed</v>
      </c>
      <c r="AI382" s="14" t="str">
        <f ca="1">IF(WFTracker[[#This Row],[Impact Time Post RM]]&lt;=0,"ON TIME","LATE")</f>
        <v>ON TIME</v>
      </c>
      <c r="AJ382" s="14" t="s">
        <v>984</v>
      </c>
      <c r="AK382" s="14">
        <v>17</v>
      </c>
      <c r="AL382" s="915">
        <f>IF(WFTracker[[#This Row],[Type]]="MAKE", WFTracker[[#This Row],[Due date]]+Filters!$J$111, WFTracker[[#This Row],[Due date]]+Filters!$J$135)</f>
        <v>45932.415686274508</v>
      </c>
      <c r="AM382" s="102" cm="1">
        <f t="array" ref="AM3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3" spans="1:39" ht="15" customHeight="1">
      <c r="A383" t="str">
        <f>IF(WFTracker[[#This Row],[Order Number]]="SWBD", "QED2", "PZ4")</f>
        <v>PZ4</v>
      </c>
      <c r="B383" s="21" t="s">
        <v>490</v>
      </c>
      <c r="C383" s="35" t="s">
        <v>282</v>
      </c>
      <c r="D383" s="11" t="str">
        <f>WFTracker[[#This Row],[Order Number]]  &amp; "-" &amp; WFTracker[[#This Row],[Item]]</f>
        <v>0051442285-000070</v>
      </c>
      <c r="E383" s="23" t="s">
        <v>491</v>
      </c>
      <c r="F383" s="12">
        <v>45945</v>
      </c>
      <c r="G383" s="12"/>
      <c r="H383" s="11" t="s">
        <v>104</v>
      </c>
      <c r="I383" s="11" t="s">
        <v>37</v>
      </c>
      <c r="J383" s="55" t="s">
        <v>1320</v>
      </c>
      <c r="K383" s="14" t="s">
        <v>1017</v>
      </c>
      <c r="L383" s="15" t="s">
        <v>27</v>
      </c>
      <c r="M383" s="29" t="s">
        <v>438</v>
      </c>
      <c r="N383" s="57">
        <v>46008</v>
      </c>
      <c r="O383" s="29">
        <f>NETWORKDAYS.INTL(WFTracker[[#This Row],[Start date]],WFTracker[[#This Row],[RM]],1,Holidays!D437:D452)</f>
        <v>18</v>
      </c>
      <c r="P383" s="12">
        <v>45922</v>
      </c>
      <c r="Q383" s="12">
        <v>45932</v>
      </c>
      <c r="R383" s="12">
        <v>45945</v>
      </c>
      <c r="S383" s="27" t="b">
        <f>ISBLANK(WFTracker[[#This Row],[Completion Date]])</f>
        <v>0</v>
      </c>
      <c r="T383" s="27" t="str">
        <f>TEXT(WFTracker[[#This Row],[Start date]],"mmm-yyyy")</f>
        <v>Sep-2025</v>
      </c>
      <c r="U383">
        <v>10</v>
      </c>
      <c r="V383" s="11">
        <f>NETWORKDAYS.INTL(WFTracker[[#This Row],[Start date]],WFTracker[[#This Row],[Due date]],1,Holidays!D437:D452)</f>
        <v>9</v>
      </c>
      <c r="W3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383" s="30">
        <f ca="1">WFTracker[[#This Row],[Active Time]]-WFTracker[[#This Row],[Completion Days Template]]</f>
        <v>9</v>
      </c>
      <c r="Y383" s="34" t="str">
        <f ca="1" xml:space="preserve"> IF(WFTracker[[#This Row],[Overdue Time '[Expected-Completion']]]&gt;0, "LATE","ON TIME")</f>
        <v>LATE</v>
      </c>
      <c r="Z383" s="34" t="str">
        <f ca="1">IF(WFTracker[[#This Row],[Overdue Time '[Expected-Completion']]] &gt;= 15, "SUPER LATE", Y383)</f>
        <v>LATE</v>
      </c>
      <c r="AA383" s="105" t="str">
        <f>IF(WFTracker[[#This Row],[Pre RM Opening Time]]&lt;WFTracker[[#This Row],[Old vs New Order Lead Time WF dead line]], "LATE BY ENG", "ON TIME BY ENG")</f>
        <v>ON TIME BY ENG</v>
      </c>
      <c r="AB383" s="105"/>
      <c r="AC383" s="15" t="str">
        <f>IF(WFTracker[[#This Row],[Competion Date Content]] = FALSE, "C", "i")</f>
        <v>C</v>
      </c>
      <c r="AD3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83" s="105" t="str">
        <f ca="1">IF(WFTracker[[#This Row],[Impact Time Post RM]]&gt;0, "IMPACTED", "NOT IMPACTED")</f>
        <v>IMPACTED</v>
      </c>
      <c r="AF383" s="15"/>
      <c r="AG383" s="42"/>
      <c r="AH383" s="14" t="str">
        <f>IF(WFTracker[[#This Row],[Status]]="C", "Closed", IF(WFTracker[[#This Row],[Status]] = "x", "Cancelled", WFTracker[[#This Row],[Impact Time Post RM]]))</f>
        <v>Closed</v>
      </c>
      <c r="AI383" s="14" t="str">
        <f ca="1">IF(WFTracker[[#This Row],[Impact Time Post RM]]&lt;=0,"ON TIME","LATE")</f>
        <v>LATE</v>
      </c>
      <c r="AJ383" s="14" t="s">
        <v>984</v>
      </c>
      <c r="AK383" s="14">
        <v>18</v>
      </c>
      <c r="AL383" s="915">
        <f>IF(WFTracker[[#This Row],[Type]]="MAKE", WFTracker[[#This Row],[Due date]]+Filters!$J$111, WFTracker[[#This Row],[Due date]]+Filters!$J$135)</f>
        <v>45935.072512647552</v>
      </c>
      <c r="AM383" s="101" cm="1">
        <f t="array" ref="AM3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4" spans="1:39" ht="15" customHeight="1">
      <c r="A384" t="str">
        <f>IF(WFTracker[[#This Row],[Order Number]]="SWBD", "QED2", "PZ4")</f>
        <v>PZ4</v>
      </c>
      <c r="B384" s="21" t="s">
        <v>271</v>
      </c>
      <c r="C384" s="21" t="s">
        <v>834</v>
      </c>
      <c r="D384" s="11" t="str">
        <f>WFTracker[[#This Row],[Order Number]]  &amp; "-" &amp; WFTracker[[#This Row],[Item]]</f>
        <v>0050988425-001260</v>
      </c>
      <c r="E384" s="23" t="s">
        <v>272</v>
      </c>
      <c r="F384" s="12">
        <v>45912</v>
      </c>
      <c r="G384" s="12"/>
      <c r="H384" s="11" t="s">
        <v>156</v>
      </c>
      <c r="I384" s="11" t="s">
        <v>24</v>
      </c>
      <c r="J384" s="55" t="s">
        <v>1321</v>
      </c>
      <c r="K384" s="28" t="s">
        <v>1017</v>
      </c>
      <c r="L384" s="15" t="s">
        <v>27</v>
      </c>
      <c r="M384" s="29" t="s">
        <v>1120</v>
      </c>
      <c r="N384" s="57">
        <v>45979</v>
      </c>
      <c r="O384" s="29">
        <f>NETWORKDAYS.INTL(WFTracker[[#This Row],[Start date]],WFTracker[[#This Row],[RM]],1,Holidays!D43:D58)</f>
        <v>-9</v>
      </c>
      <c r="P384" s="63">
        <v>45924</v>
      </c>
      <c r="Q384" s="12">
        <v>45932</v>
      </c>
      <c r="R384" s="12">
        <v>45932</v>
      </c>
      <c r="S384" s="27" t="b">
        <f>ISBLANK(WFTracker[[#This Row],[Completion Date]])</f>
        <v>0</v>
      </c>
      <c r="T384" s="27" t="str">
        <f>TEXT(WFTracker[[#This Row],[Start date]],"mmm-yyyy")</f>
        <v>Sep-2025</v>
      </c>
      <c r="U384">
        <v>10</v>
      </c>
      <c r="V384" s="11">
        <f>NETWORKDAYS.INTL(WFTracker[[#This Row],[Start date]],WFTracker[[#This Row],[Due date]],1,Holidays!D43:D58)</f>
        <v>7</v>
      </c>
      <c r="W3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84" s="30">
        <f ca="1">WFTracker[[#This Row],[Active Time]]-WFTracker[[#This Row],[Completion Days Template]]</f>
        <v>0</v>
      </c>
      <c r="Y384" s="34" t="str">
        <f ca="1" xml:space="preserve"> IF(WFTracker[[#This Row],[Overdue Time '[Expected-Completion']]]&gt;0, "LATE","ON TIME")</f>
        <v>ON TIME</v>
      </c>
      <c r="Z384" s="34" t="str">
        <f ca="1">IF(WFTracker[[#This Row],[Overdue Time '[Expected-Completion']]] &gt;= 15, "SUPER LATE", Y384)</f>
        <v>ON TIME</v>
      </c>
      <c r="AA384" s="105" t="str">
        <f>IF(WFTracker[[#This Row],[Pre RM Opening Time]]&lt;WFTracker[[#This Row],[Old vs New Order Lead Time WF dead line]], "LATE BY ENG", "ON TIME BY ENG")</f>
        <v>LATE BY ENG</v>
      </c>
      <c r="AB384" s="37" t="s">
        <v>1322</v>
      </c>
      <c r="AC384" s="15" t="str">
        <f>IF(WFTracker[[#This Row],[Competion Date Content]] = FALSE, "C", "i")</f>
        <v>C</v>
      </c>
      <c r="AD3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14</v>
      </c>
      <c r="AE384" s="105" t="str">
        <f ca="1">IF(WFTracker[[#This Row],[Impact Time Post RM]]&gt;0, "IMPACTED", "NOT IMPACTED")</f>
        <v>IMPACTED</v>
      </c>
      <c r="AF384" s="15"/>
      <c r="AG384" s="42"/>
      <c r="AH384" s="14" t="str">
        <f>IF(WFTracker[[#This Row],[Status]]="C", "Closed", IF(WFTracker[[#This Row],[Status]] = "x", "Cancelled", WFTracker[[#This Row],[Impact Time Post RM]]))</f>
        <v>Closed</v>
      </c>
      <c r="AI384" s="14" t="str">
        <f ca="1">IF(WFTracker[[#This Row],[Impact Time Post RM]]&lt;=0,"ON TIME","LATE")</f>
        <v>LATE</v>
      </c>
      <c r="AJ384" s="14" t="s">
        <v>984</v>
      </c>
      <c r="AK384" s="14">
        <v>18</v>
      </c>
      <c r="AL384" s="915">
        <f>IF(WFTracker[[#This Row],[Type]]="MAKE", WFTracker[[#This Row],[Due date]]+Filters!$J$111, WFTracker[[#This Row],[Due date]]+Filters!$J$135)</f>
        <v>45935.072512647552</v>
      </c>
      <c r="AM384" s="102" cm="1">
        <f t="array" ref="AM3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5" spans="1:39" ht="15" customHeight="1">
      <c r="A385" t="str">
        <f>IF(WFTracker[[#This Row],[Order Number]]="SWBD", "QED2", "PZ4")</f>
        <v>PZ4</v>
      </c>
      <c r="B385" s="21" t="s">
        <v>535</v>
      </c>
      <c r="C385" s="35" t="s">
        <v>135</v>
      </c>
      <c r="D385" s="11" t="str">
        <f>WFTracker[[#This Row],[Order Number]]  &amp; "-" &amp; WFTracker[[#This Row],[Item]]</f>
        <v>0051449809-000010</v>
      </c>
      <c r="E385" s="23" t="s">
        <v>536</v>
      </c>
      <c r="F385" s="12">
        <v>45945</v>
      </c>
      <c r="G385" s="12"/>
      <c r="H385" s="11" t="s">
        <v>305</v>
      </c>
      <c r="I385" s="11" t="s">
        <v>429</v>
      </c>
      <c r="J385" s="55" t="s">
        <v>537</v>
      </c>
      <c r="K385" s="28" t="s">
        <v>1017</v>
      </c>
      <c r="L385" s="15" t="s">
        <v>27</v>
      </c>
      <c r="M385" s="29" t="s">
        <v>1120</v>
      </c>
      <c r="N385" s="57">
        <v>46052</v>
      </c>
      <c r="O385" s="29">
        <f>NETWORKDAYS.INTL(WFTracker[[#This Row],[Start date]],WFTracker[[#This Row],[RM]],1,Holidays!D376:D391)</f>
        <v>15</v>
      </c>
      <c r="P385" s="12">
        <v>45925</v>
      </c>
      <c r="Q385" s="12">
        <v>45933</v>
      </c>
      <c r="R385" s="12">
        <v>45933</v>
      </c>
      <c r="S385" s="27" t="b">
        <f>ISBLANK(WFTracker[[#This Row],[Completion Date]])</f>
        <v>0</v>
      </c>
      <c r="T385" s="27" t="str">
        <f>TEXT(WFTracker[[#This Row],[Start date]],"mmm-yyyy")</f>
        <v>Sep-2025</v>
      </c>
      <c r="U385">
        <v>10</v>
      </c>
      <c r="V385" s="11">
        <f>NETWORKDAYS.INTL(WFTracker[[#This Row],[Start date]],WFTracker[[#This Row],[Due date]],1,Holidays!D376:D391)</f>
        <v>7</v>
      </c>
      <c r="W3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85" s="30">
        <f ca="1">WFTracker[[#This Row],[Active Time]]-WFTracker[[#This Row],[Completion Days Template]]</f>
        <v>0</v>
      </c>
      <c r="Y385" s="34" t="str">
        <f ca="1" xml:space="preserve"> IF(WFTracker[[#This Row],[Overdue Time '[Expected-Completion']]]&gt;0, "LATE","ON TIME")</f>
        <v>ON TIME</v>
      </c>
      <c r="Z385" s="34" t="str">
        <f ca="1">IF(WFTracker[[#This Row],[Overdue Time '[Expected-Completion']]] &gt;= 15, "SUPER LATE", Y385)</f>
        <v>ON TIME</v>
      </c>
      <c r="AA385" s="105" t="str">
        <f>IF(WFTracker[[#This Row],[Pre RM Opening Time]]&lt;WFTracker[[#This Row],[Old vs New Order Lead Time WF dead line]], "LATE BY ENG", "ON TIME BY ENG")</f>
        <v>ON TIME BY ENG</v>
      </c>
      <c r="AB385" s="105"/>
      <c r="AC385" s="15" t="str">
        <f>IF(WFTracker[[#This Row],[Competion Date Content]] = FALSE, "C", "i")</f>
        <v>C</v>
      </c>
      <c r="AD3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385" s="105" t="str">
        <f ca="1">IF(WFTracker[[#This Row],[Impact Time Post RM]]&gt;0, "IMPACTED", "NOT IMPACTED")</f>
        <v>NOT IMPACTED</v>
      </c>
      <c r="AF385" s="15"/>
      <c r="AG385" s="42"/>
      <c r="AH385" s="14" t="str">
        <f>IF(WFTracker[[#This Row],[Status]]="C", "Closed", IF(WFTracker[[#This Row],[Status]] = "x", "Cancelled", WFTracker[[#This Row],[Impact Time Post RM]]))</f>
        <v>Closed</v>
      </c>
      <c r="AI385" s="14" t="str">
        <f ca="1">IF(WFTracker[[#This Row],[Impact Time Post RM]]&lt;=0,"ON TIME","LATE")</f>
        <v>ON TIME</v>
      </c>
      <c r="AJ385" s="14" t="s">
        <v>984</v>
      </c>
      <c r="AK385" s="14">
        <v>18</v>
      </c>
      <c r="AL385" s="915">
        <f>IF(WFTracker[[#This Row],[Type]]="MAKE", WFTracker[[#This Row],[Due date]]+Filters!$J$111, WFTracker[[#This Row],[Due date]]+Filters!$J$135)</f>
        <v>45936.072512647552</v>
      </c>
      <c r="AM385" s="102" cm="1">
        <f t="array" ref="AM38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6" spans="1:39" ht="15" customHeight="1">
      <c r="A386" t="str">
        <f>IF(WFTracker[[#This Row],[Order Number]]="SWBD", "QED2", "PZ4")</f>
        <v>PZ4</v>
      </c>
      <c r="B386" s="35" t="s">
        <v>490</v>
      </c>
      <c r="C386" s="35" t="s">
        <v>293</v>
      </c>
      <c r="D386" s="11" t="str">
        <f>WFTracker[[#This Row],[Order Number]]  &amp; "-" &amp; WFTracker[[#This Row],[Item]]</f>
        <v>0051442285-000080</v>
      </c>
      <c r="E386" s="23" t="s">
        <v>491</v>
      </c>
      <c r="F386" s="12">
        <v>45945</v>
      </c>
      <c r="G386" s="12"/>
      <c r="H386" s="11" t="s">
        <v>104</v>
      </c>
      <c r="I386" s="11" t="s">
        <v>37</v>
      </c>
      <c r="J386" s="55" t="s">
        <v>529</v>
      </c>
      <c r="K386" s="28" t="s">
        <v>1017</v>
      </c>
      <c r="L386" s="15" t="s">
        <v>27</v>
      </c>
      <c r="M386" s="29" t="s">
        <v>438</v>
      </c>
      <c r="N386" s="57">
        <v>46008</v>
      </c>
      <c r="O386" s="29">
        <f>NETWORKDAYS.INTL(WFTracker[[#This Row],[Start date]],WFTracker[[#This Row],[RM]],1,Holidays!D324:D339)</f>
        <v>13</v>
      </c>
      <c r="P386" s="12">
        <v>45929</v>
      </c>
      <c r="Q386" s="12">
        <v>45936</v>
      </c>
      <c r="R386" s="12">
        <v>45945</v>
      </c>
      <c r="S386" s="27" t="b">
        <f>ISBLANK(WFTracker[[#This Row],[Completion Date]])</f>
        <v>0</v>
      </c>
      <c r="T386" s="27" t="str">
        <f>TEXT(WFTracker[[#This Row],[Start date]],"mmm-yyyy")</f>
        <v>Sep-2025</v>
      </c>
      <c r="U386">
        <v>10</v>
      </c>
      <c r="V386" s="11">
        <f>NETWORKDAYS.INTL(WFTracker[[#This Row],[Start date]],WFTracker[[#This Row],[Due date]],1,Holidays!D324:D339)</f>
        <v>6</v>
      </c>
      <c r="W3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386" s="30">
        <f ca="1">WFTracker[[#This Row],[Active Time]]-WFTracker[[#This Row],[Completion Days Template]]</f>
        <v>7</v>
      </c>
      <c r="Y386" s="34" t="str">
        <f ca="1" xml:space="preserve"> IF(WFTracker[[#This Row],[Overdue Time '[Expected-Completion']]]&gt;0, "LATE","ON TIME")</f>
        <v>LATE</v>
      </c>
      <c r="Z386" s="34" t="str">
        <f ca="1">IF(WFTracker[[#This Row],[Overdue Time '[Expected-Completion']]] &gt;= 15, "SUPER LATE", Y386)</f>
        <v>LATE</v>
      </c>
      <c r="AA386" s="105" t="str">
        <f>IF(WFTracker[[#This Row],[Pre RM Opening Time]]&lt;WFTracker[[#This Row],[Old vs New Order Lead Time WF dead line]], "LATE BY ENG", "ON TIME BY ENG")</f>
        <v>ON TIME BY ENG</v>
      </c>
      <c r="AB386" s="105"/>
      <c r="AC386" s="15" t="str">
        <f>IF(WFTracker[[#This Row],[Competion Date Content]] = FALSE, "C", "i")</f>
        <v>C</v>
      </c>
      <c r="AD3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86" s="105" t="str">
        <f ca="1">IF(WFTracker[[#This Row],[Impact Time Post RM]]&gt;0, "IMPACTED", "NOT IMPACTED")</f>
        <v>IMPACTED</v>
      </c>
      <c r="AF386" s="15"/>
      <c r="AG386" s="42"/>
      <c r="AH386" s="14" t="str">
        <f>IF(WFTracker[[#This Row],[Status]]="C", "Closed", IF(WFTracker[[#This Row],[Status]] = "x", "Cancelled", WFTracker[[#This Row],[Impact Time Post RM]]))</f>
        <v>Closed</v>
      </c>
      <c r="AI386" s="14" t="str">
        <f ca="1">IF(WFTracker[[#This Row],[Impact Time Post RM]]&lt;=0,"ON TIME","LATE")</f>
        <v>LATE</v>
      </c>
      <c r="AJ386" s="14" t="s">
        <v>984</v>
      </c>
      <c r="AK386" s="14">
        <v>18</v>
      </c>
      <c r="AL386" s="915">
        <f>IF(WFTracker[[#This Row],[Type]]="MAKE", WFTracker[[#This Row],[Due date]]+Filters!$J$111, WFTracker[[#This Row],[Due date]]+Filters!$J$135)</f>
        <v>45939.072512647552</v>
      </c>
      <c r="AM386" s="101" cm="1">
        <f t="array" ref="AM3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7" spans="1:39" ht="15" customHeight="1">
      <c r="A387" t="str">
        <f>IF(WFTracker[[#This Row],[Order Number]]="SWBD", "QED2", "PZ4")</f>
        <v>PZ4</v>
      </c>
      <c r="B387" s="21" t="s">
        <v>550</v>
      </c>
      <c r="C387" s="1001" t="s">
        <v>1298</v>
      </c>
      <c r="D387" s="11" t="str">
        <f>WFTracker[[#This Row],[Order Number]]  &amp; "-" &amp; WFTracker[[#This Row],[Item]]</f>
        <v>0051576246-000020&amp;30&amp;40&amp;50&amp;60</v>
      </c>
      <c r="E387" s="23" t="s">
        <v>551</v>
      </c>
      <c r="F387" s="12">
        <v>45954</v>
      </c>
      <c r="G387" s="12"/>
      <c r="H387" s="11" t="s">
        <v>80</v>
      </c>
      <c r="I387" s="11" t="s">
        <v>1154</v>
      </c>
      <c r="J387" s="55" t="s">
        <v>1323</v>
      </c>
      <c r="K387" s="28" t="s">
        <v>1023</v>
      </c>
      <c r="L387" s="15" t="s">
        <v>27</v>
      </c>
      <c r="M387" s="29" t="s">
        <v>1120</v>
      </c>
      <c r="N387" s="57">
        <v>46030</v>
      </c>
      <c r="O387" s="29">
        <f>NETWORKDAYS.INTL(WFTracker[[#This Row],[Start date]],WFTracker[[#This Row],[RM]],1,Holidays!D484:D499)</f>
        <v>20</v>
      </c>
      <c r="P387" s="63">
        <v>45929</v>
      </c>
      <c r="Q387" s="12">
        <v>45936</v>
      </c>
      <c r="R387" s="12">
        <v>45946</v>
      </c>
      <c r="S387" s="27" t="b">
        <f>ISBLANK(WFTracker[[#This Row],[Completion Date]])</f>
        <v>0</v>
      </c>
      <c r="T387" s="27" t="str">
        <f>TEXT(WFTracker[[#This Row],[Start date]],"mmm-yyyy")</f>
        <v>Sep-2025</v>
      </c>
      <c r="U387">
        <v>10</v>
      </c>
      <c r="V387" s="11">
        <f>NETWORKDAYS.INTL(WFTracker[[#This Row],[Start date]],WFTracker[[#This Row],[Due date]],1,Holidays!D484:D499)</f>
        <v>6</v>
      </c>
      <c r="W3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87" s="30">
        <f ca="1">WFTracker[[#This Row],[Active Time]]-WFTracker[[#This Row],[Completion Days Template]]</f>
        <v>8</v>
      </c>
      <c r="Y387" s="34" t="str">
        <f ca="1" xml:space="preserve"> IF(WFTracker[[#This Row],[Overdue Time '[Expected-Completion']]]&gt;0, "LATE","ON TIME")</f>
        <v>LATE</v>
      </c>
      <c r="Z387" s="34" t="str">
        <f ca="1">IF(WFTracker[[#This Row],[Overdue Time '[Expected-Completion']]] &gt;= 15, "SUPER LATE", Y387)</f>
        <v>LATE</v>
      </c>
      <c r="AA387" s="105" t="str">
        <f>IF(WFTracker[[#This Row],[Pre RM Opening Time]]&lt;WFTracker[[#This Row],[Old vs New Order Lead Time WF dead line]], "LATE BY ENG", "ON TIME BY ENG")</f>
        <v>ON TIME BY ENG</v>
      </c>
      <c r="AB387" s="105"/>
      <c r="AC387" s="15" t="str">
        <f>IF(WFTracker[[#This Row],[Competion Date Content]] = FALSE, "C", "i")</f>
        <v>C</v>
      </c>
      <c r="AD3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387" s="105" t="str">
        <f ca="1">IF(WFTracker[[#This Row],[Impact Time Post RM]]&gt;0, "IMPACTED", "NOT IMPACTED")</f>
        <v>NOT IMPACTED</v>
      </c>
      <c r="AF387" s="15"/>
      <c r="AG387" s="42"/>
      <c r="AH387" s="14" t="str">
        <f>IF(WFTracker[[#This Row],[Status]]="C", "Closed", IF(WFTracker[[#This Row],[Status]] = "x", "Cancelled", WFTracker[[#This Row],[Impact Time Post RM]]))</f>
        <v>Closed</v>
      </c>
      <c r="AI387" s="14" t="str">
        <f ca="1">IF(WFTracker[[#This Row],[Impact Time Post RM]]&lt;=0,"ON TIME","LATE")</f>
        <v>ON TIME</v>
      </c>
      <c r="AJ387" s="14" t="s">
        <v>984</v>
      </c>
      <c r="AK387" s="14">
        <v>18</v>
      </c>
      <c r="AL387" s="915">
        <f>IF(WFTracker[[#This Row],[Type]]="MAKE", WFTracker[[#This Row],[Due date]]+Filters!$J$111, WFTracker[[#This Row],[Due date]]+Filters!$J$135)</f>
        <v>45939.072512647552</v>
      </c>
      <c r="AM387" s="101" cm="1">
        <f t="array" ref="AM3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8" spans="1:39" ht="15" customHeight="1">
      <c r="A388" t="str">
        <f>IF(WFTracker[[#This Row],[Order Number]]="SWBD", "QED2", "PZ4")</f>
        <v>PZ4</v>
      </c>
      <c r="B388" s="21" t="s">
        <v>292</v>
      </c>
      <c r="C388" s="21" t="s">
        <v>293</v>
      </c>
      <c r="D388" s="11" t="str">
        <f>WFTracker[[#This Row],[Order Number]]  &amp; "-" &amp; WFTracker[[#This Row],[Item]]</f>
        <v>0051096008-000080</v>
      </c>
      <c r="E388" s="21" t="s">
        <v>294</v>
      </c>
      <c r="F388" s="12">
        <v>45865</v>
      </c>
      <c r="G388" s="12"/>
      <c r="H388" s="11" t="s">
        <v>295</v>
      </c>
      <c r="I388" s="11" t="s">
        <v>264</v>
      </c>
      <c r="J388" s="55" t="s">
        <v>1324</v>
      </c>
      <c r="K388" s="28" t="s">
        <v>1017</v>
      </c>
      <c r="L388" s="15" t="s">
        <v>27</v>
      </c>
      <c r="M388" s="29" t="s">
        <v>1123</v>
      </c>
      <c r="N388" s="57">
        <v>45923</v>
      </c>
      <c r="O388" s="15">
        <f>NETWORKDAYS.INTL(WFTracker[[#This Row],[Start date]],WFTracker[[#This Row],[RM]],1,Holidays!D8:D28)</f>
        <v>-46</v>
      </c>
      <c r="P388" s="12">
        <v>45930</v>
      </c>
      <c r="Q388" s="12">
        <v>45937</v>
      </c>
      <c r="R388" s="12">
        <v>45932</v>
      </c>
      <c r="S388" s="12" t="b">
        <f>ISBLANK(WFTracker[[#This Row],[Completion Date]])</f>
        <v>0</v>
      </c>
      <c r="T388" s="27" t="str">
        <f>TEXT(WFTracker[[#This Row],[Start date]],"mmm-yyyy")</f>
        <v>Sep-2025</v>
      </c>
      <c r="U388">
        <v>10</v>
      </c>
      <c r="V388" s="11">
        <f>NETWORKDAYS.INTL(WFTracker[[#This Row],[Start date]],WFTracker[[#This Row],[Due date]],1,Holidays!D8:D28)</f>
        <v>6</v>
      </c>
      <c r="W3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388" s="24">
        <f ca="1">WFTracker[[#This Row],[Active Time]]-WFTracker[[#This Row],[Completion Days Template]]</f>
        <v>-3</v>
      </c>
      <c r="Y388" s="16" t="str">
        <f ca="1" xml:space="preserve"> IF(WFTracker[[#This Row],[Overdue Time '[Expected-Completion']]]&gt;0, "LATE","ON TIME")</f>
        <v>ON TIME</v>
      </c>
      <c r="Z388" s="16" t="str">
        <f ca="1">IF(WFTracker[[#This Row],[Overdue Time '[Expected-Completion']]] &gt;= 15, "SUPER LATE", Y388)</f>
        <v>ON TIME</v>
      </c>
      <c r="AA388" s="37" t="str">
        <f>IF(WFTracker[[#This Row],[Pre RM Opening Time]]&lt;WFTracker[[#This Row],[Old vs New Order Lead Time WF dead line]], "LATE BY ENG", "ON TIME BY ENG")</f>
        <v>LATE BY ENG</v>
      </c>
      <c r="AB388" s="37" t="s">
        <v>1325</v>
      </c>
      <c r="AC388" s="15" t="str">
        <f>IF(WFTracker[[#This Row],[Competion Date Content]] = FALSE, "C", "i")</f>
        <v>C</v>
      </c>
      <c r="AD3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48</v>
      </c>
      <c r="AE388" s="37" t="str">
        <f ca="1">IF(WFTracker[[#This Row],[Impact Time Post RM]]&gt;0, "IMPACTED", "NOT IMPACTED")</f>
        <v>IMPACTED</v>
      </c>
      <c r="AF388" s="15"/>
      <c r="AG388" s="18"/>
      <c r="AH388" s="14" t="str">
        <f>IF(WFTracker[[#This Row],[Status]]="C", "Closed", IF(WFTracker[[#This Row],[Status]] = "x", "Cancelled", WFTracker[[#This Row],[Impact Time Post RM]]))</f>
        <v>Closed</v>
      </c>
      <c r="AI388" s="14" t="str">
        <f ca="1">IF(WFTracker[[#This Row],[Impact Time Post RM]]&lt;=0,"ON TIME","LATE")</f>
        <v>LATE</v>
      </c>
      <c r="AJ388" s="14" t="s">
        <v>984</v>
      </c>
      <c r="AK388" s="14">
        <v>18</v>
      </c>
      <c r="AL388" s="915">
        <f>IF(WFTracker[[#This Row],[Type]]="MAKE", WFTracker[[#This Row],[Due date]]+Filters!$J$111, WFTracker[[#This Row],[Due date]]+Filters!$J$135)</f>
        <v>45940.072512647552</v>
      </c>
      <c r="AM388" s="102" cm="1">
        <f t="array" ref="AM3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89" spans="1:39" ht="15" customHeight="1">
      <c r="A389" t="str">
        <f>IF(WFTracker[[#This Row],[Order Number]]="SWBD", "QED2", "PZ4")</f>
        <v>PZ4</v>
      </c>
      <c r="B389" s="21" t="s">
        <v>530</v>
      </c>
      <c r="C389" s="21" t="s">
        <v>135</v>
      </c>
      <c r="D389" s="11" t="str">
        <f>WFTracker[[#This Row],[Order Number]]  &amp; "-" &amp; WFTracker[[#This Row],[Item]]</f>
        <v>0051378342-000010</v>
      </c>
      <c r="E389" s="23" t="s">
        <v>532</v>
      </c>
      <c r="F389" s="12">
        <v>45957</v>
      </c>
      <c r="G389" s="12"/>
      <c r="H389" s="11" t="s">
        <v>104</v>
      </c>
      <c r="I389" s="11" t="s">
        <v>111</v>
      </c>
      <c r="J389" s="55" t="s">
        <v>533</v>
      </c>
      <c r="K389" s="28" t="s">
        <v>1017</v>
      </c>
      <c r="L389" s="15" t="s">
        <v>27</v>
      </c>
      <c r="M389" s="29" t="s">
        <v>1123</v>
      </c>
      <c r="N389" s="57">
        <v>46114</v>
      </c>
      <c r="O389" s="29">
        <f>NETWORKDAYS.INTL(WFTracker[[#This Row],[Start date]],WFTracker[[#This Row],[RM]],1,Holidays!D485:D500)</f>
        <v>20</v>
      </c>
      <c r="P389" s="12">
        <v>45930</v>
      </c>
      <c r="Q389" s="12">
        <v>45939</v>
      </c>
      <c r="R389" s="12">
        <v>45953</v>
      </c>
      <c r="S389" s="27" t="b">
        <f>ISBLANK(WFTracker[[#This Row],[Completion Date]])</f>
        <v>0</v>
      </c>
      <c r="T389" s="27" t="str">
        <f>TEXT(WFTracker[[#This Row],[Start date]],"mmm-yyyy")</f>
        <v>Sep-2025</v>
      </c>
      <c r="U389">
        <v>10</v>
      </c>
      <c r="V389" s="11">
        <f>NETWORKDAYS.INTL(WFTracker[[#This Row],[Start date]],WFTracker[[#This Row],[Due date]],1,Holidays!D485:D500)</f>
        <v>8</v>
      </c>
      <c r="W3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389" s="30">
        <f ca="1">WFTracker[[#This Row],[Active Time]]-WFTracker[[#This Row],[Completion Days Template]]</f>
        <v>10</v>
      </c>
      <c r="Y389" s="34" t="str">
        <f ca="1" xml:space="preserve"> IF(WFTracker[[#This Row],[Overdue Time '[Expected-Completion']]]&gt;0, "LATE","ON TIME")</f>
        <v>LATE</v>
      </c>
      <c r="Z389" s="34" t="str">
        <f ca="1">IF(WFTracker[[#This Row],[Overdue Time '[Expected-Completion']]] &gt;= 15, "SUPER LATE", Y389)</f>
        <v>LATE</v>
      </c>
      <c r="AA389" s="105" t="str">
        <f>IF(WFTracker[[#This Row],[Pre RM Opening Time]]&lt;WFTracker[[#This Row],[Old vs New Order Lead Time WF dead line]], "LATE BY ENG", "ON TIME BY ENG")</f>
        <v>ON TIME BY ENG</v>
      </c>
      <c r="AB389" s="105"/>
      <c r="AC389" s="15" t="str">
        <f>IF(WFTracker[[#This Row],[Competion Date Content]] = FALSE, "C", "i")</f>
        <v>C</v>
      </c>
      <c r="AD3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389" s="105" t="str">
        <f ca="1">IF(WFTracker[[#This Row],[Impact Time Post RM]]&gt;0, "IMPACTED", "NOT IMPACTED")</f>
        <v>NOT IMPACTED</v>
      </c>
      <c r="AF389" s="15"/>
      <c r="AG389" s="42"/>
      <c r="AH389" s="14" t="str">
        <f>IF(WFTracker[[#This Row],[Status]]="C", "Closed", IF(WFTracker[[#This Row],[Status]] = "x", "Cancelled", WFTracker[[#This Row],[Impact Time Post RM]]))</f>
        <v>Closed</v>
      </c>
      <c r="AI389" s="14" t="str">
        <f ca="1">IF(WFTracker[[#This Row],[Impact Time Post RM]]&lt;=0,"ON TIME","LATE")</f>
        <v>ON TIME</v>
      </c>
      <c r="AJ389" s="14" t="s">
        <v>984</v>
      </c>
      <c r="AK389" s="14">
        <v>18</v>
      </c>
      <c r="AL389" s="915">
        <f>IF(WFTracker[[#This Row],[Type]]="MAKE", WFTracker[[#This Row],[Due date]]+Filters!$J$111, WFTracker[[#This Row],[Due date]]+Filters!$J$135)</f>
        <v>45942.072512647552</v>
      </c>
      <c r="AM389" s="101" cm="1">
        <f t="array" ref="AM3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0" spans="1:39" ht="15" customHeight="1">
      <c r="A390" t="str">
        <f>IF(WFTracker[[#This Row],[Order Number]]="SWBD", "QED2", "PZ4")</f>
        <v>PZ4</v>
      </c>
      <c r="B390" s="21" t="s">
        <v>538</v>
      </c>
      <c r="C390" s="35" t="s">
        <v>539</v>
      </c>
      <c r="D390" s="11" t="str">
        <f>WFTracker[[#This Row],[Order Number]]  &amp; "-" &amp; WFTracker[[#This Row],[Item]]</f>
        <v>0050839092-002030</v>
      </c>
      <c r="E390" s="23" t="s">
        <v>540</v>
      </c>
      <c r="F390" s="12">
        <v>45940</v>
      </c>
      <c r="G390" s="12"/>
      <c r="H390" s="11" t="s">
        <v>110</v>
      </c>
      <c r="I390" s="11" t="s">
        <v>37</v>
      </c>
      <c r="J390" s="55" t="s">
        <v>549</v>
      </c>
      <c r="K390" s="28" t="s">
        <v>1017</v>
      </c>
      <c r="L390" s="15" t="s">
        <v>27</v>
      </c>
      <c r="M390" s="29" t="s">
        <v>1120</v>
      </c>
      <c r="N390" s="57">
        <v>45971</v>
      </c>
      <c r="O390" s="15">
        <f>NETWORKDAYS.INTL(WFTracker[[#This Row],[Start date]],WFTracker[[#This Row],[RM]],1,Holidays!D173:D188)</f>
        <v>8</v>
      </c>
      <c r="P390" s="12">
        <v>45931</v>
      </c>
      <c r="Q390" s="12">
        <v>45939</v>
      </c>
      <c r="R390" s="12">
        <v>45940</v>
      </c>
      <c r="S390" s="12" t="b">
        <f>ISBLANK(WFTracker[[#This Row],[Completion Date]])</f>
        <v>0</v>
      </c>
      <c r="T390" s="27" t="str">
        <f>TEXT(WFTracker[[#This Row],[Start date]],"mmm-yyyy")</f>
        <v>Oct-2025</v>
      </c>
      <c r="U390">
        <v>10</v>
      </c>
      <c r="V390" s="11">
        <f>NETWORKDAYS.INTL(WFTracker[[#This Row],[Start date]],WFTracker[[#This Row],[Due date]],1,Holidays!D173:D188)</f>
        <v>7</v>
      </c>
      <c r="W3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90" s="24">
        <f ca="1">WFTracker[[#This Row],[Active Time]]-WFTracker[[#This Row],[Completion Days Template]]</f>
        <v>1</v>
      </c>
      <c r="Y390" s="16" t="str">
        <f ca="1" xml:space="preserve"> IF(WFTracker[[#This Row],[Overdue Time '[Expected-Completion']]]&gt;0, "LATE","ON TIME")</f>
        <v>LATE</v>
      </c>
      <c r="Z390" s="16" t="str">
        <f ca="1">IF(WFTracker[[#This Row],[Overdue Time '[Expected-Completion']]] &gt;= 15, "SUPER LATE", Y390)</f>
        <v>LATE</v>
      </c>
      <c r="AA390" s="37" t="str">
        <f>IF(WFTracker[[#This Row],[Pre RM Opening Time]]&lt;WFTracker[[#This Row],[Old vs New Order Lead Time WF dead line]], "LATE BY ENG", "ON TIME BY ENG")</f>
        <v>LATE BY ENG</v>
      </c>
      <c r="AB390" s="37"/>
      <c r="AC390" s="15" t="str">
        <f>IF(WFTracker[[#This Row],[Competion Date Content]] = FALSE, "C", "i")</f>
        <v>C</v>
      </c>
      <c r="AD3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90" s="37" t="str">
        <f ca="1">IF(WFTracker[[#This Row],[Impact Time Post RM]]&gt;0, "IMPACTED", "NOT IMPACTED")</f>
        <v>IMPACTED</v>
      </c>
      <c r="AF390" s="15"/>
      <c r="AG390" s="18"/>
      <c r="AH390" s="14" t="str">
        <f>IF(WFTracker[[#This Row],[Status]]="C", "Closed", IF(WFTracker[[#This Row],[Status]] = "x", "Cancelled", WFTracker[[#This Row],[Impact Time Post RM]]))</f>
        <v>Closed</v>
      </c>
      <c r="AI390" s="14" t="str">
        <f ca="1">IF(WFTracker[[#This Row],[Impact Time Post RM]]&lt;=0,"ON TIME","LATE")</f>
        <v>LATE</v>
      </c>
      <c r="AJ390" s="14" t="s">
        <v>984</v>
      </c>
      <c r="AK390" s="14">
        <v>18</v>
      </c>
      <c r="AL390" s="915">
        <f>IF(WFTracker[[#This Row],[Type]]="MAKE", WFTracker[[#This Row],[Due date]]+Filters!$J$111, WFTracker[[#This Row],[Due date]]+Filters!$J$135)</f>
        <v>45942.072512647552</v>
      </c>
      <c r="AM390" s="102" cm="1">
        <f t="array" ref="AM3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1" spans="1:39" ht="15" customHeight="1">
      <c r="A391" t="str">
        <f>IF(WFTracker[[#This Row],[Order Number]]="SWBD", "QED2", "PZ4")</f>
        <v>PZ4</v>
      </c>
      <c r="B391" s="21" t="s">
        <v>538</v>
      </c>
      <c r="C391" s="35" t="s">
        <v>539</v>
      </c>
      <c r="D391" s="11" t="str">
        <f>WFTracker[[#This Row],[Order Number]]  &amp; "-" &amp; WFTracker[[#This Row],[Item]]</f>
        <v>0050839092-002030</v>
      </c>
      <c r="E391" s="23" t="s">
        <v>540</v>
      </c>
      <c r="F391" s="12">
        <v>45940</v>
      </c>
      <c r="G391" s="12"/>
      <c r="H391" s="11" t="s">
        <v>110</v>
      </c>
      <c r="I391" s="11" t="s">
        <v>37</v>
      </c>
      <c r="J391" s="55" t="s">
        <v>547</v>
      </c>
      <c r="K391" s="28" t="s">
        <v>1017</v>
      </c>
      <c r="L391" s="15" t="s">
        <v>27</v>
      </c>
      <c r="M391" s="15" t="s">
        <v>1120</v>
      </c>
      <c r="N391" s="56">
        <v>45971</v>
      </c>
      <c r="O391" s="15">
        <f>NETWORKDAYS.INTL(WFTracker[[#This Row],[Start date]],WFTracker[[#This Row],[RM]],1,Holidays!D174:D189)</f>
        <v>8</v>
      </c>
      <c r="P391" s="12">
        <v>45931</v>
      </c>
      <c r="Q391" s="12">
        <v>45939</v>
      </c>
      <c r="R391" s="12">
        <v>45940</v>
      </c>
      <c r="S391" s="12" t="b">
        <f>ISBLANK(WFTracker[[#This Row],[Completion Date]])</f>
        <v>0</v>
      </c>
      <c r="T391" s="27" t="str">
        <f>TEXT(WFTracker[[#This Row],[Start date]],"mmm-yyyy")</f>
        <v>Oct-2025</v>
      </c>
      <c r="U391">
        <v>10</v>
      </c>
      <c r="V391" s="11">
        <f>NETWORKDAYS.INTL(WFTracker[[#This Row],[Start date]],WFTracker[[#This Row],[Due date]],1,Holidays!D174:D189)</f>
        <v>7</v>
      </c>
      <c r="W3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91" s="24">
        <f ca="1">WFTracker[[#This Row],[Active Time]]-WFTracker[[#This Row],[Completion Days Template]]</f>
        <v>1</v>
      </c>
      <c r="Y391" s="16" t="str">
        <f ca="1" xml:space="preserve"> IF(WFTracker[[#This Row],[Overdue Time '[Expected-Completion']]]&gt;0, "LATE","ON TIME")</f>
        <v>LATE</v>
      </c>
      <c r="Z391" s="16" t="str">
        <f ca="1">IF(WFTracker[[#This Row],[Overdue Time '[Expected-Completion']]] &gt;= 15, "SUPER LATE", Y391)</f>
        <v>LATE</v>
      </c>
      <c r="AA391" s="37" t="str">
        <f>IF(WFTracker[[#This Row],[Pre RM Opening Time]]&lt;WFTracker[[#This Row],[Old vs New Order Lead Time WF dead line]], "LATE BY ENG", "ON TIME BY ENG")</f>
        <v>LATE BY ENG</v>
      </c>
      <c r="AB391" s="37"/>
      <c r="AC391" s="15" t="str">
        <f>IF(WFTracker[[#This Row],[Competion Date Content]] = FALSE, "C", "i")</f>
        <v>C</v>
      </c>
      <c r="AD3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91" s="37" t="str">
        <f ca="1">IF(WFTracker[[#This Row],[Impact Time Post RM]]&gt;0, "IMPACTED", "NOT IMPACTED")</f>
        <v>IMPACTED</v>
      </c>
      <c r="AF391" s="15"/>
      <c r="AG391" s="18"/>
      <c r="AH391" s="14" t="str">
        <f>IF(WFTracker[[#This Row],[Status]]="C", "Closed", IF(WFTracker[[#This Row],[Status]] = "x", "Cancelled", WFTracker[[#This Row],[Impact Time Post RM]]))</f>
        <v>Closed</v>
      </c>
      <c r="AI391" s="14" t="str">
        <f ca="1">IF(WFTracker[[#This Row],[Impact Time Post RM]]&lt;=0,"ON TIME","LATE")</f>
        <v>LATE</v>
      </c>
      <c r="AJ391" s="14" t="s">
        <v>984</v>
      </c>
      <c r="AK391" s="14">
        <v>18</v>
      </c>
      <c r="AL391" s="915">
        <f>IF(WFTracker[[#This Row],[Type]]="MAKE", WFTracker[[#This Row],[Due date]]+Filters!$J$111, WFTracker[[#This Row],[Due date]]+Filters!$J$135)</f>
        <v>45942.072512647552</v>
      </c>
      <c r="AM391" s="102" cm="1">
        <f t="array" ref="AM3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2" spans="1:39" ht="15" customHeight="1">
      <c r="A392" t="str">
        <f>IF(WFTracker[[#This Row],[Order Number]]="SWBD", "QED2", "PZ4")</f>
        <v>PZ4</v>
      </c>
      <c r="B392" s="21" t="s">
        <v>538</v>
      </c>
      <c r="C392" s="35" t="s">
        <v>539</v>
      </c>
      <c r="D392" s="11" t="str">
        <f>WFTracker[[#This Row],[Order Number]]  &amp; "-" &amp; WFTracker[[#This Row],[Item]]</f>
        <v>0050839092-002030</v>
      </c>
      <c r="E392" s="23" t="s">
        <v>540</v>
      </c>
      <c r="F392" s="12">
        <v>45940</v>
      </c>
      <c r="G392" s="12"/>
      <c r="H392" s="11" t="s">
        <v>110</v>
      </c>
      <c r="I392" s="11" t="s">
        <v>37</v>
      </c>
      <c r="J392" s="55" t="s">
        <v>544</v>
      </c>
      <c r="K392" s="28" t="s">
        <v>1017</v>
      </c>
      <c r="L392" s="15" t="s">
        <v>27</v>
      </c>
      <c r="M392" s="29" t="s">
        <v>1120</v>
      </c>
      <c r="N392" s="56">
        <v>45971</v>
      </c>
      <c r="O392" s="15">
        <f>NETWORKDAYS.INTL(WFTracker[[#This Row],[Start date]],WFTracker[[#This Row],[RM]],1,Holidays!D175:D190)</f>
        <v>8</v>
      </c>
      <c r="P392" s="12">
        <v>45931</v>
      </c>
      <c r="Q392" s="12">
        <v>45939</v>
      </c>
      <c r="R392" s="12">
        <v>45940</v>
      </c>
      <c r="S392" s="12" t="b">
        <f>ISBLANK(WFTracker[[#This Row],[Completion Date]])</f>
        <v>0</v>
      </c>
      <c r="T392" s="27" t="str">
        <f>TEXT(WFTracker[[#This Row],[Start date]],"mmm-yyyy")</f>
        <v>Oct-2025</v>
      </c>
      <c r="U392">
        <v>10</v>
      </c>
      <c r="V392" s="11">
        <f>NETWORKDAYS.INTL(WFTracker[[#This Row],[Start date]],WFTracker[[#This Row],[Due date]],1,Holidays!D175:D190)</f>
        <v>7</v>
      </c>
      <c r="W3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92" s="24">
        <f ca="1">WFTracker[[#This Row],[Active Time]]-WFTracker[[#This Row],[Completion Days Template]]</f>
        <v>1</v>
      </c>
      <c r="Y392" s="16" t="str">
        <f ca="1" xml:space="preserve"> IF(WFTracker[[#This Row],[Overdue Time '[Expected-Completion']]]&gt;0, "LATE","ON TIME")</f>
        <v>LATE</v>
      </c>
      <c r="Z392" s="16" t="str">
        <f ca="1">IF(WFTracker[[#This Row],[Overdue Time '[Expected-Completion']]] &gt;= 15, "SUPER LATE", Y392)</f>
        <v>LATE</v>
      </c>
      <c r="AA392" s="37" t="str">
        <f>IF(WFTracker[[#This Row],[Pre RM Opening Time]]&lt;WFTracker[[#This Row],[Old vs New Order Lead Time WF dead line]], "LATE BY ENG", "ON TIME BY ENG")</f>
        <v>LATE BY ENG</v>
      </c>
      <c r="AB392" s="37"/>
      <c r="AC392" s="15" t="str">
        <f>IF(WFTracker[[#This Row],[Competion Date Content]] = FALSE, "C", "i")</f>
        <v>C</v>
      </c>
      <c r="AD3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92" s="37" t="str">
        <f ca="1">IF(WFTracker[[#This Row],[Impact Time Post RM]]&gt;0, "IMPACTED", "NOT IMPACTED")</f>
        <v>IMPACTED</v>
      </c>
      <c r="AF392" s="15"/>
      <c r="AG392" s="18"/>
      <c r="AH392" s="14" t="str">
        <f>IF(WFTracker[[#This Row],[Status]]="C", "Closed", IF(WFTracker[[#This Row],[Status]] = "x", "Cancelled", WFTracker[[#This Row],[Impact Time Post RM]]))</f>
        <v>Closed</v>
      </c>
      <c r="AI392" s="14" t="str">
        <f ca="1">IF(WFTracker[[#This Row],[Impact Time Post RM]]&lt;=0,"ON TIME","LATE")</f>
        <v>LATE</v>
      </c>
      <c r="AJ392" s="14" t="s">
        <v>984</v>
      </c>
      <c r="AK392" s="14">
        <v>18</v>
      </c>
      <c r="AL392" s="915">
        <f>IF(WFTracker[[#This Row],[Type]]="MAKE", WFTracker[[#This Row],[Due date]]+Filters!$J$111, WFTracker[[#This Row],[Due date]]+Filters!$J$135)</f>
        <v>45942.072512647552</v>
      </c>
      <c r="AM392" s="102" cm="1">
        <f t="array" ref="AM3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3" spans="1:39" ht="15" customHeight="1">
      <c r="A393" t="str">
        <f>IF(WFTracker[[#This Row],[Order Number]]="SWBD", "QED2", "PZ4")</f>
        <v>PZ4</v>
      </c>
      <c r="B393" s="21" t="s">
        <v>538</v>
      </c>
      <c r="C393" s="35" t="s">
        <v>539</v>
      </c>
      <c r="D393" s="11" t="str">
        <f>WFTracker[[#This Row],[Order Number]]  &amp; "-" &amp; WFTracker[[#This Row],[Item]]</f>
        <v>0050839092-002030</v>
      </c>
      <c r="E393" s="21" t="s">
        <v>540</v>
      </c>
      <c r="F393" s="12">
        <v>45940</v>
      </c>
      <c r="G393" s="12"/>
      <c r="H393" s="11" t="s">
        <v>110</v>
      </c>
      <c r="I393" s="11" t="s">
        <v>37</v>
      </c>
      <c r="J393" s="55" t="s">
        <v>1326</v>
      </c>
      <c r="K393" s="14" t="s">
        <v>1017</v>
      </c>
      <c r="L393" s="15" t="s">
        <v>40</v>
      </c>
      <c r="M393" s="29" t="s">
        <v>1120</v>
      </c>
      <c r="N393" s="57">
        <v>45971</v>
      </c>
      <c r="O393" s="15">
        <f>NETWORKDAYS.INTL(WFTracker[[#This Row],[Start date]],WFTracker[[#This Row],[RM]],1,Holidays!D176:D191)</f>
        <v>8</v>
      </c>
      <c r="P393" s="12">
        <v>45931</v>
      </c>
      <c r="Q393" s="12">
        <v>45943</v>
      </c>
      <c r="R393" s="12">
        <v>45940</v>
      </c>
      <c r="S393" s="12" t="b">
        <f>ISBLANK(WFTracker[[#This Row],[Completion Date]])</f>
        <v>0</v>
      </c>
      <c r="T393" s="27" t="str">
        <f>TEXT(WFTracker[[#This Row],[Start date]],"mmm-yyyy")</f>
        <v>Oct-2025</v>
      </c>
      <c r="U393">
        <v>10</v>
      </c>
      <c r="V393" s="11">
        <f>NETWORKDAYS.INTL(WFTracker[[#This Row],[Start date]],WFTracker[[#This Row],[Due date]],1,Holidays!D176:D191)</f>
        <v>9</v>
      </c>
      <c r="W3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93" s="24">
        <f ca="1">WFTracker[[#This Row],[Active Time]]-WFTracker[[#This Row],[Completion Days Template]]</f>
        <v>-1</v>
      </c>
      <c r="Y393" s="16" t="str">
        <f ca="1" xml:space="preserve"> IF(WFTracker[[#This Row],[Overdue Time '[Expected-Completion']]]&gt;0, "LATE","ON TIME")</f>
        <v>ON TIME</v>
      </c>
      <c r="Z393" s="16" t="str">
        <f ca="1">IF(WFTracker[[#This Row],[Overdue Time '[Expected-Completion']]] &gt;= 15, "SUPER LATE", Y393)</f>
        <v>ON TIME</v>
      </c>
      <c r="AA393" s="37" t="str">
        <f>IF(WFTracker[[#This Row],[Pre RM Opening Time]]&lt;WFTracker[[#This Row],[Old vs New Order Lead Time WF dead line]], "LATE BY ENG", "ON TIME BY ENG")</f>
        <v>LATE BY ENG</v>
      </c>
      <c r="AB393" s="37"/>
      <c r="AC393" s="15" t="str">
        <f>IF(WFTracker[[#This Row],[Competion Date Content]] = FALSE, "C", "i")</f>
        <v>C</v>
      </c>
      <c r="AD3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93" s="25" t="str">
        <f ca="1">IF(WFTracker[[#This Row],[Impact Time Post RM]]&gt;0, "IMPACTED", "NOT IMPACTED")</f>
        <v>IMPACTED</v>
      </c>
      <c r="AF393" s="15"/>
      <c r="AG393" s="18"/>
      <c r="AH393" s="14" t="str">
        <f>IF(WFTracker[[#This Row],[Status]]="C", "Closed", IF(WFTracker[[#This Row],[Status]] = "x", "Cancelled", WFTracker[[#This Row],[Impact Time Post RM]]))</f>
        <v>Closed</v>
      </c>
      <c r="AI393" s="14" t="str">
        <f ca="1">IF(WFTracker[[#This Row],[Impact Time Post RM]]&lt;=0,"ON TIME","LATE")</f>
        <v>LATE</v>
      </c>
      <c r="AJ393" s="14" t="s">
        <v>984</v>
      </c>
      <c r="AK393" s="14">
        <v>17</v>
      </c>
      <c r="AL393" s="915">
        <f>IF(WFTracker[[#This Row],[Type]]="MAKE", WFTracker[[#This Row],[Due date]]+Filters!$J$111, WFTracker[[#This Row],[Due date]]+Filters!$J$135)</f>
        <v>45943.415686274508</v>
      </c>
      <c r="AM393" s="102" cm="1">
        <f t="array" ref="AM3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4" spans="1:39" ht="15" customHeight="1">
      <c r="A394" t="str">
        <f>IF(WFTracker[[#This Row],[Order Number]]="SWBD", "QED2", "PZ4")</f>
        <v>PZ4</v>
      </c>
      <c r="B394" s="21" t="s">
        <v>538</v>
      </c>
      <c r="C394" s="35" t="s">
        <v>539</v>
      </c>
      <c r="D394" s="11" t="str">
        <f>WFTracker[[#This Row],[Order Number]]  &amp; "-" &amp; WFTracker[[#This Row],[Item]]</f>
        <v>0050839092-002030</v>
      </c>
      <c r="E394" s="23" t="s">
        <v>540</v>
      </c>
      <c r="F394" s="12">
        <v>45940</v>
      </c>
      <c r="G394" s="12"/>
      <c r="H394" s="11" t="s">
        <v>110</v>
      </c>
      <c r="I394" s="11" t="s">
        <v>37</v>
      </c>
      <c r="J394" s="55" t="s">
        <v>546</v>
      </c>
      <c r="K394" s="14" t="s">
        <v>1017</v>
      </c>
      <c r="L394" s="15" t="s">
        <v>40</v>
      </c>
      <c r="M394" s="29" t="s">
        <v>1120</v>
      </c>
      <c r="N394" s="57">
        <v>45971</v>
      </c>
      <c r="O394" s="15">
        <f>NETWORKDAYS.INTL(WFTracker[[#This Row],[Start date]],WFTracker[[#This Row],[RM]],1,Holidays!D177:D192)</f>
        <v>8</v>
      </c>
      <c r="P394" s="27">
        <v>45931</v>
      </c>
      <c r="Q394" s="27">
        <v>45943</v>
      </c>
      <c r="R394" s="12">
        <v>45941</v>
      </c>
      <c r="S394" s="12" t="b">
        <f>ISBLANK(WFTracker[[#This Row],[Completion Date]])</f>
        <v>0</v>
      </c>
      <c r="T394" s="27" t="str">
        <f>TEXT(WFTracker[[#This Row],[Start date]],"mmm-yyyy")</f>
        <v>Oct-2025</v>
      </c>
      <c r="U394">
        <v>10</v>
      </c>
      <c r="V394" s="11">
        <f>NETWORKDAYS.INTL(WFTracker[[#This Row],[Start date]],WFTracker[[#This Row],[Due date]],1,Holidays!D177:D192)</f>
        <v>9</v>
      </c>
      <c r="W3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394" s="24">
        <f ca="1">WFTracker[[#This Row],[Active Time]]-WFTracker[[#This Row],[Completion Days Template]]</f>
        <v>-1</v>
      </c>
      <c r="Y394" s="16" t="str">
        <f ca="1" xml:space="preserve"> IF(WFTracker[[#This Row],[Overdue Time '[Expected-Completion']]]&gt;0, "LATE","ON TIME")</f>
        <v>ON TIME</v>
      </c>
      <c r="Z394" s="16" t="str">
        <f ca="1">IF(WFTracker[[#This Row],[Overdue Time '[Expected-Completion']]] &gt;= 15, "SUPER LATE", Y394)</f>
        <v>ON TIME</v>
      </c>
      <c r="AA394" s="37" t="str">
        <f>IF(WFTracker[[#This Row],[Pre RM Opening Time]]&lt;WFTracker[[#This Row],[Old vs New Order Lead Time WF dead line]], "LATE BY ENG", "ON TIME BY ENG")</f>
        <v>LATE BY ENG</v>
      </c>
      <c r="AB394" s="37"/>
      <c r="AC394" s="15" t="str">
        <f>IF(WFTracker[[#This Row],[Competion Date Content]] = FALSE, "C", "i")</f>
        <v>C</v>
      </c>
      <c r="AD3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94" s="25" t="str">
        <f ca="1">IF(WFTracker[[#This Row],[Impact Time Post RM]]&gt;0, "IMPACTED", "NOT IMPACTED")</f>
        <v>IMPACTED</v>
      </c>
      <c r="AF394" s="15"/>
      <c r="AG394" s="18"/>
      <c r="AH394" s="14" t="str">
        <f>IF(WFTracker[[#This Row],[Status]]="C", "Closed", IF(WFTracker[[#This Row],[Status]] = "x", "Cancelled", WFTracker[[#This Row],[Impact Time Post RM]]))</f>
        <v>Closed</v>
      </c>
      <c r="AI394" s="14" t="str">
        <f ca="1">IF(WFTracker[[#This Row],[Impact Time Post RM]]&lt;=0,"ON TIME","LATE")</f>
        <v>LATE</v>
      </c>
      <c r="AJ394" s="14" t="s">
        <v>984</v>
      </c>
      <c r="AK394" s="14">
        <v>17</v>
      </c>
      <c r="AL394" s="915">
        <f>IF(WFTracker[[#This Row],[Type]]="MAKE", WFTracker[[#This Row],[Due date]]+Filters!$J$111, WFTracker[[#This Row],[Due date]]+Filters!$J$135)</f>
        <v>45943.415686274508</v>
      </c>
      <c r="AM394" s="102" cm="1">
        <f t="array" ref="AM39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5" spans="1:39" ht="15" customHeight="1">
      <c r="A395" t="str">
        <f>IF(WFTracker[[#This Row],[Order Number]]="SWBD", "QED2", "PZ4")</f>
        <v>PZ4</v>
      </c>
      <c r="B395" s="21" t="s">
        <v>538</v>
      </c>
      <c r="C395" s="35" t="s">
        <v>539</v>
      </c>
      <c r="D395" s="11" t="str">
        <f>WFTracker[[#This Row],[Order Number]]  &amp; "-" &amp; WFTracker[[#This Row],[Item]]</f>
        <v>0050839092-002030</v>
      </c>
      <c r="E395" s="23" t="s">
        <v>540</v>
      </c>
      <c r="F395" s="12">
        <v>45940</v>
      </c>
      <c r="G395" s="12"/>
      <c r="H395" s="11" t="s">
        <v>110</v>
      </c>
      <c r="I395" s="11" t="s">
        <v>37</v>
      </c>
      <c r="J395" s="55" t="s">
        <v>545</v>
      </c>
      <c r="K395" s="14" t="s">
        <v>1017</v>
      </c>
      <c r="L395" s="15" t="s">
        <v>40</v>
      </c>
      <c r="M395" s="29" t="s">
        <v>1120</v>
      </c>
      <c r="N395" s="56">
        <v>45971</v>
      </c>
      <c r="O395" s="15">
        <f>NETWORKDAYS.INTL(WFTracker[[#This Row],[Start date]],WFTracker[[#This Row],[RM]],1,Holidays!D178:D193)</f>
        <v>8</v>
      </c>
      <c r="P395" s="859">
        <v>45931</v>
      </c>
      <c r="Q395" s="859">
        <v>45943</v>
      </c>
      <c r="R395" s="12">
        <v>45939</v>
      </c>
      <c r="S395" s="12" t="b">
        <f>ISBLANK(WFTracker[[#This Row],[Completion Date]])</f>
        <v>0</v>
      </c>
      <c r="T395" s="27" t="str">
        <f>TEXT(WFTracker[[#This Row],[Start date]],"mmm-yyyy")</f>
        <v>Oct-2025</v>
      </c>
      <c r="U395">
        <v>10</v>
      </c>
      <c r="V395" s="11">
        <f>NETWORKDAYS.INTL(WFTracker[[#This Row],[Start date]],WFTracker[[#This Row],[Due date]],1,Holidays!D178:D193)</f>
        <v>9</v>
      </c>
      <c r="W3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395" s="24">
        <f ca="1">WFTracker[[#This Row],[Active Time]]-WFTracker[[#This Row],[Completion Days Template]]</f>
        <v>-2</v>
      </c>
      <c r="Y395" s="16" t="str">
        <f ca="1" xml:space="preserve"> IF(WFTracker[[#This Row],[Overdue Time '[Expected-Completion']]]&gt;0, "LATE","ON TIME")</f>
        <v>ON TIME</v>
      </c>
      <c r="Z395" s="16" t="str">
        <f ca="1">IF(WFTracker[[#This Row],[Overdue Time '[Expected-Completion']]] &gt;= 15, "SUPER LATE", Y395)</f>
        <v>ON TIME</v>
      </c>
      <c r="AA395" s="37" t="str">
        <f>IF(WFTracker[[#This Row],[Pre RM Opening Time]]&lt;WFTracker[[#This Row],[Old vs New Order Lead Time WF dead line]], "LATE BY ENG", "ON TIME BY ENG")</f>
        <v>LATE BY ENG</v>
      </c>
      <c r="AB395" s="37"/>
      <c r="AC395" s="15" t="str">
        <f>IF(WFTracker[[#This Row],[Competion Date Content]] = FALSE, "C", "i")</f>
        <v>C</v>
      </c>
      <c r="AD3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395" s="25" t="str">
        <f ca="1">IF(WFTracker[[#This Row],[Impact Time Post RM]]&gt;0, "IMPACTED", "NOT IMPACTED")</f>
        <v>NOT IMPACTED</v>
      </c>
      <c r="AF395" s="15"/>
      <c r="AG395" s="18"/>
      <c r="AH395" s="14" t="str">
        <f>IF(WFTracker[[#This Row],[Status]]="C", "Closed", IF(WFTracker[[#This Row],[Status]] = "x", "Cancelled", WFTracker[[#This Row],[Impact Time Post RM]]))</f>
        <v>Closed</v>
      </c>
      <c r="AI395" s="14" t="str">
        <f ca="1">IF(WFTracker[[#This Row],[Impact Time Post RM]]&lt;=0,"ON TIME","LATE")</f>
        <v>ON TIME</v>
      </c>
      <c r="AJ395" s="14" t="s">
        <v>984</v>
      </c>
      <c r="AK395" s="14">
        <v>17</v>
      </c>
      <c r="AL395" s="915">
        <f>IF(WFTracker[[#This Row],[Type]]="MAKE", WFTracker[[#This Row],[Due date]]+Filters!$J$111, WFTracker[[#This Row],[Due date]]+Filters!$J$135)</f>
        <v>45943.415686274508</v>
      </c>
      <c r="AM395" s="102" cm="1">
        <f t="array" ref="AM3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6" spans="1:39" ht="15" customHeight="1">
      <c r="A396" t="str">
        <f>IF(WFTracker[[#This Row],[Order Number]]="SWBD", "QED2", "PZ4")</f>
        <v>PZ4</v>
      </c>
      <c r="B396" s="21" t="s">
        <v>530</v>
      </c>
      <c r="C396" s="21" t="s">
        <v>135</v>
      </c>
      <c r="D396" s="11" t="str">
        <f>WFTracker[[#This Row],[Order Number]]  &amp; "-" &amp; WFTracker[[#This Row],[Item]]</f>
        <v>0051378342-000010</v>
      </c>
      <c r="E396" s="23" t="s">
        <v>532</v>
      </c>
      <c r="F396" s="12">
        <v>45957</v>
      </c>
      <c r="G396" s="12"/>
      <c r="H396" s="11" t="s">
        <v>104</v>
      </c>
      <c r="I396" s="11" t="s">
        <v>111</v>
      </c>
      <c r="J396" s="55" t="s">
        <v>534</v>
      </c>
      <c r="K396" s="14" t="s">
        <v>1017</v>
      </c>
      <c r="L396" s="15" t="s">
        <v>27</v>
      </c>
      <c r="M396" s="29" t="s">
        <v>1120</v>
      </c>
      <c r="N396" s="57">
        <v>46114</v>
      </c>
      <c r="O396" s="15">
        <f>NETWORKDAYS.INTL(WFTracker[[#This Row],[Start date]],WFTracker[[#This Row],[RM]],1,Holidays!D459:D474)</f>
        <v>19</v>
      </c>
      <c r="P396" s="12">
        <v>45931</v>
      </c>
      <c r="Q396" s="12">
        <v>45938</v>
      </c>
      <c r="R396" s="12">
        <v>45944</v>
      </c>
      <c r="S396" s="12" t="b">
        <f>ISBLANK(WFTracker[[#This Row],[Completion Date]])</f>
        <v>0</v>
      </c>
      <c r="T396" s="27" t="str">
        <f>TEXT(WFTracker[[#This Row],[Start date]],"mmm-yyyy")</f>
        <v>Oct-2025</v>
      </c>
      <c r="U396">
        <v>10</v>
      </c>
      <c r="V396" s="11">
        <f>NETWORKDAYS.INTL(WFTracker[[#This Row],[Start date]],WFTracker[[#This Row],[Due date]],1,Holidays!D459:D474)</f>
        <v>6</v>
      </c>
      <c r="W3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96" s="24">
        <f ca="1">WFTracker[[#This Row],[Active Time]]-WFTracker[[#This Row],[Completion Days Template]]</f>
        <v>4</v>
      </c>
      <c r="Y396" s="16" t="str">
        <f ca="1" xml:space="preserve"> IF(WFTracker[[#This Row],[Overdue Time '[Expected-Completion']]]&gt;0, "LATE","ON TIME")</f>
        <v>LATE</v>
      </c>
      <c r="Z396" s="16" t="str">
        <f ca="1">IF(WFTracker[[#This Row],[Overdue Time '[Expected-Completion']]] &gt;= 15, "SUPER LATE", Y396)</f>
        <v>LATE</v>
      </c>
      <c r="AA396" s="37" t="str">
        <f>IF(WFTracker[[#This Row],[Pre RM Opening Time]]&lt;WFTracker[[#This Row],[Old vs New Order Lead Time WF dead line]], "LATE BY ENG", "ON TIME BY ENG")</f>
        <v>ON TIME BY ENG</v>
      </c>
      <c r="AB396" s="37"/>
      <c r="AC396" s="15" t="str">
        <f>IF(WFTracker[[#This Row],[Competion Date Content]] = FALSE, "C", "i")</f>
        <v>C</v>
      </c>
      <c r="AD3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396" s="37" t="str">
        <f ca="1">IF(WFTracker[[#This Row],[Impact Time Post RM]]&gt;0, "IMPACTED", "NOT IMPACTED")</f>
        <v>NOT IMPACTED</v>
      </c>
      <c r="AF396" s="15"/>
      <c r="AG396" s="18"/>
      <c r="AH396" s="14" t="str">
        <f>IF(WFTracker[[#This Row],[Status]]="C", "Closed", IF(WFTracker[[#This Row],[Status]] = "x", "Cancelled", WFTracker[[#This Row],[Impact Time Post RM]]))</f>
        <v>Closed</v>
      </c>
      <c r="AI396" s="14" t="str">
        <f ca="1">IF(WFTracker[[#This Row],[Impact Time Post RM]]&lt;=0,"ON TIME","LATE")</f>
        <v>ON TIME</v>
      </c>
      <c r="AJ396" s="14" t="s">
        <v>984</v>
      </c>
      <c r="AK396" s="14">
        <v>18</v>
      </c>
      <c r="AL396" s="915">
        <f>IF(WFTracker[[#This Row],[Type]]="MAKE", WFTracker[[#This Row],[Due date]]+Filters!$J$111, WFTracker[[#This Row],[Due date]]+Filters!$J$135)</f>
        <v>45941.072512647552</v>
      </c>
      <c r="AM396" s="101" cm="1">
        <f t="array" ref="AM3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7" spans="1:39" ht="15" customHeight="1">
      <c r="A397" t="str">
        <f>IF(WFTracker[[#This Row],[Order Number]]="SWBD", "QED2", "PZ4")</f>
        <v>PZ4</v>
      </c>
      <c r="B397" s="21" t="s">
        <v>538</v>
      </c>
      <c r="C397" s="35" t="s">
        <v>539</v>
      </c>
      <c r="D397" s="11" t="str">
        <f>WFTracker[[#This Row],[Order Number]]  &amp; "-" &amp; WFTracker[[#This Row],[Item]]</f>
        <v>0050839092-002030</v>
      </c>
      <c r="E397" s="23" t="s">
        <v>540</v>
      </c>
      <c r="F397" s="12">
        <v>45940</v>
      </c>
      <c r="G397" s="12"/>
      <c r="H397" s="11" t="s">
        <v>110</v>
      </c>
      <c r="I397" s="11" t="s">
        <v>37</v>
      </c>
      <c r="J397" s="55" t="s">
        <v>543</v>
      </c>
      <c r="K397" s="14" t="s">
        <v>1017</v>
      </c>
      <c r="L397" s="15" t="s">
        <v>27</v>
      </c>
      <c r="M397" s="29" t="s">
        <v>1120</v>
      </c>
      <c r="N397" s="57">
        <v>45971</v>
      </c>
      <c r="O397" s="15">
        <f>NETWORKDAYS.INTL(WFTracker[[#This Row],[Start date]],WFTracker[[#This Row],[RM]],1,Holidays!D146:D161)</f>
        <v>7</v>
      </c>
      <c r="P397" s="12">
        <v>45932</v>
      </c>
      <c r="Q397" s="12">
        <v>45939</v>
      </c>
      <c r="R397" s="12">
        <v>45937</v>
      </c>
      <c r="S397" s="12" t="b">
        <f>ISBLANK(WFTracker[[#This Row],[Completion Date]])</f>
        <v>0</v>
      </c>
      <c r="T397" s="27" t="str">
        <f>TEXT(WFTracker[[#This Row],[Start date]],"mmm-yyyy")</f>
        <v>Oct-2025</v>
      </c>
      <c r="U397">
        <v>10</v>
      </c>
      <c r="V397" s="11">
        <f>NETWORKDAYS.INTL(WFTracker[[#This Row],[Start date]],WFTracker[[#This Row],[Due date]],1,Holidays!D146:D161)</f>
        <v>6</v>
      </c>
      <c r="W3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397" s="24">
        <f ca="1">WFTracker[[#This Row],[Active Time]]-WFTracker[[#This Row],[Completion Days Template]]</f>
        <v>-2</v>
      </c>
      <c r="Y397" s="16" t="str">
        <f ca="1" xml:space="preserve"> IF(WFTracker[[#This Row],[Overdue Time '[Expected-Completion']]]&gt;0, "LATE","ON TIME")</f>
        <v>ON TIME</v>
      </c>
      <c r="Z397" s="16" t="str">
        <f ca="1">IF(WFTracker[[#This Row],[Overdue Time '[Expected-Completion']]] &gt;= 15, "SUPER LATE", Y397)</f>
        <v>ON TIME</v>
      </c>
      <c r="AA397" s="37" t="str">
        <f>IF(WFTracker[[#This Row],[Pre RM Opening Time]]&lt;WFTracker[[#This Row],[Old vs New Order Lead Time WF dead line]], "LATE BY ENG", "ON TIME BY ENG")</f>
        <v>LATE BY ENG</v>
      </c>
      <c r="AB397" s="37"/>
      <c r="AC397" s="15" t="str">
        <f>IF(WFTracker[[#This Row],[Competion Date Content]] = FALSE, "C", "i")</f>
        <v>C</v>
      </c>
      <c r="AD3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397" s="37" t="str">
        <f ca="1">IF(WFTracker[[#This Row],[Impact Time Post RM]]&gt;0, "IMPACTED", "NOT IMPACTED")</f>
        <v>NOT IMPACTED</v>
      </c>
      <c r="AF397" s="15"/>
      <c r="AG397" s="18"/>
      <c r="AH397" s="14" t="str">
        <f>IF(WFTracker[[#This Row],[Status]]="C", "Closed", IF(WFTracker[[#This Row],[Status]] = "x", "Cancelled", WFTracker[[#This Row],[Impact Time Post RM]]))</f>
        <v>Closed</v>
      </c>
      <c r="AI397" s="14" t="str">
        <f ca="1">IF(WFTracker[[#This Row],[Impact Time Post RM]]&lt;=0,"ON TIME","LATE")</f>
        <v>ON TIME</v>
      </c>
      <c r="AJ397" s="14" t="s">
        <v>984</v>
      </c>
      <c r="AK397" s="14">
        <v>18</v>
      </c>
      <c r="AL397" s="915">
        <f>IF(WFTracker[[#This Row],[Type]]="MAKE", WFTracker[[#This Row],[Due date]]+Filters!$J$111, WFTracker[[#This Row],[Due date]]+Filters!$J$135)</f>
        <v>45942.072512647552</v>
      </c>
      <c r="AM397" s="102" cm="1">
        <f t="array" ref="AM3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8" spans="1:39" ht="15" customHeight="1">
      <c r="A398" t="str">
        <f>IF(WFTracker[[#This Row],[Order Number]]="SWBD", "QED2", "PZ4")</f>
        <v>PZ4</v>
      </c>
      <c r="B398" s="21" t="s">
        <v>403</v>
      </c>
      <c r="C398" s="21" t="s">
        <v>68</v>
      </c>
      <c r="D398" s="11" t="str">
        <f>WFTracker[[#This Row],[Order Number]]  &amp; "-" &amp; WFTracker[[#This Row],[Item]]</f>
        <v>0050442535-000170</v>
      </c>
      <c r="E398" s="23" t="s">
        <v>1040</v>
      </c>
      <c r="F398" s="12">
        <v>45945</v>
      </c>
      <c r="G398" s="12"/>
      <c r="H398" s="11" t="s">
        <v>676</v>
      </c>
      <c r="I398" s="11" t="s">
        <v>264</v>
      </c>
      <c r="J398" s="55" t="s">
        <v>567</v>
      </c>
      <c r="K398" s="14" t="s">
        <v>1017</v>
      </c>
      <c r="L398" s="15" t="s">
        <v>27</v>
      </c>
      <c r="M398" s="29" t="s">
        <v>1120</v>
      </c>
      <c r="N398" s="57">
        <v>46035</v>
      </c>
      <c r="O398" s="15">
        <f>NETWORKDAYS.INTL(WFTracker[[#This Row],[Start date]],WFTracker[[#This Row],[RM]],1,Holidays!D234:D249)</f>
        <v>10</v>
      </c>
      <c r="P398" s="12">
        <v>45932</v>
      </c>
      <c r="Q398" s="12">
        <v>45939</v>
      </c>
      <c r="R398" s="12">
        <v>45945</v>
      </c>
      <c r="S398" s="12" t="b">
        <f>ISBLANK(WFTracker[[#This Row],[Completion Date]])</f>
        <v>0</v>
      </c>
      <c r="T398" s="27" t="str">
        <f>TEXT(WFTracker[[#This Row],[Start date]],"mmm-yyyy")</f>
        <v>Oct-2025</v>
      </c>
      <c r="U398">
        <v>10</v>
      </c>
      <c r="V398" s="11">
        <f>NETWORKDAYS.INTL(WFTracker[[#This Row],[Start date]],WFTracker[[#This Row],[Due date]],1,Holidays!D234:D249)</f>
        <v>6</v>
      </c>
      <c r="W3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398" s="24">
        <f ca="1">WFTracker[[#This Row],[Active Time]]-WFTracker[[#This Row],[Completion Days Template]]</f>
        <v>4</v>
      </c>
      <c r="Y398" s="16" t="str">
        <f ca="1" xml:space="preserve"> IF(WFTracker[[#This Row],[Overdue Time '[Expected-Completion']]]&gt;0, "LATE","ON TIME")</f>
        <v>LATE</v>
      </c>
      <c r="Z398" s="16" t="str">
        <f ca="1">IF(WFTracker[[#This Row],[Overdue Time '[Expected-Completion']]] &gt;= 15, "SUPER LATE", Y398)</f>
        <v>LATE</v>
      </c>
      <c r="AA398" s="37" t="str">
        <f>IF(WFTracker[[#This Row],[Pre RM Opening Time]]&lt;WFTracker[[#This Row],[Old vs New Order Lead Time WF dead line]], "LATE BY ENG", "ON TIME BY ENG")</f>
        <v>ON TIME BY ENG</v>
      </c>
      <c r="AB398" s="37"/>
      <c r="AC398" s="15" t="str">
        <f>IF(WFTracker[[#This Row],[Competion Date Content]] = FALSE, "C", "i")</f>
        <v>C</v>
      </c>
      <c r="AD3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398" s="37" t="str">
        <f ca="1">IF(WFTracker[[#This Row],[Impact Time Post RM]]&gt;0, "IMPACTED", "NOT IMPACTED")</f>
        <v>IMPACTED</v>
      </c>
      <c r="AF398" s="15"/>
      <c r="AG398" s="18"/>
      <c r="AH398" s="14" t="str">
        <f>IF(WFTracker[[#This Row],[Status]]="C", "Closed", IF(WFTracker[[#This Row],[Status]] = "x", "Cancelled", WFTracker[[#This Row],[Impact Time Post RM]]))</f>
        <v>Closed</v>
      </c>
      <c r="AI398" s="14" t="str">
        <f ca="1">IF(WFTracker[[#This Row],[Impact Time Post RM]]&lt;=0,"ON TIME","LATE")</f>
        <v>LATE</v>
      </c>
      <c r="AJ398" s="14" t="s">
        <v>984</v>
      </c>
      <c r="AK398" s="14">
        <v>18</v>
      </c>
      <c r="AL398" s="915">
        <f>IF(WFTracker[[#This Row],[Type]]="MAKE", WFTracker[[#This Row],[Due date]]+Filters!$J$111, WFTracker[[#This Row],[Due date]]+Filters!$J$135)</f>
        <v>45942.072512647552</v>
      </c>
      <c r="AM398" s="101" cm="1">
        <f t="array" ref="AM39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399" spans="1:39" ht="15" customHeight="1">
      <c r="A399" t="str">
        <f>IF(WFTracker[[#This Row],[Order Number]]="SWBD", "QED2", "PZ4")</f>
        <v>PZ4</v>
      </c>
      <c r="B399" s="21" t="s">
        <v>550</v>
      </c>
      <c r="C399" s="1001" t="s">
        <v>1298</v>
      </c>
      <c r="D399" s="11" t="str">
        <f>WFTracker[[#This Row],[Order Number]]  &amp; "-" &amp; WFTracker[[#This Row],[Item]]</f>
        <v>0051576246-000020&amp;30&amp;40&amp;50&amp;60</v>
      </c>
      <c r="E399" s="23" t="s">
        <v>551</v>
      </c>
      <c r="F399" s="12">
        <v>45954</v>
      </c>
      <c r="G399" s="12"/>
      <c r="H399" s="11" t="s">
        <v>80</v>
      </c>
      <c r="I399" s="11" t="s">
        <v>1154</v>
      </c>
      <c r="J399" s="55" t="s">
        <v>552</v>
      </c>
      <c r="K399" s="14" t="s">
        <v>1017</v>
      </c>
      <c r="L399" s="15" t="s">
        <v>27</v>
      </c>
      <c r="M399" s="29" t="s">
        <v>1120</v>
      </c>
      <c r="N399" s="57">
        <v>46052</v>
      </c>
      <c r="O399" s="15">
        <f>NETWORKDAYS.INTL(WFTracker[[#This Row],[Start date]],WFTracker[[#This Row],[RM]],1,Holidays!D401:D416)</f>
        <v>17</v>
      </c>
      <c r="P399" s="12">
        <v>45932</v>
      </c>
      <c r="Q399" s="12">
        <v>45939</v>
      </c>
      <c r="R399" s="12">
        <v>45951</v>
      </c>
      <c r="S399" s="12" t="b">
        <f>ISBLANK(WFTracker[[#This Row],[Completion Date]])</f>
        <v>0</v>
      </c>
      <c r="T399" s="27" t="str">
        <f>TEXT(WFTracker[[#This Row],[Start date]],"mmm-yyyy")</f>
        <v>Oct-2025</v>
      </c>
      <c r="U399">
        <v>10</v>
      </c>
      <c r="V399" s="11">
        <f>NETWORKDAYS.INTL(WFTracker[[#This Row],[Start date]],WFTracker[[#This Row],[Due date]],1,Holidays!D401:D416)</f>
        <v>6</v>
      </c>
      <c r="W3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399" s="24">
        <f ca="1">WFTracker[[#This Row],[Active Time]]-WFTracker[[#This Row],[Completion Days Template]]</f>
        <v>8</v>
      </c>
      <c r="Y399" s="16" t="str">
        <f ca="1" xml:space="preserve"> IF(WFTracker[[#This Row],[Overdue Time '[Expected-Completion']]]&gt;0, "LATE","ON TIME")</f>
        <v>LATE</v>
      </c>
      <c r="Z399" s="16" t="str">
        <f ca="1">IF(WFTracker[[#This Row],[Overdue Time '[Expected-Completion']]] &gt;= 15, "SUPER LATE", Y399)</f>
        <v>LATE</v>
      </c>
      <c r="AA399" s="37" t="str">
        <f>IF(WFTracker[[#This Row],[Pre RM Opening Time]]&lt;WFTracker[[#This Row],[Old vs New Order Lead Time WF dead line]], "LATE BY ENG", "ON TIME BY ENG")</f>
        <v>ON TIME BY ENG</v>
      </c>
      <c r="AB399" s="37"/>
      <c r="AC399" s="15" t="str">
        <f>IF(WFTracker[[#This Row],[Competion Date Content]] = FALSE, "C", "i")</f>
        <v>C</v>
      </c>
      <c r="AD3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399" s="37" t="str">
        <f ca="1">IF(WFTracker[[#This Row],[Impact Time Post RM]]&gt;0, "IMPACTED", "NOT IMPACTED")</f>
        <v>NOT IMPACTED</v>
      </c>
      <c r="AF399" s="15"/>
      <c r="AG399" s="18"/>
      <c r="AH399" s="14" t="str">
        <f>IF(WFTracker[[#This Row],[Status]]="C", "Closed", IF(WFTracker[[#This Row],[Status]] = "x", "Cancelled", WFTracker[[#This Row],[Impact Time Post RM]]))</f>
        <v>Closed</v>
      </c>
      <c r="AI399" s="14" t="str">
        <f ca="1">IF(WFTracker[[#This Row],[Impact Time Post RM]]&lt;=0,"ON TIME","LATE")</f>
        <v>ON TIME</v>
      </c>
      <c r="AJ399" s="14" t="s">
        <v>984</v>
      </c>
      <c r="AK399" s="14">
        <v>18</v>
      </c>
      <c r="AL399" s="915">
        <f>IF(WFTracker[[#This Row],[Type]]="MAKE", WFTracker[[#This Row],[Due date]]+Filters!$J$111, WFTracker[[#This Row],[Due date]]+Filters!$J$135)</f>
        <v>45942.072512647552</v>
      </c>
      <c r="AM399" s="101" cm="1">
        <f t="array" ref="AM3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0" spans="1:39" ht="15" customHeight="1">
      <c r="A400" t="str">
        <f>IF(WFTracker[[#This Row],[Order Number]]="SWBD", "QED2", "PZ4")</f>
        <v>PZ4</v>
      </c>
      <c r="B400" s="21" t="s">
        <v>550</v>
      </c>
      <c r="C400" s="1001" t="s">
        <v>1298</v>
      </c>
      <c r="D400" s="11" t="str">
        <f>WFTracker[[#This Row],[Order Number]]  &amp; "-" &amp; WFTracker[[#This Row],[Item]]</f>
        <v>0051576246-000020&amp;30&amp;40&amp;50&amp;60</v>
      </c>
      <c r="E400" s="23" t="s">
        <v>551</v>
      </c>
      <c r="F400" s="12">
        <v>45954</v>
      </c>
      <c r="G400" s="12"/>
      <c r="H400" s="11" t="s">
        <v>80</v>
      </c>
      <c r="I400" s="11" t="s">
        <v>1154</v>
      </c>
      <c r="J400" s="55" t="s">
        <v>554</v>
      </c>
      <c r="K400" s="14" t="s">
        <v>1017</v>
      </c>
      <c r="L400" s="15" t="s">
        <v>27</v>
      </c>
      <c r="M400" s="29" t="s">
        <v>1120</v>
      </c>
      <c r="N400" s="57">
        <v>46052</v>
      </c>
      <c r="O400" s="15">
        <f>NETWORKDAYS.INTL(WFTracker[[#This Row],[Start date]],WFTracker[[#This Row],[RM]],1,Holidays!D402:D417)</f>
        <v>17</v>
      </c>
      <c r="P400" s="12">
        <v>45932</v>
      </c>
      <c r="Q400" s="12">
        <v>45939</v>
      </c>
      <c r="R400" s="12">
        <v>45951</v>
      </c>
      <c r="S400" s="12" t="b">
        <f>ISBLANK(WFTracker[[#This Row],[Completion Date]])</f>
        <v>0</v>
      </c>
      <c r="T400" s="27" t="str">
        <f>TEXT(WFTracker[[#This Row],[Start date]],"mmm-yyyy")</f>
        <v>Oct-2025</v>
      </c>
      <c r="U400">
        <v>10</v>
      </c>
      <c r="V400" s="11">
        <f>NETWORKDAYS.INTL(WFTracker[[#This Row],[Start date]],WFTracker[[#This Row],[Due date]],1,Holidays!D402:D417)</f>
        <v>6</v>
      </c>
      <c r="W4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400" s="24">
        <f ca="1">WFTracker[[#This Row],[Active Time]]-WFTracker[[#This Row],[Completion Days Template]]</f>
        <v>8</v>
      </c>
      <c r="Y400" s="16" t="str">
        <f ca="1" xml:space="preserve"> IF(WFTracker[[#This Row],[Overdue Time '[Expected-Completion']]]&gt;0, "LATE","ON TIME")</f>
        <v>LATE</v>
      </c>
      <c r="Z400" s="16" t="str">
        <f ca="1">IF(WFTracker[[#This Row],[Overdue Time '[Expected-Completion']]] &gt;= 15, "SUPER LATE", Y400)</f>
        <v>LATE</v>
      </c>
      <c r="AA400" s="37" t="str">
        <f>IF(WFTracker[[#This Row],[Pre RM Opening Time]]&lt;WFTracker[[#This Row],[Old vs New Order Lead Time WF dead line]], "LATE BY ENG", "ON TIME BY ENG")</f>
        <v>ON TIME BY ENG</v>
      </c>
      <c r="AB400" s="37"/>
      <c r="AC400" s="15" t="str">
        <f>IF(WFTracker[[#This Row],[Competion Date Content]] = FALSE, "C", "i")</f>
        <v>C</v>
      </c>
      <c r="AD4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400" s="37" t="str">
        <f ca="1">IF(WFTracker[[#This Row],[Impact Time Post RM]]&gt;0, "IMPACTED", "NOT IMPACTED")</f>
        <v>NOT IMPACTED</v>
      </c>
      <c r="AF400" s="15"/>
      <c r="AG400" s="18"/>
      <c r="AH400" s="14" t="str">
        <f>IF(WFTracker[[#This Row],[Status]]="C", "Closed", IF(WFTracker[[#This Row],[Status]] = "x", "Cancelled", WFTracker[[#This Row],[Impact Time Post RM]]))</f>
        <v>Closed</v>
      </c>
      <c r="AI400" s="14" t="str">
        <f ca="1">IF(WFTracker[[#This Row],[Impact Time Post RM]]&lt;=0,"ON TIME","LATE")</f>
        <v>ON TIME</v>
      </c>
      <c r="AJ400" s="14" t="s">
        <v>984</v>
      </c>
      <c r="AK400" s="14">
        <v>18</v>
      </c>
      <c r="AL400" s="915">
        <f>IF(WFTracker[[#This Row],[Type]]="MAKE", WFTracker[[#This Row],[Due date]]+Filters!$J$111, WFTracker[[#This Row],[Due date]]+Filters!$J$135)</f>
        <v>45942.072512647552</v>
      </c>
      <c r="AM400" s="101" cm="1">
        <f t="array" ref="AM4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1" spans="1:39" ht="15" customHeight="1">
      <c r="A401" t="str">
        <f>IF(WFTracker[[#This Row],[Order Number]]="SWBD", "QED2", "PZ4")</f>
        <v>PZ4</v>
      </c>
      <c r="B401" s="21" t="s">
        <v>550</v>
      </c>
      <c r="C401" s="1001" t="s">
        <v>1298</v>
      </c>
      <c r="D401" s="11" t="str">
        <f>WFTracker[[#This Row],[Order Number]]  &amp; "-" &amp; WFTracker[[#This Row],[Item]]</f>
        <v>0051576246-000020&amp;30&amp;40&amp;50&amp;60</v>
      </c>
      <c r="E401" s="23" t="s">
        <v>551</v>
      </c>
      <c r="F401" s="12">
        <v>45954</v>
      </c>
      <c r="G401" s="12"/>
      <c r="H401" s="11" t="s">
        <v>80</v>
      </c>
      <c r="I401" s="11" t="s">
        <v>1154</v>
      </c>
      <c r="J401" s="55" t="s">
        <v>553</v>
      </c>
      <c r="K401" s="14" t="s">
        <v>1017</v>
      </c>
      <c r="L401" s="15" t="s">
        <v>40</v>
      </c>
      <c r="M401" s="29" t="s">
        <v>1120</v>
      </c>
      <c r="N401" s="57">
        <v>46052</v>
      </c>
      <c r="O401" s="15">
        <f>NETWORKDAYS.INTL(WFTracker[[#This Row],[Start date]],WFTracker[[#This Row],[RM]],1,Holidays!D403:D418)</f>
        <v>17</v>
      </c>
      <c r="P401" s="12">
        <v>45932</v>
      </c>
      <c r="Q401" s="12">
        <v>45944</v>
      </c>
      <c r="R401" s="12">
        <v>45943</v>
      </c>
      <c r="S401" s="12" t="b">
        <f>ISBLANK(WFTracker[[#This Row],[Completion Date]])</f>
        <v>0</v>
      </c>
      <c r="T401" s="27" t="str">
        <f>TEXT(WFTracker[[#This Row],[Start date]],"mmm-yyyy")</f>
        <v>Oct-2025</v>
      </c>
      <c r="U401">
        <v>10</v>
      </c>
      <c r="V401" s="11">
        <f>NETWORKDAYS.INTL(WFTracker[[#This Row],[Start date]],WFTracker[[#This Row],[Due date]],1,Holidays!D403:D418)</f>
        <v>9</v>
      </c>
      <c r="W4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01" s="24">
        <f ca="1">WFTracker[[#This Row],[Active Time]]-WFTracker[[#This Row],[Completion Days Template]]</f>
        <v>-1</v>
      </c>
      <c r="Y401" s="16" t="str">
        <f ca="1" xml:space="preserve"> IF(WFTracker[[#This Row],[Overdue Time '[Expected-Completion']]]&gt;0, "LATE","ON TIME")</f>
        <v>ON TIME</v>
      </c>
      <c r="Z401" s="16" t="str">
        <f ca="1">IF(WFTracker[[#This Row],[Overdue Time '[Expected-Completion']]] &gt;= 15, "SUPER LATE", Y401)</f>
        <v>ON TIME</v>
      </c>
      <c r="AA401" s="37" t="str">
        <f>IF(WFTracker[[#This Row],[Pre RM Opening Time]]&lt;WFTracker[[#This Row],[Old vs New Order Lead Time WF dead line]], "LATE BY ENG", "ON TIME BY ENG")</f>
        <v>ON TIME BY ENG</v>
      </c>
      <c r="AB401" s="37"/>
      <c r="AC401" s="15" t="str">
        <f>IF(WFTracker[[#This Row],[Competion Date Content]] = FALSE, "C", "i")</f>
        <v>C</v>
      </c>
      <c r="AD4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401" s="25" t="str">
        <f ca="1">IF(WFTracker[[#This Row],[Impact Time Post RM]]&gt;0, "IMPACTED", "NOT IMPACTED")</f>
        <v>NOT IMPACTED</v>
      </c>
      <c r="AF401" s="15"/>
      <c r="AG401" s="18"/>
      <c r="AH401" s="14" t="str">
        <f>IF(WFTracker[[#This Row],[Status]]="C", "Closed", IF(WFTracker[[#This Row],[Status]] = "x", "Cancelled", WFTracker[[#This Row],[Impact Time Post RM]]))</f>
        <v>Closed</v>
      </c>
      <c r="AI401" s="14" t="str">
        <f ca="1">IF(WFTracker[[#This Row],[Impact Time Post RM]]&lt;=0,"ON TIME","LATE")</f>
        <v>ON TIME</v>
      </c>
      <c r="AJ401" s="14" t="s">
        <v>984</v>
      </c>
      <c r="AK401" s="14">
        <v>17</v>
      </c>
      <c r="AL401" s="915">
        <f>IF(WFTracker[[#This Row],[Type]]="MAKE", WFTracker[[#This Row],[Due date]]+Filters!$J$111, WFTracker[[#This Row],[Due date]]+Filters!$J$135)</f>
        <v>45944.415686274508</v>
      </c>
      <c r="AM401" s="102" cm="1">
        <f t="array" ref="AM4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2" spans="1:39" ht="15" customHeight="1">
      <c r="A402" t="str">
        <f>IF(WFTracker[[#This Row],[Order Number]]="SWBD", "QED2", "PZ4")</f>
        <v>PZ4</v>
      </c>
      <c r="B402" s="21" t="s">
        <v>530</v>
      </c>
      <c r="C402" s="21" t="s">
        <v>135</v>
      </c>
      <c r="D402" s="11" t="str">
        <f>WFTracker[[#This Row],[Order Number]]  &amp; "-" &amp; WFTracker[[#This Row],[Item]]</f>
        <v>0051378342-000010</v>
      </c>
      <c r="E402" s="21" t="s">
        <v>532</v>
      </c>
      <c r="F402" s="12">
        <v>45957</v>
      </c>
      <c r="G402" s="12"/>
      <c r="H402" s="11" t="s">
        <v>104</v>
      </c>
      <c r="I402" s="11" t="s">
        <v>111</v>
      </c>
      <c r="J402" s="55" t="s">
        <v>1327</v>
      </c>
      <c r="K402" s="14" t="s">
        <v>1017</v>
      </c>
      <c r="L402" s="15" t="s">
        <v>27</v>
      </c>
      <c r="M402" s="29" t="s">
        <v>1123</v>
      </c>
      <c r="N402" s="57">
        <v>46114</v>
      </c>
      <c r="O402" s="15">
        <f>NETWORKDAYS.INTL(WFTracker[[#This Row],[Start date]],WFTracker[[#This Row],[RM]],1,Holidays!D438:D453)</f>
        <v>18</v>
      </c>
      <c r="P402" s="12">
        <v>45932</v>
      </c>
      <c r="Q402" s="12">
        <v>45939</v>
      </c>
      <c r="R402" s="12">
        <v>45954</v>
      </c>
      <c r="S402" s="12" t="b">
        <f>ISBLANK(WFTracker[[#This Row],[Completion Date]])</f>
        <v>0</v>
      </c>
      <c r="T402" s="27" t="str">
        <f>TEXT(WFTracker[[#This Row],[Start date]],"mmm-yyyy")</f>
        <v>Oct-2025</v>
      </c>
      <c r="U402">
        <v>10</v>
      </c>
      <c r="V402" s="11">
        <f>NETWORKDAYS.INTL(WFTracker[[#This Row],[Start date]],WFTracker[[#This Row],[Due date]],1,Holidays!D438:D453)</f>
        <v>6</v>
      </c>
      <c r="W4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402" s="24">
        <f ca="1">WFTracker[[#This Row],[Active Time]]-WFTracker[[#This Row],[Completion Days Template]]</f>
        <v>11</v>
      </c>
      <c r="Y402" s="16" t="str">
        <f ca="1" xml:space="preserve"> IF(WFTracker[[#This Row],[Overdue Time '[Expected-Completion']]]&gt;0, "LATE","ON TIME")</f>
        <v>LATE</v>
      </c>
      <c r="Z402" s="16" t="str">
        <f ca="1">IF(WFTracker[[#This Row],[Overdue Time '[Expected-Completion']]] &gt;= 15, "SUPER LATE", Y402)</f>
        <v>LATE</v>
      </c>
      <c r="AA402" s="37" t="str">
        <f>IF(WFTracker[[#This Row],[Pre RM Opening Time]]&lt;WFTracker[[#This Row],[Old vs New Order Lead Time WF dead line]], "LATE BY ENG", "ON TIME BY ENG")</f>
        <v>ON TIME BY ENG</v>
      </c>
      <c r="AB402" s="37"/>
      <c r="AC402" s="15" t="str">
        <f>IF(WFTracker[[#This Row],[Competion Date Content]] = FALSE, "C", "i")</f>
        <v>C</v>
      </c>
      <c r="AD4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02" s="37" t="str">
        <f ca="1">IF(WFTracker[[#This Row],[Impact Time Post RM]]&gt;0, "IMPACTED", "NOT IMPACTED")</f>
        <v>NOT IMPACTED</v>
      </c>
      <c r="AF402" s="15"/>
      <c r="AG402" s="18"/>
      <c r="AH402" s="14" t="str">
        <f>IF(WFTracker[[#This Row],[Status]]="C", "Closed", IF(WFTracker[[#This Row],[Status]] = "x", "Cancelled", WFTracker[[#This Row],[Impact Time Post RM]]))</f>
        <v>Closed</v>
      </c>
      <c r="AI402" s="14" t="str">
        <f ca="1">IF(WFTracker[[#This Row],[Impact Time Post RM]]&lt;=0,"ON TIME","LATE")</f>
        <v>ON TIME</v>
      </c>
      <c r="AJ402" s="14" t="s">
        <v>984</v>
      </c>
      <c r="AK402" s="14">
        <v>18</v>
      </c>
      <c r="AL402" s="915">
        <f>IF(WFTracker[[#This Row],[Type]]="MAKE", WFTracker[[#This Row],[Due date]]+Filters!$J$111, WFTracker[[#This Row],[Due date]]+Filters!$J$135)</f>
        <v>45942.072512647552</v>
      </c>
      <c r="AM402" s="101" cm="1">
        <f t="array" ref="AM4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3" spans="1:39" ht="15" customHeight="1">
      <c r="A403" t="str">
        <f>IF(WFTracker[[#This Row],[Order Number]]="SWBD", "QED2", "PZ4")</f>
        <v>PZ4</v>
      </c>
      <c r="B403" s="21" t="s">
        <v>538</v>
      </c>
      <c r="C403" s="35" t="s">
        <v>539</v>
      </c>
      <c r="D403" s="11" t="str">
        <f>WFTracker[[#This Row],[Order Number]]  &amp; "-" &amp; WFTracker[[#This Row],[Item]]</f>
        <v>0050839092-002030</v>
      </c>
      <c r="E403" s="21" t="s">
        <v>540</v>
      </c>
      <c r="F403" s="12">
        <v>45940</v>
      </c>
      <c r="G403" s="12"/>
      <c r="H403" s="11" t="s">
        <v>110</v>
      </c>
      <c r="I403" s="11" t="s">
        <v>37</v>
      </c>
      <c r="J403" s="55" t="s">
        <v>541</v>
      </c>
      <c r="K403" s="14" t="s">
        <v>1017</v>
      </c>
      <c r="L403" s="15" t="s">
        <v>27</v>
      </c>
      <c r="M403" s="29" t="s">
        <v>1120</v>
      </c>
      <c r="N403" s="57">
        <v>45971</v>
      </c>
      <c r="O403" s="15">
        <f>NETWORKDAYS.INTL(WFTracker[[#This Row],[Start date]],WFTracker[[#This Row],[RM]],1,Holidays!D111:D126)</f>
        <v>6</v>
      </c>
      <c r="P403" s="12">
        <v>45933</v>
      </c>
      <c r="Q403" s="12">
        <v>45940</v>
      </c>
      <c r="R403" s="12">
        <v>45940</v>
      </c>
      <c r="S403" s="12" t="b">
        <f>ISBLANK(WFTracker[[#This Row],[Completion Date]])</f>
        <v>0</v>
      </c>
      <c r="T403" s="27" t="str">
        <f>TEXT(WFTracker[[#This Row],[Start date]],"mmm-yyyy")</f>
        <v>Oct-2025</v>
      </c>
      <c r="U403">
        <v>10</v>
      </c>
      <c r="V403" s="11">
        <f>NETWORKDAYS.INTL(WFTracker[[#This Row],[Start date]],WFTracker[[#This Row],[Due date]],1,Holidays!D111:D126)</f>
        <v>6</v>
      </c>
      <c r="W4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03" s="24">
        <f ca="1">WFTracker[[#This Row],[Active Time]]-WFTracker[[#This Row],[Completion Days Template]]</f>
        <v>0</v>
      </c>
      <c r="Y403" s="16" t="str">
        <f ca="1" xml:space="preserve"> IF(WFTracker[[#This Row],[Overdue Time '[Expected-Completion']]]&gt;0, "LATE","ON TIME")</f>
        <v>ON TIME</v>
      </c>
      <c r="Z403" s="16" t="str">
        <f ca="1">IF(WFTracker[[#This Row],[Overdue Time '[Expected-Completion']]] &gt;= 15, "SUPER LATE", Y403)</f>
        <v>ON TIME</v>
      </c>
      <c r="AA403" s="37" t="str">
        <f>IF(WFTracker[[#This Row],[Pre RM Opening Time]]&lt;WFTracker[[#This Row],[Old vs New Order Lead Time WF dead line]], "LATE BY ENG", "ON TIME BY ENG")</f>
        <v>LATE BY ENG</v>
      </c>
      <c r="AB403" s="37"/>
      <c r="AC403" s="15" t="str">
        <f>IF(WFTracker[[#This Row],[Competion Date Content]] = FALSE, "C", "i")</f>
        <v>C</v>
      </c>
      <c r="AD4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03" s="37" t="str">
        <f ca="1">IF(WFTracker[[#This Row],[Impact Time Post RM]]&gt;0, "IMPACTED", "NOT IMPACTED")</f>
        <v>IMPACTED</v>
      </c>
      <c r="AF403" s="15"/>
      <c r="AG403" s="18"/>
      <c r="AH403" s="14" t="str">
        <f>IF(WFTracker[[#This Row],[Status]]="C", "Closed", IF(WFTracker[[#This Row],[Status]] = "x", "Cancelled", WFTracker[[#This Row],[Impact Time Post RM]]))</f>
        <v>Closed</v>
      </c>
      <c r="AI403" s="14" t="str">
        <f ca="1">IF(WFTracker[[#This Row],[Impact Time Post RM]]&lt;=0,"ON TIME","LATE")</f>
        <v>LATE</v>
      </c>
      <c r="AJ403" s="14" t="s">
        <v>984</v>
      </c>
      <c r="AK403" s="14">
        <v>18</v>
      </c>
      <c r="AL403" s="915">
        <f>IF(WFTracker[[#This Row],[Type]]="MAKE", WFTracker[[#This Row],[Due date]]+Filters!$J$111, WFTracker[[#This Row],[Due date]]+Filters!$J$135)</f>
        <v>45943.072512647552</v>
      </c>
      <c r="AM403" s="102" cm="1">
        <f t="array" ref="AM4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4" spans="1:39" ht="15" customHeight="1">
      <c r="A404" t="str">
        <f>IF(WFTracker[[#This Row],[Order Number]]="SWBD", "QED2", "PZ4")</f>
        <v>PZ4</v>
      </c>
      <c r="B404" s="21" t="s">
        <v>538</v>
      </c>
      <c r="C404" s="35" t="s">
        <v>539</v>
      </c>
      <c r="D404" s="11" t="str">
        <f>WFTracker[[#This Row],[Order Number]]  &amp; "-" &amp; WFTracker[[#This Row],[Item]]</f>
        <v>0050839092-002030</v>
      </c>
      <c r="E404" s="21" t="s">
        <v>540</v>
      </c>
      <c r="F404" s="12">
        <v>45940</v>
      </c>
      <c r="G404" s="12"/>
      <c r="H404" s="11" t="s">
        <v>110</v>
      </c>
      <c r="I404" s="11" t="s">
        <v>37</v>
      </c>
      <c r="J404" s="55" t="s">
        <v>542</v>
      </c>
      <c r="K404" s="14" t="s">
        <v>1017</v>
      </c>
      <c r="L404" s="15" t="s">
        <v>40</v>
      </c>
      <c r="M404" s="29" t="s">
        <v>1120</v>
      </c>
      <c r="N404" s="57">
        <v>45971</v>
      </c>
      <c r="O404" s="15">
        <f>NETWORKDAYS.INTL(WFTracker[[#This Row],[Start date]],WFTracker[[#This Row],[RM]],1,Holidays!D112:D127)</f>
        <v>6</v>
      </c>
      <c r="P404" s="12">
        <v>45933</v>
      </c>
      <c r="Q404" s="12">
        <v>45945</v>
      </c>
      <c r="R404" s="12">
        <v>45941</v>
      </c>
      <c r="S404" s="12" t="b">
        <f>ISBLANK(WFTracker[[#This Row],[Completion Date]])</f>
        <v>0</v>
      </c>
      <c r="T404" s="27" t="str">
        <f>TEXT(WFTracker[[#This Row],[Start date]],"mmm-yyyy")</f>
        <v>Oct-2025</v>
      </c>
      <c r="U404">
        <v>10</v>
      </c>
      <c r="V404" s="11">
        <f>NETWORKDAYS.INTL(WFTracker[[#This Row],[Start date]],WFTracker[[#This Row],[Due date]],1,Holidays!D112:D127)</f>
        <v>9</v>
      </c>
      <c r="W4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04" s="24">
        <f ca="1">WFTracker[[#This Row],[Active Time]]-WFTracker[[#This Row],[Completion Days Template]]</f>
        <v>-3</v>
      </c>
      <c r="Y404" s="16" t="str">
        <f ca="1" xml:space="preserve"> IF(WFTracker[[#This Row],[Overdue Time '[Expected-Completion']]]&gt;0, "LATE","ON TIME")</f>
        <v>ON TIME</v>
      </c>
      <c r="Z404" s="16" t="str">
        <f ca="1">IF(WFTracker[[#This Row],[Overdue Time '[Expected-Completion']]] &gt;= 15, "SUPER LATE", Y404)</f>
        <v>ON TIME</v>
      </c>
      <c r="AA404" s="37" t="str">
        <f>IF(WFTracker[[#This Row],[Pre RM Opening Time]]&lt;WFTracker[[#This Row],[Old vs New Order Lead Time WF dead line]], "LATE BY ENG", "ON TIME BY ENG")</f>
        <v>LATE BY ENG</v>
      </c>
      <c r="AB404" s="37"/>
      <c r="AC404" s="15" t="str">
        <f>IF(WFTracker[[#This Row],[Competion Date Content]] = FALSE, "C", "i")</f>
        <v>C</v>
      </c>
      <c r="AD4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04" s="25" t="str">
        <f ca="1">IF(WFTracker[[#This Row],[Impact Time Post RM]]&gt;0, "IMPACTED", "NOT IMPACTED")</f>
        <v>IMPACTED</v>
      </c>
      <c r="AF404" s="15"/>
      <c r="AG404" s="18"/>
      <c r="AH404" s="14" t="str">
        <f>IF(WFTracker[[#This Row],[Status]]="C", "Closed", IF(WFTracker[[#This Row],[Status]] = "x", "Cancelled", WFTracker[[#This Row],[Impact Time Post RM]]))</f>
        <v>Closed</v>
      </c>
      <c r="AI404" s="14" t="str">
        <f ca="1">IF(WFTracker[[#This Row],[Impact Time Post RM]]&lt;=0,"ON TIME","LATE")</f>
        <v>LATE</v>
      </c>
      <c r="AJ404" s="14" t="s">
        <v>984</v>
      </c>
      <c r="AK404" s="14">
        <v>17</v>
      </c>
      <c r="AL404" s="915">
        <f>IF(WFTracker[[#This Row],[Type]]="MAKE", WFTracker[[#This Row],[Due date]]+Filters!$J$111, WFTracker[[#This Row],[Due date]]+Filters!$J$135)</f>
        <v>45945.415686274508</v>
      </c>
      <c r="AM404" s="102" cm="1">
        <f t="array" ref="AM4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5" spans="1:39" ht="15" customHeight="1">
      <c r="A405" t="str">
        <f>IF(WFTracker[[#This Row],[Order Number]]="SWBD", "QED2", "PZ4")</f>
        <v>PZ4</v>
      </c>
      <c r="B405" s="21" t="s">
        <v>403</v>
      </c>
      <c r="C405" s="21" t="s">
        <v>68</v>
      </c>
      <c r="D405" s="11" t="str">
        <f>WFTracker[[#This Row],[Order Number]]  &amp; "-" &amp; WFTracker[[#This Row],[Item]]</f>
        <v>0050442535-000170</v>
      </c>
      <c r="E405" s="23" t="s">
        <v>1040</v>
      </c>
      <c r="F405" s="12">
        <v>45945</v>
      </c>
      <c r="G405" s="12"/>
      <c r="H405" s="11" t="s">
        <v>676</v>
      </c>
      <c r="I405" s="11" t="s">
        <v>264</v>
      </c>
      <c r="J405" s="55" t="s">
        <v>568</v>
      </c>
      <c r="K405" s="14" t="s">
        <v>1023</v>
      </c>
      <c r="L405" s="15" t="s">
        <v>27</v>
      </c>
      <c r="M405" s="29" t="s">
        <v>1120</v>
      </c>
      <c r="N405" s="57">
        <v>46035</v>
      </c>
      <c r="O405" s="15">
        <f>NETWORKDAYS.INTL(WFTracker[[#This Row],[Start date]],WFTracker[[#This Row],[RM]],1,Holidays!D198:D213)</f>
        <v>9</v>
      </c>
      <c r="P405" s="12">
        <v>45933</v>
      </c>
      <c r="Q405" s="12">
        <v>45940</v>
      </c>
      <c r="R405" s="12">
        <v>45943</v>
      </c>
      <c r="S405" s="12" t="b">
        <f>ISBLANK(WFTracker[[#This Row],[Completion Date]])</f>
        <v>0</v>
      </c>
      <c r="T405" s="12" t="str">
        <f>TEXT(WFTracker[[#This Row],[Start date]],"mmm-yyyy")</f>
        <v>Oct-2025</v>
      </c>
      <c r="U405" s="11">
        <v>10</v>
      </c>
      <c r="V405" s="11">
        <f>NETWORKDAYS.INTL(WFTracker[[#This Row],[Start date]],WFTracker[[#This Row],[Due date]],1,Holidays!D198:D213)</f>
        <v>6</v>
      </c>
      <c r="W4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405" s="24">
        <f ca="1">WFTracker[[#This Row],[Active Time]]-WFTracker[[#This Row],[Completion Days Template]]</f>
        <v>1</v>
      </c>
      <c r="Y405" s="16" t="str">
        <f ca="1" xml:space="preserve"> IF(WFTracker[[#This Row],[Overdue Time '[Expected-Completion']]]&gt;0, "LATE","ON TIME")</f>
        <v>LATE</v>
      </c>
      <c r="Z405" s="16" t="str">
        <f ca="1">IF(WFTracker[[#This Row],[Overdue Time '[Expected-Completion']]] &gt;= 15, "SUPER LATE", Y405)</f>
        <v>LATE</v>
      </c>
      <c r="AA405" s="37" t="str">
        <f>IF(WFTracker[[#This Row],[Pre RM Opening Time]]&lt;WFTracker[[#This Row],[Old vs New Order Lead Time WF dead line]], "LATE BY ENG", "ON TIME BY ENG")</f>
        <v>LATE BY ENG</v>
      </c>
      <c r="AB405" s="37"/>
      <c r="AC405" s="15" t="str">
        <f>IF(WFTracker[[#This Row],[Competion Date Content]] = FALSE, "C", "i")</f>
        <v>C</v>
      </c>
      <c r="AD4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405" s="37" t="str">
        <f ca="1">IF(WFTracker[[#This Row],[Impact Time Post RM]]&gt;0, "IMPACTED", "NOT IMPACTED")</f>
        <v>NOT IMPACTED</v>
      </c>
      <c r="AF405" s="15"/>
      <c r="AG405" s="18"/>
      <c r="AH405" s="14" t="str">
        <f>IF(WFTracker[[#This Row],[Status]]="C", "Closed", IF(WFTracker[[#This Row],[Status]] = "x", "Cancelled", WFTracker[[#This Row],[Impact Time Post RM]]))</f>
        <v>Closed</v>
      </c>
      <c r="AI405" s="14" t="str">
        <f ca="1">IF(WFTracker[[#This Row],[Impact Time Post RM]]&lt;=0,"ON TIME","LATE")</f>
        <v>ON TIME</v>
      </c>
      <c r="AJ405" s="14" t="s">
        <v>984</v>
      </c>
      <c r="AK405" s="14">
        <v>18</v>
      </c>
      <c r="AL405" s="915">
        <f>IF(WFTracker[[#This Row],[Type]]="MAKE", WFTracker[[#This Row],[Due date]]+Filters!$J$111, WFTracker[[#This Row],[Due date]]+Filters!$J$135)</f>
        <v>45943.072512647552</v>
      </c>
      <c r="AM405" s="102" cm="1">
        <f t="array" ref="AM4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6" spans="1:39" ht="15" customHeight="1">
      <c r="A406" t="str">
        <f>IF(WFTracker[[#This Row],[Order Number]]="SWBD", "QED2", "PZ4")</f>
        <v>PZ4</v>
      </c>
      <c r="B406" s="21" t="s">
        <v>490</v>
      </c>
      <c r="C406" s="903" t="s">
        <v>282</v>
      </c>
      <c r="D406" s="11" t="str">
        <f>WFTracker[[#This Row],[Order Number]]  &amp; "-" &amp; WFTracker[[#This Row],[Item]]</f>
        <v>0051442285-000070</v>
      </c>
      <c r="E406" s="23" t="s">
        <v>491</v>
      </c>
      <c r="F406" s="12">
        <v>45945</v>
      </c>
      <c r="G406" s="12"/>
      <c r="H406" s="11" t="s">
        <v>104</v>
      </c>
      <c r="I406" s="11" t="s">
        <v>37</v>
      </c>
      <c r="J406" s="55" t="s">
        <v>1328</v>
      </c>
      <c r="K406" s="14" t="s">
        <v>1023</v>
      </c>
      <c r="L406" s="15" t="s">
        <v>40</v>
      </c>
      <c r="M406" s="29" t="s">
        <v>438</v>
      </c>
      <c r="N406" s="57">
        <v>46008</v>
      </c>
      <c r="O406" s="15">
        <f>NETWORKDAYS.INTL(WFTracker[[#This Row],[Start date]],WFTracker[[#This Row],[RM]],1,Holidays!D199:D214)</f>
        <v>9</v>
      </c>
      <c r="P406" s="12">
        <v>45933</v>
      </c>
      <c r="Q406" s="12">
        <v>45946</v>
      </c>
      <c r="R406" s="12">
        <v>45944</v>
      </c>
      <c r="S406" s="12" t="b">
        <f>ISBLANK(WFTracker[[#This Row],[Completion Date]])</f>
        <v>0</v>
      </c>
      <c r="T406" s="12" t="str">
        <f>TEXT(WFTracker[[#This Row],[Start date]],"mmm-yyyy")</f>
        <v>Oct-2025</v>
      </c>
      <c r="U406" s="11">
        <v>10</v>
      </c>
      <c r="V406" s="11">
        <f>NETWORKDAYS.INTL(WFTracker[[#This Row],[Start date]],WFTracker[[#This Row],[Due date]],1,Holidays!D199:D214)</f>
        <v>10</v>
      </c>
      <c r="W4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06" s="24">
        <f ca="1">WFTracker[[#This Row],[Active Time]]-WFTracker[[#This Row],[Completion Days Template]]</f>
        <v>-2</v>
      </c>
      <c r="Y406" s="16" t="str">
        <f ca="1" xml:space="preserve"> IF(WFTracker[[#This Row],[Overdue Time '[Expected-Completion']]]&gt;0, "LATE","ON TIME")</f>
        <v>ON TIME</v>
      </c>
      <c r="Z406" s="16" t="str">
        <f ca="1">IF(WFTracker[[#This Row],[Overdue Time '[Expected-Completion']]] &gt;= 15, "SUPER LATE", Y406)</f>
        <v>ON TIME</v>
      </c>
      <c r="AA406" s="37" t="str">
        <f>IF(WFTracker[[#This Row],[Pre RM Opening Time]]&lt;WFTracker[[#This Row],[Old vs New Order Lead Time WF dead line]], "LATE BY ENG", "ON TIME BY ENG")</f>
        <v>LATE BY ENG</v>
      </c>
      <c r="AB406" s="37"/>
      <c r="AC406" s="15" t="str">
        <f>IF(WFTracker[[#This Row],[Competion Date Content]] = FALSE, "C", "i")</f>
        <v>C</v>
      </c>
      <c r="AD4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06" s="25" t="str">
        <f ca="1">IF(WFTracker[[#This Row],[Impact Time Post RM]]&gt;0, "IMPACTED", "NOT IMPACTED")</f>
        <v>NOT IMPACTED</v>
      </c>
      <c r="AF406" s="15"/>
      <c r="AG406" s="18"/>
      <c r="AH406" s="14" t="str">
        <f>IF(WFTracker[[#This Row],[Status]]="C", "Closed", IF(WFTracker[[#This Row],[Status]] = "x", "Cancelled", WFTracker[[#This Row],[Impact Time Post RM]]))</f>
        <v>Closed</v>
      </c>
      <c r="AI406" s="14" t="str">
        <f ca="1">IF(WFTracker[[#This Row],[Impact Time Post RM]]&lt;=0,"ON TIME","LATE")</f>
        <v>ON TIME</v>
      </c>
      <c r="AJ406" s="14" t="s">
        <v>984</v>
      </c>
      <c r="AK406" s="14">
        <v>17</v>
      </c>
      <c r="AL406" s="915">
        <f>IF(WFTracker[[#This Row],[Type]]="MAKE", WFTracker[[#This Row],[Due date]]+Filters!$J$111, WFTracker[[#This Row],[Due date]]+Filters!$J$135)</f>
        <v>45946.415686274508</v>
      </c>
      <c r="AM406" s="101" cm="1">
        <f t="array" ref="AM4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7" spans="1:39" ht="15" customHeight="1">
      <c r="A407" t="str">
        <f>IF(WFTracker[[#This Row],[Order Number]]="SWBD", "QED2", "PZ4")</f>
        <v>PZ4</v>
      </c>
      <c r="B407" s="21" t="s">
        <v>1297</v>
      </c>
      <c r="C407" s="26" t="s">
        <v>1298</v>
      </c>
      <c r="D407" s="11" t="str">
        <f>WFTracker[[#This Row],[Order Number]]  &amp; "-" &amp; WFTracker[[#This Row],[Item]]</f>
        <v>051576246-000020&amp;30&amp;40&amp;50&amp;60</v>
      </c>
      <c r="E407" s="23" t="s">
        <v>551</v>
      </c>
      <c r="F407" s="12">
        <v>45954</v>
      </c>
      <c r="G407" s="12"/>
      <c r="H407" s="11" t="s">
        <v>80</v>
      </c>
      <c r="I407" s="11" t="s">
        <v>1154</v>
      </c>
      <c r="J407" s="55" t="s">
        <v>556</v>
      </c>
      <c r="K407" s="14" t="s">
        <v>1017</v>
      </c>
      <c r="L407" s="15" t="s">
        <v>27</v>
      </c>
      <c r="M407" s="29" t="s">
        <v>1120</v>
      </c>
      <c r="N407" s="57">
        <v>46030</v>
      </c>
      <c r="O407" s="15">
        <f>NETWORKDAYS.INTL(WFTracker[[#This Row],[Start date]],WFTracker[[#This Row],[RM]],1,Holidays!D388:D403)</f>
        <v>16</v>
      </c>
      <c r="P407" s="12">
        <v>45933</v>
      </c>
      <c r="Q407" s="12">
        <v>45940</v>
      </c>
      <c r="R407" s="12">
        <v>45953</v>
      </c>
      <c r="S407" s="12" t="b">
        <f>ISBLANK(WFTracker[[#This Row],[Completion Date]])</f>
        <v>0</v>
      </c>
      <c r="T407" s="12" t="str">
        <f>TEXT(WFTracker[[#This Row],[Start date]],"mmm-yyyy")</f>
        <v>Oct-2025</v>
      </c>
      <c r="U407" s="11">
        <v>10</v>
      </c>
      <c r="V407" s="11">
        <f>NETWORKDAYS.INTL(WFTracker[[#This Row],[Start date]],WFTracker[[#This Row],[Due date]],1,Holidays!D388:D403)</f>
        <v>6</v>
      </c>
      <c r="W4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407" s="24">
        <f ca="1">WFTracker[[#This Row],[Active Time]]-WFTracker[[#This Row],[Completion Days Template]]</f>
        <v>9</v>
      </c>
      <c r="Y407" s="16" t="str">
        <f ca="1" xml:space="preserve"> IF(WFTracker[[#This Row],[Overdue Time '[Expected-Completion']]]&gt;0, "LATE","ON TIME")</f>
        <v>LATE</v>
      </c>
      <c r="Z407" s="16" t="str">
        <f ca="1">IF(WFTracker[[#This Row],[Overdue Time '[Expected-Completion']]] &gt;= 15, "SUPER LATE", Y407)</f>
        <v>LATE</v>
      </c>
      <c r="AA407" s="37" t="str">
        <f>IF(WFTracker[[#This Row],[Pre RM Opening Time]]&lt;WFTracker[[#This Row],[Old vs New Order Lead Time WF dead line]], "LATE BY ENG", "ON TIME BY ENG")</f>
        <v>ON TIME BY ENG</v>
      </c>
      <c r="AB407" s="37"/>
      <c r="AC407" s="15" t="str">
        <f>IF(WFTracker[[#This Row],[Competion Date Content]] = FALSE, "C", "i")</f>
        <v>C</v>
      </c>
      <c r="AD4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07" s="37" t="str">
        <f ca="1">IF(WFTracker[[#This Row],[Impact Time Post RM]]&gt;0, "IMPACTED", "NOT IMPACTED")</f>
        <v>NOT IMPACTED</v>
      </c>
      <c r="AF407" s="15"/>
      <c r="AG407" s="18"/>
      <c r="AH407" s="14" t="str">
        <f>IF(WFTracker[[#This Row],[Status]]="C", "Closed", IF(WFTracker[[#This Row],[Status]] = "x", "Cancelled", WFTracker[[#This Row],[Impact Time Post RM]]))</f>
        <v>Closed</v>
      </c>
      <c r="AI407" s="14" t="str">
        <f ca="1">IF(WFTracker[[#This Row],[Impact Time Post RM]]&lt;=0,"ON TIME","LATE")</f>
        <v>ON TIME</v>
      </c>
      <c r="AJ407" s="14" t="s">
        <v>984</v>
      </c>
      <c r="AK407" s="14">
        <v>18</v>
      </c>
      <c r="AL407" s="915">
        <f>IF(WFTracker[[#This Row],[Type]]="MAKE", WFTracker[[#This Row],[Due date]]+Filters!$J$111, WFTracker[[#This Row],[Due date]]+Filters!$J$135)</f>
        <v>45943.072512647552</v>
      </c>
      <c r="AM407" s="101" cm="1">
        <f t="array" ref="AM40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08" spans="1:39" ht="15" customHeight="1">
      <c r="A408" t="str">
        <f>IF(WFTracker[[#This Row],[Order Number]]="SWBD", "QED2", "PZ4")</f>
        <v>PZ4</v>
      </c>
      <c r="B408" s="21" t="s">
        <v>1297</v>
      </c>
      <c r="C408" s="21" t="s">
        <v>1298</v>
      </c>
      <c r="D408" s="11" t="str">
        <f>WFTracker[[#This Row],[Order Number]]  &amp; "-" &amp; WFTracker[[#This Row],[Item]]</f>
        <v>051576246-000020&amp;30&amp;40&amp;50&amp;60</v>
      </c>
      <c r="E408" s="23" t="s">
        <v>551</v>
      </c>
      <c r="F408" s="12">
        <v>45954</v>
      </c>
      <c r="G408" s="12"/>
      <c r="H408" s="11" t="s">
        <v>80</v>
      </c>
      <c r="I408" s="11" t="s">
        <v>1154</v>
      </c>
      <c r="J408" s="55" t="s">
        <v>1329</v>
      </c>
      <c r="K408" s="14" t="s">
        <v>1017</v>
      </c>
      <c r="L408" s="15" t="s">
        <v>40</v>
      </c>
      <c r="M408" s="29" t="s">
        <v>1120</v>
      </c>
      <c r="N408" s="57">
        <v>46030</v>
      </c>
      <c r="O408" s="15">
        <f>NETWORKDAYS.INTL(WFTracker[[#This Row],[Start date]],WFTracker[[#This Row],[RM]],1,Holidays!D389:D404)</f>
        <v>16</v>
      </c>
      <c r="P408" s="12">
        <v>45933</v>
      </c>
      <c r="Q408" s="12">
        <v>45945</v>
      </c>
      <c r="R408" s="12">
        <v>45937</v>
      </c>
      <c r="S408" s="12" t="b">
        <f>ISBLANK(WFTracker[[#This Row],[Completion Date]])</f>
        <v>0</v>
      </c>
      <c r="T408" s="12" t="str">
        <f>TEXT(WFTracker[[#This Row],[Start date]],"mmm-yyyy")</f>
        <v>Oct-2025</v>
      </c>
      <c r="U408" s="11">
        <v>10</v>
      </c>
      <c r="V408" s="11">
        <f>NETWORKDAYS.INTL(WFTracker[[#This Row],[Start date]],WFTracker[[#This Row],[Due date]],1,Holidays!D389:D404)</f>
        <v>9</v>
      </c>
      <c r="W4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08" s="24">
        <f ca="1">WFTracker[[#This Row],[Active Time]]-WFTracker[[#This Row],[Completion Days Template]]</f>
        <v>-6</v>
      </c>
      <c r="Y408" s="16" t="str">
        <f ca="1" xml:space="preserve"> IF(WFTracker[[#This Row],[Overdue Time '[Expected-Completion']]]&gt;0, "LATE","ON TIME")</f>
        <v>ON TIME</v>
      </c>
      <c r="Z408" s="16" t="str">
        <f ca="1">IF(WFTracker[[#This Row],[Overdue Time '[Expected-Completion']]] &gt;= 15, "SUPER LATE", Y408)</f>
        <v>ON TIME</v>
      </c>
      <c r="AA408" s="37" t="str">
        <f>IF(WFTracker[[#This Row],[Pre RM Opening Time]]&lt;WFTracker[[#This Row],[Old vs New Order Lead Time WF dead line]], "LATE BY ENG", "ON TIME BY ENG")</f>
        <v>ON TIME BY ENG</v>
      </c>
      <c r="AB408" s="37"/>
      <c r="AC408" s="15" t="s">
        <v>1011</v>
      </c>
      <c r="AD4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408" s="25" t="str">
        <f ca="1">IF(WFTracker[[#This Row],[Impact Time Post RM]]&gt;0, "IMPACTED", "NOT IMPACTED")</f>
        <v>NOT IMPACTED</v>
      </c>
      <c r="AF408" s="15"/>
      <c r="AG408" s="18" t="s">
        <v>1330</v>
      </c>
      <c r="AH408" s="14" t="str">
        <f>IF(WFTracker[[#This Row],[Status]]="C", "Closed", IF(WFTracker[[#This Row],[Status]] = "x", "Cancelled", WFTracker[[#This Row],[Impact Time Post RM]]))</f>
        <v>Cancelled</v>
      </c>
      <c r="AI408" s="14" t="str">
        <f ca="1">IF(WFTracker[[#This Row],[Impact Time Post RM]]&lt;=0,"ON TIME","LATE")</f>
        <v>ON TIME</v>
      </c>
      <c r="AJ408" s="14" t="s">
        <v>984</v>
      </c>
      <c r="AK408" s="14">
        <v>0</v>
      </c>
      <c r="AL408" s="915">
        <f>IF(WFTracker[[#This Row],[Type]]="MAKE", WFTracker[[#This Row],[Due date]]+Filters!$J$111, WFTracker[[#This Row],[Due date]]+Filters!$J$135)</f>
        <v>45945.415686274508</v>
      </c>
      <c r="AM408" s="102" cm="1">
        <f t="array" ref="AM408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409" spans="1:39" ht="15" customHeight="1">
      <c r="A409" t="str">
        <f>IF(WFTracker[[#This Row],[Order Number]]="SWBD", "QED2", "PZ4")</f>
        <v>PZ4</v>
      </c>
      <c r="B409" s="21" t="s">
        <v>1297</v>
      </c>
      <c r="C409" s="26" t="s">
        <v>1298</v>
      </c>
      <c r="D409" s="11" t="str">
        <f>WFTracker[[#This Row],[Order Number]]  &amp; "-" &amp; WFTracker[[#This Row],[Item]]</f>
        <v>051576246-000020&amp;30&amp;40&amp;50&amp;60</v>
      </c>
      <c r="E409" s="23" t="s">
        <v>551</v>
      </c>
      <c r="F409" s="12">
        <v>45954</v>
      </c>
      <c r="G409" s="12"/>
      <c r="H409" s="11" t="s">
        <v>80</v>
      </c>
      <c r="I409" s="11" t="s">
        <v>1154</v>
      </c>
      <c r="J409" s="55" t="s">
        <v>557</v>
      </c>
      <c r="K409" s="14" t="s">
        <v>1017</v>
      </c>
      <c r="L409" s="15" t="s">
        <v>40</v>
      </c>
      <c r="M409" s="29" t="s">
        <v>1120</v>
      </c>
      <c r="N409" s="57">
        <v>46030</v>
      </c>
      <c r="O409" s="15">
        <f>NETWORKDAYS.INTL(WFTracker[[#This Row],[Start date]],WFTracker[[#This Row],[RM]],1,Holidays!D390:D405)</f>
        <v>16</v>
      </c>
      <c r="P409" s="12">
        <v>45933</v>
      </c>
      <c r="Q409" s="12">
        <v>45945</v>
      </c>
      <c r="R409" s="12">
        <v>45941</v>
      </c>
      <c r="S409" s="12" t="b">
        <f>ISBLANK(WFTracker[[#This Row],[Completion Date]])</f>
        <v>0</v>
      </c>
      <c r="T409" s="12" t="str">
        <f>TEXT(WFTracker[[#This Row],[Start date]],"mmm-yyyy")</f>
        <v>Oct-2025</v>
      </c>
      <c r="U409" s="11">
        <v>10</v>
      </c>
      <c r="V409" s="11">
        <f>NETWORKDAYS.INTL(WFTracker[[#This Row],[Start date]],WFTracker[[#This Row],[Due date]],1,Holidays!D390:D405)</f>
        <v>9</v>
      </c>
      <c r="W4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09" s="24">
        <f ca="1">WFTracker[[#This Row],[Active Time]]-WFTracker[[#This Row],[Completion Days Template]]</f>
        <v>-3</v>
      </c>
      <c r="Y409" s="16" t="str">
        <f ca="1" xml:space="preserve"> IF(WFTracker[[#This Row],[Overdue Time '[Expected-Completion']]]&gt;0, "LATE","ON TIME")</f>
        <v>ON TIME</v>
      </c>
      <c r="Z409" s="16" t="str">
        <f ca="1">IF(WFTracker[[#This Row],[Overdue Time '[Expected-Completion']]] &gt;= 15, "SUPER LATE", Y409)</f>
        <v>ON TIME</v>
      </c>
      <c r="AA409" s="37" t="str">
        <f>IF(WFTracker[[#This Row],[Pre RM Opening Time]]&lt;WFTracker[[#This Row],[Old vs New Order Lead Time WF dead line]], "LATE BY ENG", "ON TIME BY ENG")</f>
        <v>ON TIME BY ENG</v>
      </c>
      <c r="AB409" s="37"/>
      <c r="AC409" s="15" t="str">
        <f>IF(WFTracker[[#This Row],[Competion Date Content]] = FALSE, "C", "i")</f>
        <v>C</v>
      </c>
      <c r="AD4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409" s="25" t="str">
        <f ca="1">IF(WFTracker[[#This Row],[Impact Time Post RM]]&gt;0, "IMPACTED", "NOT IMPACTED")</f>
        <v>NOT IMPACTED</v>
      </c>
      <c r="AF409" s="15"/>
      <c r="AG409" s="18"/>
      <c r="AH409" s="14" t="str">
        <f>IF(WFTracker[[#This Row],[Status]]="C", "Closed", IF(WFTracker[[#This Row],[Status]] = "x", "Cancelled", WFTracker[[#This Row],[Impact Time Post RM]]))</f>
        <v>Closed</v>
      </c>
      <c r="AI409" s="14" t="str">
        <f ca="1">IF(WFTracker[[#This Row],[Impact Time Post RM]]&lt;=0,"ON TIME","LATE")</f>
        <v>ON TIME</v>
      </c>
      <c r="AJ409" s="14" t="s">
        <v>984</v>
      </c>
      <c r="AK409" s="14">
        <v>17</v>
      </c>
      <c r="AL409" s="915">
        <f>IF(WFTracker[[#This Row],[Type]]="MAKE", WFTracker[[#This Row],[Due date]]+Filters!$J$111, WFTracker[[#This Row],[Due date]]+Filters!$J$135)</f>
        <v>45945.415686274508</v>
      </c>
      <c r="AM409" s="102" cm="1">
        <f t="array" ref="AM4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0" spans="1:39" ht="15" customHeight="1">
      <c r="A410" t="str">
        <f>IF(WFTracker[[#This Row],[Order Number]]="SWBD", "QED2", "PZ4")</f>
        <v>PZ4</v>
      </c>
      <c r="B410" s="21" t="s">
        <v>1297</v>
      </c>
      <c r="C410" s="26" t="s">
        <v>1298</v>
      </c>
      <c r="D410" s="11" t="str">
        <f>WFTracker[[#This Row],[Order Number]]  &amp; "-" &amp; WFTracker[[#This Row],[Item]]</f>
        <v>051576246-000020&amp;30&amp;40&amp;50&amp;60</v>
      </c>
      <c r="E410" s="23" t="s">
        <v>551</v>
      </c>
      <c r="F410" s="12">
        <v>45954</v>
      </c>
      <c r="G410" s="12"/>
      <c r="H410" s="11" t="s">
        <v>80</v>
      </c>
      <c r="I410" s="11" t="s">
        <v>1154</v>
      </c>
      <c r="J410" s="55" t="s">
        <v>558</v>
      </c>
      <c r="K410" s="14" t="s">
        <v>1017</v>
      </c>
      <c r="L410" s="15" t="s">
        <v>27</v>
      </c>
      <c r="M410" s="29" t="s">
        <v>1120</v>
      </c>
      <c r="N410" s="57">
        <v>46030</v>
      </c>
      <c r="O410" s="15">
        <f>NETWORKDAYS.INTL(WFTracker[[#This Row],[Start date]],WFTracker[[#This Row],[RM]],1,Holidays!D391:D406)</f>
        <v>16</v>
      </c>
      <c r="P410" s="12">
        <v>45933</v>
      </c>
      <c r="Q410" s="12">
        <v>45945</v>
      </c>
      <c r="R410" s="12">
        <v>45951</v>
      </c>
      <c r="S410" s="12" t="b">
        <f>ISBLANK(WFTracker[[#This Row],[Completion Date]])</f>
        <v>0</v>
      </c>
      <c r="T410" s="12" t="str">
        <f>TEXT(WFTracker[[#This Row],[Start date]],"mmm-yyyy")</f>
        <v>Oct-2025</v>
      </c>
      <c r="U410" s="11">
        <v>10</v>
      </c>
      <c r="V410" s="11">
        <f>NETWORKDAYS.INTL(WFTracker[[#This Row],[Start date]],WFTracker[[#This Row],[Due date]],1,Holidays!D391:D406)</f>
        <v>9</v>
      </c>
      <c r="W4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10" s="24">
        <f ca="1">WFTracker[[#This Row],[Active Time]]-WFTracker[[#This Row],[Completion Days Template]]</f>
        <v>4</v>
      </c>
      <c r="Y410" s="16" t="str">
        <f ca="1" xml:space="preserve"> IF(WFTracker[[#This Row],[Overdue Time '[Expected-Completion']]]&gt;0, "LATE","ON TIME")</f>
        <v>LATE</v>
      </c>
      <c r="Z410" s="16" t="str">
        <f ca="1">IF(WFTracker[[#This Row],[Overdue Time '[Expected-Completion']]] &gt;= 15, "SUPER LATE", Y410)</f>
        <v>LATE</v>
      </c>
      <c r="AA410" s="37" t="str">
        <f>IF(WFTracker[[#This Row],[Pre RM Opening Time]]&lt;WFTracker[[#This Row],[Old vs New Order Lead Time WF dead line]], "LATE BY ENG", "ON TIME BY ENG")</f>
        <v>ON TIME BY ENG</v>
      </c>
      <c r="AB410" s="37"/>
      <c r="AC410" s="15" t="str">
        <f>IF(WFTracker[[#This Row],[Competion Date Content]] = FALSE, "C", "i")</f>
        <v>C</v>
      </c>
      <c r="AD4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410" s="37" t="str">
        <f ca="1">IF(WFTracker[[#This Row],[Impact Time Post RM]]&gt;0, "IMPACTED", "NOT IMPACTED")</f>
        <v>NOT IMPACTED</v>
      </c>
      <c r="AF410" s="15"/>
      <c r="AG410" s="18"/>
      <c r="AH410" s="14" t="str">
        <f>IF(WFTracker[[#This Row],[Status]]="C", "Closed", IF(WFTracker[[#This Row],[Status]] = "x", "Cancelled", WFTracker[[#This Row],[Impact Time Post RM]]))</f>
        <v>Closed</v>
      </c>
      <c r="AI410" s="14" t="str">
        <f ca="1">IF(WFTracker[[#This Row],[Impact Time Post RM]]&lt;=0,"ON TIME","LATE")</f>
        <v>ON TIME</v>
      </c>
      <c r="AJ410" s="14" t="s">
        <v>984</v>
      </c>
      <c r="AK410" s="14">
        <v>18</v>
      </c>
      <c r="AL410" s="915">
        <f>IF(WFTracker[[#This Row],[Type]]="MAKE", WFTracker[[#This Row],[Due date]]+Filters!$J$111, WFTracker[[#This Row],[Due date]]+Filters!$J$135)</f>
        <v>45948.072512647552</v>
      </c>
      <c r="AM410" s="101" cm="1">
        <f t="array" ref="AM4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1" spans="1:39" ht="15" customHeight="1">
      <c r="A411" t="str">
        <f>IF(WFTracker[[#This Row],[Order Number]]="SWBD", "QED2", "PZ4")</f>
        <v>PZ4</v>
      </c>
      <c r="B411" s="21" t="s">
        <v>530</v>
      </c>
      <c r="C411" s="21" t="s">
        <v>135</v>
      </c>
      <c r="D411" s="11" t="str">
        <f>WFTracker[[#This Row],[Order Number]]  &amp; "-" &amp; WFTracker[[#This Row],[Item]]</f>
        <v>0051378342-000010</v>
      </c>
      <c r="E411" s="23" t="s">
        <v>532</v>
      </c>
      <c r="F411" s="27">
        <v>45957</v>
      </c>
      <c r="G411" s="27"/>
      <c r="H411" s="11" t="s">
        <v>104</v>
      </c>
      <c r="I411" s="11" t="s">
        <v>111</v>
      </c>
      <c r="J411" s="55" t="s">
        <v>1331</v>
      </c>
      <c r="K411" s="14" t="s">
        <v>1023</v>
      </c>
      <c r="L411" s="15" t="s">
        <v>40</v>
      </c>
      <c r="M411" s="29" t="s">
        <v>1120</v>
      </c>
      <c r="N411" s="57">
        <v>46114</v>
      </c>
      <c r="O411" s="15">
        <f>NETWORKDAYS.INTL(WFTracker[[#This Row],[Start date]],WFTracker[[#This Row],[RM]],1,Holidays!D404:D419)</f>
        <v>17</v>
      </c>
      <c r="P411" s="12">
        <v>45933</v>
      </c>
      <c r="Q411" s="12">
        <v>45940</v>
      </c>
      <c r="R411" s="12">
        <v>45946</v>
      </c>
      <c r="S411" s="12" t="b">
        <f>ISBLANK(WFTracker[[#This Row],[Completion Date]])</f>
        <v>0</v>
      </c>
      <c r="T411" s="12" t="str">
        <f>TEXT(WFTracker[[#This Row],[Start date]],"mmm-yyyy")</f>
        <v>Oct-2025</v>
      </c>
      <c r="U411" s="11">
        <v>10</v>
      </c>
      <c r="V411" s="11">
        <f>NETWORKDAYS.INTL(WFTracker[[#This Row],[Start date]],WFTracker[[#This Row],[Due date]],1,Holidays!D404:D419)</f>
        <v>6</v>
      </c>
      <c r="W4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411" s="24">
        <f ca="1">WFTracker[[#This Row],[Active Time]]-WFTracker[[#This Row],[Completion Days Template]]</f>
        <v>4</v>
      </c>
      <c r="Y411" s="16" t="str">
        <f ca="1" xml:space="preserve"> IF(WFTracker[[#This Row],[Overdue Time '[Expected-Completion']]]&gt;0, "LATE","ON TIME")</f>
        <v>LATE</v>
      </c>
      <c r="Z411" s="16" t="str">
        <f ca="1">IF(WFTracker[[#This Row],[Overdue Time '[Expected-Completion']]] &gt;= 15, "SUPER LATE", Y411)</f>
        <v>LATE</v>
      </c>
      <c r="AA411" s="37" t="str">
        <f>IF(WFTracker[[#This Row],[Pre RM Opening Time]]&lt;WFTracker[[#This Row],[Old vs New Order Lead Time WF dead line]], "LATE BY ENG", "ON TIME BY ENG")</f>
        <v>ON TIME BY ENG</v>
      </c>
      <c r="AB411" s="37"/>
      <c r="AC411" s="15" t="str">
        <f>IF(WFTracker[[#This Row],[Competion Date Content]] = FALSE, "C", "i")</f>
        <v>C</v>
      </c>
      <c r="AD4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411" s="37" t="str">
        <f ca="1">IF(WFTracker[[#This Row],[Impact Time Post RM]]&gt;0, "IMPACTED", "NOT IMPACTED")</f>
        <v>NOT IMPACTED</v>
      </c>
      <c r="AF411" s="15"/>
      <c r="AG411" s="18"/>
      <c r="AH411" s="14" t="str">
        <f>IF(WFTracker[[#This Row],[Status]]="C", "Closed", IF(WFTracker[[#This Row],[Status]] = "x", "Cancelled", WFTracker[[#This Row],[Impact Time Post RM]]))</f>
        <v>Closed</v>
      </c>
      <c r="AI411" s="14" t="str">
        <f ca="1">IF(WFTracker[[#This Row],[Impact Time Post RM]]&lt;=0,"ON TIME","LATE")</f>
        <v>ON TIME</v>
      </c>
      <c r="AJ411" s="14" t="s">
        <v>984</v>
      </c>
      <c r="AK411" s="14">
        <v>17</v>
      </c>
      <c r="AL411" s="915">
        <f>IF(WFTracker[[#This Row],[Type]]="MAKE", WFTracker[[#This Row],[Due date]]+Filters!$J$111, WFTracker[[#This Row],[Due date]]+Filters!$J$135)</f>
        <v>45940.415686274508</v>
      </c>
      <c r="AM411" s="101" cm="1">
        <f t="array" ref="AM4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2" spans="1:39" ht="14.45">
      <c r="A412" t="str">
        <f>IF(WFTracker[[#This Row],[Order Number]]="SWBD", "QED2", "PZ4")</f>
        <v>PZ4</v>
      </c>
      <c r="B412" s="21" t="s">
        <v>530</v>
      </c>
      <c r="C412" s="21" t="s">
        <v>135</v>
      </c>
      <c r="D412" s="11" t="str">
        <f>WFTracker[[#This Row],[Order Number]]  &amp; "-" &amp; WFTracker[[#This Row],[Item]]</f>
        <v>0051378342-000010</v>
      </c>
      <c r="E412" s="23" t="s">
        <v>532</v>
      </c>
      <c r="F412" s="27">
        <v>45957</v>
      </c>
      <c r="G412" s="27"/>
      <c r="H412" s="11" t="s">
        <v>104</v>
      </c>
      <c r="I412" s="11" t="s">
        <v>111</v>
      </c>
      <c r="J412" s="55" t="s">
        <v>1332</v>
      </c>
      <c r="K412" s="14" t="s">
        <v>1017</v>
      </c>
      <c r="L412" s="15" t="s">
        <v>27</v>
      </c>
      <c r="M412" s="29" t="s">
        <v>1123</v>
      </c>
      <c r="N412" s="57">
        <v>46114</v>
      </c>
      <c r="O412" s="15">
        <f>NETWORKDAYS.INTL(WFTracker[[#This Row],[Start date]],WFTracker[[#This Row],[RM]],1,Holidays!D405:D420)</f>
        <v>17</v>
      </c>
      <c r="P412" s="12">
        <v>45933</v>
      </c>
      <c r="Q412" s="12">
        <v>45940</v>
      </c>
      <c r="R412" s="12">
        <v>45951</v>
      </c>
      <c r="S412" s="12" t="b">
        <f>ISBLANK(WFTracker[[#This Row],[Completion Date]])</f>
        <v>0</v>
      </c>
      <c r="T412" s="12" t="str">
        <f>TEXT(WFTracker[[#This Row],[Start date]],"mmm-yyyy")</f>
        <v>Oct-2025</v>
      </c>
      <c r="U412" s="11">
        <v>10</v>
      </c>
      <c r="V412" s="11">
        <f>NETWORKDAYS.INTL(WFTracker[[#This Row],[Start date]],WFTracker[[#This Row],[Due date]],1,Holidays!D405:D420)</f>
        <v>6</v>
      </c>
      <c r="W4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12" s="24">
        <f ca="1">WFTracker[[#This Row],[Active Time]]-WFTracker[[#This Row],[Completion Days Template]]</f>
        <v>7</v>
      </c>
      <c r="Y412" s="16" t="str">
        <f ca="1" xml:space="preserve"> IF(WFTracker[[#This Row],[Overdue Time '[Expected-Completion']]]&gt;0, "LATE","ON TIME")</f>
        <v>LATE</v>
      </c>
      <c r="Z412" s="16" t="str">
        <f ca="1">IF(WFTracker[[#This Row],[Overdue Time '[Expected-Completion']]] &gt;= 15, "SUPER LATE", Y412)</f>
        <v>LATE</v>
      </c>
      <c r="AA412" s="37" t="str">
        <f>IF(WFTracker[[#This Row],[Pre RM Opening Time]]&lt;WFTracker[[#This Row],[Old vs New Order Lead Time WF dead line]], "LATE BY ENG", "ON TIME BY ENG")</f>
        <v>ON TIME BY ENG</v>
      </c>
      <c r="AB412" s="37"/>
      <c r="AC412" s="15" t="str">
        <f>IF(WFTracker[[#This Row],[Competion Date Content]] = FALSE, "C", "i")</f>
        <v>C</v>
      </c>
      <c r="AD4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12" s="37" t="str">
        <f ca="1">IF(WFTracker[[#This Row],[Impact Time Post RM]]&gt;0, "IMPACTED", "NOT IMPACTED")</f>
        <v>NOT IMPACTED</v>
      </c>
      <c r="AF412" s="15"/>
      <c r="AG412" s="18"/>
      <c r="AH412" s="14" t="str">
        <f>IF(WFTracker[[#This Row],[Status]]="C", "Closed", IF(WFTracker[[#This Row],[Status]] = "x", "Cancelled", WFTracker[[#This Row],[Impact Time Post RM]]))</f>
        <v>Closed</v>
      </c>
      <c r="AI412" s="14" t="str">
        <f ca="1">IF(WFTracker[[#This Row],[Impact Time Post RM]]&lt;=0,"ON TIME","LATE")</f>
        <v>ON TIME</v>
      </c>
      <c r="AJ412" s="14" t="s">
        <v>984</v>
      </c>
      <c r="AK412" s="14">
        <v>18</v>
      </c>
      <c r="AL412" s="915">
        <f>IF(WFTracker[[#This Row],[Type]]="MAKE", WFTracker[[#This Row],[Due date]]+Filters!$J$111, WFTracker[[#This Row],[Due date]]+Filters!$J$135)</f>
        <v>45943.072512647552</v>
      </c>
      <c r="AM412" s="101" cm="1">
        <f t="array" ref="AM4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3" spans="1:39" ht="15" customHeight="1">
      <c r="A413" t="str">
        <f>IF(WFTracker[[#This Row],[Order Number]]="SWBD", "QED2", "PZ4")</f>
        <v>PZ4</v>
      </c>
      <c r="B413" s="21" t="s">
        <v>530</v>
      </c>
      <c r="C413" s="21" t="s">
        <v>135</v>
      </c>
      <c r="D413" s="11" t="str">
        <f>WFTracker[[#This Row],[Order Number]]  &amp; "-" &amp; WFTracker[[#This Row],[Item]]</f>
        <v>0051378342-000010</v>
      </c>
      <c r="E413" s="23" t="s">
        <v>532</v>
      </c>
      <c r="F413" s="12">
        <v>45957</v>
      </c>
      <c r="G413" s="12"/>
      <c r="H413" s="11" t="s">
        <v>104</v>
      </c>
      <c r="I413" s="11" t="s">
        <v>111</v>
      </c>
      <c r="J413" s="55" t="s">
        <v>1333</v>
      </c>
      <c r="K413" s="14" t="s">
        <v>1023</v>
      </c>
      <c r="L413" s="15" t="s">
        <v>27</v>
      </c>
      <c r="M413" s="29" t="s">
        <v>1123</v>
      </c>
      <c r="N413" s="57">
        <v>46114</v>
      </c>
      <c r="O413" s="15">
        <f>NETWORKDAYS.INTL(WFTracker[[#This Row],[Start date]],WFTracker[[#This Row],[RM]],1,Holidays!D406:D421)</f>
        <v>17</v>
      </c>
      <c r="P413" s="12">
        <v>45933</v>
      </c>
      <c r="Q413" s="12">
        <v>45940</v>
      </c>
      <c r="R413" s="12">
        <v>45951</v>
      </c>
      <c r="S413" s="12" t="b">
        <f>ISBLANK(WFTracker[[#This Row],[Completion Date]])</f>
        <v>0</v>
      </c>
      <c r="T413" s="12" t="str">
        <f>TEXT(WFTracker[[#This Row],[Start date]],"mmm-yyyy")</f>
        <v>Oct-2025</v>
      </c>
      <c r="U413" s="11">
        <v>10</v>
      </c>
      <c r="V413" s="11">
        <f>NETWORKDAYS.INTL(WFTracker[[#This Row],[Start date]],WFTracker[[#This Row],[Due date]],1,Holidays!D406:D421)</f>
        <v>6</v>
      </c>
      <c r="W4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13" s="24">
        <f ca="1">WFTracker[[#This Row],[Active Time]]-WFTracker[[#This Row],[Completion Days Template]]</f>
        <v>7</v>
      </c>
      <c r="Y413" s="16" t="str">
        <f ca="1" xml:space="preserve"> IF(WFTracker[[#This Row],[Overdue Time '[Expected-Completion']]]&gt;0, "LATE","ON TIME")</f>
        <v>LATE</v>
      </c>
      <c r="Z413" s="16" t="str">
        <f ca="1">IF(WFTracker[[#This Row],[Overdue Time '[Expected-Completion']]] &gt;= 15, "SUPER LATE", Y413)</f>
        <v>LATE</v>
      </c>
      <c r="AA413" s="37" t="str">
        <f>IF(WFTracker[[#This Row],[Pre RM Opening Time]]&lt;WFTracker[[#This Row],[Old vs New Order Lead Time WF dead line]], "LATE BY ENG", "ON TIME BY ENG")</f>
        <v>ON TIME BY ENG</v>
      </c>
      <c r="AB413" s="37"/>
      <c r="AC413" s="15" t="str">
        <f>IF(WFTracker[[#This Row],[Competion Date Content]] = FALSE, "C", "i")</f>
        <v>C</v>
      </c>
      <c r="AD4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13" s="37" t="str">
        <f ca="1">IF(WFTracker[[#This Row],[Impact Time Post RM]]&gt;0, "IMPACTED", "NOT IMPACTED")</f>
        <v>NOT IMPACTED</v>
      </c>
      <c r="AF413" s="15"/>
      <c r="AG413" s="18"/>
      <c r="AH413" s="14" t="str">
        <f>IF(WFTracker[[#This Row],[Status]]="C", "Closed", IF(WFTracker[[#This Row],[Status]] = "x", "Cancelled", WFTracker[[#This Row],[Impact Time Post RM]]))</f>
        <v>Closed</v>
      </c>
      <c r="AI413" s="14" t="str">
        <f ca="1">IF(WFTracker[[#This Row],[Impact Time Post RM]]&lt;=0,"ON TIME","LATE")</f>
        <v>ON TIME</v>
      </c>
      <c r="AJ413" s="14" t="s">
        <v>984</v>
      </c>
      <c r="AK413" s="14">
        <v>18</v>
      </c>
      <c r="AL413" s="915">
        <f>IF(WFTracker[[#This Row],[Type]]="MAKE", WFTracker[[#This Row],[Due date]]+Filters!$J$111, WFTracker[[#This Row],[Due date]]+Filters!$J$135)</f>
        <v>45943.072512647552</v>
      </c>
      <c r="AM413" s="101" cm="1">
        <f t="array" ref="AM4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4" spans="1:39" ht="15" customHeight="1">
      <c r="A414" t="str">
        <f>IF(WFTracker[[#This Row],[Order Number]]="SWBD", "QED2", "PZ4")</f>
        <v>PZ4</v>
      </c>
      <c r="B414" s="21" t="s">
        <v>530</v>
      </c>
      <c r="C414" s="26" t="s">
        <v>135</v>
      </c>
      <c r="D414" s="11" t="str">
        <f>WFTracker[[#This Row],[Order Number]]  &amp; "-" &amp; WFTracker[[#This Row],[Item]]</f>
        <v>0051378342-000010</v>
      </c>
      <c r="E414" s="23" t="s">
        <v>532</v>
      </c>
      <c r="F414" s="12">
        <v>45957</v>
      </c>
      <c r="G414" s="12"/>
      <c r="H414" s="11" t="s">
        <v>104</v>
      </c>
      <c r="I414" s="11" t="s">
        <v>111</v>
      </c>
      <c r="J414" s="55" t="s">
        <v>1334</v>
      </c>
      <c r="K414" s="14" t="s">
        <v>1023</v>
      </c>
      <c r="L414" s="15" t="s">
        <v>27</v>
      </c>
      <c r="M414" s="29" t="s">
        <v>1123</v>
      </c>
      <c r="N414" s="57">
        <v>46114</v>
      </c>
      <c r="O414" s="15">
        <f>NETWORKDAYS.INTL(WFTracker[[#This Row],[Start date]],WFTracker[[#This Row],[RM]],1,Holidays!D407:D422)</f>
        <v>17</v>
      </c>
      <c r="P414" s="12">
        <v>45933</v>
      </c>
      <c r="Q414" s="12">
        <v>45940</v>
      </c>
      <c r="R414" s="12">
        <v>45958</v>
      </c>
      <c r="S414" s="12" t="b">
        <f>ISBLANK(WFTracker[[#This Row],[Completion Date]])</f>
        <v>0</v>
      </c>
      <c r="T414" s="12" t="str">
        <f>TEXT(WFTracker[[#This Row],[Start date]],"mmm-yyyy")</f>
        <v>Oct-2025</v>
      </c>
      <c r="U414" s="11">
        <v>10</v>
      </c>
      <c r="V414" s="11">
        <f>NETWORKDAYS.INTL(WFTracker[[#This Row],[Start date]],WFTracker[[#This Row],[Due date]],1,Holidays!D407:D422)</f>
        <v>6</v>
      </c>
      <c r="W4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414" s="24">
        <f ca="1">WFTracker[[#This Row],[Active Time]]-WFTracker[[#This Row],[Completion Days Template]]</f>
        <v>12</v>
      </c>
      <c r="Y414" s="16" t="str">
        <f ca="1" xml:space="preserve"> IF(WFTracker[[#This Row],[Overdue Time '[Expected-Completion']]]&gt;0, "LATE","ON TIME")</f>
        <v>LATE</v>
      </c>
      <c r="Z414" s="16" t="str">
        <f ca="1">IF(WFTracker[[#This Row],[Overdue Time '[Expected-Completion']]] &gt;= 15, "SUPER LATE", Y414)</f>
        <v>LATE</v>
      </c>
      <c r="AA414" s="37" t="str">
        <f>IF(WFTracker[[#This Row],[Pre RM Opening Time]]&lt;WFTracker[[#This Row],[Old vs New Order Lead Time WF dead line]], "LATE BY ENG", "ON TIME BY ENG")</f>
        <v>ON TIME BY ENG</v>
      </c>
      <c r="AB414" s="37"/>
      <c r="AC414" s="15" t="str">
        <f>IF(WFTracker[[#This Row],[Competion Date Content]] = FALSE, "C", "i")</f>
        <v>C</v>
      </c>
      <c r="AD4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14" s="37" t="str">
        <f ca="1">IF(WFTracker[[#This Row],[Impact Time Post RM]]&gt;0, "IMPACTED", "NOT IMPACTED")</f>
        <v>IMPACTED</v>
      </c>
      <c r="AF414" s="15"/>
      <c r="AG414" s="18"/>
      <c r="AH414" s="14" t="str">
        <f>IF(WFTracker[[#This Row],[Status]]="C", "Closed", IF(WFTracker[[#This Row],[Status]] = "x", "Cancelled", WFTracker[[#This Row],[Impact Time Post RM]]))</f>
        <v>Closed</v>
      </c>
      <c r="AI414" s="14" t="str">
        <f ca="1">IF(WFTracker[[#This Row],[Impact Time Post RM]]&lt;=0,"ON TIME","LATE")</f>
        <v>LATE</v>
      </c>
      <c r="AJ414" s="14" t="s">
        <v>984</v>
      </c>
      <c r="AK414" s="14">
        <v>18</v>
      </c>
      <c r="AL414" s="915">
        <f>IF(WFTracker[[#This Row],[Type]]="MAKE", WFTracker[[#This Row],[Due date]]+Filters!$J$111, WFTracker[[#This Row],[Due date]]+Filters!$J$135)</f>
        <v>45943.072512647552</v>
      </c>
      <c r="AM414" s="101" cm="1">
        <f t="array" ref="AM4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5" spans="1:39" ht="15" customHeight="1">
      <c r="A415" t="str">
        <f>IF(WFTracker[[#This Row],[Order Number]]="SWBD", "QED2", "PZ4")</f>
        <v>PZ4</v>
      </c>
      <c r="B415" s="21" t="s">
        <v>530</v>
      </c>
      <c r="C415" s="26" t="s">
        <v>135</v>
      </c>
      <c r="D415" s="11" t="str">
        <f>WFTracker[[#This Row],[Order Number]]  &amp; "-" &amp; WFTracker[[#This Row],[Item]]</f>
        <v>0051378342-000010</v>
      </c>
      <c r="E415" s="23" t="s">
        <v>532</v>
      </c>
      <c r="F415" s="12">
        <v>45957</v>
      </c>
      <c r="G415" s="12"/>
      <c r="H415" s="11" t="s">
        <v>104</v>
      </c>
      <c r="I415" s="11" t="s">
        <v>111</v>
      </c>
      <c r="J415" s="55" t="s">
        <v>1335</v>
      </c>
      <c r="K415" s="14" t="s">
        <v>1017</v>
      </c>
      <c r="L415" s="15" t="s">
        <v>27</v>
      </c>
      <c r="M415" s="29" t="s">
        <v>1123</v>
      </c>
      <c r="N415" s="56">
        <v>46114</v>
      </c>
      <c r="O415" s="15">
        <f>NETWORKDAYS.INTL(WFTracker[[#This Row],[Start date]],WFTracker[[#This Row],[RM]],1,Holidays!D408:D423)</f>
        <v>17</v>
      </c>
      <c r="P415" s="12">
        <v>45933</v>
      </c>
      <c r="Q415" s="12">
        <v>45940</v>
      </c>
      <c r="R415" s="12">
        <v>45957</v>
      </c>
      <c r="S415" s="12" t="b">
        <f>ISBLANK(WFTracker[[#This Row],[Completion Date]])</f>
        <v>0</v>
      </c>
      <c r="T415" s="12" t="str">
        <f>TEXT(WFTracker[[#This Row],[Start date]],"mmm-yyyy")</f>
        <v>Oct-2025</v>
      </c>
      <c r="U415" s="11">
        <v>10</v>
      </c>
      <c r="V415" s="11">
        <f>NETWORKDAYS.INTL(WFTracker[[#This Row],[Start date]],WFTracker[[#This Row],[Due date]],1,Holidays!D408:D423)</f>
        <v>6</v>
      </c>
      <c r="W4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415" s="24">
        <f ca="1">WFTracker[[#This Row],[Active Time]]-WFTracker[[#This Row],[Completion Days Template]]</f>
        <v>11</v>
      </c>
      <c r="Y415" s="16" t="str">
        <f ca="1" xml:space="preserve"> IF(WFTracker[[#This Row],[Overdue Time '[Expected-Completion']]]&gt;0, "LATE","ON TIME")</f>
        <v>LATE</v>
      </c>
      <c r="Z415" s="16" t="str">
        <f ca="1">IF(WFTracker[[#This Row],[Overdue Time '[Expected-Completion']]] &gt;= 15, "SUPER LATE", Y415)</f>
        <v>LATE</v>
      </c>
      <c r="AA415" s="37" t="str">
        <f>IF(WFTracker[[#This Row],[Pre RM Opening Time]]&lt;WFTracker[[#This Row],[Old vs New Order Lead Time WF dead line]], "LATE BY ENG", "ON TIME BY ENG")</f>
        <v>ON TIME BY ENG</v>
      </c>
      <c r="AB415" s="37"/>
      <c r="AC415" s="15" t="str">
        <f>IF(WFTracker[[#This Row],[Competion Date Content]] = FALSE, "C", "i")</f>
        <v>C</v>
      </c>
      <c r="AD4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15" s="37" t="str">
        <f ca="1">IF(WFTracker[[#This Row],[Impact Time Post RM]]&gt;0, "IMPACTED", "NOT IMPACTED")</f>
        <v>IMPACTED</v>
      </c>
      <c r="AF415" s="15"/>
      <c r="AG415" s="18"/>
      <c r="AH415" s="14" t="str">
        <f>IF(WFTracker[[#This Row],[Status]]="C", "Closed", IF(WFTracker[[#This Row],[Status]] = "x", "Cancelled", WFTracker[[#This Row],[Impact Time Post RM]]))</f>
        <v>Closed</v>
      </c>
      <c r="AI415" s="14" t="str">
        <f ca="1">IF(WFTracker[[#This Row],[Impact Time Post RM]]&lt;=0,"ON TIME","LATE")</f>
        <v>LATE</v>
      </c>
      <c r="AJ415" s="14" t="s">
        <v>984</v>
      </c>
      <c r="AK415" s="14">
        <v>18</v>
      </c>
      <c r="AL415" s="915">
        <f>IF(WFTracker[[#This Row],[Type]]="MAKE", WFTracker[[#This Row],[Due date]]+Filters!$J$111, WFTracker[[#This Row],[Due date]]+Filters!$J$135)</f>
        <v>45943.072512647552</v>
      </c>
      <c r="AM415" s="101" cm="1">
        <f t="array" ref="AM4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6" spans="1:39" ht="15" customHeight="1">
      <c r="A416" t="str">
        <f>IF(WFTracker[[#This Row],[Order Number]]="SWBD", "QED2", "PZ4")</f>
        <v>PZ4</v>
      </c>
      <c r="B416" s="21" t="s">
        <v>530</v>
      </c>
      <c r="C416" s="21" t="s">
        <v>135</v>
      </c>
      <c r="D416" s="11" t="str">
        <f>WFTracker[[#This Row],[Order Number]]  &amp; "-" &amp; WFTracker[[#This Row],[Item]]</f>
        <v>0051378342-000010</v>
      </c>
      <c r="E416" s="23" t="s">
        <v>532</v>
      </c>
      <c r="F416" s="12">
        <v>45957</v>
      </c>
      <c r="G416" s="12"/>
      <c r="H416" s="11" t="s">
        <v>104</v>
      </c>
      <c r="I416" s="11" t="s">
        <v>111</v>
      </c>
      <c r="J416" s="55" t="s">
        <v>1336</v>
      </c>
      <c r="K416" s="14" t="s">
        <v>1023</v>
      </c>
      <c r="L416" s="15" t="s">
        <v>27</v>
      </c>
      <c r="M416" s="29" t="s">
        <v>1123</v>
      </c>
      <c r="N416" s="57">
        <v>46114</v>
      </c>
      <c r="O416" s="15">
        <f>NETWORKDAYS.INTL(WFTracker[[#This Row],[Start date]],WFTracker[[#This Row],[RM]],1,Holidays!D409:D424)</f>
        <v>17</v>
      </c>
      <c r="P416" s="12">
        <v>45933</v>
      </c>
      <c r="Q416" s="12">
        <v>45940</v>
      </c>
      <c r="R416" s="12">
        <v>45958</v>
      </c>
      <c r="S416" s="12" t="b">
        <f>ISBLANK(WFTracker[[#This Row],[Completion Date]])</f>
        <v>0</v>
      </c>
      <c r="T416" s="12" t="str">
        <f>TEXT(WFTracker[[#This Row],[Start date]],"mmm-yyyy")</f>
        <v>Oct-2025</v>
      </c>
      <c r="U416" s="11">
        <v>10</v>
      </c>
      <c r="V416" s="11">
        <f>NETWORKDAYS.INTL(WFTracker[[#This Row],[Start date]],WFTracker[[#This Row],[Due date]],1,Holidays!D409:D424)</f>
        <v>6</v>
      </c>
      <c r="W4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416" s="24">
        <f ca="1">WFTracker[[#This Row],[Active Time]]-WFTracker[[#This Row],[Completion Days Template]]</f>
        <v>12</v>
      </c>
      <c r="Y416" s="16" t="str">
        <f ca="1" xml:space="preserve"> IF(WFTracker[[#This Row],[Overdue Time '[Expected-Completion']]]&gt;0, "LATE","ON TIME")</f>
        <v>LATE</v>
      </c>
      <c r="Z416" s="16" t="str">
        <f ca="1">IF(WFTracker[[#This Row],[Overdue Time '[Expected-Completion']]] &gt;= 15, "SUPER LATE", Y416)</f>
        <v>LATE</v>
      </c>
      <c r="AA416" s="37" t="str">
        <f>IF(WFTracker[[#This Row],[Pre RM Opening Time]]&lt;WFTracker[[#This Row],[Old vs New Order Lead Time WF dead line]], "LATE BY ENG", "ON TIME BY ENG")</f>
        <v>ON TIME BY ENG</v>
      </c>
      <c r="AB416" s="37"/>
      <c r="AC416" s="15" t="str">
        <f>IF(WFTracker[[#This Row],[Competion Date Content]] = FALSE, "C", "i")</f>
        <v>C</v>
      </c>
      <c r="AD4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16" s="37" t="str">
        <f ca="1">IF(WFTracker[[#This Row],[Impact Time Post RM]]&gt;0, "IMPACTED", "NOT IMPACTED")</f>
        <v>IMPACTED</v>
      </c>
      <c r="AF416" s="15"/>
      <c r="AG416" s="18"/>
      <c r="AH416" s="14" t="str">
        <f>IF(WFTracker[[#This Row],[Status]]="C", "Closed", IF(WFTracker[[#This Row],[Status]] = "x", "Cancelled", WFTracker[[#This Row],[Impact Time Post RM]]))</f>
        <v>Closed</v>
      </c>
      <c r="AI416" s="14" t="str">
        <f ca="1">IF(WFTracker[[#This Row],[Impact Time Post RM]]&lt;=0,"ON TIME","LATE")</f>
        <v>LATE</v>
      </c>
      <c r="AJ416" s="14" t="s">
        <v>984</v>
      </c>
      <c r="AK416" s="14">
        <v>18</v>
      </c>
      <c r="AL416" s="915">
        <f>IF(WFTracker[[#This Row],[Type]]="MAKE", WFTracker[[#This Row],[Due date]]+Filters!$J$111, WFTracker[[#This Row],[Due date]]+Filters!$J$135)</f>
        <v>45943.072512647552</v>
      </c>
      <c r="AM416" s="101" cm="1">
        <f t="array" ref="AM4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7" spans="1:39" ht="15" customHeight="1">
      <c r="A417" t="str">
        <f>IF(WFTracker[[#This Row],[Order Number]]="SWBD", "QED2", "PZ4")</f>
        <v>PZ4</v>
      </c>
      <c r="B417" s="21" t="s">
        <v>530</v>
      </c>
      <c r="C417" s="21" t="s">
        <v>135</v>
      </c>
      <c r="D417" s="11" t="str">
        <f>WFTracker[[#This Row],[Order Number]]  &amp; "-" &amp; WFTracker[[#This Row],[Item]]</f>
        <v>0051378342-000010</v>
      </c>
      <c r="E417" s="23" t="s">
        <v>532</v>
      </c>
      <c r="F417" s="12">
        <v>45957</v>
      </c>
      <c r="G417" s="12"/>
      <c r="H417" s="11" t="s">
        <v>104</v>
      </c>
      <c r="I417" s="11" t="s">
        <v>111</v>
      </c>
      <c r="J417" s="55" t="s">
        <v>1337</v>
      </c>
      <c r="K417" s="14" t="s">
        <v>1023</v>
      </c>
      <c r="L417" s="15" t="s">
        <v>27</v>
      </c>
      <c r="M417" s="29" t="s">
        <v>1123</v>
      </c>
      <c r="N417" s="57">
        <v>46114</v>
      </c>
      <c r="O417" s="15">
        <f>NETWORKDAYS.INTL(WFTracker[[#This Row],[Start date]],WFTracker[[#This Row],[RM]],1,Holidays!D410:D425)</f>
        <v>17</v>
      </c>
      <c r="P417" s="12">
        <v>45933</v>
      </c>
      <c r="Q417" s="12">
        <v>45940</v>
      </c>
      <c r="R417" s="12">
        <v>45957</v>
      </c>
      <c r="S417" s="12" t="b">
        <f>ISBLANK(WFTracker[[#This Row],[Completion Date]])</f>
        <v>0</v>
      </c>
      <c r="T417" s="12" t="str">
        <f>TEXT(WFTracker[[#This Row],[Start date]],"mmm-yyyy")</f>
        <v>Oct-2025</v>
      </c>
      <c r="U417" s="11">
        <v>10</v>
      </c>
      <c r="V417" s="11">
        <f>NETWORKDAYS.INTL(WFTracker[[#This Row],[Start date]],WFTracker[[#This Row],[Due date]],1,Holidays!D410:D425)</f>
        <v>6</v>
      </c>
      <c r="W4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417" s="24">
        <f ca="1">WFTracker[[#This Row],[Active Time]]-WFTracker[[#This Row],[Completion Days Template]]</f>
        <v>11</v>
      </c>
      <c r="Y417" s="16" t="str">
        <f ca="1" xml:space="preserve"> IF(WFTracker[[#This Row],[Overdue Time '[Expected-Completion']]]&gt;0, "LATE","ON TIME")</f>
        <v>LATE</v>
      </c>
      <c r="Z417" s="16" t="str">
        <f ca="1">IF(WFTracker[[#This Row],[Overdue Time '[Expected-Completion']]] &gt;= 15, "SUPER LATE", Y417)</f>
        <v>LATE</v>
      </c>
      <c r="AA417" s="37" t="str">
        <f>IF(WFTracker[[#This Row],[Pre RM Opening Time]]&lt;WFTracker[[#This Row],[Old vs New Order Lead Time WF dead line]], "LATE BY ENG", "ON TIME BY ENG")</f>
        <v>ON TIME BY ENG</v>
      </c>
      <c r="AB417" s="37"/>
      <c r="AC417" s="15" t="str">
        <f>IF(WFTracker[[#This Row],[Competion Date Content]] = FALSE, "C", "i")</f>
        <v>C</v>
      </c>
      <c r="AD4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17" s="37" t="str">
        <f ca="1">IF(WFTracker[[#This Row],[Impact Time Post RM]]&gt;0, "IMPACTED", "NOT IMPACTED")</f>
        <v>IMPACTED</v>
      </c>
      <c r="AF417" s="15"/>
      <c r="AG417" s="18"/>
      <c r="AH417" s="14" t="str">
        <f>IF(WFTracker[[#This Row],[Status]]="C", "Closed", IF(WFTracker[[#This Row],[Status]] = "x", "Cancelled", WFTracker[[#This Row],[Impact Time Post RM]]))</f>
        <v>Closed</v>
      </c>
      <c r="AI417" s="14" t="str">
        <f ca="1">IF(WFTracker[[#This Row],[Impact Time Post RM]]&lt;=0,"ON TIME","LATE")</f>
        <v>LATE</v>
      </c>
      <c r="AJ417" s="14" t="s">
        <v>984</v>
      </c>
      <c r="AK417" s="14">
        <v>18</v>
      </c>
      <c r="AL417" s="915">
        <f>IF(WFTracker[[#This Row],[Type]]="MAKE", WFTracker[[#This Row],[Due date]]+Filters!$J$111, WFTracker[[#This Row],[Due date]]+Filters!$J$135)</f>
        <v>45943.072512647552</v>
      </c>
      <c r="AM417" s="101" cm="1">
        <f t="array" ref="AM4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8" spans="1:39" ht="15" customHeight="1">
      <c r="A418" t="str">
        <f>IF(WFTracker[[#This Row],[Order Number]]="SWBD", "QED2", "PZ4")</f>
        <v>PZ4</v>
      </c>
      <c r="B418" s="21" t="s">
        <v>530</v>
      </c>
      <c r="C418" s="21" t="s">
        <v>135</v>
      </c>
      <c r="D418" s="11" t="str">
        <f>WFTracker[[#This Row],[Order Number]]  &amp; "-" &amp; WFTracker[[#This Row],[Item]]</f>
        <v>0051378342-000010</v>
      </c>
      <c r="E418" s="23" t="s">
        <v>532</v>
      </c>
      <c r="F418" s="12">
        <v>45957</v>
      </c>
      <c r="G418" s="12"/>
      <c r="H418" s="11" t="s">
        <v>104</v>
      </c>
      <c r="I418" s="11" t="s">
        <v>111</v>
      </c>
      <c r="J418" s="55" t="s">
        <v>1338</v>
      </c>
      <c r="K418" s="14" t="s">
        <v>1023</v>
      </c>
      <c r="L418" s="15" t="s">
        <v>27</v>
      </c>
      <c r="M418" s="29" t="s">
        <v>1123</v>
      </c>
      <c r="N418" s="57">
        <v>46114</v>
      </c>
      <c r="O418" s="15">
        <f>NETWORKDAYS.INTL(WFTracker[[#This Row],[Start date]],WFTracker[[#This Row],[RM]],1,Holidays!D411:D426)</f>
        <v>17</v>
      </c>
      <c r="P418" s="12">
        <v>45933</v>
      </c>
      <c r="Q418" s="12">
        <v>45940</v>
      </c>
      <c r="R418" s="12">
        <v>45958</v>
      </c>
      <c r="S418" s="12" t="b">
        <f>ISBLANK(WFTracker[[#This Row],[Completion Date]])</f>
        <v>0</v>
      </c>
      <c r="T418" s="12" t="str">
        <f>TEXT(WFTracker[[#This Row],[Start date]],"mmm-yyyy")</f>
        <v>Oct-2025</v>
      </c>
      <c r="U418" s="11">
        <v>10</v>
      </c>
      <c r="V418" s="11">
        <f>NETWORKDAYS.INTL(WFTracker[[#This Row],[Start date]],WFTracker[[#This Row],[Due date]],1,Holidays!D411:D426)</f>
        <v>6</v>
      </c>
      <c r="W4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418" s="24">
        <f ca="1">WFTracker[[#This Row],[Active Time]]-WFTracker[[#This Row],[Completion Days Template]]</f>
        <v>12</v>
      </c>
      <c r="Y418" s="16" t="str">
        <f ca="1" xml:space="preserve"> IF(WFTracker[[#This Row],[Overdue Time '[Expected-Completion']]]&gt;0, "LATE","ON TIME")</f>
        <v>LATE</v>
      </c>
      <c r="Z418" s="16" t="str">
        <f ca="1">IF(WFTracker[[#This Row],[Overdue Time '[Expected-Completion']]] &gt;= 15, "SUPER LATE", Y418)</f>
        <v>LATE</v>
      </c>
      <c r="AA418" s="37" t="str">
        <f>IF(WFTracker[[#This Row],[Pre RM Opening Time]]&lt;WFTracker[[#This Row],[Old vs New Order Lead Time WF dead line]], "LATE BY ENG", "ON TIME BY ENG")</f>
        <v>ON TIME BY ENG</v>
      </c>
      <c r="AB418" s="37"/>
      <c r="AC418" s="15" t="str">
        <f>IF(WFTracker[[#This Row],[Competion Date Content]] = FALSE, "C", "i")</f>
        <v>C</v>
      </c>
      <c r="AD4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18" s="37" t="str">
        <f ca="1">IF(WFTracker[[#This Row],[Impact Time Post RM]]&gt;0, "IMPACTED", "NOT IMPACTED")</f>
        <v>IMPACTED</v>
      </c>
      <c r="AF418" s="15"/>
      <c r="AG418" s="18"/>
      <c r="AH418" s="14" t="str">
        <f>IF(WFTracker[[#This Row],[Status]]="C", "Closed", IF(WFTracker[[#This Row],[Status]] = "x", "Cancelled", WFTracker[[#This Row],[Impact Time Post RM]]))</f>
        <v>Closed</v>
      </c>
      <c r="AI418" s="14" t="str">
        <f ca="1">IF(WFTracker[[#This Row],[Impact Time Post RM]]&lt;=0,"ON TIME","LATE")</f>
        <v>LATE</v>
      </c>
      <c r="AJ418" s="14" t="s">
        <v>984</v>
      </c>
      <c r="AK418" s="14">
        <v>18</v>
      </c>
      <c r="AL418" s="915">
        <f>IF(WFTracker[[#This Row],[Type]]="MAKE", WFTracker[[#This Row],[Due date]]+Filters!$J$111, WFTracker[[#This Row],[Due date]]+Filters!$J$135)</f>
        <v>45943.072512647552</v>
      </c>
      <c r="AM418" s="101" cm="1">
        <f t="array" ref="AM4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19" spans="1:39" ht="15" customHeight="1">
      <c r="A419" t="str">
        <f>IF(WFTracker[[#This Row],[Order Number]]="SWBD", "QED2", "PZ4")</f>
        <v>PZ4</v>
      </c>
      <c r="B419" s="21" t="s">
        <v>530</v>
      </c>
      <c r="C419" s="21" t="s">
        <v>135</v>
      </c>
      <c r="D419" s="11" t="str">
        <f>WFTracker[[#This Row],[Order Number]]  &amp; "-" &amp; WFTracker[[#This Row],[Item]]</f>
        <v>0051378342-000010</v>
      </c>
      <c r="E419" s="23" t="s">
        <v>532</v>
      </c>
      <c r="F419" s="12">
        <v>45957</v>
      </c>
      <c r="G419" s="12"/>
      <c r="H419" s="11" t="s">
        <v>104</v>
      </c>
      <c r="I419" s="11" t="s">
        <v>111</v>
      </c>
      <c r="J419" s="55" t="s">
        <v>1339</v>
      </c>
      <c r="K419" s="14" t="s">
        <v>1023</v>
      </c>
      <c r="L419" s="15" t="s">
        <v>27</v>
      </c>
      <c r="M419" s="29" t="s">
        <v>1123</v>
      </c>
      <c r="N419" s="57">
        <v>46114</v>
      </c>
      <c r="O419" s="15">
        <f>NETWORKDAYS.INTL(WFTracker[[#This Row],[Start date]],WFTracker[[#This Row],[RM]],1,Holidays!D412:D427)</f>
        <v>17</v>
      </c>
      <c r="P419" s="12">
        <v>45933</v>
      </c>
      <c r="Q419" s="12">
        <v>45943</v>
      </c>
      <c r="R419" s="12">
        <v>45951</v>
      </c>
      <c r="S419" s="12" t="b">
        <f>ISBLANK(WFTracker[[#This Row],[Completion Date]])</f>
        <v>0</v>
      </c>
      <c r="T419" s="12" t="str">
        <f>TEXT(WFTracker[[#This Row],[Start date]],"mmm-yyyy")</f>
        <v>Oct-2025</v>
      </c>
      <c r="U419" s="11">
        <v>10</v>
      </c>
      <c r="V419" s="11">
        <f>NETWORKDAYS.INTL(WFTracker[[#This Row],[Start date]],WFTracker[[#This Row],[Due date]],1,Holidays!D412:D427)</f>
        <v>7</v>
      </c>
      <c r="W4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19" s="24">
        <f ca="1">WFTracker[[#This Row],[Active Time]]-WFTracker[[#This Row],[Completion Days Template]]</f>
        <v>6</v>
      </c>
      <c r="Y419" s="16" t="str">
        <f ca="1" xml:space="preserve"> IF(WFTracker[[#This Row],[Overdue Time '[Expected-Completion']]]&gt;0, "LATE","ON TIME")</f>
        <v>LATE</v>
      </c>
      <c r="Z419" s="16" t="str">
        <f ca="1">IF(WFTracker[[#This Row],[Overdue Time '[Expected-Completion']]] &gt;= 15, "SUPER LATE", Y419)</f>
        <v>LATE</v>
      </c>
      <c r="AA419" s="37" t="str">
        <f>IF(WFTracker[[#This Row],[Pre RM Opening Time]]&lt;WFTracker[[#This Row],[Old vs New Order Lead Time WF dead line]], "LATE BY ENG", "ON TIME BY ENG")</f>
        <v>ON TIME BY ENG</v>
      </c>
      <c r="AB419" s="37"/>
      <c r="AC419" s="15" t="str">
        <f>IF(WFTracker[[#This Row],[Competion Date Content]] = FALSE, "C", "i")</f>
        <v>C</v>
      </c>
      <c r="AD4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19" s="37" t="str">
        <f ca="1">IF(WFTracker[[#This Row],[Impact Time Post RM]]&gt;0, "IMPACTED", "NOT IMPACTED")</f>
        <v>NOT IMPACTED</v>
      </c>
      <c r="AF419" s="15"/>
      <c r="AG419" s="18"/>
      <c r="AH419" s="14" t="str">
        <f>IF(WFTracker[[#This Row],[Status]]="C", "Closed", IF(WFTracker[[#This Row],[Status]] = "x", "Cancelled", WFTracker[[#This Row],[Impact Time Post RM]]))</f>
        <v>Closed</v>
      </c>
      <c r="AI419" s="14" t="str">
        <f ca="1">IF(WFTracker[[#This Row],[Impact Time Post RM]]&lt;=0,"ON TIME","LATE")</f>
        <v>ON TIME</v>
      </c>
      <c r="AJ419" s="14" t="s">
        <v>984</v>
      </c>
      <c r="AK419" s="14">
        <v>18</v>
      </c>
      <c r="AL419" s="915">
        <f>IF(WFTracker[[#This Row],[Type]]="MAKE", WFTracker[[#This Row],[Due date]]+Filters!$J$111, WFTracker[[#This Row],[Due date]]+Filters!$J$135)</f>
        <v>45946.072512647552</v>
      </c>
      <c r="AM419" s="101" cm="1">
        <f t="array" ref="AM4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0" spans="1:39" ht="15" customHeight="1">
      <c r="A420" t="str">
        <f>IF(WFTracker[[#This Row],[Order Number]]="SWBD", "QED2", "PZ4")</f>
        <v>PZ4</v>
      </c>
      <c r="B420" s="21" t="s">
        <v>530</v>
      </c>
      <c r="C420" s="21" t="s">
        <v>135</v>
      </c>
      <c r="D420" s="11" t="str">
        <f>WFTracker[[#This Row],[Order Number]]  &amp; "-" &amp; WFTracker[[#This Row],[Item]]</f>
        <v>0051378342-000010</v>
      </c>
      <c r="E420" s="23" t="s">
        <v>532</v>
      </c>
      <c r="F420" s="12">
        <v>45957</v>
      </c>
      <c r="G420" s="12"/>
      <c r="H420" s="11" t="s">
        <v>104</v>
      </c>
      <c r="I420" s="11" t="s">
        <v>111</v>
      </c>
      <c r="J420" s="55" t="s">
        <v>563</v>
      </c>
      <c r="K420" s="14" t="s">
        <v>1023</v>
      </c>
      <c r="L420" s="15" t="s">
        <v>27</v>
      </c>
      <c r="M420" s="29" t="s">
        <v>1123</v>
      </c>
      <c r="N420" s="57">
        <v>46114</v>
      </c>
      <c r="O420" s="15">
        <f>NETWORKDAYS.INTL(WFTracker[[#This Row],[Start date]],WFTracker[[#This Row],[RM]],1,Holidays!D413:D428)</f>
        <v>17</v>
      </c>
      <c r="P420" s="12">
        <v>45933</v>
      </c>
      <c r="Q420" s="12">
        <v>45943</v>
      </c>
      <c r="R420" s="12">
        <v>45954</v>
      </c>
      <c r="S420" s="12" t="b">
        <f>ISBLANK(WFTracker[[#This Row],[Completion Date]])</f>
        <v>0</v>
      </c>
      <c r="T420" s="12" t="str">
        <f>TEXT(WFTracker[[#This Row],[Start date]],"mmm-yyyy")</f>
        <v>Oct-2025</v>
      </c>
      <c r="U420" s="11">
        <v>10</v>
      </c>
      <c r="V420" s="11">
        <f>NETWORKDAYS.INTL(WFTracker[[#This Row],[Start date]],WFTracker[[#This Row],[Due date]],1,Holidays!D413:D428)</f>
        <v>7</v>
      </c>
      <c r="W4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420" s="24">
        <f ca="1">WFTracker[[#This Row],[Active Time]]-WFTracker[[#This Row],[Completion Days Template]]</f>
        <v>9</v>
      </c>
      <c r="Y420" s="16" t="str">
        <f ca="1" xml:space="preserve"> IF(WFTracker[[#This Row],[Overdue Time '[Expected-Completion']]]&gt;0, "LATE","ON TIME")</f>
        <v>LATE</v>
      </c>
      <c r="Z420" s="16" t="str">
        <f ca="1">IF(WFTracker[[#This Row],[Overdue Time '[Expected-Completion']]] &gt;= 15, "SUPER LATE", Y420)</f>
        <v>LATE</v>
      </c>
      <c r="AA420" s="37" t="str">
        <f>IF(WFTracker[[#This Row],[Pre RM Opening Time]]&lt;WFTracker[[#This Row],[Old vs New Order Lead Time WF dead line]], "LATE BY ENG", "ON TIME BY ENG")</f>
        <v>ON TIME BY ENG</v>
      </c>
      <c r="AB420" s="37"/>
      <c r="AC420" s="15" t="str">
        <f>IF(WFTracker[[#This Row],[Competion Date Content]] = FALSE, "C", "i")</f>
        <v>C</v>
      </c>
      <c r="AD4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20" s="37" t="str">
        <f ca="1">IF(WFTracker[[#This Row],[Impact Time Post RM]]&gt;0, "IMPACTED", "NOT IMPACTED")</f>
        <v>NOT IMPACTED</v>
      </c>
      <c r="AF420" s="15"/>
      <c r="AG420" s="18"/>
      <c r="AH420" s="14" t="str">
        <f>IF(WFTracker[[#This Row],[Status]]="C", "Closed", IF(WFTracker[[#This Row],[Status]] = "x", "Cancelled", WFTracker[[#This Row],[Impact Time Post RM]]))</f>
        <v>Closed</v>
      </c>
      <c r="AI420" s="14" t="str">
        <f ca="1">IF(WFTracker[[#This Row],[Impact Time Post RM]]&lt;=0,"ON TIME","LATE")</f>
        <v>ON TIME</v>
      </c>
      <c r="AJ420" s="14" t="s">
        <v>984</v>
      </c>
      <c r="AK420" s="14">
        <v>18</v>
      </c>
      <c r="AL420" s="915">
        <f>IF(WFTracker[[#This Row],[Type]]="MAKE", WFTracker[[#This Row],[Due date]]+Filters!$J$111, WFTracker[[#This Row],[Due date]]+Filters!$J$135)</f>
        <v>45946.072512647552</v>
      </c>
      <c r="AM420" s="101" cm="1">
        <f t="array" ref="AM4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1" spans="1:39" ht="15" customHeight="1">
      <c r="A421" t="str">
        <f>IF(WFTracker[[#This Row],[Order Number]]="SWBD", "QED2", "PZ4")</f>
        <v>PZ4</v>
      </c>
      <c r="B421" s="21" t="s">
        <v>530</v>
      </c>
      <c r="C421" s="21" t="s">
        <v>135</v>
      </c>
      <c r="D421" s="11" t="str">
        <f>WFTracker[[#This Row],[Order Number]]  &amp; "-" &amp; WFTracker[[#This Row],[Item]]</f>
        <v>0051378342-000010</v>
      </c>
      <c r="E421" s="23" t="s">
        <v>532</v>
      </c>
      <c r="F421" s="12">
        <v>45957</v>
      </c>
      <c r="G421" s="12"/>
      <c r="H421" s="11" t="s">
        <v>104</v>
      </c>
      <c r="I421" s="11" t="s">
        <v>111</v>
      </c>
      <c r="J421" s="55" t="s">
        <v>1340</v>
      </c>
      <c r="K421" s="14" t="s">
        <v>1023</v>
      </c>
      <c r="L421" s="15" t="s">
        <v>27</v>
      </c>
      <c r="M421" s="29" t="s">
        <v>1123</v>
      </c>
      <c r="N421" s="57">
        <v>46114</v>
      </c>
      <c r="O421" s="15">
        <f>NETWORKDAYS.INTL(WFTracker[[#This Row],[Start date]],WFTracker[[#This Row],[RM]],1,Holidays!D414:D429)</f>
        <v>17</v>
      </c>
      <c r="P421" s="12">
        <v>45933</v>
      </c>
      <c r="Q421" s="12">
        <v>45943</v>
      </c>
      <c r="R421" s="12">
        <v>45958</v>
      </c>
      <c r="S421" s="12" t="b">
        <f>ISBLANK(WFTracker[[#This Row],[Completion Date]])</f>
        <v>0</v>
      </c>
      <c r="T421" s="12" t="str">
        <f>TEXT(WFTracker[[#This Row],[Start date]],"mmm-yyyy")</f>
        <v>Oct-2025</v>
      </c>
      <c r="U421" s="11">
        <v>10</v>
      </c>
      <c r="V421" s="11">
        <f>NETWORKDAYS.INTL(WFTracker[[#This Row],[Start date]],WFTracker[[#This Row],[Due date]],1,Holidays!D414:D429)</f>
        <v>7</v>
      </c>
      <c r="W4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421" s="24">
        <f ca="1">WFTracker[[#This Row],[Active Time]]-WFTracker[[#This Row],[Completion Days Template]]</f>
        <v>11</v>
      </c>
      <c r="Y421" s="16" t="str">
        <f ca="1" xml:space="preserve"> IF(WFTracker[[#This Row],[Overdue Time '[Expected-Completion']]]&gt;0, "LATE","ON TIME")</f>
        <v>LATE</v>
      </c>
      <c r="Z421" s="16" t="str">
        <f ca="1">IF(WFTracker[[#This Row],[Overdue Time '[Expected-Completion']]] &gt;= 15, "SUPER LATE", Y421)</f>
        <v>LATE</v>
      </c>
      <c r="AA421" s="37" t="str">
        <f>IF(WFTracker[[#This Row],[Pre RM Opening Time]]&lt;WFTracker[[#This Row],[Old vs New Order Lead Time WF dead line]], "LATE BY ENG", "ON TIME BY ENG")</f>
        <v>ON TIME BY ENG</v>
      </c>
      <c r="AB421" s="37"/>
      <c r="AC421" s="15" t="str">
        <f>IF(WFTracker[[#This Row],[Competion Date Content]] = FALSE, "C", "i")</f>
        <v>C</v>
      </c>
      <c r="AD4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21" s="37" t="str">
        <f ca="1">IF(WFTracker[[#This Row],[Impact Time Post RM]]&gt;0, "IMPACTED", "NOT IMPACTED")</f>
        <v>IMPACTED</v>
      </c>
      <c r="AF421" s="15"/>
      <c r="AG421" s="18"/>
      <c r="AH421" s="14" t="str">
        <f>IF(WFTracker[[#This Row],[Status]]="C", "Closed", IF(WFTracker[[#This Row],[Status]] = "x", "Cancelled", WFTracker[[#This Row],[Impact Time Post RM]]))</f>
        <v>Closed</v>
      </c>
      <c r="AI421" s="14" t="str">
        <f ca="1">IF(WFTracker[[#This Row],[Impact Time Post RM]]&lt;=0,"ON TIME","LATE")</f>
        <v>LATE</v>
      </c>
      <c r="AJ421" s="14" t="s">
        <v>984</v>
      </c>
      <c r="AK421" s="14">
        <v>18</v>
      </c>
      <c r="AL421" s="915">
        <f>IF(WFTracker[[#This Row],[Type]]="MAKE", WFTracker[[#This Row],[Due date]]+Filters!$J$111, WFTracker[[#This Row],[Due date]]+Filters!$J$135)</f>
        <v>45946.072512647552</v>
      </c>
      <c r="AM421" s="101" cm="1">
        <f t="array" ref="AM4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2" spans="1:39" ht="15" customHeight="1">
      <c r="A422" t="str">
        <f>IF(WFTracker[[#This Row],[Order Number]]="SWBD", "QED2", "PZ4")</f>
        <v>PZ4</v>
      </c>
      <c r="B422" s="21" t="s">
        <v>530</v>
      </c>
      <c r="C422" s="21" t="s">
        <v>135</v>
      </c>
      <c r="D422" s="11" t="str">
        <f>WFTracker[[#This Row],[Order Number]]  &amp; "-" &amp; WFTracker[[#This Row],[Item]]</f>
        <v>0051378342-000010</v>
      </c>
      <c r="E422" s="23" t="s">
        <v>532</v>
      </c>
      <c r="F422" s="12">
        <v>45957</v>
      </c>
      <c r="G422" s="12"/>
      <c r="H422" s="11" t="s">
        <v>104</v>
      </c>
      <c r="I422" s="11" t="s">
        <v>111</v>
      </c>
      <c r="J422" s="55" t="s">
        <v>1341</v>
      </c>
      <c r="K422" s="14" t="s">
        <v>1023</v>
      </c>
      <c r="L422" s="15" t="s">
        <v>27</v>
      </c>
      <c r="M422" s="29" t="s">
        <v>1123</v>
      </c>
      <c r="N422" s="57">
        <v>46114</v>
      </c>
      <c r="O422" s="15">
        <f>NETWORKDAYS.INTL(WFTracker[[#This Row],[Start date]],WFTracker[[#This Row],[RM]],1,Holidays!D415:D430)</f>
        <v>17</v>
      </c>
      <c r="P422" s="12">
        <v>45933</v>
      </c>
      <c r="Q422" s="12">
        <v>45943</v>
      </c>
      <c r="R422" s="12">
        <v>45958</v>
      </c>
      <c r="S422" s="12" t="b">
        <f>ISBLANK(WFTracker[[#This Row],[Completion Date]])</f>
        <v>0</v>
      </c>
      <c r="T422" s="12" t="str">
        <f>TEXT(WFTracker[[#This Row],[Start date]],"mmm-yyyy")</f>
        <v>Oct-2025</v>
      </c>
      <c r="U422" s="11">
        <v>10</v>
      </c>
      <c r="V422" s="11">
        <f>NETWORKDAYS.INTL(WFTracker[[#This Row],[Start date]],WFTracker[[#This Row],[Due date]],1,Holidays!D415:D430)</f>
        <v>7</v>
      </c>
      <c r="W4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422" s="24">
        <f ca="1">WFTracker[[#This Row],[Active Time]]-WFTracker[[#This Row],[Completion Days Template]]</f>
        <v>11</v>
      </c>
      <c r="Y422" s="16" t="str">
        <f ca="1" xml:space="preserve"> IF(WFTracker[[#This Row],[Overdue Time '[Expected-Completion']]]&gt;0, "LATE","ON TIME")</f>
        <v>LATE</v>
      </c>
      <c r="Z422" s="16" t="str">
        <f ca="1">IF(WFTracker[[#This Row],[Overdue Time '[Expected-Completion']]] &gt;= 15, "SUPER LATE", Y422)</f>
        <v>LATE</v>
      </c>
      <c r="AA422" s="37" t="str">
        <f>IF(WFTracker[[#This Row],[Pre RM Opening Time]]&lt;WFTracker[[#This Row],[Old vs New Order Lead Time WF dead line]], "LATE BY ENG", "ON TIME BY ENG")</f>
        <v>ON TIME BY ENG</v>
      </c>
      <c r="AB422" s="37"/>
      <c r="AC422" s="15" t="str">
        <f>IF(WFTracker[[#This Row],[Competion Date Content]] = FALSE, "C", "i")</f>
        <v>C</v>
      </c>
      <c r="AD4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22" s="37" t="str">
        <f ca="1">IF(WFTracker[[#This Row],[Impact Time Post RM]]&gt;0, "IMPACTED", "NOT IMPACTED")</f>
        <v>IMPACTED</v>
      </c>
      <c r="AF422" s="15"/>
      <c r="AG422" s="18"/>
      <c r="AH422" s="14" t="str">
        <f>IF(WFTracker[[#This Row],[Status]]="C", "Closed", IF(WFTracker[[#This Row],[Status]] = "x", "Cancelled", WFTracker[[#This Row],[Impact Time Post RM]]))</f>
        <v>Closed</v>
      </c>
      <c r="AI422" s="14" t="str">
        <f ca="1">IF(WFTracker[[#This Row],[Impact Time Post RM]]&lt;=0,"ON TIME","LATE")</f>
        <v>LATE</v>
      </c>
      <c r="AJ422" s="14" t="s">
        <v>984</v>
      </c>
      <c r="AK422" s="14">
        <v>18</v>
      </c>
      <c r="AL422" s="915">
        <f>IF(WFTracker[[#This Row],[Type]]="MAKE", WFTracker[[#This Row],[Due date]]+Filters!$J$111, WFTracker[[#This Row],[Due date]]+Filters!$J$135)</f>
        <v>45946.072512647552</v>
      </c>
      <c r="AM422" s="101" cm="1">
        <f t="array" ref="AM4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3" spans="1:39" ht="15" customHeight="1">
      <c r="A423" t="str">
        <f>IF(WFTracker[[#This Row],[Order Number]]="SWBD", "QED2", "PZ4")</f>
        <v>PZ4</v>
      </c>
      <c r="B423" s="21" t="s">
        <v>530</v>
      </c>
      <c r="C423" s="26" t="s">
        <v>135</v>
      </c>
      <c r="D423" s="11" t="str">
        <f>WFTracker[[#This Row],[Order Number]]  &amp; "-" &amp; WFTracker[[#This Row],[Item]]</f>
        <v>0051378342-000010</v>
      </c>
      <c r="E423" s="23" t="s">
        <v>532</v>
      </c>
      <c r="F423" s="12">
        <v>45957</v>
      </c>
      <c r="G423" s="12"/>
      <c r="H423" s="11" t="s">
        <v>104</v>
      </c>
      <c r="I423" s="11" t="s">
        <v>111</v>
      </c>
      <c r="J423" s="55" t="s">
        <v>1342</v>
      </c>
      <c r="K423" s="14" t="s">
        <v>1017</v>
      </c>
      <c r="L423" s="15" t="s">
        <v>40</v>
      </c>
      <c r="M423" s="29" t="s">
        <v>1123</v>
      </c>
      <c r="N423" s="56">
        <v>46114</v>
      </c>
      <c r="O423" s="15">
        <f>NETWORKDAYS.INTL(WFTracker[[#This Row],[Start date]],WFTracker[[#This Row],[RM]],1,Holidays!D416:D431)</f>
        <v>17</v>
      </c>
      <c r="P423" s="12">
        <v>45933</v>
      </c>
      <c r="Q423" s="12">
        <v>45945</v>
      </c>
      <c r="R423" s="12">
        <v>45951</v>
      </c>
      <c r="S423" s="12" t="b">
        <f>ISBLANK(WFTracker[[#This Row],[Completion Date]])</f>
        <v>0</v>
      </c>
      <c r="T423" s="12" t="str">
        <f>TEXT(WFTracker[[#This Row],[Start date]],"mmm-yyyy")</f>
        <v>Oct-2025</v>
      </c>
      <c r="U423" s="11">
        <v>10</v>
      </c>
      <c r="V423" s="11">
        <f>NETWORKDAYS.INTL(WFTracker[[#This Row],[Start date]],WFTracker[[#This Row],[Due date]],1,Holidays!D416:D431)</f>
        <v>9</v>
      </c>
      <c r="W4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23" s="24">
        <f ca="1">WFTracker[[#This Row],[Active Time]]-WFTracker[[#This Row],[Completion Days Template]]</f>
        <v>4</v>
      </c>
      <c r="Y423" s="16" t="str">
        <f ca="1" xml:space="preserve"> IF(WFTracker[[#This Row],[Overdue Time '[Expected-Completion']]]&gt;0, "LATE","ON TIME")</f>
        <v>LATE</v>
      </c>
      <c r="Z423" s="16" t="str">
        <f ca="1">IF(WFTracker[[#This Row],[Overdue Time '[Expected-Completion']]] &gt;= 15, "SUPER LATE", Y423)</f>
        <v>LATE</v>
      </c>
      <c r="AA423" s="37" t="str">
        <f>IF(WFTracker[[#This Row],[Pre RM Opening Time]]&lt;WFTracker[[#This Row],[Old vs New Order Lead Time WF dead line]], "LATE BY ENG", "ON TIME BY ENG")</f>
        <v>ON TIME BY ENG</v>
      </c>
      <c r="AB423" s="37"/>
      <c r="AC423" s="15" t="str">
        <f>IF(WFTracker[[#This Row],[Competion Date Content]] = FALSE, "C", "i")</f>
        <v>C</v>
      </c>
      <c r="AD4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23" s="37" t="str">
        <f ca="1">IF(WFTracker[[#This Row],[Impact Time Post RM]]&gt;0, "IMPACTED", "NOT IMPACTED")</f>
        <v>NOT IMPACTED</v>
      </c>
      <c r="AF423" s="15"/>
      <c r="AG423" s="18"/>
      <c r="AH423" s="14" t="str">
        <f>IF(WFTracker[[#This Row],[Status]]="C", "Closed", IF(WFTracker[[#This Row],[Status]] = "x", "Cancelled", WFTracker[[#This Row],[Impact Time Post RM]]))</f>
        <v>Closed</v>
      </c>
      <c r="AI423" s="14" t="str">
        <f ca="1">IF(WFTracker[[#This Row],[Impact Time Post RM]]&lt;=0,"ON TIME","LATE")</f>
        <v>ON TIME</v>
      </c>
      <c r="AJ423" s="14" t="s">
        <v>984</v>
      </c>
      <c r="AK423" s="14">
        <v>17</v>
      </c>
      <c r="AL423" s="915">
        <f>IF(WFTracker[[#This Row],[Type]]="MAKE", WFTracker[[#This Row],[Due date]]+Filters!$J$111, WFTracker[[#This Row],[Due date]]+Filters!$J$135)</f>
        <v>45945.415686274508</v>
      </c>
      <c r="AM423" s="101" cm="1">
        <f t="array" ref="AM4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4" spans="1:39" ht="15" customHeight="1">
      <c r="A424" t="str">
        <f>IF(WFTracker[[#This Row],[Order Number]]="SWBD", "QED2", "PZ4")</f>
        <v>PZ4</v>
      </c>
      <c r="B424" s="21" t="s">
        <v>1297</v>
      </c>
      <c r="C424" s="21" t="s">
        <v>1298</v>
      </c>
      <c r="D424" s="11" t="str">
        <f>WFTracker[[#This Row],[Order Number]]  &amp; "-" &amp; WFTracker[[#This Row],[Item]]</f>
        <v>051576246-000020&amp;30&amp;40&amp;50&amp;60</v>
      </c>
      <c r="E424" s="23" t="s">
        <v>551</v>
      </c>
      <c r="F424" s="27">
        <v>45954</v>
      </c>
      <c r="G424" s="27"/>
      <c r="H424" s="11" t="s">
        <v>80</v>
      </c>
      <c r="I424" s="11" t="s">
        <v>1154</v>
      </c>
      <c r="J424" s="55" t="s">
        <v>559</v>
      </c>
      <c r="K424" s="14" t="s">
        <v>1017</v>
      </c>
      <c r="L424" s="15" t="s">
        <v>27</v>
      </c>
      <c r="M424" s="29" t="s">
        <v>1120</v>
      </c>
      <c r="N424" s="57">
        <v>46030</v>
      </c>
      <c r="O424" s="15">
        <f>NETWORKDAYS.INTL(WFTracker[[#This Row],[Start date]],WFTracker[[#This Row],[RM]],1,Holidays!D342:D357)</f>
        <v>14</v>
      </c>
      <c r="P424" s="12">
        <v>45937</v>
      </c>
      <c r="Q424" s="12">
        <v>45944</v>
      </c>
      <c r="R424" s="12">
        <v>45950</v>
      </c>
      <c r="S424" s="12" t="b">
        <f>ISBLANK(WFTracker[[#This Row],[Completion Date]])</f>
        <v>0</v>
      </c>
      <c r="T424" s="12" t="str">
        <f>TEXT(WFTracker[[#This Row],[Start date]],"mmm-yyyy")</f>
        <v>Oct-2025</v>
      </c>
      <c r="U424" s="11">
        <v>10</v>
      </c>
      <c r="V424" s="11">
        <f>NETWORKDAYS.INTL(WFTracker[[#This Row],[Start date]],WFTracker[[#This Row],[Due date]],1,Holidays!D342:D357)</f>
        <v>6</v>
      </c>
      <c r="W4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424" s="24">
        <f ca="1">WFTracker[[#This Row],[Active Time]]-WFTracker[[#This Row],[Completion Days Template]]</f>
        <v>4</v>
      </c>
      <c r="Y424" s="16" t="str">
        <f ca="1" xml:space="preserve"> IF(WFTracker[[#This Row],[Overdue Time '[Expected-Completion']]]&gt;0, "LATE","ON TIME")</f>
        <v>LATE</v>
      </c>
      <c r="Z424" s="16" t="str">
        <f ca="1">IF(WFTracker[[#This Row],[Overdue Time '[Expected-Completion']]] &gt;= 15, "SUPER LATE", Y424)</f>
        <v>LATE</v>
      </c>
      <c r="AA424" s="37" t="str">
        <f>IF(WFTracker[[#This Row],[Pre RM Opening Time]]&lt;WFTracker[[#This Row],[Old vs New Order Lead Time WF dead line]], "LATE BY ENG", "ON TIME BY ENG")</f>
        <v>ON TIME BY ENG</v>
      </c>
      <c r="AB424" s="37"/>
      <c r="AC424" s="15" t="str">
        <f>IF(WFTracker[[#This Row],[Competion Date Content]] = FALSE, "C", "i")</f>
        <v>C</v>
      </c>
      <c r="AD4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24" s="37" t="str">
        <f ca="1">IF(WFTracker[[#This Row],[Impact Time Post RM]]&gt;0, "IMPACTED", "NOT IMPACTED")</f>
        <v>NOT IMPACTED</v>
      </c>
      <c r="AF424" s="15"/>
      <c r="AG424" s="18"/>
      <c r="AH424" s="14" t="str">
        <f>IF(WFTracker[[#This Row],[Status]]="C", "Closed", IF(WFTracker[[#This Row],[Status]] = "x", "Cancelled", WFTracker[[#This Row],[Impact Time Post RM]]))</f>
        <v>Closed</v>
      </c>
      <c r="AI424" s="14" t="str">
        <f ca="1">IF(WFTracker[[#This Row],[Impact Time Post RM]]&lt;=0,"ON TIME","LATE")</f>
        <v>ON TIME</v>
      </c>
      <c r="AJ424" s="14" t="s">
        <v>984</v>
      </c>
      <c r="AK424" s="14">
        <v>18</v>
      </c>
      <c r="AL424" s="915">
        <f>IF(WFTracker[[#This Row],[Type]]="MAKE", WFTracker[[#This Row],[Due date]]+Filters!$J$111, WFTracker[[#This Row],[Due date]]+Filters!$J$135)</f>
        <v>45947.072512647552</v>
      </c>
      <c r="AM424" s="101" cm="1">
        <f t="array" ref="AM4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5" spans="1:39" ht="15" customHeight="1">
      <c r="A425" t="str">
        <f>IF(WFTracker[[#This Row],[Order Number]]="SWBD", "QED2", "PZ4")</f>
        <v>PZ4</v>
      </c>
      <c r="B425" s="21" t="s">
        <v>530</v>
      </c>
      <c r="C425" s="21" t="s">
        <v>135</v>
      </c>
      <c r="D425" s="11" t="str">
        <f>WFTracker[[#This Row],[Order Number]]  &amp; "-" &amp; WFTracker[[#This Row],[Item]]</f>
        <v>0051378342-000010</v>
      </c>
      <c r="E425" s="23" t="s">
        <v>532</v>
      </c>
      <c r="F425" s="27">
        <v>45957</v>
      </c>
      <c r="G425" s="27"/>
      <c r="H425" s="11" t="s">
        <v>104</v>
      </c>
      <c r="I425" s="11" t="s">
        <v>111</v>
      </c>
      <c r="J425" s="55" t="s">
        <v>1343</v>
      </c>
      <c r="K425" s="14" t="s">
        <v>1023</v>
      </c>
      <c r="L425" s="15" t="s">
        <v>27</v>
      </c>
      <c r="M425" s="29" t="s">
        <v>1123</v>
      </c>
      <c r="N425" s="57">
        <v>46114</v>
      </c>
      <c r="O425" s="15">
        <f>NETWORKDAYS.INTL(WFTracker[[#This Row],[Start date]],WFTracker[[#This Row],[RM]],1,Holidays!D377:D392)</f>
        <v>15</v>
      </c>
      <c r="P425" s="12">
        <v>45937</v>
      </c>
      <c r="Q425" s="12">
        <v>45945</v>
      </c>
      <c r="R425" s="12">
        <v>45951</v>
      </c>
      <c r="S425" s="12" t="b">
        <f>ISBLANK(WFTracker[[#This Row],[Completion Date]])</f>
        <v>0</v>
      </c>
      <c r="T425" s="12" t="str">
        <f>TEXT(WFTracker[[#This Row],[Start date]],"mmm-yyyy")</f>
        <v>Oct-2025</v>
      </c>
      <c r="U425" s="11">
        <v>10</v>
      </c>
      <c r="V425" s="11">
        <f>NETWORKDAYS.INTL(WFTracker[[#This Row],[Start date]],WFTracker[[#This Row],[Due date]],1,Holidays!D377:D392)</f>
        <v>7</v>
      </c>
      <c r="W4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25" s="24">
        <f ca="1">WFTracker[[#This Row],[Active Time]]-WFTracker[[#This Row],[Completion Days Template]]</f>
        <v>4</v>
      </c>
      <c r="Y425" s="16" t="str">
        <f ca="1" xml:space="preserve"> IF(WFTracker[[#This Row],[Overdue Time '[Expected-Completion']]]&gt;0, "LATE","ON TIME")</f>
        <v>LATE</v>
      </c>
      <c r="Z425" s="16" t="str">
        <f ca="1">IF(WFTracker[[#This Row],[Overdue Time '[Expected-Completion']]] &gt;= 15, "SUPER LATE", Y425)</f>
        <v>LATE</v>
      </c>
      <c r="AA425" s="37" t="str">
        <f>IF(WFTracker[[#This Row],[Pre RM Opening Time]]&lt;WFTracker[[#This Row],[Old vs New Order Lead Time WF dead line]], "LATE BY ENG", "ON TIME BY ENG")</f>
        <v>ON TIME BY ENG</v>
      </c>
      <c r="AB425" s="37"/>
      <c r="AC425" s="15" t="str">
        <f>IF(WFTracker[[#This Row],[Competion Date Content]] = FALSE, "C", "i")</f>
        <v>C</v>
      </c>
      <c r="AD4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25" s="37" t="str">
        <f ca="1">IF(WFTracker[[#This Row],[Impact Time Post RM]]&gt;0, "IMPACTED", "NOT IMPACTED")</f>
        <v>NOT IMPACTED</v>
      </c>
      <c r="AF425" s="15"/>
      <c r="AG425" s="18"/>
      <c r="AH425" s="14" t="str">
        <f>IF(WFTracker[[#This Row],[Status]]="C", "Closed", IF(WFTracker[[#This Row],[Status]] = "x", "Cancelled", WFTracker[[#This Row],[Impact Time Post RM]]))</f>
        <v>Closed</v>
      </c>
      <c r="AI425" s="14" t="str">
        <f ca="1">IF(WFTracker[[#This Row],[Impact Time Post RM]]&lt;=0,"ON TIME","LATE")</f>
        <v>ON TIME</v>
      </c>
      <c r="AJ425" s="14" t="s">
        <v>984</v>
      </c>
      <c r="AK425" s="14">
        <v>18</v>
      </c>
      <c r="AL425" s="915">
        <f>IF(WFTracker[[#This Row],[Type]]="MAKE", WFTracker[[#This Row],[Due date]]+Filters!$J$111, WFTracker[[#This Row],[Due date]]+Filters!$J$135)</f>
        <v>45948.072512647552</v>
      </c>
      <c r="AM425" s="101" cm="1">
        <f t="array" ref="AM4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6" spans="1:39" ht="15" customHeight="1">
      <c r="A426" t="str">
        <f>IF(WFTracker[[#This Row],[Order Number]]="SWBD", "QED2", "PZ4")</f>
        <v>PZ4</v>
      </c>
      <c r="B426" s="21" t="s">
        <v>403</v>
      </c>
      <c r="C426" s="21" t="s">
        <v>68</v>
      </c>
      <c r="D426" s="11" t="str">
        <f>WFTracker[[#This Row],[Order Number]]  &amp; "-" &amp; WFTracker[[#This Row],[Item]]</f>
        <v>0050442535-000170</v>
      </c>
      <c r="E426" s="23" t="s">
        <v>1040</v>
      </c>
      <c r="F426" s="27">
        <v>45945</v>
      </c>
      <c r="G426" s="27"/>
      <c r="H426" s="11" t="s">
        <v>676</v>
      </c>
      <c r="I426" s="11" t="s">
        <v>264</v>
      </c>
      <c r="J426" s="55" t="s">
        <v>569</v>
      </c>
      <c r="K426" s="14" t="s">
        <v>1017</v>
      </c>
      <c r="L426" s="15" t="s">
        <v>40</v>
      </c>
      <c r="M426" s="29" t="s">
        <v>1120</v>
      </c>
      <c r="N426" s="57">
        <v>46035</v>
      </c>
      <c r="O426" s="15">
        <f>NETWORKDAYS.INTL(WFTracker[[#This Row],[Start date]],WFTracker[[#This Row],[RM]],1,Holidays!D113:D128)</f>
        <v>6</v>
      </c>
      <c r="P426" s="12">
        <v>45938</v>
      </c>
      <c r="Q426" s="12">
        <v>45950</v>
      </c>
      <c r="R426" s="12">
        <v>45945</v>
      </c>
      <c r="S426" s="12" t="b">
        <f>ISBLANK(WFTracker[[#This Row],[Completion Date]])</f>
        <v>0</v>
      </c>
      <c r="T426" s="12" t="str">
        <f>TEXT(WFTracker[[#This Row],[Start date]],"mmm-yyyy")</f>
        <v>Oct-2025</v>
      </c>
      <c r="U426" s="11">
        <v>10</v>
      </c>
      <c r="V426" s="11">
        <f>NETWORKDAYS.INTL(WFTracker[[#This Row],[Start date]],WFTracker[[#This Row],[Due date]],1,Holidays!D113:D128)</f>
        <v>9</v>
      </c>
      <c r="W4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26" s="24">
        <f ca="1">WFTracker[[#This Row],[Active Time]]-WFTracker[[#This Row],[Completion Days Template]]</f>
        <v>-3</v>
      </c>
      <c r="Y426" s="16" t="str">
        <f ca="1" xml:space="preserve"> IF(WFTracker[[#This Row],[Overdue Time '[Expected-Completion']]]&gt;0, "LATE","ON TIME")</f>
        <v>ON TIME</v>
      </c>
      <c r="Z426" s="16" t="str">
        <f ca="1">IF(WFTracker[[#This Row],[Overdue Time '[Expected-Completion']]] &gt;= 15, "SUPER LATE", Y426)</f>
        <v>ON TIME</v>
      </c>
      <c r="AA426" s="37" t="str">
        <f>IF(WFTracker[[#This Row],[Pre RM Opening Time]]&lt;WFTracker[[#This Row],[Old vs New Order Lead Time WF dead line]], "LATE BY ENG", "ON TIME BY ENG")</f>
        <v>LATE BY ENG</v>
      </c>
      <c r="AB426" s="37"/>
      <c r="AC426" s="15" t="str">
        <f>IF(WFTracker[[#This Row],[Competion Date Content]] = FALSE, "C", "i")</f>
        <v>C</v>
      </c>
      <c r="AD4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26" s="25" t="str">
        <f ca="1">IF(WFTracker[[#This Row],[Impact Time Post RM]]&gt;0, "IMPACTED", "NOT IMPACTED")</f>
        <v>IMPACTED</v>
      </c>
      <c r="AF426" s="15"/>
      <c r="AG426" s="18"/>
      <c r="AH426" s="14" t="str">
        <f>IF(WFTracker[[#This Row],[Status]]="C", "Closed", IF(WFTracker[[#This Row],[Status]] = "x", "Cancelled", WFTracker[[#This Row],[Impact Time Post RM]]))</f>
        <v>Closed</v>
      </c>
      <c r="AI426" s="14" t="str">
        <f ca="1">IF(WFTracker[[#This Row],[Impact Time Post RM]]&lt;=0,"ON TIME","LATE")</f>
        <v>LATE</v>
      </c>
      <c r="AJ426" s="14" t="s">
        <v>984</v>
      </c>
      <c r="AK426" s="14">
        <v>17</v>
      </c>
      <c r="AL426" s="915">
        <f>IF(WFTracker[[#This Row],[Type]]="MAKE", WFTracker[[#This Row],[Due date]]+Filters!$J$111, WFTracker[[#This Row],[Due date]]+Filters!$J$135)</f>
        <v>45950.415686274508</v>
      </c>
      <c r="AM426" s="101" cm="1">
        <f t="array" ref="AM4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7" spans="1:39" ht="15" customHeight="1">
      <c r="A427" t="str">
        <f>IF(WFTracker[[#This Row],[Order Number]]="SWBD", "QED2", "PZ4")</f>
        <v>PZ4</v>
      </c>
      <c r="B427" s="21" t="s">
        <v>530</v>
      </c>
      <c r="C427" s="21" t="s">
        <v>135</v>
      </c>
      <c r="D427" s="11" t="str">
        <f>WFTracker[[#This Row],[Order Number]]  &amp; "-" &amp; WFTracker[[#This Row],[Item]]</f>
        <v>0051378342-000010</v>
      </c>
      <c r="E427" s="23" t="s">
        <v>532</v>
      </c>
      <c r="F427" s="12">
        <v>45957</v>
      </c>
      <c r="G427" s="12"/>
      <c r="H427" s="11" t="s">
        <v>104</v>
      </c>
      <c r="I427" s="11" t="s">
        <v>111</v>
      </c>
      <c r="J427" s="55" t="s">
        <v>1344</v>
      </c>
      <c r="K427" s="14" t="s">
        <v>1023</v>
      </c>
      <c r="L427" s="15" t="s">
        <v>27</v>
      </c>
      <c r="M427" s="29" t="s">
        <v>1123</v>
      </c>
      <c r="N427" s="57">
        <v>46114</v>
      </c>
      <c r="O427" s="15">
        <f>NETWORKDAYS.INTL(WFTracker[[#This Row],[Start date]],WFTracker[[#This Row],[RM]],1,Holidays!D343:D358)</f>
        <v>14</v>
      </c>
      <c r="P427" s="12">
        <v>45938</v>
      </c>
      <c r="Q427" s="12">
        <v>45946</v>
      </c>
      <c r="R427" s="12">
        <v>45958</v>
      </c>
      <c r="S427" s="12" t="b">
        <f>ISBLANK(WFTracker[[#This Row],[Completion Date]])</f>
        <v>0</v>
      </c>
      <c r="T427" s="12" t="str">
        <f>TEXT(WFTracker[[#This Row],[Start date]],"mmm-yyyy")</f>
        <v>Oct-2025</v>
      </c>
      <c r="U427" s="11">
        <v>10</v>
      </c>
      <c r="V427" s="11">
        <f>NETWORKDAYS.INTL(WFTracker[[#This Row],[Start date]],WFTracker[[#This Row],[Due date]],1,Holidays!D343:D358)</f>
        <v>7</v>
      </c>
      <c r="W4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427" s="24">
        <f ca="1">WFTracker[[#This Row],[Active Time]]-WFTracker[[#This Row],[Completion Days Template]]</f>
        <v>8</v>
      </c>
      <c r="Y427" s="16" t="str">
        <f ca="1" xml:space="preserve"> IF(WFTracker[[#This Row],[Overdue Time '[Expected-Completion']]]&gt;0, "LATE","ON TIME")</f>
        <v>LATE</v>
      </c>
      <c r="Z427" s="16" t="str">
        <f ca="1">IF(WFTracker[[#This Row],[Overdue Time '[Expected-Completion']]] &gt;= 15, "SUPER LATE", Y427)</f>
        <v>LATE</v>
      </c>
      <c r="AA427" s="37" t="str">
        <f>IF(WFTracker[[#This Row],[Pre RM Opening Time]]&lt;WFTracker[[#This Row],[Old vs New Order Lead Time WF dead line]], "LATE BY ENG", "ON TIME BY ENG")</f>
        <v>ON TIME BY ENG</v>
      </c>
      <c r="AB427" s="37"/>
      <c r="AC427" s="15" t="str">
        <f>IF(WFTracker[[#This Row],[Competion Date Content]] = FALSE, "C", "i")</f>
        <v>C</v>
      </c>
      <c r="AD4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27" s="37" t="str">
        <f ca="1">IF(WFTracker[[#This Row],[Impact Time Post RM]]&gt;0, "IMPACTED", "NOT IMPACTED")</f>
        <v>IMPACTED</v>
      </c>
      <c r="AF427" s="15"/>
      <c r="AG427" s="18"/>
      <c r="AH427" s="14" t="str">
        <f>IF(WFTracker[[#This Row],[Status]]="C", "Closed", IF(WFTracker[[#This Row],[Status]] = "x", "Cancelled", WFTracker[[#This Row],[Impact Time Post RM]]))</f>
        <v>Closed</v>
      </c>
      <c r="AI427" s="14" t="str">
        <f ca="1">IF(WFTracker[[#This Row],[Impact Time Post RM]]&lt;=0,"ON TIME","LATE")</f>
        <v>LATE</v>
      </c>
      <c r="AJ427" s="14" t="s">
        <v>984</v>
      </c>
      <c r="AK427" s="14">
        <v>18</v>
      </c>
      <c r="AL427" s="915">
        <f>IF(WFTracker[[#This Row],[Type]]="MAKE", WFTracker[[#This Row],[Due date]]+Filters!$J$111, WFTracker[[#This Row],[Due date]]+Filters!$J$135)</f>
        <v>45949.072512647552</v>
      </c>
      <c r="AM427" s="101" cm="1">
        <f t="array" ref="AM4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8" spans="1:39" ht="15" customHeight="1">
      <c r="A428" t="str">
        <f>IF(WFTracker[[#This Row],[Order Number]]="SWBD", "QED2", "PZ4")</f>
        <v>PZ4</v>
      </c>
      <c r="B428" s="21" t="s">
        <v>530</v>
      </c>
      <c r="C428" s="21" t="s">
        <v>135</v>
      </c>
      <c r="D428" s="11" t="str">
        <f>WFTracker[[#This Row],[Order Number]]  &amp; "-" &amp; WFTracker[[#This Row],[Item]]</f>
        <v>0051378342-000010</v>
      </c>
      <c r="E428" s="23" t="s">
        <v>532</v>
      </c>
      <c r="F428" s="12">
        <v>45957</v>
      </c>
      <c r="G428" s="12"/>
      <c r="H428" s="11" t="s">
        <v>104</v>
      </c>
      <c r="I428" s="11" t="s">
        <v>111</v>
      </c>
      <c r="J428" s="55" t="s">
        <v>1345</v>
      </c>
      <c r="K428" s="14" t="s">
        <v>1023</v>
      </c>
      <c r="L428" s="15" t="s">
        <v>40</v>
      </c>
      <c r="M428" s="29" t="s">
        <v>1123</v>
      </c>
      <c r="N428" s="57">
        <v>46114</v>
      </c>
      <c r="O428" s="15">
        <f>NETWORKDAYS.INTL(WFTracker[[#This Row],[Start date]],WFTracker[[#This Row],[RM]],1,Holidays!D344:D359)</f>
        <v>14</v>
      </c>
      <c r="P428" s="12">
        <v>45938</v>
      </c>
      <c r="Q428" s="12">
        <v>45950</v>
      </c>
      <c r="R428" s="12">
        <v>45954</v>
      </c>
      <c r="S428" s="12" t="b">
        <f>ISBLANK(WFTracker[[#This Row],[Completion Date]])</f>
        <v>0</v>
      </c>
      <c r="T428" s="12" t="str">
        <f>TEXT(WFTracker[[#This Row],[Start date]],"mmm-yyyy")</f>
        <v>Oct-2025</v>
      </c>
      <c r="U428" s="11">
        <v>10</v>
      </c>
      <c r="V428" s="11">
        <f>NETWORKDAYS.INTL(WFTracker[[#This Row],[Start date]],WFTracker[[#This Row],[Due date]],1,Holidays!D344:D359)</f>
        <v>9</v>
      </c>
      <c r="W4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28" s="24">
        <f ca="1">WFTracker[[#This Row],[Active Time]]-WFTracker[[#This Row],[Completion Days Template]]</f>
        <v>4</v>
      </c>
      <c r="Y428" s="16" t="str">
        <f ca="1" xml:space="preserve"> IF(WFTracker[[#This Row],[Overdue Time '[Expected-Completion']]]&gt;0, "LATE","ON TIME")</f>
        <v>LATE</v>
      </c>
      <c r="Z428" s="16" t="str">
        <f ca="1">IF(WFTracker[[#This Row],[Overdue Time '[Expected-Completion']]] &gt;= 15, "SUPER LATE", Y428)</f>
        <v>LATE</v>
      </c>
      <c r="AA428" s="37" t="str">
        <f>IF(WFTracker[[#This Row],[Pre RM Opening Time]]&lt;WFTracker[[#This Row],[Old vs New Order Lead Time WF dead line]], "LATE BY ENG", "ON TIME BY ENG")</f>
        <v>ON TIME BY ENG</v>
      </c>
      <c r="AB428" s="37"/>
      <c r="AC428" s="15" t="str">
        <f>IF(WFTracker[[#This Row],[Competion Date Content]] = FALSE, "C", "i")</f>
        <v>C</v>
      </c>
      <c r="AD4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28" s="37" t="str">
        <f ca="1">IF(WFTracker[[#This Row],[Impact Time Post RM]]&gt;0, "IMPACTED", "NOT IMPACTED")</f>
        <v>NOT IMPACTED</v>
      </c>
      <c r="AF428" s="15"/>
      <c r="AG428" s="18"/>
      <c r="AH428" s="14" t="str">
        <f>IF(WFTracker[[#This Row],[Status]]="C", "Closed", IF(WFTracker[[#This Row],[Status]] = "x", "Cancelled", WFTracker[[#This Row],[Impact Time Post RM]]))</f>
        <v>Closed</v>
      </c>
      <c r="AI428" s="14" t="str">
        <f ca="1">IF(WFTracker[[#This Row],[Impact Time Post RM]]&lt;=0,"ON TIME","LATE")</f>
        <v>ON TIME</v>
      </c>
      <c r="AJ428" s="14" t="s">
        <v>984</v>
      </c>
      <c r="AK428" s="14">
        <v>17</v>
      </c>
      <c r="AL428" s="915">
        <f>IF(WFTracker[[#This Row],[Type]]="MAKE", WFTracker[[#This Row],[Due date]]+Filters!$J$111, WFTracker[[#This Row],[Due date]]+Filters!$J$135)</f>
        <v>45950.415686274508</v>
      </c>
      <c r="AM428" s="101" cm="1">
        <f t="array" ref="AM42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29" spans="1:39" ht="15" customHeight="1">
      <c r="A429" t="str">
        <f>IF(WFTracker[[#This Row],[Order Number]]="SWBD", "QED2", "PZ4")</f>
        <v>PZ4</v>
      </c>
      <c r="B429" s="21" t="s">
        <v>530</v>
      </c>
      <c r="C429" s="21" t="s">
        <v>135</v>
      </c>
      <c r="D429" s="11" t="str">
        <f>WFTracker[[#This Row],[Order Number]]  &amp; "-" &amp; WFTracker[[#This Row],[Item]]</f>
        <v>0051378342-000010</v>
      </c>
      <c r="E429" s="23" t="s">
        <v>532</v>
      </c>
      <c r="F429" s="12">
        <v>45957</v>
      </c>
      <c r="G429" s="12"/>
      <c r="H429" s="11" t="s">
        <v>104</v>
      </c>
      <c r="I429" s="11" t="s">
        <v>111</v>
      </c>
      <c r="J429" s="55" t="s">
        <v>1346</v>
      </c>
      <c r="K429" s="14" t="s">
        <v>1023</v>
      </c>
      <c r="L429" s="15" t="s">
        <v>40</v>
      </c>
      <c r="M429" s="29" t="s">
        <v>1123</v>
      </c>
      <c r="N429" s="57">
        <v>46114</v>
      </c>
      <c r="O429" s="15">
        <f>NETWORKDAYS.INTL(WFTracker[[#This Row],[Start date]],WFTracker[[#This Row],[RM]],1,Holidays!D345:D360)</f>
        <v>14</v>
      </c>
      <c r="P429" s="12">
        <v>45938</v>
      </c>
      <c r="Q429" s="12">
        <v>45950</v>
      </c>
      <c r="R429" s="12">
        <v>45954</v>
      </c>
      <c r="S429" s="12" t="b">
        <f>ISBLANK(WFTracker[[#This Row],[Completion Date]])</f>
        <v>0</v>
      </c>
      <c r="T429" s="12" t="str">
        <f>TEXT(WFTracker[[#This Row],[Start date]],"mmm-yyyy")</f>
        <v>Oct-2025</v>
      </c>
      <c r="U429" s="11">
        <v>10</v>
      </c>
      <c r="V429" s="11">
        <f>NETWORKDAYS.INTL(WFTracker[[#This Row],[Start date]],WFTracker[[#This Row],[Due date]],1,Holidays!D345:D360)</f>
        <v>9</v>
      </c>
      <c r="W4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29" s="24">
        <f ca="1">WFTracker[[#This Row],[Active Time]]-WFTracker[[#This Row],[Completion Days Template]]</f>
        <v>4</v>
      </c>
      <c r="Y429" s="16" t="str">
        <f ca="1" xml:space="preserve"> IF(WFTracker[[#This Row],[Overdue Time '[Expected-Completion']]]&gt;0, "LATE","ON TIME")</f>
        <v>LATE</v>
      </c>
      <c r="Z429" s="16" t="str">
        <f ca="1">IF(WFTracker[[#This Row],[Overdue Time '[Expected-Completion']]] &gt;= 15, "SUPER LATE", Y429)</f>
        <v>LATE</v>
      </c>
      <c r="AA429" s="37" t="str">
        <f>IF(WFTracker[[#This Row],[Pre RM Opening Time]]&lt;WFTracker[[#This Row],[Old vs New Order Lead Time WF dead line]], "LATE BY ENG", "ON TIME BY ENG")</f>
        <v>ON TIME BY ENG</v>
      </c>
      <c r="AB429" s="37"/>
      <c r="AC429" s="15" t="str">
        <f>IF(WFTracker[[#This Row],[Competion Date Content]] = FALSE, "C", "i")</f>
        <v>C</v>
      </c>
      <c r="AD4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29" s="37" t="str">
        <f ca="1">IF(WFTracker[[#This Row],[Impact Time Post RM]]&gt;0, "IMPACTED", "NOT IMPACTED")</f>
        <v>NOT IMPACTED</v>
      </c>
      <c r="AF429" s="15"/>
      <c r="AG429" s="18"/>
      <c r="AH429" s="14" t="str">
        <f>IF(WFTracker[[#This Row],[Status]]="C", "Closed", IF(WFTracker[[#This Row],[Status]] = "x", "Cancelled", WFTracker[[#This Row],[Impact Time Post RM]]))</f>
        <v>Closed</v>
      </c>
      <c r="AI429" s="14" t="str">
        <f ca="1">IF(WFTracker[[#This Row],[Impact Time Post RM]]&lt;=0,"ON TIME","LATE")</f>
        <v>ON TIME</v>
      </c>
      <c r="AJ429" s="14" t="s">
        <v>984</v>
      </c>
      <c r="AK429" s="14">
        <v>17</v>
      </c>
      <c r="AL429" s="915">
        <f>IF(WFTracker[[#This Row],[Type]]="MAKE", WFTracker[[#This Row],[Due date]]+Filters!$J$111, WFTracker[[#This Row],[Due date]]+Filters!$J$135)</f>
        <v>45950.415686274508</v>
      </c>
      <c r="AM429" s="101" cm="1">
        <f t="array" ref="AM4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0" spans="1:39" ht="15" customHeight="1">
      <c r="A430" t="str">
        <f>IF(WFTracker[[#This Row],[Order Number]]="SWBD", "QED2", "PZ4")</f>
        <v>PZ4</v>
      </c>
      <c r="B430" s="21" t="s">
        <v>570</v>
      </c>
      <c r="C430" s="26" t="s">
        <v>135</v>
      </c>
      <c r="D430" s="11" t="str">
        <f>WFTracker[[#This Row],[Order Number]]  &amp; "-" &amp; WFTracker[[#This Row],[Item]]</f>
        <v>0051378345-000010</v>
      </c>
      <c r="E430" s="23" t="s">
        <v>1035</v>
      </c>
      <c r="F430" s="12">
        <v>45954</v>
      </c>
      <c r="G430" s="12"/>
      <c r="H430" s="11" t="s">
        <v>259</v>
      </c>
      <c r="I430" s="11" t="s">
        <v>24</v>
      </c>
      <c r="J430" s="55" t="s">
        <v>577</v>
      </c>
      <c r="K430" s="14" t="s">
        <v>1017</v>
      </c>
      <c r="L430" s="15" t="s">
        <v>27</v>
      </c>
      <c r="M430" s="29" t="s">
        <v>1123</v>
      </c>
      <c r="N430" s="57">
        <v>46085</v>
      </c>
      <c r="O430" s="15">
        <f>NETWORKDAYS.INTL(WFTracker[[#This Row],[Start date]],WFTracker[[#This Row],[RM]],1,Holidays!D292:D307)</f>
        <v>12</v>
      </c>
      <c r="P430" s="12">
        <v>45939</v>
      </c>
      <c r="Q430" s="12">
        <v>45946</v>
      </c>
      <c r="R430" s="12">
        <v>45957</v>
      </c>
      <c r="S430" s="12" t="b">
        <f>ISBLANK(WFTracker[[#This Row],[Completion Date]])</f>
        <v>0</v>
      </c>
      <c r="T430" s="12" t="str">
        <f>TEXT(WFTracker[[#This Row],[Start date]],"mmm-yyyy")</f>
        <v>Oct-2025</v>
      </c>
      <c r="U430" s="11">
        <v>10</v>
      </c>
      <c r="V430" s="11">
        <f>NETWORKDAYS.INTL(WFTracker[[#This Row],[Start date]],WFTracker[[#This Row],[Due date]],1,Holidays!D292:D307)</f>
        <v>6</v>
      </c>
      <c r="W4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30" s="24">
        <f ca="1">WFTracker[[#This Row],[Active Time]]-WFTracker[[#This Row],[Completion Days Template]]</f>
        <v>7</v>
      </c>
      <c r="Y430" s="16" t="str">
        <f ca="1" xml:space="preserve"> IF(WFTracker[[#This Row],[Overdue Time '[Expected-Completion']]]&gt;0, "LATE","ON TIME")</f>
        <v>LATE</v>
      </c>
      <c r="Z430" s="16" t="str">
        <f ca="1">IF(WFTracker[[#This Row],[Overdue Time '[Expected-Completion']]] &gt;= 15, "SUPER LATE", Y430)</f>
        <v>LATE</v>
      </c>
      <c r="AA430" s="37" t="str">
        <f>IF(WFTracker[[#This Row],[Pre RM Opening Time]]&lt;WFTracker[[#This Row],[Old vs New Order Lead Time WF dead line]], "LATE BY ENG", "ON TIME BY ENG")</f>
        <v>ON TIME BY ENG</v>
      </c>
      <c r="AB430" s="37"/>
      <c r="AC430" s="15" t="str">
        <f>IF(WFTracker[[#This Row],[Competion Date Content]] = FALSE, "C", "i")</f>
        <v>C</v>
      </c>
      <c r="AD4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30" s="37" t="str">
        <f ca="1">IF(WFTracker[[#This Row],[Impact Time Post RM]]&gt;0, "IMPACTED", "NOT IMPACTED")</f>
        <v>IMPACTED</v>
      </c>
      <c r="AF430" s="15"/>
      <c r="AG430" s="18"/>
      <c r="AH430" s="14" t="str">
        <f>IF(WFTracker[[#This Row],[Status]]="C", "Closed", IF(WFTracker[[#This Row],[Status]] = "x", "Cancelled", WFTracker[[#This Row],[Impact Time Post RM]]))</f>
        <v>Closed</v>
      </c>
      <c r="AI430" s="14" t="str">
        <f ca="1">IF(WFTracker[[#This Row],[Impact Time Post RM]]&lt;=0,"ON TIME","LATE")</f>
        <v>LATE</v>
      </c>
      <c r="AJ430" s="14" t="s">
        <v>984</v>
      </c>
      <c r="AK430" s="14">
        <v>18</v>
      </c>
      <c r="AL430" s="915">
        <f>IF(WFTracker[[#This Row],[Type]]="MAKE", WFTracker[[#This Row],[Due date]]+Filters!$J$111, WFTracker[[#This Row],[Due date]]+Filters!$J$135)</f>
        <v>45949.072512647552</v>
      </c>
      <c r="AM430" s="101" cm="1">
        <f t="array" ref="AM4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1" spans="1:39" ht="15" customHeight="1">
      <c r="A431" t="str">
        <f>IF(WFTracker[[#This Row],[Order Number]]="SWBD", "QED2", "PZ4")</f>
        <v>PZ4</v>
      </c>
      <c r="B431" s="21" t="s">
        <v>570</v>
      </c>
      <c r="C431" s="21" t="s">
        <v>135</v>
      </c>
      <c r="D431" s="11" t="str">
        <f>WFTracker[[#This Row],[Order Number]]  &amp; "-" &amp; WFTracker[[#This Row],[Item]]</f>
        <v>0051378345-000010</v>
      </c>
      <c r="E431" s="23" t="s">
        <v>1035</v>
      </c>
      <c r="F431" s="12">
        <v>45954</v>
      </c>
      <c r="G431" s="12"/>
      <c r="H431" s="11" t="s">
        <v>259</v>
      </c>
      <c r="I431" s="11" t="s">
        <v>24</v>
      </c>
      <c r="J431" s="55" t="s">
        <v>576</v>
      </c>
      <c r="K431" s="14" t="s">
        <v>1017</v>
      </c>
      <c r="L431" s="15" t="s">
        <v>27</v>
      </c>
      <c r="M431" s="29" t="s">
        <v>1123</v>
      </c>
      <c r="N431" s="57">
        <v>46085</v>
      </c>
      <c r="O431" s="15">
        <f>NETWORKDAYS.INTL(WFTracker[[#This Row],[Start date]],WFTracker[[#This Row],[RM]],1,Holidays!D293:D308)</f>
        <v>12</v>
      </c>
      <c r="P431" s="12">
        <v>45939</v>
      </c>
      <c r="Q431" s="12">
        <v>45946</v>
      </c>
      <c r="R431" s="12">
        <v>45954</v>
      </c>
      <c r="S431" s="12" t="b">
        <f>ISBLANK(WFTracker[[#This Row],[Completion Date]])</f>
        <v>0</v>
      </c>
      <c r="T431" s="12" t="str">
        <f>TEXT(WFTracker[[#This Row],[Start date]],"mmm-yyyy")</f>
        <v>Oct-2025</v>
      </c>
      <c r="U431" s="11">
        <v>10</v>
      </c>
      <c r="V431" s="11">
        <f>NETWORKDAYS.INTL(WFTracker[[#This Row],[Start date]],WFTracker[[#This Row],[Due date]],1,Holidays!D293:D308)</f>
        <v>6</v>
      </c>
      <c r="W4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431" s="24">
        <f ca="1">WFTracker[[#This Row],[Active Time]]-WFTracker[[#This Row],[Completion Days Template]]</f>
        <v>6</v>
      </c>
      <c r="Y431" s="16" t="str">
        <f ca="1" xml:space="preserve"> IF(WFTracker[[#This Row],[Overdue Time '[Expected-Completion']]]&gt;0, "LATE","ON TIME")</f>
        <v>LATE</v>
      </c>
      <c r="Z431" s="16" t="str">
        <f ca="1">IF(WFTracker[[#This Row],[Overdue Time '[Expected-Completion']]] &gt;= 15, "SUPER LATE", Y431)</f>
        <v>LATE</v>
      </c>
      <c r="AA431" s="37" t="str">
        <f>IF(WFTracker[[#This Row],[Pre RM Opening Time]]&lt;WFTracker[[#This Row],[Old vs New Order Lead Time WF dead line]], "LATE BY ENG", "ON TIME BY ENG")</f>
        <v>ON TIME BY ENG</v>
      </c>
      <c r="AB431" s="37"/>
      <c r="AC431" s="15" t="str">
        <f>IF(WFTracker[[#This Row],[Competion Date Content]] = FALSE, "C", "i")</f>
        <v>C</v>
      </c>
      <c r="AD4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31" s="37" t="str">
        <f ca="1">IF(WFTracker[[#This Row],[Impact Time Post RM]]&gt;0, "IMPACTED", "NOT IMPACTED")</f>
        <v>IMPACTED</v>
      </c>
      <c r="AF431" s="15"/>
      <c r="AG431" s="18"/>
      <c r="AH431" s="14" t="str">
        <f>IF(WFTracker[[#This Row],[Status]]="C", "Closed", IF(WFTracker[[#This Row],[Status]] = "x", "Cancelled", WFTracker[[#This Row],[Impact Time Post RM]]))</f>
        <v>Closed</v>
      </c>
      <c r="AI431" s="14" t="str">
        <f ca="1">IF(WFTracker[[#This Row],[Impact Time Post RM]]&lt;=0,"ON TIME","LATE")</f>
        <v>LATE</v>
      </c>
      <c r="AJ431" s="14" t="s">
        <v>984</v>
      </c>
      <c r="AK431" s="14">
        <v>18</v>
      </c>
      <c r="AL431" s="915">
        <f>IF(WFTracker[[#This Row],[Type]]="MAKE", WFTracker[[#This Row],[Due date]]+Filters!$J$111, WFTracker[[#This Row],[Due date]]+Filters!$J$135)</f>
        <v>45949.072512647552</v>
      </c>
      <c r="AM431" s="101" cm="1">
        <f t="array" ref="AM4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2" spans="1:39" ht="15" customHeight="1">
      <c r="A432" t="str">
        <f>IF(WFTracker[[#This Row],[Order Number]]="SWBD", "QED2", "PZ4")</f>
        <v>PZ4</v>
      </c>
      <c r="B432" s="21" t="s">
        <v>570</v>
      </c>
      <c r="C432" s="21" t="s">
        <v>135</v>
      </c>
      <c r="D432" s="11" t="str">
        <f>WFTracker[[#This Row],[Order Number]]  &amp; "-" &amp; WFTracker[[#This Row],[Item]]</f>
        <v>0051378345-000010</v>
      </c>
      <c r="E432" s="23" t="s">
        <v>1035</v>
      </c>
      <c r="F432" s="12">
        <v>45954</v>
      </c>
      <c r="G432" s="12"/>
      <c r="H432" s="11" t="s">
        <v>259</v>
      </c>
      <c r="I432" s="11" t="s">
        <v>24</v>
      </c>
      <c r="J432" s="55" t="s">
        <v>575</v>
      </c>
      <c r="K432" s="14" t="s">
        <v>1017</v>
      </c>
      <c r="L432" s="15" t="s">
        <v>27</v>
      </c>
      <c r="M432" s="29" t="s">
        <v>1123</v>
      </c>
      <c r="N432" s="57">
        <v>46085</v>
      </c>
      <c r="O432" s="15">
        <f>NETWORKDAYS.INTL(WFTracker[[#This Row],[Start date]],WFTracker[[#This Row],[RM]],1,Holidays!D294:D309)</f>
        <v>12</v>
      </c>
      <c r="P432" s="12">
        <v>45939</v>
      </c>
      <c r="Q432" s="12">
        <v>45946</v>
      </c>
      <c r="R432" s="12">
        <v>45953</v>
      </c>
      <c r="S432" s="12" t="b">
        <f>ISBLANK(WFTracker[[#This Row],[Completion Date]])</f>
        <v>0</v>
      </c>
      <c r="T432" s="12" t="str">
        <f>TEXT(WFTracker[[#This Row],[Start date]],"mmm-yyyy")</f>
        <v>Oct-2025</v>
      </c>
      <c r="U432" s="11">
        <v>10</v>
      </c>
      <c r="V432" s="11">
        <f>NETWORKDAYS.INTL(WFTracker[[#This Row],[Start date]],WFTracker[[#This Row],[Due date]],1,Holidays!D294:D309)</f>
        <v>6</v>
      </c>
      <c r="W4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32" s="24">
        <f ca="1">WFTracker[[#This Row],[Active Time]]-WFTracker[[#This Row],[Completion Days Template]]</f>
        <v>5</v>
      </c>
      <c r="Y432" s="16" t="str">
        <f ca="1" xml:space="preserve"> IF(WFTracker[[#This Row],[Overdue Time '[Expected-Completion']]]&gt;0, "LATE","ON TIME")</f>
        <v>LATE</v>
      </c>
      <c r="Z432" s="16" t="str">
        <f ca="1">IF(WFTracker[[#This Row],[Overdue Time '[Expected-Completion']]] &gt;= 15, "SUPER LATE", Y432)</f>
        <v>LATE</v>
      </c>
      <c r="AA432" s="37" t="str">
        <f>IF(WFTracker[[#This Row],[Pre RM Opening Time]]&lt;WFTracker[[#This Row],[Old vs New Order Lead Time WF dead line]], "LATE BY ENG", "ON TIME BY ENG")</f>
        <v>ON TIME BY ENG</v>
      </c>
      <c r="AB432" s="37"/>
      <c r="AC432" s="15" t="str">
        <f>IF(WFTracker[[#This Row],[Competion Date Content]] = FALSE, "C", "i")</f>
        <v>C</v>
      </c>
      <c r="AD4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32" s="37" t="str">
        <f ca="1">IF(WFTracker[[#This Row],[Impact Time Post RM]]&gt;0, "IMPACTED", "NOT IMPACTED")</f>
        <v>NOT IMPACTED</v>
      </c>
      <c r="AF432" s="15"/>
      <c r="AG432" s="18"/>
      <c r="AH432" s="14" t="str">
        <f>IF(WFTracker[[#This Row],[Status]]="C", "Closed", IF(WFTracker[[#This Row],[Status]] = "x", "Cancelled", WFTracker[[#This Row],[Impact Time Post RM]]))</f>
        <v>Closed</v>
      </c>
      <c r="AI432" s="14" t="str">
        <f ca="1">IF(WFTracker[[#This Row],[Impact Time Post RM]]&lt;=0,"ON TIME","LATE")</f>
        <v>ON TIME</v>
      </c>
      <c r="AJ432" s="14" t="s">
        <v>984</v>
      </c>
      <c r="AK432" s="14">
        <v>18</v>
      </c>
      <c r="AL432" s="915">
        <f>IF(WFTracker[[#This Row],[Type]]="MAKE", WFTracker[[#This Row],[Due date]]+Filters!$J$111, WFTracker[[#This Row],[Due date]]+Filters!$J$135)</f>
        <v>45949.072512647552</v>
      </c>
      <c r="AM432" s="101" cm="1">
        <f t="array" ref="AM4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3" spans="1:39" ht="15" customHeight="1">
      <c r="A433" t="str">
        <f>IF(WFTracker[[#This Row],[Order Number]]="SWBD", "QED2", "PZ4")</f>
        <v>PZ4</v>
      </c>
      <c r="B433" s="21" t="s">
        <v>1297</v>
      </c>
      <c r="C433" s="21" t="s">
        <v>1298</v>
      </c>
      <c r="D433" s="11" t="str">
        <f>WFTracker[[#This Row],[Order Number]]  &amp; "-" &amp; WFTracker[[#This Row],[Item]]</f>
        <v>051576246-000020&amp;30&amp;40&amp;50&amp;60</v>
      </c>
      <c r="E433" s="23" t="s">
        <v>551</v>
      </c>
      <c r="F433" s="12">
        <v>45954</v>
      </c>
      <c r="G433" s="12"/>
      <c r="H433" s="11" t="s">
        <v>80</v>
      </c>
      <c r="I433" s="11" t="s">
        <v>1154</v>
      </c>
      <c r="J433" s="55" t="s">
        <v>1347</v>
      </c>
      <c r="K433" s="14" t="s">
        <v>1023</v>
      </c>
      <c r="L433" s="15" t="s">
        <v>27</v>
      </c>
      <c r="M433" s="29" t="s">
        <v>1120</v>
      </c>
      <c r="N433" s="57">
        <v>46030</v>
      </c>
      <c r="O433" s="15">
        <f>NETWORKDAYS.INTL(WFTracker[[#This Row],[Start date]],WFTracker[[#This Row],[RM]],1,Holidays!D295:D310)</f>
        <v>12</v>
      </c>
      <c r="P433" s="12">
        <v>45939</v>
      </c>
      <c r="Q433" s="12">
        <v>45947</v>
      </c>
      <c r="R433" s="12">
        <v>45954</v>
      </c>
      <c r="S433" s="12" t="b">
        <f>ISBLANK(WFTracker[[#This Row],[Completion Date]])</f>
        <v>0</v>
      </c>
      <c r="T433" s="12" t="str">
        <f>TEXT(WFTracker[[#This Row],[Start date]],"mmm-yyyy")</f>
        <v>Oct-2025</v>
      </c>
      <c r="U433" s="11">
        <v>10</v>
      </c>
      <c r="V433" s="11">
        <f>NETWORKDAYS.INTL(WFTracker[[#This Row],[Start date]],WFTracker[[#This Row],[Due date]],1,Holidays!D295:D310)</f>
        <v>7</v>
      </c>
      <c r="W4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433" s="24">
        <f ca="1">WFTracker[[#This Row],[Active Time]]-WFTracker[[#This Row],[Completion Days Template]]</f>
        <v>5</v>
      </c>
      <c r="Y433" s="16" t="str">
        <f ca="1" xml:space="preserve"> IF(WFTracker[[#This Row],[Overdue Time '[Expected-Completion']]]&gt;0, "LATE","ON TIME")</f>
        <v>LATE</v>
      </c>
      <c r="Z433" s="16" t="str">
        <f ca="1">IF(WFTracker[[#This Row],[Overdue Time '[Expected-Completion']]] &gt;= 15, "SUPER LATE", Y433)</f>
        <v>LATE</v>
      </c>
      <c r="AA433" s="37" t="str">
        <f>IF(WFTracker[[#This Row],[Pre RM Opening Time]]&lt;WFTracker[[#This Row],[Old vs New Order Lead Time WF dead line]], "LATE BY ENG", "ON TIME BY ENG")</f>
        <v>ON TIME BY ENG</v>
      </c>
      <c r="AB433" s="37"/>
      <c r="AC433" s="15" t="str">
        <f>IF(WFTracker[[#This Row],[Competion Date Content]] = FALSE, "C", "i")</f>
        <v>C</v>
      </c>
      <c r="AD4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33" s="37" t="str">
        <f ca="1">IF(WFTracker[[#This Row],[Impact Time Post RM]]&gt;0, "IMPACTED", "NOT IMPACTED")</f>
        <v>IMPACTED</v>
      </c>
      <c r="AF433" s="15"/>
      <c r="AG433" s="18"/>
      <c r="AH433" s="14" t="str">
        <f>IF(WFTracker[[#This Row],[Status]]="C", "Closed", IF(WFTracker[[#This Row],[Status]] = "x", "Cancelled", WFTracker[[#This Row],[Impact Time Post RM]]))</f>
        <v>Closed</v>
      </c>
      <c r="AI433" s="14" t="str">
        <f ca="1">IF(WFTracker[[#This Row],[Impact Time Post RM]]&lt;=0,"ON TIME","LATE")</f>
        <v>LATE</v>
      </c>
      <c r="AJ433" s="14" t="s">
        <v>984</v>
      </c>
      <c r="AK433" s="14">
        <v>18</v>
      </c>
      <c r="AL433" s="915">
        <f>IF(WFTracker[[#This Row],[Type]]="MAKE", WFTracker[[#This Row],[Due date]]+Filters!$J$111, WFTracker[[#This Row],[Due date]]+Filters!$J$135)</f>
        <v>45950.072512647552</v>
      </c>
      <c r="AM433" s="101" cm="1">
        <f t="array" ref="AM4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4" spans="1:39" ht="15" customHeight="1">
      <c r="A434" t="str">
        <f>IF(WFTracker[[#This Row],[Order Number]]="SWBD", "QED2", "PZ4")</f>
        <v>PZ4</v>
      </c>
      <c r="B434" s="21" t="s">
        <v>1297</v>
      </c>
      <c r="C434" s="21" t="s">
        <v>1298</v>
      </c>
      <c r="D434" s="11" t="str">
        <f>WFTracker[[#This Row],[Order Number]]  &amp; "-" &amp; WFTracker[[#This Row],[Item]]</f>
        <v>051576246-000020&amp;30&amp;40&amp;50&amp;60</v>
      </c>
      <c r="E434" s="23" t="s">
        <v>551</v>
      </c>
      <c r="F434" s="12">
        <v>45954</v>
      </c>
      <c r="G434" s="12"/>
      <c r="H434" s="11" t="s">
        <v>80</v>
      </c>
      <c r="I434" s="11" t="s">
        <v>1154</v>
      </c>
      <c r="J434" s="55" t="s">
        <v>1348</v>
      </c>
      <c r="K434" s="14" t="s">
        <v>1023</v>
      </c>
      <c r="L434" s="15" t="s">
        <v>27</v>
      </c>
      <c r="M434" s="29" t="s">
        <v>1120</v>
      </c>
      <c r="N434" s="56">
        <v>46030</v>
      </c>
      <c r="O434" s="15">
        <f>NETWORKDAYS.INTL(WFTracker[[#This Row],[Start date]],WFTracker[[#This Row],[RM]],1,Holidays!D296:D311)</f>
        <v>12</v>
      </c>
      <c r="P434" s="12">
        <v>45939</v>
      </c>
      <c r="Q434" s="12">
        <v>45947</v>
      </c>
      <c r="R434" s="12">
        <v>45947</v>
      </c>
      <c r="S434" s="12" t="b">
        <f>ISBLANK(WFTracker[[#This Row],[Completion Date]])</f>
        <v>0</v>
      </c>
      <c r="T434" s="12" t="str">
        <f>TEXT(WFTracker[[#This Row],[Start date]],"mmm-yyyy")</f>
        <v>Oct-2025</v>
      </c>
      <c r="U434" s="11">
        <v>10</v>
      </c>
      <c r="V434" s="11">
        <f>NETWORKDAYS.INTL(WFTracker[[#This Row],[Start date]],WFTracker[[#This Row],[Due date]],1,Holidays!D296:D311)</f>
        <v>7</v>
      </c>
      <c r="W4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434" s="24">
        <f ca="1">WFTracker[[#This Row],[Active Time]]-WFTracker[[#This Row],[Completion Days Template]]</f>
        <v>0</v>
      </c>
      <c r="Y434" s="16" t="str">
        <f ca="1" xml:space="preserve"> IF(WFTracker[[#This Row],[Overdue Time '[Expected-Completion']]]&gt;0, "LATE","ON TIME")</f>
        <v>ON TIME</v>
      </c>
      <c r="Z434" s="16" t="str">
        <f ca="1">IF(WFTracker[[#This Row],[Overdue Time '[Expected-Completion']]] &gt;= 15, "SUPER LATE", Y434)</f>
        <v>ON TIME</v>
      </c>
      <c r="AA434" s="37" t="str">
        <f>IF(WFTracker[[#This Row],[Pre RM Opening Time]]&lt;WFTracker[[#This Row],[Old vs New Order Lead Time WF dead line]], "LATE BY ENG", "ON TIME BY ENG")</f>
        <v>ON TIME BY ENG</v>
      </c>
      <c r="AB434" s="37"/>
      <c r="AC434" s="15" t="str">
        <f>IF(WFTracker[[#This Row],[Competion Date Content]] = FALSE, "C", "i")</f>
        <v>C</v>
      </c>
      <c r="AD4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434" s="37" t="str">
        <f ca="1">IF(WFTracker[[#This Row],[Impact Time Post RM]]&gt;0, "IMPACTED", "NOT IMPACTED")</f>
        <v>NOT IMPACTED</v>
      </c>
      <c r="AF434" s="15"/>
      <c r="AG434" s="18"/>
      <c r="AH434" s="14" t="str">
        <f>IF(WFTracker[[#This Row],[Status]]="C", "Closed", IF(WFTracker[[#This Row],[Status]] = "x", "Cancelled", WFTracker[[#This Row],[Impact Time Post RM]]))</f>
        <v>Closed</v>
      </c>
      <c r="AI434" s="14" t="str">
        <f ca="1">IF(WFTracker[[#This Row],[Impact Time Post RM]]&lt;=0,"ON TIME","LATE")</f>
        <v>ON TIME</v>
      </c>
      <c r="AJ434" s="14" t="s">
        <v>984</v>
      </c>
      <c r="AK434" s="14">
        <v>18</v>
      </c>
      <c r="AL434" s="915">
        <f>IF(WFTracker[[#This Row],[Type]]="MAKE", WFTracker[[#This Row],[Due date]]+Filters!$J$111, WFTracker[[#This Row],[Due date]]+Filters!$J$135)</f>
        <v>45950.072512647552</v>
      </c>
      <c r="AM434" s="101" cm="1">
        <f t="array" ref="AM4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5" spans="1:39" ht="15" customHeight="1">
      <c r="A435" t="str">
        <f>IF(WFTracker[[#This Row],[Order Number]]="SWBD", "QED2", "PZ4")</f>
        <v>PZ4</v>
      </c>
      <c r="B435" s="21" t="s">
        <v>570</v>
      </c>
      <c r="C435" s="21" t="s">
        <v>135</v>
      </c>
      <c r="D435" s="11" t="str">
        <f>WFTracker[[#This Row],[Order Number]]  &amp; "-" &amp; WFTracker[[#This Row],[Item]]</f>
        <v>0051378345-000010</v>
      </c>
      <c r="E435" s="23" t="s">
        <v>1035</v>
      </c>
      <c r="F435" s="12">
        <v>45954</v>
      </c>
      <c r="G435" s="12"/>
      <c r="H435" s="11" t="s">
        <v>259</v>
      </c>
      <c r="I435" s="11" t="s">
        <v>24</v>
      </c>
      <c r="J435" s="55" t="s">
        <v>574</v>
      </c>
      <c r="K435" s="14" t="s">
        <v>1017</v>
      </c>
      <c r="L435" s="15" t="s">
        <v>40</v>
      </c>
      <c r="M435" s="29" t="s">
        <v>1123</v>
      </c>
      <c r="N435" s="57">
        <v>46085</v>
      </c>
      <c r="O435" s="15">
        <f>NETWORKDAYS.INTL(WFTracker[[#This Row],[Start date]],WFTracker[[#This Row],[RM]],1,Holidays!D297:D312)</f>
        <v>12</v>
      </c>
      <c r="P435" s="12">
        <v>45939</v>
      </c>
      <c r="Q435" s="12">
        <v>45951</v>
      </c>
      <c r="R435" s="12">
        <v>45951</v>
      </c>
      <c r="S435" s="12" t="b">
        <f>ISBLANK(WFTracker[[#This Row],[Completion Date]])</f>
        <v>0</v>
      </c>
      <c r="T435" s="12" t="str">
        <f>TEXT(WFTracker[[#This Row],[Start date]],"mmm-yyyy")</f>
        <v>Oct-2025</v>
      </c>
      <c r="U435" s="11">
        <v>10</v>
      </c>
      <c r="V435" s="11">
        <f>NETWORKDAYS.INTL(WFTracker[[#This Row],[Start date]],WFTracker[[#This Row],[Due date]],1,Holidays!D297:D312)</f>
        <v>9</v>
      </c>
      <c r="W4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35" s="24">
        <f ca="1">WFTracker[[#This Row],[Active Time]]-WFTracker[[#This Row],[Completion Days Template]]</f>
        <v>0</v>
      </c>
      <c r="Y435" s="16" t="str">
        <f ca="1" xml:space="preserve"> IF(WFTracker[[#This Row],[Overdue Time '[Expected-Completion']]]&gt;0, "LATE","ON TIME")</f>
        <v>ON TIME</v>
      </c>
      <c r="Z435" s="16" t="str">
        <f ca="1">IF(WFTracker[[#This Row],[Overdue Time '[Expected-Completion']]] &gt;= 15, "SUPER LATE", Y435)</f>
        <v>ON TIME</v>
      </c>
      <c r="AA435" s="37" t="str">
        <f>IF(WFTracker[[#This Row],[Pre RM Opening Time]]&lt;WFTracker[[#This Row],[Old vs New Order Lead Time WF dead line]], "LATE BY ENG", "ON TIME BY ENG")</f>
        <v>ON TIME BY ENG</v>
      </c>
      <c r="AB435" s="37"/>
      <c r="AC435" s="15" t="str">
        <f>IF(WFTracker[[#This Row],[Competion Date Content]] = FALSE, "C", "i")</f>
        <v>C</v>
      </c>
      <c r="AD4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435" s="37" t="str">
        <f ca="1">IF(WFTracker[[#This Row],[Impact Time Post RM]]&gt;0, "IMPACTED", "NOT IMPACTED")</f>
        <v>NOT IMPACTED</v>
      </c>
      <c r="AF435" s="15"/>
      <c r="AG435" s="18"/>
      <c r="AH435" s="14" t="str">
        <f>IF(WFTracker[[#This Row],[Status]]="C", "Closed", IF(WFTracker[[#This Row],[Status]] = "x", "Cancelled", WFTracker[[#This Row],[Impact Time Post RM]]))</f>
        <v>Closed</v>
      </c>
      <c r="AI435" s="14" t="str">
        <f ca="1">IF(WFTracker[[#This Row],[Impact Time Post RM]]&lt;=0,"ON TIME","LATE")</f>
        <v>ON TIME</v>
      </c>
      <c r="AJ435" s="14" t="s">
        <v>984</v>
      </c>
      <c r="AK435" s="14">
        <v>17</v>
      </c>
      <c r="AL435" s="915">
        <f>IF(WFTracker[[#This Row],[Type]]="MAKE", WFTracker[[#This Row],[Due date]]+Filters!$J$111, WFTracker[[#This Row],[Due date]]+Filters!$J$135)</f>
        <v>45951.415686274508</v>
      </c>
      <c r="AM435" s="101" cm="1">
        <f t="array" ref="AM4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6" spans="1:39" ht="15" customHeight="1">
      <c r="A436" t="str">
        <f>IF(WFTracker[[#This Row],[Order Number]]="SWBD", "QED2", "PZ4")</f>
        <v>PZ4</v>
      </c>
      <c r="B436" s="21" t="s">
        <v>530</v>
      </c>
      <c r="C436" s="26" t="s">
        <v>135</v>
      </c>
      <c r="D436" s="11" t="str">
        <f>WFTracker[[#This Row],[Order Number]]  &amp; "-" &amp; WFTracker[[#This Row],[Item]]</f>
        <v>0051378342-000010</v>
      </c>
      <c r="E436" s="23" t="s">
        <v>532</v>
      </c>
      <c r="F436" s="12">
        <v>45957</v>
      </c>
      <c r="G436" s="27"/>
      <c r="H436" t="s">
        <v>104</v>
      </c>
      <c r="I436" t="s">
        <v>111</v>
      </c>
      <c r="J436" s="55" t="s">
        <v>1349</v>
      </c>
      <c r="K436" s="14" t="s">
        <v>1017</v>
      </c>
      <c r="L436" s="15" t="s">
        <v>40</v>
      </c>
      <c r="M436" s="29" t="s">
        <v>1120</v>
      </c>
      <c r="N436" s="57">
        <v>46114</v>
      </c>
      <c r="O436" s="15">
        <f>NETWORKDAYS.INTL(WFTracker[[#This Row],[Start date]],WFTracker[[#This Row],[RM]],1,Holidays!D325:D340)</f>
        <v>13</v>
      </c>
      <c r="P436" s="12">
        <v>45939</v>
      </c>
      <c r="Q436" s="12">
        <v>45951</v>
      </c>
      <c r="R436" s="12">
        <v>45947</v>
      </c>
      <c r="S436" s="12" t="b">
        <f>ISBLANK(WFTracker[[#This Row],[Completion Date]])</f>
        <v>0</v>
      </c>
      <c r="T436" s="12" t="str">
        <f>TEXT(WFTracker[[#This Row],[Start date]],"mmm-yyyy")</f>
        <v>Oct-2025</v>
      </c>
      <c r="U436" s="11">
        <v>10</v>
      </c>
      <c r="V436" s="11">
        <f>NETWORKDAYS.INTL(WFTracker[[#This Row],[Start date]],WFTracker[[#This Row],[Due date]],1,Holidays!D325:D340)</f>
        <v>9</v>
      </c>
      <c r="W4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436" s="24">
        <f ca="1">WFTracker[[#This Row],[Active Time]]-WFTracker[[#This Row],[Completion Days Template]]</f>
        <v>-2</v>
      </c>
      <c r="Y436" s="16" t="str">
        <f ca="1" xml:space="preserve"> IF(WFTracker[[#This Row],[Overdue Time '[Expected-Completion']]]&gt;0, "LATE","ON TIME")</f>
        <v>ON TIME</v>
      </c>
      <c r="Z436" s="16" t="str">
        <f ca="1">IF(WFTracker[[#This Row],[Overdue Time '[Expected-Completion']]] &gt;= 15, "SUPER LATE", Y436)</f>
        <v>ON TIME</v>
      </c>
      <c r="AA436" s="37" t="str">
        <f>IF(WFTracker[[#This Row],[Pre RM Opening Time]]&lt;WFTracker[[#This Row],[Old vs New Order Lead Time WF dead line]], "LATE BY ENG", "ON TIME BY ENG")</f>
        <v>ON TIME BY ENG</v>
      </c>
      <c r="AB436" s="37"/>
      <c r="AC436" s="15" t="str">
        <f>IF(WFTracker[[#This Row],[Competion Date Content]] = FALSE, "C", "i")</f>
        <v>C</v>
      </c>
      <c r="AD4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436" s="25" t="str">
        <f ca="1">IF(WFTracker[[#This Row],[Impact Time Post RM]]&gt;0, "IMPACTED", "NOT IMPACTED")</f>
        <v>NOT IMPACTED</v>
      </c>
      <c r="AF436" s="15"/>
      <c r="AG436" s="18"/>
      <c r="AH436" s="14" t="str">
        <f>IF(WFTracker[[#This Row],[Status]]="C", "Closed", IF(WFTracker[[#This Row],[Status]] = "x", "Cancelled", WFTracker[[#This Row],[Impact Time Post RM]]))</f>
        <v>Closed</v>
      </c>
      <c r="AI436" s="14" t="str">
        <f ca="1">IF(WFTracker[[#This Row],[Impact Time Post RM]]&lt;=0,"ON TIME","LATE")</f>
        <v>ON TIME</v>
      </c>
      <c r="AJ436" s="14" t="s">
        <v>984</v>
      </c>
      <c r="AK436" s="14">
        <v>17</v>
      </c>
      <c r="AL436" s="915">
        <f>IF(WFTracker[[#This Row],[Type]]="MAKE", WFTracker[[#This Row],[Due date]]+Filters!$J$111, WFTracker[[#This Row],[Due date]]+Filters!$J$135)</f>
        <v>45951.415686274508</v>
      </c>
      <c r="AM436" s="101" cm="1">
        <f t="array" ref="AM4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7" spans="1:39" ht="15" customHeight="1">
      <c r="A437" t="str">
        <f>IF(WFTracker[[#This Row],[Order Number]]="SWBD", "QED2", "PZ4")</f>
        <v>PZ4</v>
      </c>
      <c r="B437" s="21" t="s">
        <v>570</v>
      </c>
      <c r="C437" s="21" t="s">
        <v>135</v>
      </c>
      <c r="D437" s="11" t="str">
        <f>WFTracker[[#This Row],[Order Number]]  &amp; "-" &amp; WFTracker[[#This Row],[Item]]</f>
        <v>0051378345-000010</v>
      </c>
      <c r="E437" s="23" t="s">
        <v>1035</v>
      </c>
      <c r="F437" s="27">
        <v>45954</v>
      </c>
      <c r="G437" s="27"/>
      <c r="H437" s="11" t="s">
        <v>259</v>
      </c>
      <c r="I437" s="11" t="s">
        <v>24</v>
      </c>
      <c r="J437" s="55" t="s">
        <v>572</v>
      </c>
      <c r="K437" s="14" t="s">
        <v>1017</v>
      </c>
      <c r="L437" s="15" t="s">
        <v>27</v>
      </c>
      <c r="M437" s="29" t="s">
        <v>1123</v>
      </c>
      <c r="N437" s="57">
        <v>46085</v>
      </c>
      <c r="O437" s="15">
        <f>NETWORKDAYS.INTL(WFTracker[[#This Row],[Start date]],WFTracker[[#This Row],[RM]],1,Holidays!D268:D283)</f>
        <v>11</v>
      </c>
      <c r="P437" s="12">
        <v>45940</v>
      </c>
      <c r="Q437" s="12">
        <v>45947</v>
      </c>
      <c r="R437" s="12">
        <v>45953</v>
      </c>
      <c r="S437" s="12" t="b">
        <f>ISBLANK(WFTracker[[#This Row],[Completion Date]])</f>
        <v>0</v>
      </c>
      <c r="T437" s="12" t="str">
        <f>TEXT(WFTracker[[#This Row],[Start date]],"mmm-yyyy")</f>
        <v>Oct-2025</v>
      </c>
      <c r="U437" s="11">
        <v>10</v>
      </c>
      <c r="V437" s="11">
        <f>NETWORKDAYS.INTL(WFTracker[[#This Row],[Start date]],WFTracker[[#This Row],[Due date]],1,Holidays!D268:D283)</f>
        <v>6</v>
      </c>
      <c r="W4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437" s="24">
        <f ca="1">WFTracker[[#This Row],[Active Time]]-WFTracker[[#This Row],[Completion Days Template]]</f>
        <v>4</v>
      </c>
      <c r="Y437" s="16" t="str">
        <f ca="1" xml:space="preserve"> IF(WFTracker[[#This Row],[Overdue Time '[Expected-Completion']]]&gt;0, "LATE","ON TIME")</f>
        <v>LATE</v>
      </c>
      <c r="Z437" s="16" t="str">
        <f ca="1">IF(WFTracker[[#This Row],[Overdue Time '[Expected-Completion']]] &gt;= 15, "SUPER LATE", Y437)</f>
        <v>LATE</v>
      </c>
      <c r="AA437" s="37" t="str">
        <f>IF(WFTracker[[#This Row],[Pre RM Opening Time]]&lt;WFTracker[[#This Row],[Old vs New Order Lead Time WF dead line]], "LATE BY ENG", "ON TIME BY ENG")</f>
        <v>ON TIME BY ENG</v>
      </c>
      <c r="AB437" s="37"/>
      <c r="AC437" s="15" t="str">
        <f>IF(WFTracker[[#This Row],[Competion Date Content]] = FALSE, "C", "i")</f>
        <v>C</v>
      </c>
      <c r="AD4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37" s="37" t="str">
        <f ca="1">IF(WFTracker[[#This Row],[Impact Time Post RM]]&gt;0, "IMPACTED", "NOT IMPACTED")</f>
        <v>NOT IMPACTED</v>
      </c>
      <c r="AF437" s="15"/>
      <c r="AG437" s="18"/>
      <c r="AH437" s="14" t="str">
        <f>IF(WFTracker[[#This Row],[Status]]="C", "Closed", IF(WFTracker[[#This Row],[Status]] = "x", "Cancelled", WFTracker[[#This Row],[Impact Time Post RM]]))</f>
        <v>Closed</v>
      </c>
      <c r="AI437" s="14" t="str">
        <f ca="1">IF(WFTracker[[#This Row],[Impact Time Post RM]]&lt;=0,"ON TIME","LATE")</f>
        <v>ON TIME</v>
      </c>
      <c r="AJ437" s="14" t="s">
        <v>984</v>
      </c>
      <c r="AK437" s="14">
        <v>18</v>
      </c>
      <c r="AL437" s="915">
        <f>IF(WFTracker[[#This Row],[Type]]="MAKE", WFTracker[[#This Row],[Due date]]+Filters!$J$111, WFTracker[[#This Row],[Due date]]+Filters!$J$135)</f>
        <v>45950.072512647552</v>
      </c>
      <c r="AM437" s="101" cm="1">
        <f t="array" ref="AM4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8" spans="1:39" ht="15" customHeight="1">
      <c r="A438" t="str">
        <f>IF(WFTracker[[#This Row],[Order Number]]="SWBD", "QED2", "PZ4")</f>
        <v>PZ4</v>
      </c>
      <c r="B438" s="21" t="s">
        <v>384</v>
      </c>
      <c r="C438" s="21" t="s">
        <v>385</v>
      </c>
      <c r="D438" s="23" t="str">
        <f>WFTracker[[#This Row],[Order Number]]  &amp; "-" &amp; WFTracker[[#This Row],[Item]]</f>
        <v>0051306085-000310</v>
      </c>
      <c r="E438" s="23" t="s">
        <v>350</v>
      </c>
      <c r="F438" s="41">
        <v>45910</v>
      </c>
      <c r="G438" s="41"/>
      <c r="H438" s="11" t="s">
        <v>259</v>
      </c>
      <c r="I438" s="11" t="s">
        <v>1154</v>
      </c>
      <c r="J438" s="55" t="s">
        <v>583</v>
      </c>
      <c r="K438" s="14" t="s">
        <v>1017</v>
      </c>
      <c r="L438" s="15" t="s">
        <v>27</v>
      </c>
      <c r="M438" s="29" t="s">
        <v>1120</v>
      </c>
      <c r="N438" s="57">
        <v>45789</v>
      </c>
      <c r="O438" s="15">
        <f>NETWORKDAYS.INTL(WFTracker[[#This Row],[Start date]],WFTracker[[#This Row],[RM]],1,Holidays!D269:D284)</f>
        <v>-24</v>
      </c>
      <c r="P438" s="12">
        <v>45943</v>
      </c>
      <c r="Q438" s="12">
        <v>45951</v>
      </c>
      <c r="R438" s="12">
        <v>45946</v>
      </c>
      <c r="S438" s="12" t="b">
        <f>ISBLANK(WFTracker[[#This Row],[Completion Date]])</f>
        <v>0</v>
      </c>
      <c r="T438" s="12" t="str">
        <f>TEXT(WFTracker[[#This Row],[Start date]],"mmm-yyyy")</f>
        <v>Oct-2025</v>
      </c>
      <c r="U438" s="11">
        <v>10</v>
      </c>
      <c r="V438" s="11">
        <f>NETWORKDAYS.INTL(WFTracker[[#This Row],[Start date]],WFTracker[[#This Row],[Due date]],1,Holidays!D269:D284)</f>
        <v>7</v>
      </c>
      <c r="W4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38" s="24">
        <f ca="1">WFTracker[[#This Row],[Active Time]]-WFTracker[[#This Row],[Completion Days Template]]</f>
        <v>-3</v>
      </c>
      <c r="Y438" s="16" t="str">
        <f ca="1" xml:space="preserve"> IF(WFTracker[[#This Row],[Overdue Time '[Expected-Completion']]]&gt;0, "LATE","ON TIME")</f>
        <v>ON TIME</v>
      </c>
      <c r="Z438" s="16" t="str">
        <f ca="1">IF(WFTracker[[#This Row],[Overdue Time '[Expected-Completion']]] &gt;= 15, "SUPER LATE", Y438)</f>
        <v>ON TIME</v>
      </c>
      <c r="AA438" s="37" t="str">
        <f>IF(WFTracker[[#This Row],[Pre RM Opening Time]]&lt;WFTracker[[#This Row],[Old vs New Order Lead Time WF dead line]], "LATE BY ENG", "ON TIME BY ENG")</f>
        <v>LATE BY ENG</v>
      </c>
      <c r="AB438" s="37" t="s">
        <v>1350</v>
      </c>
      <c r="AC438" s="15" t="str">
        <f>IF(WFTracker[[#This Row],[Competion Date Content]] = FALSE, "C", "i")</f>
        <v>C</v>
      </c>
      <c r="AD4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26</v>
      </c>
      <c r="AE438" s="37" t="str">
        <f ca="1">IF(WFTracker[[#This Row],[Impact Time Post RM]]&gt;0, "IMPACTED", "NOT IMPACTED")</f>
        <v>IMPACTED</v>
      </c>
      <c r="AF438" s="15"/>
      <c r="AG438" s="18"/>
      <c r="AH438" s="14" t="str">
        <f>IF(WFTracker[[#This Row],[Status]]="C", "Closed", IF(WFTracker[[#This Row],[Status]] = "x", "Cancelled", WFTracker[[#This Row],[Impact Time Post RM]]))</f>
        <v>Closed</v>
      </c>
      <c r="AI438" s="14" t="str">
        <f ca="1">IF(WFTracker[[#This Row],[Impact Time Post RM]]&lt;=0,"ON TIME","LATE")</f>
        <v>LATE</v>
      </c>
      <c r="AJ438" s="14" t="s">
        <v>984</v>
      </c>
      <c r="AK438" s="14">
        <v>18</v>
      </c>
      <c r="AL438" s="915">
        <f>IF(WFTracker[[#This Row],[Type]]="MAKE", WFTracker[[#This Row],[Due date]]+Filters!$J$111, WFTracker[[#This Row],[Due date]]+Filters!$J$135)</f>
        <v>45954.072512647552</v>
      </c>
      <c r="AM438" s="102" cm="1">
        <f t="array" ref="AM4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39" spans="1:39" ht="15" customHeight="1">
      <c r="A439" t="str">
        <f>IF(WFTracker[[#This Row],[Order Number]]="SWBD", "QED2", "PZ4")</f>
        <v>PZ4</v>
      </c>
      <c r="B439" s="21" t="s">
        <v>384</v>
      </c>
      <c r="C439" s="21" t="s">
        <v>385</v>
      </c>
      <c r="D439" s="21" t="str">
        <f>WFTracker[[#This Row],[Order Number]]  &amp; "-" &amp; WFTracker[[#This Row],[Item]]</f>
        <v>0051306085-000310</v>
      </c>
      <c r="E439" s="23" t="s">
        <v>350</v>
      </c>
      <c r="F439" s="41">
        <v>45910</v>
      </c>
      <c r="G439" s="41"/>
      <c r="H439" s="11" t="s">
        <v>259</v>
      </c>
      <c r="I439" s="11" t="s">
        <v>1154</v>
      </c>
      <c r="J439" s="55" t="s">
        <v>581</v>
      </c>
      <c r="K439" s="14" t="s">
        <v>1017</v>
      </c>
      <c r="L439" s="15" t="s">
        <v>40</v>
      </c>
      <c r="M439" s="29" t="s">
        <v>1120</v>
      </c>
      <c r="N439" s="57">
        <v>45789</v>
      </c>
      <c r="O439" s="15">
        <f>NETWORKDAYS.INTL(WFTracker[[#This Row],[Start date]],WFTracker[[#This Row],[RM]],1,Holidays!D270:D285)</f>
        <v>-24</v>
      </c>
      <c r="P439" s="12">
        <v>45943</v>
      </c>
      <c r="Q439" s="12">
        <v>45953</v>
      </c>
      <c r="R439" s="12">
        <v>45946</v>
      </c>
      <c r="S439" s="12" t="b">
        <f>ISBLANK(WFTracker[[#This Row],[Completion Date]])</f>
        <v>0</v>
      </c>
      <c r="T439" s="27" t="str">
        <f>TEXT(WFTracker[[#This Row],[Start date]],"mmm-yyyy")</f>
        <v>Oct-2025</v>
      </c>
      <c r="U439">
        <v>10</v>
      </c>
      <c r="V439" s="11">
        <f>NETWORKDAYS.INTL(WFTracker[[#This Row],[Start date]],WFTracker[[#This Row],[Due date]],1,Holidays!D270:D285)</f>
        <v>9</v>
      </c>
      <c r="W4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39" s="24">
        <f ca="1">WFTracker[[#This Row],[Active Time]]-WFTracker[[#This Row],[Completion Days Template]]</f>
        <v>-5</v>
      </c>
      <c r="Y439" s="16" t="str">
        <f ca="1" xml:space="preserve"> IF(WFTracker[[#This Row],[Overdue Time '[Expected-Completion']]]&gt;0, "LATE","ON TIME")</f>
        <v>ON TIME</v>
      </c>
      <c r="Z439" s="16" t="str">
        <f ca="1">IF(WFTracker[[#This Row],[Overdue Time '[Expected-Completion']]] &gt;= 15, "SUPER LATE", Y439)</f>
        <v>ON TIME</v>
      </c>
      <c r="AA439" s="37" t="str">
        <f>IF(WFTracker[[#This Row],[Pre RM Opening Time]]&lt;WFTracker[[#This Row],[Old vs New Order Lead Time WF dead line]], "LATE BY ENG", "ON TIME BY ENG")</f>
        <v>LATE BY ENG</v>
      </c>
      <c r="AB439" s="37" t="s">
        <v>1350</v>
      </c>
      <c r="AC439" s="15" t="str">
        <f>IF(WFTracker[[#This Row],[Competion Date Content]] = FALSE, "C", "i")</f>
        <v>C</v>
      </c>
      <c r="AD4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26</v>
      </c>
      <c r="AE439" s="25" t="str">
        <f ca="1">IF(WFTracker[[#This Row],[Impact Time Post RM]]&gt;0, "IMPACTED", "NOT IMPACTED")</f>
        <v>IMPACTED</v>
      </c>
      <c r="AF439" s="15"/>
      <c r="AG439" s="18"/>
      <c r="AH439" s="14" t="str">
        <f>IF(WFTracker[[#This Row],[Status]]="C", "Closed", IF(WFTracker[[#This Row],[Status]] = "x", "Cancelled", WFTracker[[#This Row],[Impact Time Post RM]]))</f>
        <v>Closed</v>
      </c>
      <c r="AI439" s="14" t="str">
        <f ca="1">IF(WFTracker[[#This Row],[Impact Time Post RM]]&lt;=0,"ON TIME","LATE")</f>
        <v>LATE</v>
      </c>
      <c r="AJ439" s="14" t="s">
        <v>984</v>
      </c>
      <c r="AK439" s="14">
        <v>17</v>
      </c>
      <c r="AL439" s="915">
        <f>IF(WFTracker[[#This Row],[Type]]="MAKE", WFTracker[[#This Row],[Due date]]+Filters!$J$111, WFTracker[[#This Row],[Due date]]+Filters!$J$135)</f>
        <v>45953.415686274508</v>
      </c>
      <c r="AM439" s="102" cm="1">
        <f t="array" ref="AM4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0" spans="1:39" ht="15" customHeight="1">
      <c r="A440" t="str">
        <f>IF(WFTracker[[#This Row],[Order Number]]="SWBD", "QED2", "PZ4")</f>
        <v>PZ4</v>
      </c>
      <c r="B440" s="21" t="s">
        <v>384</v>
      </c>
      <c r="C440" s="21" t="s">
        <v>385</v>
      </c>
      <c r="D440" s="21" t="str">
        <f>WFTracker[[#This Row],[Order Number]]  &amp; "-" &amp; WFTracker[[#This Row],[Item]]</f>
        <v>0051306085-000310</v>
      </c>
      <c r="E440" s="23" t="s">
        <v>350</v>
      </c>
      <c r="F440" s="41">
        <v>45910</v>
      </c>
      <c r="G440" s="41"/>
      <c r="H440" s="11" t="s">
        <v>259</v>
      </c>
      <c r="I440" s="11" t="s">
        <v>1154</v>
      </c>
      <c r="J440" s="55" t="s">
        <v>582</v>
      </c>
      <c r="K440" s="14" t="s">
        <v>1017</v>
      </c>
      <c r="L440" s="15" t="s">
        <v>40</v>
      </c>
      <c r="M440" s="29" t="s">
        <v>1120</v>
      </c>
      <c r="N440" s="57">
        <v>45789</v>
      </c>
      <c r="O440" s="15">
        <f>NETWORKDAYS.INTL(WFTracker[[#This Row],[Start date]],WFTracker[[#This Row],[RM]],1,Holidays!D271:D286)</f>
        <v>-24</v>
      </c>
      <c r="P440" s="12">
        <v>45943</v>
      </c>
      <c r="Q440" s="12">
        <v>45953</v>
      </c>
      <c r="R440" s="12">
        <v>45946</v>
      </c>
      <c r="S440" s="12" t="b">
        <f>ISBLANK(WFTracker[[#This Row],[Completion Date]])</f>
        <v>0</v>
      </c>
      <c r="T440" s="27" t="str">
        <f>TEXT(WFTracker[[#This Row],[Start date]],"mmm-yyyy")</f>
        <v>Oct-2025</v>
      </c>
      <c r="U440">
        <v>10</v>
      </c>
      <c r="V440" s="11">
        <f>NETWORKDAYS.INTL(WFTracker[[#This Row],[Start date]],WFTracker[[#This Row],[Due date]],1,Holidays!D271:D286)</f>
        <v>9</v>
      </c>
      <c r="W4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40" s="24">
        <f ca="1">WFTracker[[#This Row],[Active Time]]-WFTracker[[#This Row],[Completion Days Template]]</f>
        <v>-5</v>
      </c>
      <c r="Y440" s="16" t="str">
        <f ca="1" xml:space="preserve"> IF(WFTracker[[#This Row],[Overdue Time '[Expected-Completion']]]&gt;0, "LATE","ON TIME")</f>
        <v>ON TIME</v>
      </c>
      <c r="Z440" s="16" t="str">
        <f ca="1">IF(WFTracker[[#This Row],[Overdue Time '[Expected-Completion']]] &gt;= 15, "SUPER LATE", Y440)</f>
        <v>ON TIME</v>
      </c>
      <c r="AA440" s="37" t="str">
        <f>IF(WFTracker[[#This Row],[Pre RM Opening Time]]&lt;WFTracker[[#This Row],[Old vs New Order Lead Time WF dead line]], "LATE BY ENG", "ON TIME BY ENG")</f>
        <v>LATE BY ENG</v>
      </c>
      <c r="AB440" s="37" t="s">
        <v>1350</v>
      </c>
      <c r="AC440" s="15" t="str">
        <f>IF(WFTracker[[#This Row],[Competion Date Content]] = FALSE, "C", "i")</f>
        <v>C</v>
      </c>
      <c r="AD4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26</v>
      </c>
      <c r="AE440" s="25" t="str">
        <f ca="1">IF(WFTracker[[#This Row],[Impact Time Post RM]]&gt;0, "IMPACTED", "NOT IMPACTED")</f>
        <v>IMPACTED</v>
      </c>
      <c r="AF440" s="15"/>
      <c r="AG440" s="18"/>
      <c r="AH440" s="14" t="str">
        <f>IF(WFTracker[[#This Row],[Status]]="C", "Closed", IF(WFTracker[[#This Row],[Status]] = "x", "Cancelled", WFTracker[[#This Row],[Impact Time Post RM]]))</f>
        <v>Closed</v>
      </c>
      <c r="AI440" s="14" t="str">
        <f ca="1">IF(WFTracker[[#This Row],[Impact Time Post RM]]&lt;=0,"ON TIME","LATE")</f>
        <v>LATE</v>
      </c>
      <c r="AJ440" s="14" t="s">
        <v>984</v>
      </c>
      <c r="AK440" s="14">
        <v>17</v>
      </c>
      <c r="AL440" s="915">
        <f>IF(WFTracker[[#This Row],[Type]]="MAKE", WFTracker[[#This Row],[Due date]]+Filters!$J$111, WFTracker[[#This Row],[Due date]]+Filters!$J$135)</f>
        <v>45953.415686274508</v>
      </c>
      <c r="AM440" s="102" cm="1">
        <f t="array" ref="AM4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1" spans="1:39" ht="15" customHeight="1">
      <c r="A441" t="str">
        <f>IF(WFTracker[[#This Row],[Order Number]]="SWBD", "QED2", "PZ4")</f>
        <v>PZ4</v>
      </c>
      <c r="B441" s="21" t="s">
        <v>588</v>
      </c>
      <c r="C441" s="21" t="s">
        <v>135</v>
      </c>
      <c r="D441" s="21" t="str">
        <f>WFTracker[[#This Row],[Order Number]]  &amp; "-" &amp; WFTracker[[#This Row],[Item]]</f>
        <v>0051608932-000010</v>
      </c>
      <c r="E441" s="23" t="s">
        <v>589</v>
      </c>
      <c r="F441" s="12">
        <v>45953</v>
      </c>
      <c r="G441" s="12"/>
      <c r="H441" s="11" t="s">
        <v>1351</v>
      </c>
      <c r="I441" s="11" t="s">
        <v>241</v>
      </c>
      <c r="J441" s="55" t="s">
        <v>590</v>
      </c>
      <c r="K441" s="14" t="s">
        <v>1017</v>
      </c>
      <c r="L441" s="15" t="s">
        <v>27</v>
      </c>
      <c r="M441" s="29" t="s">
        <v>1120</v>
      </c>
      <c r="N441" s="57">
        <v>45881</v>
      </c>
      <c r="O441" s="15">
        <f>NETWORKDAYS.INTL(WFTracker[[#This Row],[Start date]],WFTracker[[#This Row],[RM]],1,Holidays!D200:D215)</f>
        <v>9</v>
      </c>
      <c r="P441" s="12">
        <v>45943</v>
      </c>
      <c r="Q441" s="12">
        <v>45950</v>
      </c>
      <c r="R441" s="12">
        <v>45952</v>
      </c>
      <c r="S441" s="12" t="b">
        <f>ISBLANK(WFTracker[[#This Row],[Completion Date]])</f>
        <v>0</v>
      </c>
      <c r="T441" s="27" t="str">
        <f>TEXT(WFTracker[[#This Row],[Start date]],"mmm-yyyy")</f>
        <v>Oct-2025</v>
      </c>
      <c r="U441">
        <v>10</v>
      </c>
      <c r="V441" s="11">
        <f>NETWORKDAYS.INTL(WFTracker[[#This Row],[Start date]],WFTracker[[#This Row],[Due date]],1,Holidays!D200:D215)</f>
        <v>6</v>
      </c>
      <c r="W4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41" s="24">
        <f ca="1">WFTracker[[#This Row],[Active Time]]-WFTracker[[#This Row],[Completion Days Template]]</f>
        <v>2</v>
      </c>
      <c r="Y441" s="16" t="str">
        <f ca="1" xml:space="preserve"> IF(WFTracker[[#This Row],[Overdue Time '[Expected-Completion']]]&gt;0, "LATE","ON TIME")</f>
        <v>LATE</v>
      </c>
      <c r="Z441" s="16" t="str">
        <f ca="1">IF(WFTracker[[#This Row],[Overdue Time '[Expected-Completion']]] &gt;= 15, "SUPER LATE", Y441)</f>
        <v>LATE</v>
      </c>
      <c r="AA441" s="37" t="str">
        <f>IF(WFTracker[[#This Row],[Pre RM Opening Time]]&lt;WFTracker[[#This Row],[Old vs New Order Lead Time WF dead line]], "LATE BY ENG", "ON TIME BY ENG")</f>
        <v>LATE BY ENG</v>
      </c>
      <c r="AB441" s="37" t="s">
        <v>1352</v>
      </c>
      <c r="AC441" s="15" t="str">
        <f>IF(WFTracker[[#This Row],[Competion Date Content]] = FALSE, "C", "i")</f>
        <v>C</v>
      </c>
      <c r="AD4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41" s="37" t="str">
        <f ca="1">IF(WFTracker[[#This Row],[Impact Time Post RM]]&gt;0, "IMPACTED", "NOT IMPACTED")</f>
        <v>NOT IMPACTED</v>
      </c>
      <c r="AF441" s="15"/>
      <c r="AG441" s="18"/>
      <c r="AH441" s="14" t="str">
        <f>IF(WFTracker[[#This Row],[Status]]="C", "Closed", IF(WFTracker[[#This Row],[Status]] = "x", "Cancelled", WFTracker[[#This Row],[Impact Time Post RM]]))</f>
        <v>Closed</v>
      </c>
      <c r="AI441" s="14" t="str">
        <f ca="1">IF(WFTracker[[#This Row],[Impact Time Post RM]]&lt;=0,"ON TIME","LATE")</f>
        <v>ON TIME</v>
      </c>
      <c r="AJ441" s="14" t="s">
        <v>984</v>
      </c>
      <c r="AK441" s="14">
        <v>18</v>
      </c>
      <c r="AL441" s="915">
        <f>IF(WFTracker[[#This Row],[Type]]="MAKE", WFTracker[[#This Row],[Due date]]+Filters!$J$111, WFTracker[[#This Row],[Due date]]+Filters!$J$135)</f>
        <v>45953.072512647552</v>
      </c>
      <c r="AM441" s="102" cm="1">
        <f t="array" ref="AM4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2" spans="1:39" ht="15" customHeight="1">
      <c r="A442" t="str">
        <f>IF(WFTracker[[#This Row],[Order Number]]="SWBD", "QED2", "PZ4")</f>
        <v>PZ4</v>
      </c>
      <c r="B442" s="21" t="s">
        <v>1297</v>
      </c>
      <c r="C442" s="21" t="s">
        <v>1298</v>
      </c>
      <c r="D442" t="str">
        <f>WFTracker[[#This Row],[Order Number]]  &amp; "-" &amp; WFTracker[[#This Row],[Item]]</f>
        <v>051576246-000020&amp;30&amp;40&amp;50&amp;60</v>
      </c>
      <c r="E442" s="23" t="s">
        <v>551</v>
      </c>
      <c r="F442" s="12">
        <v>45954</v>
      </c>
      <c r="G442" s="12"/>
      <c r="H442" s="11" t="s">
        <v>80</v>
      </c>
      <c r="I442" s="11" t="s">
        <v>1154</v>
      </c>
      <c r="J442" s="55" t="s">
        <v>1353</v>
      </c>
      <c r="K442" s="14" t="s">
        <v>1023</v>
      </c>
      <c r="L442" s="15" t="s">
        <v>27</v>
      </c>
      <c r="M442" s="29" t="s">
        <v>1120</v>
      </c>
      <c r="N442" s="57">
        <v>46030</v>
      </c>
      <c r="O442" s="15">
        <f>NETWORKDAYS.INTL(WFTracker[[#This Row],[Start date]],WFTracker[[#This Row],[RM]],1,Holidays!D235:D250)</f>
        <v>10</v>
      </c>
      <c r="P442" s="12">
        <v>45943</v>
      </c>
      <c r="Q442" s="12">
        <v>45951</v>
      </c>
      <c r="R442" s="12">
        <v>45953</v>
      </c>
      <c r="S442" s="12" t="b">
        <f>ISBLANK(WFTracker[[#This Row],[Completion Date]])</f>
        <v>0</v>
      </c>
      <c r="T442" s="27" t="str">
        <f>TEXT(WFTracker[[#This Row],[Start date]],"mmm-yyyy")</f>
        <v>Oct-2025</v>
      </c>
      <c r="U442">
        <v>10</v>
      </c>
      <c r="V442" s="11">
        <f>NETWORKDAYS.INTL(WFTracker[[#This Row],[Start date]],WFTracker[[#This Row],[Due date]],1,Holidays!D235:D250)</f>
        <v>7</v>
      </c>
      <c r="W4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42" s="24">
        <f ca="1">WFTracker[[#This Row],[Active Time]]-WFTracker[[#This Row],[Completion Days Template]]</f>
        <v>2</v>
      </c>
      <c r="Y442" s="16" t="str">
        <f ca="1" xml:space="preserve"> IF(WFTracker[[#This Row],[Overdue Time '[Expected-Completion']]]&gt;0, "LATE","ON TIME")</f>
        <v>LATE</v>
      </c>
      <c r="Z442" s="16" t="str">
        <f ca="1">IF(WFTracker[[#This Row],[Overdue Time '[Expected-Completion']]] &gt;= 15, "SUPER LATE", Y442)</f>
        <v>LATE</v>
      </c>
      <c r="AA442" s="37" t="str">
        <f>IF(WFTracker[[#This Row],[Pre RM Opening Time]]&lt;WFTracker[[#This Row],[Old vs New Order Lead Time WF dead line]], "LATE BY ENG", "ON TIME BY ENG")</f>
        <v>ON TIME BY ENG</v>
      </c>
      <c r="AB442" s="37"/>
      <c r="AC442" s="15" t="str">
        <f>IF(WFTracker[[#This Row],[Competion Date Content]] = FALSE, "C", "i")</f>
        <v>C</v>
      </c>
      <c r="AD4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442" s="37" t="str">
        <f ca="1">IF(WFTracker[[#This Row],[Impact Time Post RM]]&gt;0, "IMPACTED", "NOT IMPACTED")</f>
        <v>NOT IMPACTED</v>
      </c>
      <c r="AF442" s="15"/>
      <c r="AG442" s="18"/>
      <c r="AH442" s="14" t="str">
        <f>IF(WFTracker[[#This Row],[Status]]="C", "Closed", IF(WFTracker[[#This Row],[Status]] = "x", "Cancelled", WFTracker[[#This Row],[Impact Time Post RM]]))</f>
        <v>Closed</v>
      </c>
      <c r="AI442" s="14" t="str">
        <f ca="1">IF(WFTracker[[#This Row],[Impact Time Post RM]]&lt;=0,"ON TIME","LATE")</f>
        <v>ON TIME</v>
      </c>
      <c r="AJ442" s="14" t="s">
        <v>984</v>
      </c>
      <c r="AK442" s="14">
        <v>18</v>
      </c>
      <c r="AL442" s="915">
        <f>IF(WFTracker[[#This Row],[Type]]="MAKE", WFTracker[[#This Row],[Due date]]+Filters!$J$111, WFTracker[[#This Row],[Due date]]+Filters!$J$135)</f>
        <v>45954.072512647552</v>
      </c>
      <c r="AM442" s="102" cm="1">
        <f t="array" ref="AM4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3" spans="1:39" ht="15" customHeight="1">
      <c r="A443" t="str">
        <f>IF(WFTracker[[#This Row],[Order Number]]="SWBD", "QED2", "PZ4")</f>
        <v>PZ4</v>
      </c>
      <c r="B443" s="21" t="s">
        <v>530</v>
      </c>
      <c r="C443" s="21" t="s">
        <v>135</v>
      </c>
      <c r="D443" t="str">
        <f>WFTracker[[#This Row],[Order Number]]  &amp; "-" &amp; WFTracker[[#This Row],[Item]]</f>
        <v>0051378342-000010</v>
      </c>
      <c r="E443" s="23" t="s">
        <v>532</v>
      </c>
      <c r="F443" s="12">
        <v>45957</v>
      </c>
      <c r="G443" s="12"/>
      <c r="H443" s="11" t="s">
        <v>104</v>
      </c>
      <c r="I443" s="11" t="s">
        <v>111</v>
      </c>
      <c r="J443" s="55" t="s">
        <v>1354</v>
      </c>
      <c r="K443" s="14" t="s">
        <v>1017</v>
      </c>
      <c r="L443" s="15" t="s">
        <v>40</v>
      </c>
      <c r="M443" s="29" t="s">
        <v>1123</v>
      </c>
      <c r="N443" s="57">
        <v>46114</v>
      </c>
      <c r="O443" s="15">
        <f>NETWORKDAYS.INTL(WFTracker[[#This Row],[Start date]],WFTracker[[#This Row],[RM]],1,Holidays!D269:D284)</f>
        <v>11</v>
      </c>
      <c r="P443" s="12">
        <v>45943</v>
      </c>
      <c r="Q443" s="12">
        <v>45953</v>
      </c>
      <c r="R443" s="12">
        <v>45952</v>
      </c>
      <c r="S443" s="12" t="b">
        <f>ISBLANK(WFTracker[[#This Row],[Completion Date]])</f>
        <v>0</v>
      </c>
      <c r="T443" s="27" t="str">
        <f>TEXT(WFTracker[[#This Row],[Start date]],"mmm-yyyy")</f>
        <v>Oct-2025</v>
      </c>
      <c r="U443">
        <v>10</v>
      </c>
      <c r="V443" s="11">
        <f>NETWORKDAYS.INTL(WFTracker[[#This Row],[Start date]],WFTracker[[#This Row],[Due date]],1,Holidays!D269:D284)</f>
        <v>9</v>
      </c>
      <c r="W4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43" s="24">
        <f ca="1">WFTracker[[#This Row],[Active Time]]-WFTracker[[#This Row],[Completion Days Template]]</f>
        <v>-1</v>
      </c>
      <c r="Y443" s="16" t="str">
        <f ca="1" xml:space="preserve"> IF(WFTracker[[#This Row],[Overdue Time '[Expected-Completion']]]&gt;0, "LATE","ON TIME")</f>
        <v>ON TIME</v>
      </c>
      <c r="Z443" s="16" t="str">
        <f ca="1">IF(WFTracker[[#This Row],[Overdue Time '[Expected-Completion']]] &gt;= 15, "SUPER LATE", Y443)</f>
        <v>ON TIME</v>
      </c>
      <c r="AA443" s="37" t="str">
        <f>IF(WFTracker[[#This Row],[Pre RM Opening Time]]&lt;WFTracker[[#This Row],[Old vs New Order Lead Time WF dead line]], "LATE BY ENG", "ON TIME BY ENG")</f>
        <v>ON TIME BY ENG</v>
      </c>
      <c r="AB443" s="37"/>
      <c r="AC443" s="15" t="str">
        <f>IF(WFTracker[[#This Row],[Competion Date Content]] = FALSE, "C", "i")</f>
        <v>C</v>
      </c>
      <c r="AD4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443" s="25" t="str">
        <f ca="1">IF(WFTracker[[#This Row],[Impact Time Post RM]]&gt;0, "IMPACTED", "NOT IMPACTED")</f>
        <v>NOT IMPACTED</v>
      </c>
      <c r="AF443" s="15"/>
      <c r="AG443" s="18"/>
      <c r="AH443" s="14" t="str">
        <f>IF(WFTracker[[#This Row],[Status]]="C", "Closed", IF(WFTracker[[#This Row],[Status]] = "x", "Cancelled", WFTracker[[#This Row],[Impact Time Post RM]]))</f>
        <v>Closed</v>
      </c>
      <c r="AI443" s="14" t="str">
        <f ca="1">IF(WFTracker[[#This Row],[Impact Time Post RM]]&lt;=0,"ON TIME","LATE")</f>
        <v>ON TIME</v>
      </c>
      <c r="AJ443" s="14" t="s">
        <v>984</v>
      </c>
      <c r="AK443" s="14">
        <v>17</v>
      </c>
      <c r="AL443" s="915">
        <f>IF(WFTracker[[#This Row],[Type]]="MAKE", WFTracker[[#This Row],[Due date]]+Filters!$J$111, WFTracker[[#This Row],[Due date]]+Filters!$J$135)</f>
        <v>45953.415686274508</v>
      </c>
      <c r="AM443" s="101" cm="1">
        <f t="array" ref="AM4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4" spans="1:39" ht="15" customHeight="1">
      <c r="A444" t="str">
        <f>IF(WFTracker[[#This Row],[Order Number]]="SWBD", "QED2", "PZ4")</f>
        <v>PZ4</v>
      </c>
      <c r="B444" s="21" t="s">
        <v>826</v>
      </c>
      <c r="C444" s="21" t="s">
        <v>882</v>
      </c>
      <c r="D444" s="21" t="str">
        <f>WFTracker[[#This Row],[Order Number]]  &amp; "-" &amp; WFTracker[[#This Row],[Item]]</f>
        <v>0050384250-001230</v>
      </c>
      <c r="E444" s="23" t="s">
        <v>1027</v>
      </c>
      <c r="F444" s="12">
        <v>46001</v>
      </c>
      <c r="G444" s="12"/>
      <c r="H444" s="11" t="s">
        <v>259</v>
      </c>
      <c r="I444" s="11"/>
      <c r="J444" s="55" t="s">
        <v>1355</v>
      </c>
      <c r="K444" s="14" t="s">
        <v>1023</v>
      </c>
      <c r="L444" s="15" t="s">
        <v>27</v>
      </c>
      <c r="M444" s="29" t="s">
        <v>1120</v>
      </c>
      <c r="N444" s="57">
        <v>46271</v>
      </c>
      <c r="O444" s="15">
        <f>NETWORKDAYS.INTL(WFTracker[[#This Row],[Start date]],WFTracker[[#This Row],[RM]],1,Holidays!D613:D628)</f>
        <v>43</v>
      </c>
      <c r="P444" s="12">
        <v>45943</v>
      </c>
      <c r="Q444" s="12">
        <v>45951</v>
      </c>
      <c r="R444" s="12">
        <v>45958</v>
      </c>
      <c r="S444" s="12" t="b">
        <f>ISBLANK(WFTracker[[#This Row],[Completion Date]])</f>
        <v>0</v>
      </c>
      <c r="T444" s="27" t="str">
        <f>TEXT(WFTracker[[#This Row],[Start date]],"mmm-yyyy")</f>
        <v>Oct-2025</v>
      </c>
      <c r="U444">
        <v>10</v>
      </c>
      <c r="V444" s="11">
        <f>NETWORKDAYS.INTL(WFTracker[[#This Row],[Start date]],WFTracker[[#This Row],[Due date]],1,Holidays!D613:D628)</f>
        <v>7</v>
      </c>
      <c r="W4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444" s="24">
        <f ca="1">WFTracker[[#This Row],[Active Time]]-WFTracker[[#This Row],[Completion Days Template]]</f>
        <v>5</v>
      </c>
      <c r="Y444" s="16" t="str">
        <f ca="1" xml:space="preserve"> IF(WFTracker[[#This Row],[Overdue Time '[Expected-Completion']]]&gt;0, "LATE","ON TIME")</f>
        <v>LATE</v>
      </c>
      <c r="Z444" s="16" t="str">
        <f ca="1">IF(WFTracker[[#This Row],[Overdue Time '[Expected-Completion']]] &gt;= 15, "SUPER LATE", Y444)</f>
        <v>LATE</v>
      </c>
      <c r="AA444" s="37" t="str">
        <f>IF(WFTracker[[#This Row],[Pre RM Opening Time]]&lt;WFTracker[[#This Row],[Old vs New Order Lead Time WF dead line]], "LATE BY ENG", "ON TIME BY ENG")</f>
        <v>ON TIME BY ENG</v>
      </c>
      <c r="AB444" s="37"/>
      <c r="AC444" s="15" t="str">
        <f>IF(WFTracker[[#This Row],[Competion Date Content]] = FALSE, "C", "i")</f>
        <v>C</v>
      </c>
      <c r="AD4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444" s="37" t="str">
        <f ca="1">IF(WFTracker[[#This Row],[Impact Time Post RM]]&gt;0, "IMPACTED", "NOT IMPACTED")</f>
        <v>NOT IMPACTED</v>
      </c>
      <c r="AF444" s="15"/>
      <c r="AG444" s="18"/>
      <c r="AH444" s="14" t="str">
        <f>IF(WFTracker[[#This Row],[Status]]="C", "Closed", IF(WFTracker[[#This Row],[Status]] = "x", "Cancelled", WFTracker[[#This Row],[Impact Time Post RM]]))</f>
        <v>Closed</v>
      </c>
      <c r="AI444" s="14" t="str">
        <f ca="1">IF(WFTracker[[#This Row],[Impact Time Post RM]]&lt;=0,"ON TIME","LATE")</f>
        <v>ON TIME</v>
      </c>
      <c r="AJ444" s="14" t="s">
        <v>984</v>
      </c>
      <c r="AK444" s="14">
        <v>18</v>
      </c>
      <c r="AL444" s="915">
        <f>IF(WFTracker[[#This Row],[Type]]="MAKE", WFTracker[[#This Row],[Due date]]+Filters!$J$111, WFTracker[[#This Row],[Due date]]+Filters!$J$135)</f>
        <v>45954.072512647552</v>
      </c>
      <c r="AM444" s="102" cm="1">
        <f t="array" ref="AM4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5" spans="1:39" ht="15" customHeight="1">
      <c r="A445" t="str">
        <f>IF(WFTracker[[#This Row],[Order Number]]="SWBD", "QED2", "PZ4")</f>
        <v>PZ4</v>
      </c>
      <c r="B445" s="21" t="s">
        <v>401</v>
      </c>
      <c r="C445" s="21" t="s">
        <v>135</v>
      </c>
      <c r="D445" t="str">
        <f>WFTracker[[#This Row],[Order Number]]  &amp; "-" &amp; WFTracker[[#This Row],[Item]]</f>
        <v>0051199001-000010</v>
      </c>
      <c r="E445" s="23" t="s">
        <v>1020</v>
      </c>
      <c r="F445" s="12">
        <v>45936</v>
      </c>
      <c r="G445" s="12"/>
      <c r="H445" s="11" t="s">
        <v>237</v>
      </c>
      <c r="I445" s="11" t="s">
        <v>1132</v>
      </c>
      <c r="J445" s="55" t="s">
        <v>1356</v>
      </c>
      <c r="K445" s="14" t="s">
        <v>1017</v>
      </c>
      <c r="L445" s="15" t="s">
        <v>27</v>
      </c>
      <c r="M445" s="29" t="s">
        <v>1181</v>
      </c>
      <c r="N445" s="57">
        <v>45987</v>
      </c>
      <c r="O445" s="15">
        <f>NETWORKDAYS.INTL(WFTracker[[#This Row],[Start date]],WFTracker[[#This Row],[RM]],1,Holidays!D614:D629)</f>
        <v>-7</v>
      </c>
      <c r="P445" s="12">
        <v>45944</v>
      </c>
      <c r="Q445" s="12">
        <v>45953</v>
      </c>
      <c r="R445" s="12">
        <v>45946</v>
      </c>
      <c r="S445" s="12" t="b">
        <f>ISBLANK(WFTracker[[#This Row],[Completion Date]])</f>
        <v>0</v>
      </c>
      <c r="T445" s="27" t="str">
        <f>TEXT(WFTracker[[#This Row],[Start date]],"mmm-yyyy")</f>
        <v>Oct-2025</v>
      </c>
      <c r="U445">
        <v>10</v>
      </c>
      <c r="V445" s="11">
        <f>NETWORKDAYS.INTL(WFTracker[[#This Row],[Start date]],WFTracker[[#This Row],[Due date]],1,Holidays!D614:D629)</f>
        <v>8</v>
      </c>
      <c r="W4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45" s="24">
        <f ca="1">WFTracker[[#This Row],[Active Time]]-WFTracker[[#This Row],[Completion Days Template]]</f>
        <v>-5</v>
      </c>
      <c r="Y445" s="16" t="str">
        <f ca="1" xml:space="preserve"> IF(WFTracker[[#This Row],[Overdue Time '[Expected-Completion']]]&gt;0, "LATE","ON TIME")</f>
        <v>ON TIME</v>
      </c>
      <c r="Z445" s="16" t="str">
        <f ca="1">IF(WFTracker[[#This Row],[Overdue Time '[Expected-Completion']]] &gt;= 15, "SUPER LATE", Y445)</f>
        <v>ON TIME</v>
      </c>
      <c r="AA445" s="37" t="str">
        <f>IF(WFTracker[[#This Row],[Pre RM Opening Time]]&lt;WFTracker[[#This Row],[Old vs New Order Lead Time WF dead line]], "LATE BY ENG", "ON TIME BY ENG")</f>
        <v>LATE BY ENG</v>
      </c>
      <c r="AB445" s="37" t="s">
        <v>1357</v>
      </c>
      <c r="AC445" s="15" t="str">
        <f>IF(WFTracker[[#This Row],[Competion Date Content]] = FALSE, "C", "i")</f>
        <v>C</v>
      </c>
      <c r="AD4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445" s="37" t="str">
        <f ca="1">IF(WFTracker[[#This Row],[Impact Time Post RM]]&gt;0, "IMPACTED", "NOT IMPACTED")</f>
        <v>IMPACTED</v>
      </c>
      <c r="AF445" s="15"/>
      <c r="AG445" s="18"/>
      <c r="AH445" s="14" t="str">
        <f>IF(WFTracker[[#This Row],[Status]]="C", "Closed", IF(WFTracker[[#This Row],[Status]] = "x", "Cancelled", WFTracker[[#This Row],[Impact Time Post RM]]))</f>
        <v>Closed</v>
      </c>
      <c r="AI445" s="14" t="str">
        <f ca="1">IF(WFTracker[[#This Row],[Impact Time Post RM]]&lt;=0,"ON TIME","LATE")</f>
        <v>LATE</v>
      </c>
      <c r="AJ445" s="14" t="s">
        <v>984</v>
      </c>
      <c r="AK445" s="14">
        <v>18</v>
      </c>
      <c r="AL445" s="915">
        <f>IF(WFTracker[[#This Row],[Type]]="MAKE", WFTracker[[#This Row],[Due date]]+Filters!$J$111, WFTracker[[#This Row],[Due date]]+Filters!$J$135)</f>
        <v>45956.072512647552</v>
      </c>
      <c r="AM445" s="102" cm="1">
        <f t="array" ref="AM4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6" spans="1:39" ht="15" customHeight="1">
      <c r="A446" t="str">
        <f>IF(WFTracker[[#This Row],[Order Number]]="SWBD", "QED2", "PZ4")</f>
        <v>PZ4</v>
      </c>
      <c r="B446" s="21" t="s">
        <v>384</v>
      </c>
      <c r="C446" s="21" t="s">
        <v>385</v>
      </c>
      <c r="D446" s="21" t="str">
        <f>WFTracker[[#This Row],[Order Number]]  &amp; "-" &amp; WFTracker[[#This Row],[Item]]</f>
        <v>0051306085-000310</v>
      </c>
      <c r="E446" s="23" t="s">
        <v>350</v>
      </c>
      <c r="F446" s="41">
        <v>45910</v>
      </c>
      <c r="G446" s="41"/>
      <c r="H446" s="11" t="s">
        <v>259</v>
      </c>
      <c r="I446" s="11" t="s">
        <v>1154</v>
      </c>
      <c r="J446" s="55" t="s">
        <v>584</v>
      </c>
      <c r="K446" s="14" t="s">
        <v>1023</v>
      </c>
      <c r="L446" s="15" t="s">
        <v>40</v>
      </c>
      <c r="M446" s="29" t="s">
        <v>1120</v>
      </c>
      <c r="N446" s="57">
        <v>45789</v>
      </c>
      <c r="O446" s="15">
        <f>NETWORKDAYS.INTL(WFTracker[[#This Row],[Start date]],WFTracker[[#This Row],[RM]],1,Holidays!D615:D630)</f>
        <v>-25</v>
      </c>
      <c r="P446" s="12">
        <v>45944</v>
      </c>
      <c r="Q446" s="12">
        <v>45954</v>
      </c>
      <c r="R446" s="12">
        <v>45946</v>
      </c>
      <c r="S446" s="12" t="b">
        <f>ISBLANK(WFTracker[[#This Row],[Completion Date]])</f>
        <v>0</v>
      </c>
      <c r="T446" s="27" t="str">
        <f>TEXT(WFTracker[[#This Row],[Start date]],"mmm-yyyy")</f>
        <v>Oct-2025</v>
      </c>
      <c r="U446">
        <v>10</v>
      </c>
      <c r="V446" s="11">
        <f>NETWORKDAYS.INTL(WFTracker[[#This Row],[Start date]],WFTracker[[#This Row],[Due date]],1,Holidays!D615:D630)</f>
        <v>9</v>
      </c>
      <c r="W4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46" s="24">
        <f ca="1">WFTracker[[#This Row],[Active Time]]-WFTracker[[#This Row],[Completion Days Template]]</f>
        <v>-6</v>
      </c>
      <c r="Y446" s="16" t="str">
        <f ca="1" xml:space="preserve"> IF(WFTracker[[#This Row],[Overdue Time '[Expected-Completion']]]&gt;0, "LATE","ON TIME")</f>
        <v>ON TIME</v>
      </c>
      <c r="Z446" s="16" t="str">
        <f ca="1">IF(WFTracker[[#This Row],[Overdue Time '[Expected-Completion']]] &gt;= 15, "SUPER LATE", Y446)</f>
        <v>ON TIME</v>
      </c>
      <c r="AA446" s="37" t="str">
        <f>IF(WFTracker[[#This Row],[Pre RM Opening Time]]&lt;WFTracker[[#This Row],[Old vs New Order Lead Time WF dead line]], "LATE BY ENG", "ON TIME BY ENG")</f>
        <v>LATE BY ENG</v>
      </c>
      <c r="AB446" s="37" t="s">
        <v>1350</v>
      </c>
      <c r="AC446" s="15" t="str">
        <f>IF(WFTracker[[#This Row],[Competion Date Content]] = FALSE, "C", "i")</f>
        <v>C</v>
      </c>
      <c r="AD4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26</v>
      </c>
      <c r="AE446" s="25" t="str">
        <f ca="1">IF(WFTracker[[#This Row],[Impact Time Post RM]]&gt;0, "IMPACTED", "NOT IMPACTED")</f>
        <v>IMPACTED</v>
      </c>
      <c r="AF446" s="15"/>
      <c r="AG446" s="18"/>
      <c r="AH446" s="14" t="str">
        <f>IF(WFTracker[[#This Row],[Status]]="C", "Closed", IF(WFTracker[[#This Row],[Status]] = "x", "Cancelled", WFTracker[[#This Row],[Impact Time Post RM]]))</f>
        <v>Closed</v>
      </c>
      <c r="AI446" s="14" t="str">
        <f ca="1">IF(WFTracker[[#This Row],[Impact Time Post RM]]&lt;=0,"ON TIME","LATE")</f>
        <v>LATE</v>
      </c>
      <c r="AJ446" s="14" t="s">
        <v>984</v>
      </c>
      <c r="AK446" s="14">
        <v>17</v>
      </c>
      <c r="AL446" s="915">
        <f>IF(WFTracker[[#This Row],[Type]]="MAKE", WFTracker[[#This Row],[Due date]]+Filters!$J$111, WFTracker[[#This Row],[Due date]]+Filters!$J$135)</f>
        <v>45954.415686274508</v>
      </c>
      <c r="AM446" s="102" cm="1">
        <f t="array" ref="AM4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7" spans="1:39" ht="15" customHeight="1">
      <c r="A447" t="str">
        <f>IF(WFTracker[[#This Row],[Order Number]]="SWBD", "QED2", "PZ4")</f>
        <v>QED2</v>
      </c>
      <c r="B447" s="21" t="s">
        <v>1239</v>
      </c>
      <c r="C447" s="21" t="s">
        <v>1358</v>
      </c>
      <c r="D447" s="21" t="str">
        <f>WFTracker[[#This Row],[Order Number]]  &amp; "-" &amp; WFTracker[[#This Row],[Item]]</f>
        <v>SWBD-SWBD 2.0 BREAKERS</v>
      </c>
      <c r="E447" s="23" t="s">
        <v>1358</v>
      </c>
      <c r="F447" s="12">
        <v>45926</v>
      </c>
      <c r="G447" s="12"/>
      <c r="H447" s="11" t="s">
        <v>947</v>
      </c>
      <c r="I447" s="11" t="s">
        <v>1132</v>
      </c>
      <c r="J447" s="13" t="s">
        <v>1359</v>
      </c>
      <c r="K447" s="14" t="s">
        <v>1023</v>
      </c>
      <c r="L447" s="15" t="s">
        <v>40</v>
      </c>
      <c r="M447" s="29" t="s">
        <v>1120</v>
      </c>
      <c r="N447" s="57" t="s">
        <v>984</v>
      </c>
      <c r="O447" s="15">
        <f>NETWORKDAYS.INTL(WFTracker[[#This Row],[Start date]],WFTracker[[#This Row],[RM]],1,Holidays!D40:D55)</f>
        <v>-13</v>
      </c>
      <c r="P447" s="12">
        <v>45944</v>
      </c>
      <c r="Q447" s="12">
        <v>45954</v>
      </c>
      <c r="R447" s="12">
        <v>45946</v>
      </c>
      <c r="S447" s="12" t="b">
        <f>ISBLANK(WFTracker[[#This Row],[Completion Date]])</f>
        <v>0</v>
      </c>
      <c r="T447" s="27" t="str">
        <f>TEXT(WFTracker[[#This Row],[Start date]],"mmm-yyyy")</f>
        <v>Oct-2025</v>
      </c>
      <c r="U447">
        <v>10</v>
      </c>
      <c r="V447" s="11">
        <f>NETWORKDAYS.INTL(WFTracker[[#This Row],[Start date]],WFTracker[[#This Row],[Due date]],1,Holidays!D40:D55)</f>
        <v>9</v>
      </c>
      <c r="W4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47" s="24">
        <f ca="1">WFTracker[[#This Row],[Active Time]]-WFTracker[[#This Row],[Completion Days Template]]</f>
        <v>-6</v>
      </c>
      <c r="Y447" s="16" t="str">
        <f ca="1" xml:space="preserve"> IF(WFTracker[[#This Row],[Overdue Time '[Expected-Completion']]]&gt;0, "LATE","ON TIME")</f>
        <v>ON TIME</v>
      </c>
      <c r="Z447" s="16" t="str">
        <f ca="1">IF(WFTracker[[#This Row],[Overdue Time '[Expected-Completion']]] &gt;= 15, "SUPER LATE", Y447)</f>
        <v>ON TIME</v>
      </c>
      <c r="AA447" s="37" t="str">
        <f>IF(WFTracker[[#This Row],[Pre RM Opening Time]]&lt;WFTracker[[#This Row],[Old vs New Order Lead Time WF dead line]], "LATE BY ENG", "ON TIME BY ENG")</f>
        <v>LATE BY ENG</v>
      </c>
      <c r="AB447" s="37"/>
      <c r="AC447" s="15" t="str">
        <f>IF(WFTracker[[#This Row],[Competion Date Content]] = FALSE, "C", "I")</f>
        <v>C</v>
      </c>
      <c r="AD4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15</v>
      </c>
      <c r="AE447" s="25" t="str">
        <f ca="1">IF(WFTracker[[#This Row],[Impact Time Post RM]]&gt;0, "IMPACTED", "NOT IMPACTED")</f>
        <v>IMPACTED</v>
      </c>
      <c r="AF447" s="15"/>
      <c r="AG447" s="18"/>
      <c r="AH447" s="14" t="str">
        <f>IF(WFTracker[[#This Row],[Status]]="C", "Closed", IF(WFTracker[[#This Row],[Status]] = "x", "Cancelled", WFTracker[[#This Row],[Impact Time Post RM]]))</f>
        <v>Closed</v>
      </c>
      <c r="AI447" s="14" t="str">
        <f ca="1">IF(WFTracker[[#This Row],[Impact Time Post RM]]&lt;=0,"ON TIME","LATE")</f>
        <v>LATE</v>
      </c>
      <c r="AJ447" s="14" t="s">
        <v>984</v>
      </c>
      <c r="AK447" s="14">
        <v>17</v>
      </c>
      <c r="AL447" s="915">
        <f>IF(WFTracker[[#This Row],[Type]]="MAKE", WFTracker[[#This Row],[Due date]]+Filters!$J$111, WFTracker[[#This Row],[Due date]]+Filters!$J$135)</f>
        <v>45954.415686274508</v>
      </c>
      <c r="AM447" s="102" cm="1">
        <f t="array" ref="AM4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8" spans="1:39" ht="15" customHeight="1">
      <c r="A448" t="str">
        <f>IF(WFTracker[[#This Row],[Order Number]]="SWBD", "QED2", "PZ4")</f>
        <v>PZ4</v>
      </c>
      <c r="B448" s="21" t="s">
        <v>591</v>
      </c>
      <c r="C448" s="35" t="s">
        <v>135</v>
      </c>
      <c r="D448" s="21" t="str">
        <f>WFTracker[[#This Row],[Order Number]]  &amp; "-" &amp; WFTracker[[#This Row],[Item]]</f>
        <v>0051422641-000010</v>
      </c>
      <c r="E448" s="23" t="s">
        <v>1022</v>
      </c>
      <c r="F448" s="12">
        <v>45971</v>
      </c>
      <c r="G448" s="12"/>
      <c r="H448" s="11" t="s">
        <v>947</v>
      </c>
      <c r="I448" s="11" t="s">
        <v>111</v>
      </c>
      <c r="J448" s="55" t="s">
        <v>1360</v>
      </c>
      <c r="K448" s="14" t="s">
        <v>1017</v>
      </c>
      <c r="L448" s="15" t="s">
        <v>27</v>
      </c>
      <c r="M448" s="29" t="s">
        <v>1123</v>
      </c>
      <c r="N448" s="57">
        <v>45971</v>
      </c>
      <c r="O448" s="15">
        <f>NETWORKDAYS.INTL(WFTracker[[#This Row],[Start date]],WFTracker[[#This Row],[RM]],1,Holidays!D460:D475)</f>
        <v>20</v>
      </c>
      <c r="P448" s="12">
        <v>45944</v>
      </c>
      <c r="Q448" s="12">
        <v>45952</v>
      </c>
      <c r="R448" s="12">
        <v>45951</v>
      </c>
      <c r="S448" s="12" t="b">
        <f>ISBLANK(WFTracker[[#This Row],[Completion Date]])</f>
        <v>0</v>
      </c>
      <c r="T448" s="27" t="str">
        <f>TEXT(WFTracker[[#This Row],[Start date]],"mmm-yyyy")</f>
        <v>Oct-2025</v>
      </c>
      <c r="U448">
        <v>10</v>
      </c>
      <c r="V448" s="11">
        <f>NETWORKDAYS.INTL(WFTracker[[#This Row],[Start date]],WFTracker[[#This Row],[Due date]],1,Holidays!D460:D475)</f>
        <v>7</v>
      </c>
      <c r="W4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48" s="24">
        <f ca="1">WFTracker[[#This Row],[Active Time]]-WFTracker[[#This Row],[Completion Days Template]]</f>
        <v>-1</v>
      </c>
      <c r="Y448" s="16" t="str">
        <f ca="1" xml:space="preserve"> IF(WFTracker[[#This Row],[Overdue Time '[Expected-Completion']]]&gt;0, "LATE","ON TIME")</f>
        <v>ON TIME</v>
      </c>
      <c r="Z448" s="16" t="str">
        <f ca="1">IF(WFTracker[[#This Row],[Overdue Time '[Expected-Completion']]] &gt;= 15, "SUPER LATE", Y448)</f>
        <v>ON TIME</v>
      </c>
      <c r="AA448" s="37" t="str">
        <f>IF(WFTracker[[#This Row],[Pre RM Opening Time]]&lt;WFTracker[[#This Row],[Old vs New Order Lead Time WF dead line]], "LATE BY ENG", "ON TIME BY ENG")</f>
        <v>ON TIME BY ENG</v>
      </c>
      <c r="AB448" s="37"/>
      <c r="AC448" s="15" t="str">
        <f>IF(WFTracker[[#This Row],[Competion Date Content]] = FALSE, "C", "i")</f>
        <v>C</v>
      </c>
      <c r="AD4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448" s="37" t="str">
        <f ca="1">IF(WFTracker[[#This Row],[Impact Time Post RM]]&gt;0, "IMPACTED", "NOT IMPACTED")</f>
        <v>NOT IMPACTED</v>
      </c>
      <c r="AF448" s="15"/>
      <c r="AG448" s="18"/>
      <c r="AH448" s="14" t="str">
        <f>IF(WFTracker[[#This Row],[Status]]="C", "Closed", IF(WFTracker[[#This Row],[Status]] = "x", "Cancelled", WFTracker[[#This Row],[Impact Time Post RM]]))</f>
        <v>Closed</v>
      </c>
      <c r="AI448" s="14" t="str">
        <f ca="1">IF(WFTracker[[#This Row],[Impact Time Post RM]]&lt;=0,"ON TIME","LATE")</f>
        <v>ON TIME</v>
      </c>
      <c r="AJ448" s="14" t="s">
        <v>984</v>
      </c>
      <c r="AK448" s="14">
        <v>18</v>
      </c>
      <c r="AL448" s="915">
        <f>IF(WFTracker[[#This Row],[Type]]="MAKE", WFTracker[[#This Row],[Due date]]+Filters!$J$111, WFTracker[[#This Row],[Due date]]+Filters!$J$135)</f>
        <v>45955.072512647552</v>
      </c>
      <c r="AM448" s="102" cm="1">
        <f t="array" ref="AM44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49" spans="1:39" ht="15" customHeight="1">
      <c r="A449" t="str">
        <f>IF(WFTracker[[#This Row],[Order Number]]="SWBD", "QED2", "PZ4")</f>
        <v>PZ4</v>
      </c>
      <c r="B449" s="21" t="s">
        <v>591</v>
      </c>
      <c r="C449" s="35" t="s">
        <v>135</v>
      </c>
      <c r="D449" s="21" t="str">
        <f>WFTracker[[#This Row],[Order Number]]  &amp; "-" &amp; WFTracker[[#This Row],[Item]]</f>
        <v>0051422641-000010</v>
      </c>
      <c r="E449" s="23" t="s">
        <v>1022</v>
      </c>
      <c r="F449" s="12">
        <v>45971</v>
      </c>
      <c r="G449" s="27"/>
      <c r="H449" t="s">
        <v>947</v>
      </c>
      <c r="I449" t="s">
        <v>111</v>
      </c>
      <c r="J449" s="55" t="s">
        <v>1361</v>
      </c>
      <c r="K449" s="14" t="s">
        <v>1017</v>
      </c>
      <c r="L449" s="15" t="s">
        <v>27</v>
      </c>
      <c r="M449" s="29" t="s">
        <v>1123</v>
      </c>
      <c r="N449" s="57">
        <v>45971</v>
      </c>
      <c r="O449" s="29">
        <f>NETWORKDAYS.INTL(WFTracker[[#This Row],[Start date]],WFTracker[[#This Row],[RM]],1,Holidays!D461:D476)</f>
        <v>20</v>
      </c>
      <c r="P449" s="27">
        <v>45944</v>
      </c>
      <c r="Q449" s="27">
        <v>45952</v>
      </c>
      <c r="R449" s="12">
        <v>45951</v>
      </c>
      <c r="S449" s="27" t="b">
        <f>ISBLANK(WFTracker[[#This Row],[Completion Date]])</f>
        <v>0</v>
      </c>
      <c r="T449" s="27" t="str">
        <f>TEXT(WFTracker[[#This Row],[Start date]],"mmm-yyyy")</f>
        <v>Oct-2025</v>
      </c>
      <c r="U449">
        <v>10</v>
      </c>
      <c r="V449" s="11">
        <f>NETWORKDAYS.INTL(WFTracker[[#This Row],[Start date]],WFTracker[[#This Row],[Due date]],1,Holidays!D461:D476)</f>
        <v>7</v>
      </c>
      <c r="W4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49" s="30">
        <f ca="1">WFTracker[[#This Row],[Active Time]]-WFTracker[[#This Row],[Completion Days Template]]</f>
        <v>-1</v>
      </c>
      <c r="Y449" s="34" t="str">
        <f ca="1" xml:space="preserve"> IF(WFTracker[[#This Row],[Overdue Time '[Expected-Completion']]]&gt;0, "LATE","ON TIME")</f>
        <v>ON TIME</v>
      </c>
      <c r="Z449" s="34" t="str">
        <f ca="1">IF(WFTracker[[#This Row],[Overdue Time '[Expected-Completion']]] &gt;= 15, "SUPER LATE", Y449)</f>
        <v>ON TIME</v>
      </c>
      <c r="AA449" s="105" t="str">
        <f>IF(WFTracker[[#This Row],[Pre RM Opening Time]]&lt;WFTracker[[#This Row],[Old vs New Order Lead Time WF dead line]], "LATE BY ENG", "ON TIME BY ENG")</f>
        <v>ON TIME BY ENG</v>
      </c>
      <c r="AB449" s="105"/>
      <c r="AC449" s="15" t="str">
        <f>IF(WFTracker[[#This Row],[Competion Date Content]] = FALSE, "C", "i")</f>
        <v>C</v>
      </c>
      <c r="AD4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449" s="105" t="str">
        <f ca="1">IF(WFTracker[[#This Row],[Impact Time Post RM]]&gt;0, "IMPACTED", "NOT IMPACTED")</f>
        <v>NOT IMPACTED</v>
      </c>
      <c r="AF449" s="15"/>
      <c r="AG449" s="42"/>
      <c r="AH449" s="14" t="str">
        <f>IF(WFTracker[[#This Row],[Status]]="C", "Closed", IF(WFTracker[[#This Row],[Status]] = "x", "Cancelled", WFTracker[[#This Row],[Impact Time Post RM]]))</f>
        <v>Closed</v>
      </c>
      <c r="AI449" s="14" t="str">
        <f ca="1">IF(WFTracker[[#This Row],[Impact Time Post RM]]&lt;=0,"ON TIME","LATE")</f>
        <v>ON TIME</v>
      </c>
      <c r="AJ449" s="14" t="s">
        <v>984</v>
      </c>
      <c r="AK449" s="14">
        <v>18</v>
      </c>
      <c r="AL449" s="915">
        <f>IF(WFTracker[[#This Row],[Type]]="MAKE", WFTracker[[#This Row],[Due date]]+Filters!$J$111, WFTracker[[#This Row],[Due date]]+Filters!$J$135)</f>
        <v>45955.072512647552</v>
      </c>
      <c r="AM449" s="102" cm="1">
        <f t="array" ref="AM44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0" spans="1:39" ht="15" customHeight="1">
      <c r="A450" t="str">
        <f>IF(WFTracker[[#This Row],[Order Number]]="SWBD", "QED2", "PZ4")</f>
        <v>PZ4</v>
      </c>
      <c r="B450" s="21" t="s">
        <v>591</v>
      </c>
      <c r="C450" s="35" t="s">
        <v>135</v>
      </c>
      <c r="D450" s="21" t="str">
        <f>WFTracker[[#This Row],[Order Number]]  &amp; "-" &amp; WFTracker[[#This Row],[Item]]</f>
        <v>0051422641-000010</v>
      </c>
      <c r="E450" s="23" t="s">
        <v>1022</v>
      </c>
      <c r="F450" s="27">
        <v>45971</v>
      </c>
      <c r="G450" s="27"/>
      <c r="H450" s="11" t="s">
        <v>947</v>
      </c>
      <c r="I450" s="11" t="s">
        <v>111</v>
      </c>
      <c r="J450" s="55" t="s">
        <v>597</v>
      </c>
      <c r="K450" s="14" t="s">
        <v>1017</v>
      </c>
      <c r="L450" s="15" t="s">
        <v>40</v>
      </c>
      <c r="M450" s="29" t="s">
        <v>1123</v>
      </c>
      <c r="N450" s="57">
        <v>45971</v>
      </c>
      <c r="O450" s="15">
        <f>NETWORKDAYS.INTL(WFTracker[[#This Row],[Start date]],WFTracker[[#This Row],[RM]],1,Holidays!D462:D477)</f>
        <v>20</v>
      </c>
      <c r="P450" s="12">
        <v>45944</v>
      </c>
      <c r="Q450" s="12">
        <v>45954</v>
      </c>
      <c r="R450" s="12">
        <v>45953</v>
      </c>
      <c r="S450" s="12" t="b">
        <f>ISBLANK(WFTracker[[#This Row],[Completion Date]])</f>
        <v>0</v>
      </c>
      <c r="T450" s="27" t="str">
        <f>TEXT(WFTracker[[#This Row],[Start date]],"mmm-yyyy")</f>
        <v>Oct-2025</v>
      </c>
      <c r="U450">
        <v>10</v>
      </c>
      <c r="V450" s="11">
        <f>NETWORKDAYS.INTL(WFTracker[[#This Row],[Start date]],WFTracker[[#This Row],[Due date]],1,Holidays!D462:D477)</f>
        <v>9</v>
      </c>
      <c r="W4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50" s="24">
        <f ca="1">WFTracker[[#This Row],[Active Time]]-WFTracker[[#This Row],[Completion Days Template]]</f>
        <v>-1</v>
      </c>
      <c r="Y450" s="16" t="str">
        <f ca="1" xml:space="preserve"> IF(WFTracker[[#This Row],[Overdue Time '[Expected-Completion']]]&gt;0, "LATE","ON TIME")</f>
        <v>ON TIME</v>
      </c>
      <c r="Z450" s="16" t="str">
        <f ca="1">IF(WFTracker[[#This Row],[Overdue Time '[Expected-Completion']]] &gt;= 15, "SUPER LATE", Y450)</f>
        <v>ON TIME</v>
      </c>
      <c r="AA450" s="37" t="str">
        <f>IF(WFTracker[[#This Row],[Pre RM Opening Time]]&lt;WFTracker[[#This Row],[Old vs New Order Lead Time WF dead line]], "LATE BY ENG", "ON TIME BY ENG")</f>
        <v>ON TIME BY ENG</v>
      </c>
      <c r="AB450" s="37"/>
      <c r="AC450" s="15" t="s">
        <v>46</v>
      </c>
      <c r="AD4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450" s="25" t="str">
        <f ca="1">IF(WFTracker[[#This Row],[Impact Time Post RM]]&gt;0, "IMPACTED", "NOT IMPACTED")</f>
        <v>NOT IMPACTED</v>
      </c>
      <c r="AF450" s="15"/>
      <c r="AG450" s="18" t="s">
        <v>1362</v>
      </c>
      <c r="AH450" s="14" t="str">
        <f>IF(WFTracker[[#This Row],[Status]]="C", "Closed", IF(WFTracker[[#This Row],[Status]] = "x", "Cancelled", WFTracker[[#This Row],[Impact Time Post RM]]))</f>
        <v>Cancelled</v>
      </c>
      <c r="AI450" s="14" t="str">
        <f ca="1">IF(WFTracker[[#This Row],[Impact Time Post RM]]&lt;=0,"ON TIME","LATE")</f>
        <v>ON TIME</v>
      </c>
      <c r="AJ450" s="14" t="s">
        <v>984</v>
      </c>
      <c r="AK450" s="14">
        <v>2</v>
      </c>
      <c r="AL450" s="915">
        <f>IF(WFTracker[[#This Row],[Type]]="MAKE", WFTracker[[#This Row],[Due date]]+Filters!$J$111, WFTracker[[#This Row],[Due date]]+Filters!$J$135)</f>
        <v>45954.415686274508</v>
      </c>
      <c r="AM450" s="102" cm="1">
        <f t="array" ref="AM450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451" spans="1:39" ht="15" customHeight="1">
      <c r="A451" t="str">
        <f>IF(WFTracker[[#This Row],[Order Number]]="SWBD", "QED2", "PZ4")</f>
        <v>PZ4</v>
      </c>
      <c r="B451" s="21" t="s">
        <v>650</v>
      </c>
      <c r="C451" s="35" t="s">
        <v>867</v>
      </c>
      <c r="D451" s="21" t="str">
        <f>WFTracker[[#This Row],[Order Number]]  &amp; "-" &amp; WFTracker[[#This Row],[Item]]</f>
        <v>0051095105-000410</v>
      </c>
      <c r="E451" s="23" t="s">
        <v>652</v>
      </c>
      <c r="F451" s="56">
        <v>45996</v>
      </c>
      <c r="G451" s="56"/>
      <c r="H451" s="11" t="s">
        <v>80</v>
      </c>
      <c r="I451" s="11"/>
      <c r="J451" s="55" t="s">
        <v>1363</v>
      </c>
      <c r="K451" s="14" t="s">
        <v>1023</v>
      </c>
      <c r="L451" s="15" t="s">
        <v>27</v>
      </c>
      <c r="M451" s="29" t="s">
        <v>1120</v>
      </c>
      <c r="N451" s="57">
        <v>46157</v>
      </c>
      <c r="O451" s="15">
        <f>NETWORKDAYS.INTL(WFTracker[[#This Row],[Start date]],WFTracker[[#This Row],[RM]],1,Holidays!D601:D616)</f>
        <v>39</v>
      </c>
      <c r="P451" s="12">
        <v>45944</v>
      </c>
      <c r="Q451" s="12">
        <v>45951</v>
      </c>
      <c r="R451" s="12">
        <v>45946</v>
      </c>
      <c r="S451" s="12" t="b">
        <f>ISBLANK(WFTracker[[#This Row],[Completion Date]])</f>
        <v>0</v>
      </c>
      <c r="T451" s="27" t="str">
        <f>TEXT(WFTracker[[#This Row],[Start date]],"mmm-yyyy")</f>
        <v>Oct-2025</v>
      </c>
      <c r="U451">
        <v>10</v>
      </c>
      <c r="V451" s="11">
        <f>NETWORKDAYS.INTL(WFTracker[[#This Row],[Start date]],WFTracker[[#This Row],[Due date]],1,Holidays!D601:D616)</f>
        <v>6</v>
      </c>
      <c r="W4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51" s="24">
        <f ca="1">WFTracker[[#This Row],[Active Time]]-WFTracker[[#This Row],[Completion Days Template]]</f>
        <v>-3</v>
      </c>
      <c r="Y451" s="16" t="str">
        <f ca="1" xml:space="preserve"> IF(WFTracker[[#This Row],[Overdue Time '[Expected-Completion']]]&gt;0, "LATE","ON TIME")</f>
        <v>ON TIME</v>
      </c>
      <c r="Z451" s="16" t="str">
        <f ca="1">IF(WFTracker[[#This Row],[Overdue Time '[Expected-Completion']]] &gt;= 15, "SUPER LATE", Y451)</f>
        <v>ON TIME</v>
      </c>
      <c r="AA451" s="37" t="str">
        <f>IF(WFTracker[[#This Row],[Pre RM Opening Time]]&lt;WFTracker[[#This Row],[Old vs New Order Lead Time WF dead line]], "LATE BY ENG", "ON TIME BY ENG")</f>
        <v>ON TIME BY ENG</v>
      </c>
      <c r="AB451" s="37"/>
      <c r="AC451" s="15" t="s">
        <v>46</v>
      </c>
      <c r="AD4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-33</v>
      </c>
      <c r="AE451" s="37" t="str">
        <f ca="1">IF(WFTracker[[#This Row],[Impact Time Post RM]]&gt;0, "IMPACTED", "NOT IMPACTED")</f>
        <v>NOT IMPACTED</v>
      </c>
      <c r="AF451" s="15"/>
      <c r="AG451" s="18"/>
      <c r="AH451" s="14" t="str">
        <f>IF(WFTracker[[#This Row],[Status]]="C", "Closed", IF(WFTracker[[#This Row],[Status]] = "x", "Cancelled", WFTracker[[#This Row],[Impact Time Post RM]]))</f>
        <v>Cancelled</v>
      </c>
      <c r="AI451" s="14" t="str">
        <f ca="1">IF(WFTracker[[#This Row],[Impact Time Post RM]]&lt;=0,"ON TIME","LATE")</f>
        <v>ON TIME</v>
      </c>
      <c r="AJ451" s="14" t="s">
        <v>984</v>
      </c>
      <c r="AK451" s="14">
        <v>0</v>
      </c>
      <c r="AL451" s="915">
        <f>IF(WFTracker[[#This Row],[Type]]="MAKE", WFTracker[[#This Row],[Due date]]+Filters!$J$111, WFTracker[[#This Row],[Due date]]+Filters!$J$135)</f>
        <v>45954.072512647552</v>
      </c>
      <c r="AM451" s="102" cm="1">
        <f t="array" ref="AM451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452" spans="1:39" ht="15" customHeight="1">
      <c r="A452" t="str">
        <f>IF(WFTracker[[#This Row],[Order Number]]="SWBD", "QED2", "PZ4")</f>
        <v>PZ4</v>
      </c>
      <c r="B452" s="21" t="s">
        <v>650</v>
      </c>
      <c r="C452" s="35" t="s">
        <v>867</v>
      </c>
      <c r="D452" s="21" t="str">
        <f>WFTracker[[#This Row],[Order Number]]  &amp; "-" &amp; WFTracker[[#This Row],[Item]]</f>
        <v>0051095105-000410</v>
      </c>
      <c r="E452" s="23" t="s">
        <v>652</v>
      </c>
      <c r="F452" s="56">
        <v>45996</v>
      </c>
      <c r="G452" s="56"/>
      <c r="H452" s="11" t="s">
        <v>80</v>
      </c>
      <c r="I452" s="11"/>
      <c r="J452" s="55" t="s">
        <v>1364</v>
      </c>
      <c r="K452" s="14" t="s">
        <v>1023</v>
      </c>
      <c r="L452" s="15" t="s">
        <v>40</v>
      </c>
      <c r="M452" s="29" t="s">
        <v>1120</v>
      </c>
      <c r="N452" s="57">
        <v>46157</v>
      </c>
      <c r="O452" s="15">
        <f>NETWORKDAYS.INTL(WFTracker[[#This Row],[Start date]],WFTracker[[#This Row],[RM]],1,Holidays!D602:D617)</f>
        <v>39</v>
      </c>
      <c r="P452" s="12">
        <v>45944</v>
      </c>
      <c r="Q452" s="12">
        <v>45954</v>
      </c>
      <c r="R452" s="12">
        <v>45946</v>
      </c>
      <c r="S452" s="12" t="b">
        <f>ISBLANK(WFTracker[[#This Row],[Completion Date]])</f>
        <v>0</v>
      </c>
      <c r="T452" s="27" t="str">
        <f>TEXT(WFTracker[[#This Row],[Start date]],"mmm-yyyy")</f>
        <v>Oct-2025</v>
      </c>
      <c r="U452">
        <v>10</v>
      </c>
      <c r="V452" s="11">
        <f>NETWORKDAYS.INTL(WFTracker[[#This Row],[Start date]],WFTracker[[#This Row],[Due date]],1,Holidays!D602:D617)</f>
        <v>9</v>
      </c>
      <c r="W4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52" s="24">
        <f ca="1">WFTracker[[#This Row],[Active Time]]-WFTracker[[#This Row],[Completion Days Template]]</f>
        <v>-6</v>
      </c>
      <c r="Y452" s="16" t="str">
        <f ca="1" xml:space="preserve"> IF(WFTracker[[#This Row],[Overdue Time '[Expected-Completion']]]&gt;0, "LATE","ON TIME")</f>
        <v>ON TIME</v>
      </c>
      <c r="Z452" s="16" t="str">
        <f ca="1">IF(WFTracker[[#This Row],[Overdue Time '[Expected-Completion']]] &gt;= 15, "SUPER LATE", Y452)</f>
        <v>ON TIME</v>
      </c>
      <c r="AA452" s="37" t="str">
        <f>IF(WFTracker[[#This Row],[Pre RM Opening Time]]&lt;WFTracker[[#This Row],[Old vs New Order Lead Time WF dead line]], "LATE BY ENG", "ON TIME BY ENG")</f>
        <v>ON TIME BY ENG</v>
      </c>
      <c r="AB452" s="37"/>
      <c r="AC452" s="15" t="str">
        <f>IF(WFTracker[[#This Row],[Competion Date Content]] = FALSE, "C", "i")</f>
        <v>C</v>
      </c>
      <c r="AD4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-33</v>
      </c>
      <c r="AE452" s="25" t="str">
        <f ca="1">IF(WFTracker[[#This Row],[Impact Time Post RM]]&gt;0, "IMPACTED", "NOT IMPACTED")</f>
        <v>NOT IMPACTED</v>
      </c>
      <c r="AF452" s="15"/>
      <c r="AG452" s="18" t="s">
        <v>1365</v>
      </c>
      <c r="AH452" s="14" t="str">
        <f>IF(WFTracker[[#This Row],[Status]]="C", "Closed", IF(WFTracker[[#This Row],[Status]] = "x", "Cancelled", WFTracker[[#This Row],[Impact Time Post RM]]))</f>
        <v>Closed</v>
      </c>
      <c r="AI452" s="14" t="str">
        <f ca="1">IF(WFTracker[[#This Row],[Impact Time Post RM]]&lt;=0,"ON TIME","LATE")</f>
        <v>ON TIME</v>
      </c>
      <c r="AJ452" s="14" t="s">
        <v>984</v>
      </c>
      <c r="AK452" s="14">
        <v>17</v>
      </c>
      <c r="AL452" s="915">
        <f>IF(WFTracker[[#This Row],[Type]]="MAKE", WFTracker[[#This Row],[Due date]]+Filters!$J$111, WFTracker[[#This Row],[Due date]]+Filters!$J$135)</f>
        <v>45954.415686274508</v>
      </c>
      <c r="AM452" s="102" cm="1">
        <f t="array" ref="AM4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3" spans="1:39" ht="15" customHeight="1">
      <c r="A453" t="str">
        <f>IF(WFTracker[[#This Row],[Order Number]]="SWBD", "QED2", "PZ4")</f>
        <v>PZ4</v>
      </c>
      <c r="B453" s="21" t="s">
        <v>826</v>
      </c>
      <c r="C453" s="26" t="s">
        <v>882</v>
      </c>
      <c r="D453" s="23" t="str">
        <f>WFTracker[[#This Row],[Order Number]]  &amp; "-" &amp; WFTracker[[#This Row],[Item]]</f>
        <v>0050384250-001230</v>
      </c>
      <c r="E453" s="23" t="s">
        <v>1027</v>
      </c>
      <c r="F453" s="12">
        <v>46001</v>
      </c>
      <c r="G453" s="12"/>
      <c r="H453" s="11" t="s">
        <v>259</v>
      </c>
      <c r="I453" s="11"/>
      <c r="J453" s="55" t="s">
        <v>1366</v>
      </c>
      <c r="K453" s="14" t="s">
        <v>1023</v>
      </c>
      <c r="L453" s="15" t="s">
        <v>27</v>
      </c>
      <c r="M453" s="29" t="s">
        <v>1120</v>
      </c>
      <c r="N453" s="57">
        <v>46271</v>
      </c>
      <c r="O453" s="15">
        <f>NETWORKDAYS.INTL(WFTracker[[#This Row],[Start date]],WFTracker[[#This Row],[RM]],1,Holidays!D611:D626)</f>
        <v>42</v>
      </c>
      <c r="P453" s="12">
        <v>45944</v>
      </c>
      <c r="Q453" s="12">
        <v>45952</v>
      </c>
      <c r="R453" s="12">
        <v>45958</v>
      </c>
      <c r="S453" s="12" t="b">
        <f>ISBLANK(WFTracker[[#This Row],[Completion Date]])</f>
        <v>0</v>
      </c>
      <c r="T453" s="27" t="str">
        <f>TEXT(WFTracker[[#This Row],[Start date]],"mmm-yyyy")</f>
        <v>Oct-2025</v>
      </c>
      <c r="U453">
        <v>10</v>
      </c>
      <c r="V453" s="11">
        <f>NETWORKDAYS.INTL(WFTracker[[#This Row],[Start date]],WFTracker[[#This Row],[Due date]],1,Holidays!D611:D626)</f>
        <v>7</v>
      </c>
      <c r="W4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53" s="24">
        <f ca="1">WFTracker[[#This Row],[Active Time]]-WFTracker[[#This Row],[Completion Days Template]]</f>
        <v>4</v>
      </c>
      <c r="Y453" s="16" t="str">
        <f ca="1" xml:space="preserve"> IF(WFTracker[[#This Row],[Overdue Time '[Expected-Completion']]]&gt;0, "LATE","ON TIME")</f>
        <v>LATE</v>
      </c>
      <c r="Z453" s="16" t="str">
        <f ca="1">IF(WFTracker[[#This Row],[Overdue Time '[Expected-Completion']]] &gt;= 15, "SUPER LATE", Y453)</f>
        <v>LATE</v>
      </c>
      <c r="AA453" s="37" t="str">
        <f>IF(WFTracker[[#This Row],[Pre RM Opening Time]]&lt;WFTracker[[#This Row],[Old vs New Order Lead Time WF dead line]], "LATE BY ENG", "ON TIME BY ENG")</f>
        <v>ON TIME BY ENG</v>
      </c>
      <c r="AB453" s="37"/>
      <c r="AC453" s="15" t="str">
        <f>IF(WFTracker[[#This Row],[Competion Date Content]] = FALSE, "C", "i")</f>
        <v>C</v>
      </c>
      <c r="AD4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453" s="37" t="str">
        <f ca="1">IF(WFTracker[[#This Row],[Impact Time Post RM]]&gt;0, "IMPACTED", "NOT IMPACTED")</f>
        <v>NOT IMPACTED</v>
      </c>
      <c r="AF453" s="15"/>
      <c r="AG453" s="18"/>
      <c r="AH453" s="14" t="str">
        <f>IF(WFTracker[[#This Row],[Status]]="C", "Closed", IF(WFTracker[[#This Row],[Status]] = "x", "Cancelled", WFTracker[[#This Row],[Impact Time Post RM]]))</f>
        <v>Closed</v>
      </c>
      <c r="AI453" s="14" t="str">
        <f ca="1">IF(WFTracker[[#This Row],[Impact Time Post RM]]&lt;=0,"ON TIME","LATE")</f>
        <v>ON TIME</v>
      </c>
      <c r="AJ453" s="14" t="s">
        <v>984</v>
      </c>
      <c r="AK453" s="14">
        <v>18</v>
      </c>
      <c r="AL453" s="915">
        <f>IF(WFTracker[[#This Row],[Type]]="MAKE", WFTracker[[#This Row],[Due date]]+Filters!$J$111, WFTracker[[#This Row],[Due date]]+Filters!$J$135)</f>
        <v>45955.072512647552</v>
      </c>
      <c r="AM453" s="102" cm="1">
        <f t="array" ref="AM4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4" spans="1:39" ht="15" customHeight="1">
      <c r="A454" t="str">
        <f>IF(WFTracker[[#This Row],[Order Number]]="SWBD", "QED2", "PZ4")</f>
        <v>PZ4</v>
      </c>
      <c r="B454" s="21" t="s">
        <v>826</v>
      </c>
      <c r="C454" s="26" t="s">
        <v>834</v>
      </c>
      <c r="D454" s="23" t="str">
        <f>WFTracker[[#This Row],[Order Number]]  &amp; "-" &amp; WFTracker[[#This Row],[Item]]</f>
        <v>0050384250-001260</v>
      </c>
      <c r="E454" s="23" t="s">
        <v>1027</v>
      </c>
      <c r="F454" s="12">
        <v>46001</v>
      </c>
      <c r="G454" s="12"/>
      <c r="H454" s="11" t="s">
        <v>259</v>
      </c>
      <c r="I454" s="11"/>
      <c r="J454" s="108" t="s">
        <v>611</v>
      </c>
      <c r="K454" s="14" t="s">
        <v>1023</v>
      </c>
      <c r="L454" s="15" t="s">
        <v>27</v>
      </c>
      <c r="M454" s="29" t="s">
        <v>1120</v>
      </c>
      <c r="N454" s="57">
        <v>46088</v>
      </c>
      <c r="O454" s="15">
        <f>NETWORKDAYS.INTL(WFTracker[[#This Row],[Start date]],WFTracker[[#This Row],[RM]],1,Holidays!D612:D627)</f>
        <v>42</v>
      </c>
      <c r="P454" s="12">
        <v>45944</v>
      </c>
      <c r="Q454" s="12">
        <v>45953</v>
      </c>
      <c r="R454" s="12">
        <v>45958</v>
      </c>
      <c r="S454" s="12" t="b">
        <f>ISBLANK(WFTracker[[#This Row],[Completion Date]])</f>
        <v>0</v>
      </c>
      <c r="T454" s="27" t="str">
        <f>TEXT(WFTracker[[#This Row],[Start date]],"mmm-yyyy")</f>
        <v>Oct-2025</v>
      </c>
      <c r="U454">
        <v>10</v>
      </c>
      <c r="V454" s="11">
        <f>NETWORKDAYS.INTL(WFTracker[[#This Row],[Start date]],WFTracker[[#This Row],[Due date]],1,Holidays!D612:D627)</f>
        <v>8</v>
      </c>
      <c r="W4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54" s="24">
        <f ca="1">WFTracker[[#This Row],[Active Time]]-WFTracker[[#This Row],[Completion Days Template]]</f>
        <v>3</v>
      </c>
      <c r="Y454" s="16" t="str">
        <f ca="1" xml:space="preserve"> IF(WFTracker[[#This Row],[Overdue Time '[Expected-Completion']]]&gt;0, "LATE","ON TIME")</f>
        <v>LATE</v>
      </c>
      <c r="Z454" s="16" t="str">
        <f ca="1">IF(WFTracker[[#This Row],[Overdue Time '[Expected-Completion']]] &gt;= 15, "SUPER LATE", Y454)</f>
        <v>LATE</v>
      </c>
      <c r="AA454" s="37" t="str">
        <f>IF(WFTracker[[#This Row],[Pre RM Opening Time]]&lt;WFTracker[[#This Row],[Old vs New Order Lead Time WF dead line]], "LATE BY ENG", "ON TIME BY ENG")</f>
        <v>ON TIME BY ENG</v>
      </c>
      <c r="AB454" s="37"/>
      <c r="AC454" s="15" t="str">
        <f>IF(WFTracker[[#This Row],[Competion Date Content]] = FALSE, "C", "i")</f>
        <v>C</v>
      </c>
      <c r="AD4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454" s="37" t="str">
        <f ca="1">IF(WFTracker[[#This Row],[Impact Time Post RM]]&gt;0, "IMPACTED", "NOT IMPACTED")</f>
        <v>NOT IMPACTED</v>
      </c>
      <c r="AF454" s="15"/>
      <c r="AG454" s="18"/>
      <c r="AH454" s="14" t="str">
        <f>IF(WFTracker[[#This Row],[Status]]="C", "Closed", IF(WFTracker[[#This Row],[Status]] = "x", "Cancelled", WFTracker[[#This Row],[Impact Time Post RM]]))</f>
        <v>Closed</v>
      </c>
      <c r="AI454" s="14" t="str">
        <f ca="1">IF(WFTracker[[#This Row],[Impact Time Post RM]]&lt;=0,"ON TIME","LATE")</f>
        <v>ON TIME</v>
      </c>
      <c r="AJ454" s="14" t="s">
        <v>984</v>
      </c>
      <c r="AK454" s="14">
        <v>18</v>
      </c>
      <c r="AL454" s="915">
        <f>IF(WFTracker[[#This Row],[Type]]="MAKE", WFTracker[[#This Row],[Due date]]+Filters!$J$111, WFTracker[[#This Row],[Due date]]+Filters!$J$135)</f>
        <v>45956.072512647552</v>
      </c>
      <c r="AM454" s="102" cm="1">
        <f t="array" ref="AM4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5" spans="1:39" ht="15" customHeight="1">
      <c r="A455" t="str">
        <f>IF(WFTracker[[#This Row],[Order Number]]="SWBD", "QED2", "PZ4")</f>
        <v>PZ4</v>
      </c>
      <c r="B455" s="21" t="s">
        <v>401</v>
      </c>
      <c r="C455" s="26" t="s">
        <v>135</v>
      </c>
      <c r="D455" s="11" t="str">
        <f>WFTracker[[#This Row],[Order Number]]  &amp; "-" &amp; WFTracker[[#This Row],[Item]]</f>
        <v>0051199001-000010</v>
      </c>
      <c r="E455" s="23" t="s">
        <v>1020</v>
      </c>
      <c r="F455" s="12">
        <v>45936</v>
      </c>
      <c r="G455" s="12"/>
      <c r="H455" s="11" t="s">
        <v>237</v>
      </c>
      <c r="I455" s="11" t="s">
        <v>1132</v>
      </c>
      <c r="J455" s="55" t="s">
        <v>1367</v>
      </c>
      <c r="K455" s="14" t="s">
        <v>1368</v>
      </c>
      <c r="L455" s="15" t="s">
        <v>40</v>
      </c>
      <c r="M455" s="29" t="s">
        <v>1120</v>
      </c>
      <c r="N455" s="57">
        <v>45987</v>
      </c>
      <c r="O455" s="15">
        <f>NETWORKDAYS.INTL(WFTracker[[#This Row],[Start date]],WFTracker[[#This Row],[RM]],1,Holidays!D613:D628)</f>
        <v>-8</v>
      </c>
      <c r="P455" s="12">
        <v>45945</v>
      </c>
      <c r="Q455" s="12">
        <v>45957</v>
      </c>
      <c r="R455" s="12">
        <v>45950</v>
      </c>
      <c r="S455" s="12" t="b">
        <f>ISBLANK(WFTracker[[#This Row],[Completion Date]])</f>
        <v>0</v>
      </c>
      <c r="T455" s="27" t="str">
        <f>TEXT(WFTracker[[#This Row],[Start date]],"mmm-yyyy")</f>
        <v>Oct-2025</v>
      </c>
      <c r="U455">
        <v>10</v>
      </c>
      <c r="V455" s="11">
        <f>NETWORKDAYS.INTL(WFTracker[[#This Row],[Start date]],WFTracker[[#This Row],[Due date]],1,Holidays!D613:D628)</f>
        <v>9</v>
      </c>
      <c r="W4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55" s="24">
        <f ca="1">WFTracker[[#This Row],[Active Time]]-WFTracker[[#This Row],[Completion Days Template]]</f>
        <v>-5</v>
      </c>
      <c r="Y455" s="16" t="str">
        <f ca="1" xml:space="preserve"> IF(WFTracker[[#This Row],[Overdue Time '[Expected-Completion']]]&gt;0, "LATE","ON TIME")</f>
        <v>ON TIME</v>
      </c>
      <c r="Z455" s="16" t="str">
        <f ca="1">IF(WFTracker[[#This Row],[Overdue Time '[Expected-Completion']]] &gt;= 15, "SUPER LATE", Y455)</f>
        <v>ON TIME</v>
      </c>
      <c r="AA455" s="37" t="str">
        <f>IF(WFTracker[[#This Row],[Pre RM Opening Time]]&lt;WFTracker[[#This Row],[Old vs New Order Lead Time WF dead line]], "LATE BY ENG", "ON TIME BY ENG")</f>
        <v>LATE BY ENG</v>
      </c>
      <c r="AB455" s="37"/>
      <c r="AC455" s="15" t="s">
        <v>46</v>
      </c>
      <c r="AD4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455" s="25" t="str">
        <f ca="1">IF(WFTracker[[#This Row],[Impact Time Post RM]]&gt;0, "IMPACTED", "NOT IMPACTED")</f>
        <v>IMPACTED</v>
      </c>
      <c r="AF455" s="15"/>
      <c r="AG455" s="18" t="s">
        <v>1369</v>
      </c>
      <c r="AH455" s="14" t="str">
        <f>IF(WFTracker[[#This Row],[Status]]="C", "Closed", IF(WFTracker[[#This Row],[Status]] = "x", "Cancelled", WFTracker[[#This Row],[Impact Time Post RM]]))</f>
        <v>Cancelled</v>
      </c>
      <c r="AI455" s="14" t="str">
        <f ca="1">IF(WFTracker[[#This Row],[Impact Time Post RM]]&lt;=0,"ON TIME","LATE")</f>
        <v>LATE</v>
      </c>
      <c r="AJ455" s="14" t="s">
        <v>984</v>
      </c>
      <c r="AK455" s="14">
        <v>0</v>
      </c>
      <c r="AL455" s="915">
        <f>IF(WFTracker[[#This Row],[Type]]="MAKE", WFTracker[[#This Row],[Due date]]+Filters!$J$111, WFTracker[[#This Row],[Due date]]+Filters!$J$135)</f>
        <v>45957.415686274508</v>
      </c>
      <c r="AM455" s="102" cm="1">
        <f t="array" ref="AM455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456" spans="1:39" ht="15" customHeight="1">
      <c r="A456" t="str">
        <f>IF(WFTracker[[#This Row],[Order Number]]="SWBD", "QED2", "PZ4")</f>
        <v>PZ4</v>
      </c>
      <c r="B456" s="35" t="s">
        <v>490</v>
      </c>
      <c r="C456" s="21" t="s">
        <v>282</v>
      </c>
      <c r="D456" s="11" t="str">
        <f>WFTracker[[#This Row],[Order Number]]  &amp; "-" &amp; WFTracker[[#This Row],[Item]]</f>
        <v>0051442285-000070</v>
      </c>
      <c r="E456" s="21" t="s">
        <v>491</v>
      </c>
      <c r="F456" s="12">
        <v>45945</v>
      </c>
      <c r="G456" s="12"/>
      <c r="H456" s="11" t="s">
        <v>104</v>
      </c>
      <c r="I456" s="11" t="s">
        <v>37</v>
      </c>
      <c r="J456" s="55" t="s">
        <v>1370</v>
      </c>
      <c r="K456" s="14" t="s">
        <v>1017</v>
      </c>
      <c r="L456" s="15" t="s">
        <v>27</v>
      </c>
      <c r="M456" s="29" t="s">
        <v>438</v>
      </c>
      <c r="N456" s="57">
        <v>46008</v>
      </c>
      <c r="O456" s="15">
        <f>NETWORKDAYS.INTL(WFTracker[[#This Row],[Start date]],WFTracker[[#This Row],[RM]],1,Holidays!D69:D84)</f>
        <v>1</v>
      </c>
      <c r="P456" s="12">
        <v>45945</v>
      </c>
      <c r="Q456" s="12">
        <v>45952</v>
      </c>
      <c r="R456" s="12">
        <v>45946</v>
      </c>
      <c r="S456" s="12" t="b">
        <f>ISBLANK(WFTracker[[#This Row],[Completion Date]])</f>
        <v>0</v>
      </c>
      <c r="T456" s="27" t="str">
        <f>TEXT(WFTracker[[#This Row],[Start date]],"mmm-yyyy")</f>
        <v>Oct-2025</v>
      </c>
      <c r="U456">
        <v>10</v>
      </c>
      <c r="V456" s="11">
        <f>NETWORKDAYS.INTL(WFTracker[[#This Row],[Start date]],WFTracker[[#This Row],[Due date]],1,Holidays!D69:D84)</f>
        <v>6</v>
      </c>
      <c r="W4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456" s="24">
        <f ca="1">WFTracker[[#This Row],[Active Time]]-WFTracker[[#This Row],[Completion Days Template]]</f>
        <v>-4</v>
      </c>
      <c r="Y456" s="16" t="str">
        <f ca="1" xml:space="preserve"> IF(WFTracker[[#This Row],[Overdue Time '[Expected-Completion']]]&gt;0, "LATE","ON TIME")</f>
        <v>ON TIME</v>
      </c>
      <c r="Z456" s="16" t="str">
        <f ca="1">IF(WFTracker[[#This Row],[Overdue Time '[Expected-Completion']]] &gt;= 15, "SUPER LATE", Y456)</f>
        <v>ON TIME</v>
      </c>
      <c r="AA456" s="37" t="str">
        <f>IF(WFTracker[[#This Row],[Pre RM Opening Time]]&lt;WFTracker[[#This Row],[Old vs New Order Lead Time WF dead line]], "LATE BY ENG", "ON TIME BY ENG")</f>
        <v>LATE BY ENG</v>
      </c>
      <c r="AB456" s="37" t="s">
        <v>1371</v>
      </c>
      <c r="AC456" s="15" t="str">
        <f>IF(WFTracker[[#This Row],[Competion Date Content]] = FALSE, "C", "i")</f>
        <v>C</v>
      </c>
      <c r="AD4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56" s="37" t="str">
        <f ca="1">IF(WFTracker[[#This Row],[Impact Time Post RM]]&gt;0, "IMPACTED", "NOT IMPACTED")</f>
        <v>IMPACTED</v>
      </c>
      <c r="AF456" s="15"/>
      <c r="AG456" s="18"/>
      <c r="AH456" s="14" t="str">
        <f>IF(WFTracker[[#This Row],[Status]]="C", "Closed", IF(WFTracker[[#This Row],[Status]] = "x", "Cancelled", WFTracker[[#This Row],[Impact Time Post RM]]))</f>
        <v>Closed</v>
      </c>
      <c r="AI456" s="14" t="str">
        <f ca="1">IF(WFTracker[[#This Row],[Impact Time Post RM]]&lt;=0,"ON TIME","LATE")</f>
        <v>LATE</v>
      </c>
      <c r="AJ456" s="14" t="s">
        <v>984</v>
      </c>
      <c r="AK456" s="14">
        <v>18</v>
      </c>
      <c r="AL456" s="915">
        <f>IF(WFTracker[[#This Row],[Type]]="MAKE", WFTracker[[#This Row],[Due date]]+Filters!$J$111, WFTracker[[#This Row],[Due date]]+Filters!$J$135)</f>
        <v>45955.072512647552</v>
      </c>
      <c r="AM456" s="102" cm="1">
        <f t="array" ref="AM4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7" spans="1:39" ht="15" customHeight="1">
      <c r="A457" t="str">
        <f>IF(WFTracker[[#This Row],[Order Number]]="SWBD", "QED2", "PZ4")</f>
        <v>PZ4</v>
      </c>
      <c r="B457" s="21" t="s">
        <v>550</v>
      </c>
      <c r="C457" s="1000" t="s">
        <v>1298</v>
      </c>
      <c r="D457" s="11" t="str">
        <f>WFTracker[[#This Row],[Order Number]]  &amp; "-" &amp; WFTracker[[#This Row],[Item]]</f>
        <v>0051576246-000020&amp;30&amp;40&amp;50&amp;60</v>
      </c>
      <c r="E457" s="23" t="s">
        <v>551</v>
      </c>
      <c r="F457" s="12">
        <v>45954</v>
      </c>
      <c r="G457" s="12"/>
      <c r="H457" s="11" t="s">
        <v>80</v>
      </c>
      <c r="I457" s="11" t="s">
        <v>1154</v>
      </c>
      <c r="J457" s="55" t="s">
        <v>1372</v>
      </c>
      <c r="K457" s="14" t="s">
        <v>1023</v>
      </c>
      <c r="L457" s="15" t="s">
        <v>27</v>
      </c>
      <c r="M457" s="29" t="s">
        <v>1120</v>
      </c>
      <c r="N457" s="57">
        <v>46030</v>
      </c>
      <c r="O457" s="15">
        <f>NETWORKDAYS.INTL(WFTracker[[#This Row],[Start date]],WFTracker[[#This Row],[RM]],1,Holidays!D179:D194)</f>
        <v>8</v>
      </c>
      <c r="P457" s="12">
        <v>45945</v>
      </c>
      <c r="Q457" s="12">
        <v>45952</v>
      </c>
      <c r="R457" s="12">
        <v>45950</v>
      </c>
      <c r="S457" s="12" t="b">
        <f>ISBLANK(WFTracker[[#This Row],[Completion Date]])</f>
        <v>0</v>
      </c>
      <c r="T457" s="27" t="str">
        <f>TEXT(WFTracker[[#This Row],[Start date]],"mmm-yyyy")</f>
        <v>Oct-2025</v>
      </c>
      <c r="U457">
        <v>10</v>
      </c>
      <c r="V457" s="11">
        <f>NETWORKDAYS.INTL(WFTracker[[#This Row],[Start date]],WFTracker[[#This Row],[Due date]],1,Holidays!D179:D194)</f>
        <v>6</v>
      </c>
      <c r="W4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57" s="24">
        <f ca="1">WFTracker[[#This Row],[Active Time]]-WFTracker[[#This Row],[Completion Days Template]]</f>
        <v>-2</v>
      </c>
      <c r="Y457" s="16" t="str">
        <f ca="1" xml:space="preserve"> IF(WFTracker[[#This Row],[Overdue Time '[Expected-Completion']]]&gt;0, "LATE","ON TIME")</f>
        <v>ON TIME</v>
      </c>
      <c r="Z457" s="16" t="str">
        <f ca="1">IF(WFTracker[[#This Row],[Overdue Time '[Expected-Completion']]] &gt;= 15, "SUPER LATE", Y457)</f>
        <v>ON TIME</v>
      </c>
      <c r="AA457" s="37" t="str">
        <f>IF(WFTracker[[#This Row],[Pre RM Opening Time]]&lt;WFTracker[[#This Row],[Old vs New Order Lead Time WF dead line]], "LATE BY ENG", "ON TIME BY ENG")</f>
        <v>LATE BY ENG</v>
      </c>
      <c r="AB457" s="37" t="s">
        <v>1373</v>
      </c>
      <c r="AC457" s="15" t="str">
        <f>IF(WFTracker[[#This Row],[Competion Date Content]] = FALSE, "C", "i")</f>
        <v>C</v>
      </c>
      <c r="AD4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57" s="37" t="str">
        <f ca="1">IF(WFTracker[[#This Row],[Impact Time Post RM]]&gt;0, "IMPACTED", "NOT IMPACTED")</f>
        <v>NOT IMPACTED</v>
      </c>
      <c r="AF457" s="15"/>
      <c r="AG457" s="18"/>
      <c r="AH457" s="14" t="str">
        <f>IF(WFTracker[[#This Row],[Status]]="C", "Closed", IF(WFTracker[[#This Row],[Status]] = "x", "Cancelled", WFTracker[[#This Row],[Impact Time Post RM]]))</f>
        <v>Closed</v>
      </c>
      <c r="AI457" s="14" t="str">
        <f ca="1">IF(WFTracker[[#This Row],[Impact Time Post RM]]&lt;=0,"ON TIME","LATE")</f>
        <v>ON TIME</v>
      </c>
      <c r="AJ457" s="14" t="s">
        <v>984</v>
      </c>
      <c r="AK457" s="14">
        <v>18</v>
      </c>
      <c r="AL457" s="915">
        <f>IF(WFTracker[[#This Row],[Type]]="MAKE", WFTracker[[#This Row],[Due date]]+Filters!$J$111, WFTracker[[#This Row],[Due date]]+Filters!$J$135)</f>
        <v>45955.072512647552</v>
      </c>
      <c r="AM457" s="102" cm="1">
        <f t="array" ref="AM45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8" spans="1:39" ht="15" customHeight="1">
      <c r="A458" t="str">
        <f>IF(WFTracker[[#This Row],[Order Number]]="SWBD", "QED2", "PZ4")</f>
        <v>PZ4</v>
      </c>
      <c r="B458" s="35" t="s">
        <v>615</v>
      </c>
      <c r="C458" s="903" t="s">
        <v>293</v>
      </c>
      <c r="D458" s="11" t="str">
        <f>WFTracker[[#This Row],[Order Number]]  &amp; "-" &amp; WFTracker[[#This Row],[Item]]</f>
        <v>0051354978-000080</v>
      </c>
      <c r="E458" s="23" t="s">
        <v>617</v>
      </c>
      <c r="F458" s="12">
        <v>45981</v>
      </c>
      <c r="G458" s="12"/>
      <c r="H458" s="11" t="s">
        <v>137</v>
      </c>
      <c r="I458" s="11" t="s">
        <v>429</v>
      </c>
      <c r="J458" s="55" t="s">
        <v>618</v>
      </c>
      <c r="K458" s="14" t="s">
        <v>1017</v>
      </c>
      <c r="L458" s="15" t="s">
        <v>27</v>
      </c>
      <c r="M458" s="29" t="s">
        <v>1120</v>
      </c>
      <c r="N458" s="57">
        <v>46052</v>
      </c>
      <c r="O458" s="15">
        <f>NETWORKDAYS.INTL(WFTracker[[#This Row],[Start date]],WFTracker[[#This Row],[RM]],1,Holidays!D516:D531)</f>
        <v>27</v>
      </c>
      <c r="P458" s="12">
        <v>45945</v>
      </c>
      <c r="Q458" s="12">
        <v>45953</v>
      </c>
      <c r="R458" s="12">
        <v>45966</v>
      </c>
      <c r="S458" s="12" t="b">
        <f>ISBLANK(WFTracker[[#This Row],[Completion Date]])</f>
        <v>0</v>
      </c>
      <c r="T458" s="27" t="str">
        <f>TEXT(WFTracker[[#This Row],[Start date]],"mmm-yyyy")</f>
        <v>Oct-2025</v>
      </c>
      <c r="U458">
        <v>10</v>
      </c>
      <c r="V458" s="11">
        <f>NETWORKDAYS.INTL(WFTracker[[#This Row],[Start date]],WFTracker[[#This Row],[Due date]],1,Holidays!D516:D531)</f>
        <v>7</v>
      </c>
      <c r="W4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458" s="24">
        <f ca="1">WFTracker[[#This Row],[Active Time]]-WFTracker[[#This Row],[Completion Days Template]]</f>
        <v>8</v>
      </c>
      <c r="Y458" s="16" t="str">
        <f ca="1" xml:space="preserve"> IF(WFTracker[[#This Row],[Overdue Time '[Expected-Completion']]]&gt;0, "LATE","ON TIME")</f>
        <v>LATE</v>
      </c>
      <c r="Z458" s="16" t="str">
        <f ca="1">IF(WFTracker[[#This Row],[Overdue Time '[Expected-Completion']]] &gt;= 15, "SUPER LATE", Y458)</f>
        <v>LATE</v>
      </c>
      <c r="AA458" s="37" t="str">
        <f>IF(WFTracker[[#This Row],[Pre RM Opening Time]]&lt;WFTracker[[#This Row],[Old vs New Order Lead Time WF dead line]], "LATE BY ENG", "ON TIME BY ENG")</f>
        <v>ON TIME BY ENG</v>
      </c>
      <c r="AB458" s="37"/>
      <c r="AC458" s="15" t="str">
        <f>IF(WFTracker[[#This Row],[Competion Date Content]] = FALSE, "C", "i")</f>
        <v>C</v>
      </c>
      <c r="AD4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58" s="37" t="str">
        <f ca="1">IF(WFTracker[[#This Row],[Impact Time Post RM]]&gt;0, "IMPACTED", "NOT IMPACTED")</f>
        <v>NOT IMPACTED</v>
      </c>
      <c r="AF458" s="15"/>
      <c r="AG458" s="18"/>
      <c r="AH458" s="14" t="str">
        <f>IF(WFTracker[[#This Row],[Status]]="C", "Closed", IF(WFTracker[[#This Row],[Status]] = "x", "Cancelled", WFTracker[[#This Row],[Impact Time Post RM]]))</f>
        <v>Closed</v>
      </c>
      <c r="AI458" s="14" t="str">
        <f ca="1">IF(WFTracker[[#This Row],[Impact Time Post RM]]&lt;=0,"ON TIME","LATE")</f>
        <v>ON TIME</v>
      </c>
      <c r="AJ458" s="14" t="s">
        <v>984</v>
      </c>
      <c r="AK458" s="14">
        <v>18</v>
      </c>
      <c r="AL458" s="915">
        <f>IF(WFTracker[[#This Row],[Type]]="MAKE", WFTracker[[#This Row],[Due date]]+Filters!$J$111, WFTracker[[#This Row],[Due date]]+Filters!$J$135)</f>
        <v>45956.072512647552</v>
      </c>
      <c r="AM458" s="102" cm="1">
        <f t="array" ref="AM4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59" spans="1:39" ht="15" customHeight="1">
      <c r="A459" t="str">
        <f>IF(WFTracker[[#This Row],[Order Number]]="SWBD", "QED2", "PZ4")</f>
        <v>PZ4</v>
      </c>
      <c r="B459" s="21" t="s">
        <v>384</v>
      </c>
      <c r="C459" s="26" t="s">
        <v>385</v>
      </c>
      <c r="D459" s="23" t="str">
        <f>WFTracker[[#This Row],[Order Number]]  &amp; "-" &amp; WFTracker[[#This Row],[Item]]</f>
        <v>0051306085-000310</v>
      </c>
      <c r="E459" s="23" t="s">
        <v>350</v>
      </c>
      <c r="F459" s="41">
        <v>45910</v>
      </c>
      <c r="G459" s="41"/>
      <c r="H459" s="11" t="s">
        <v>259</v>
      </c>
      <c r="I459" s="11" t="s">
        <v>1154</v>
      </c>
      <c r="J459" s="55" t="s">
        <v>585</v>
      </c>
      <c r="K459" s="14" t="s">
        <v>1017</v>
      </c>
      <c r="L459" s="15" t="s">
        <v>27</v>
      </c>
      <c r="M459" s="29" t="s">
        <v>1120</v>
      </c>
      <c r="N459" s="57">
        <v>45789</v>
      </c>
      <c r="O459" s="15">
        <f>NETWORKDAYS.INTL(WFTracker[[#This Row],[Start date]],WFTracker[[#This Row],[RM]],1,Holidays!D517:D532)</f>
        <v>-27</v>
      </c>
      <c r="P459" s="12">
        <v>45946</v>
      </c>
      <c r="Q459" s="12">
        <v>45953</v>
      </c>
      <c r="R459" s="12">
        <v>45952</v>
      </c>
      <c r="S459" s="12" t="b">
        <f>ISBLANK(WFTracker[[#This Row],[Completion Date]])</f>
        <v>0</v>
      </c>
      <c r="T459" s="27" t="str">
        <f>TEXT(WFTracker[[#This Row],[Start date]],"mmm-yyyy")</f>
        <v>Oct-2025</v>
      </c>
      <c r="U459">
        <v>10</v>
      </c>
      <c r="V459" s="11">
        <f>NETWORKDAYS.INTL(WFTracker[[#This Row],[Start date]],WFTracker[[#This Row],[Due date]],1,Holidays!D517:D532)</f>
        <v>6</v>
      </c>
      <c r="W4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459" s="24">
        <f ca="1">WFTracker[[#This Row],[Active Time]]-WFTracker[[#This Row],[Completion Days Template]]</f>
        <v>-1</v>
      </c>
      <c r="Y459" s="16" t="str">
        <f ca="1" xml:space="preserve"> IF(WFTracker[[#This Row],[Overdue Time '[Expected-Completion']]]&gt;0, "LATE","ON TIME")</f>
        <v>ON TIME</v>
      </c>
      <c r="Z459" s="16" t="str">
        <f ca="1">IF(WFTracker[[#This Row],[Overdue Time '[Expected-Completion']]] &gt;= 15, "SUPER LATE", Y459)</f>
        <v>ON TIME</v>
      </c>
      <c r="AA459" s="37" t="str">
        <f>IF(WFTracker[[#This Row],[Pre RM Opening Time]]&lt;WFTracker[[#This Row],[Old vs New Order Lead Time WF dead line]], "LATE BY ENG", "ON TIME BY ENG")</f>
        <v>LATE BY ENG</v>
      </c>
      <c r="AB459" s="37"/>
      <c r="AC459" s="15" t="str">
        <f>IF(WFTracker[[#This Row],[Competion Date Content]] = FALSE, "C", "i")</f>
        <v>C</v>
      </c>
      <c r="AD4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30</v>
      </c>
      <c r="AE459" s="37" t="str">
        <f ca="1">IF(WFTracker[[#This Row],[Impact Time Post RM]]&gt;0, "IMPACTED", "NOT IMPACTED")</f>
        <v>IMPACTED</v>
      </c>
      <c r="AF459" s="15"/>
      <c r="AG459" s="18"/>
      <c r="AH459" s="14" t="str">
        <f>IF(WFTracker[[#This Row],[Status]]="C", "Closed", IF(WFTracker[[#This Row],[Status]] = "x", "Cancelled", WFTracker[[#This Row],[Impact Time Post RM]]))</f>
        <v>Closed</v>
      </c>
      <c r="AI459" s="14" t="str">
        <f ca="1">IF(WFTracker[[#This Row],[Impact Time Post RM]]&lt;=0,"ON TIME","LATE")</f>
        <v>LATE</v>
      </c>
      <c r="AJ459" s="14" t="s">
        <v>984</v>
      </c>
      <c r="AK459" s="14">
        <v>18</v>
      </c>
      <c r="AL459" s="915">
        <f>IF(WFTracker[[#This Row],[Type]]="MAKE", WFTracker[[#This Row],[Due date]]+Filters!$J$111, WFTracker[[#This Row],[Due date]]+Filters!$J$135)</f>
        <v>45956.072512647552</v>
      </c>
      <c r="AM459" s="102" cm="1">
        <f t="array" ref="AM4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0" spans="1:39" ht="15" customHeight="1">
      <c r="A460" t="str">
        <f>IF(WFTracker[[#This Row],[Order Number]]="SWBD", "QED2", "PZ4")</f>
        <v>PZ4</v>
      </c>
      <c r="B460" s="21" t="s">
        <v>384</v>
      </c>
      <c r="C460" s="26" t="s">
        <v>385</v>
      </c>
      <c r="D460" s="23" t="str">
        <f>WFTracker[[#This Row],[Order Number]]  &amp; "-" &amp; WFTracker[[#This Row],[Item]]</f>
        <v>0051306085-000310</v>
      </c>
      <c r="E460" s="23" t="s">
        <v>350</v>
      </c>
      <c r="F460" s="41">
        <v>45910</v>
      </c>
      <c r="G460" s="41"/>
      <c r="H460" s="11" t="s">
        <v>259</v>
      </c>
      <c r="I460" s="11" t="s">
        <v>1154</v>
      </c>
      <c r="J460" s="55" t="s">
        <v>586</v>
      </c>
      <c r="K460" s="14" t="s">
        <v>1017</v>
      </c>
      <c r="L460" s="15" t="s">
        <v>27</v>
      </c>
      <c r="M460" s="29" t="s">
        <v>1120</v>
      </c>
      <c r="N460" s="57">
        <v>45789</v>
      </c>
      <c r="O460" s="15">
        <f>NETWORKDAYS.INTL(WFTracker[[#This Row],[Start date]],WFTracker[[#This Row],[RM]],1,Holidays!D518:D533)</f>
        <v>-27</v>
      </c>
      <c r="P460" s="12">
        <v>45946</v>
      </c>
      <c r="Q460" s="12">
        <v>45953</v>
      </c>
      <c r="R460" s="12">
        <v>45952</v>
      </c>
      <c r="S460" s="12" t="b">
        <f>ISBLANK(WFTracker[[#This Row],[Completion Date]])</f>
        <v>0</v>
      </c>
      <c r="T460" s="27" t="str">
        <f>TEXT(WFTracker[[#This Row],[Start date]],"mmm-yyyy")</f>
        <v>Oct-2025</v>
      </c>
      <c r="U460">
        <v>10</v>
      </c>
      <c r="V460" s="11">
        <f>NETWORKDAYS.INTL(WFTracker[[#This Row],[Start date]],WFTracker[[#This Row],[Due date]],1,Holidays!D518:D533)</f>
        <v>6</v>
      </c>
      <c r="W4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460" s="24">
        <f ca="1">WFTracker[[#This Row],[Active Time]]-WFTracker[[#This Row],[Completion Days Template]]</f>
        <v>-1</v>
      </c>
      <c r="Y460" s="16" t="str">
        <f ca="1" xml:space="preserve"> IF(WFTracker[[#This Row],[Overdue Time '[Expected-Completion']]]&gt;0, "LATE","ON TIME")</f>
        <v>ON TIME</v>
      </c>
      <c r="Z460" s="16" t="str">
        <f ca="1">IF(WFTracker[[#This Row],[Overdue Time '[Expected-Completion']]] &gt;= 15, "SUPER LATE", Y460)</f>
        <v>ON TIME</v>
      </c>
      <c r="AA460" s="37" t="str">
        <f>IF(WFTracker[[#This Row],[Pre RM Opening Time]]&lt;WFTracker[[#This Row],[Old vs New Order Lead Time WF dead line]], "LATE BY ENG", "ON TIME BY ENG")</f>
        <v>LATE BY ENG</v>
      </c>
      <c r="AB460" s="37"/>
      <c r="AC460" s="15" t="str">
        <f>IF(WFTracker[[#This Row],[Competion Date Content]] = FALSE, "C", "i")</f>
        <v>C</v>
      </c>
      <c r="AD4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30</v>
      </c>
      <c r="AE460" s="37" t="str">
        <f ca="1">IF(WFTracker[[#This Row],[Impact Time Post RM]]&gt;0, "IMPACTED", "NOT IMPACTED")</f>
        <v>IMPACTED</v>
      </c>
      <c r="AF460" s="15"/>
      <c r="AG460" s="18"/>
      <c r="AH460" s="14" t="str">
        <f>IF(WFTracker[[#This Row],[Status]]="C", "Closed", IF(WFTracker[[#This Row],[Status]] = "x", "Cancelled", WFTracker[[#This Row],[Impact Time Post RM]]))</f>
        <v>Closed</v>
      </c>
      <c r="AI460" s="14" t="str">
        <f ca="1">IF(WFTracker[[#This Row],[Impact Time Post RM]]&lt;=0,"ON TIME","LATE")</f>
        <v>LATE</v>
      </c>
      <c r="AJ460" s="14" t="s">
        <v>984</v>
      </c>
      <c r="AK460" s="14">
        <v>18</v>
      </c>
      <c r="AL460" s="915">
        <f>IF(WFTracker[[#This Row],[Type]]="MAKE", WFTracker[[#This Row],[Due date]]+Filters!$J$111, WFTracker[[#This Row],[Due date]]+Filters!$J$135)</f>
        <v>45956.072512647552</v>
      </c>
      <c r="AM460" s="102" cm="1">
        <f t="array" ref="AM4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1" spans="1:39" ht="15" customHeight="1">
      <c r="A461" t="str">
        <f>IF(WFTracker[[#This Row],[Order Number]]="SWBD", "QED2", "PZ4")</f>
        <v>PZ4</v>
      </c>
      <c r="B461" s="21" t="s">
        <v>384</v>
      </c>
      <c r="C461" s="26" t="s">
        <v>385</v>
      </c>
      <c r="D461" s="23" t="str">
        <f>WFTracker[[#This Row],[Order Number]]  &amp; "-" &amp; WFTracker[[#This Row],[Item]]</f>
        <v>0051306085-000310</v>
      </c>
      <c r="E461" s="23" t="s">
        <v>350</v>
      </c>
      <c r="F461" s="41">
        <v>45910</v>
      </c>
      <c r="G461" s="41"/>
      <c r="H461" s="11" t="s">
        <v>259</v>
      </c>
      <c r="I461" s="11" t="s">
        <v>1154</v>
      </c>
      <c r="J461" s="55" t="s">
        <v>587</v>
      </c>
      <c r="K461" s="14" t="s">
        <v>1017</v>
      </c>
      <c r="L461" s="15" t="s">
        <v>27</v>
      </c>
      <c r="M461" s="29" t="s">
        <v>1120</v>
      </c>
      <c r="N461" s="57">
        <v>45789</v>
      </c>
      <c r="O461" s="15">
        <f>NETWORKDAYS.INTL(WFTracker[[#This Row],[Start date]],WFTracker[[#This Row],[RM]],1,Holidays!D519:D534)</f>
        <v>-27</v>
      </c>
      <c r="P461" s="12">
        <v>45946</v>
      </c>
      <c r="Q461" s="12">
        <v>45953</v>
      </c>
      <c r="R461" s="12">
        <v>45952</v>
      </c>
      <c r="S461" s="12" t="b">
        <f>ISBLANK(WFTracker[[#This Row],[Completion Date]])</f>
        <v>0</v>
      </c>
      <c r="T461" s="27" t="str">
        <f>TEXT(WFTracker[[#This Row],[Start date]],"mmm-yyyy")</f>
        <v>Oct-2025</v>
      </c>
      <c r="U461">
        <v>10</v>
      </c>
      <c r="V461" s="11">
        <f>NETWORKDAYS.INTL(WFTracker[[#This Row],[Start date]],WFTracker[[#This Row],[Due date]],1,Holidays!D519:D534)</f>
        <v>6</v>
      </c>
      <c r="W4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461" s="24">
        <f ca="1">WFTracker[[#This Row],[Active Time]]-WFTracker[[#This Row],[Completion Days Template]]</f>
        <v>-1</v>
      </c>
      <c r="Y461" s="16" t="str">
        <f ca="1" xml:space="preserve"> IF(WFTracker[[#This Row],[Overdue Time '[Expected-Completion']]]&gt;0, "LATE","ON TIME")</f>
        <v>ON TIME</v>
      </c>
      <c r="Z461" s="16" t="str">
        <f ca="1">IF(WFTracker[[#This Row],[Overdue Time '[Expected-Completion']]] &gt;= 15, "SUPER LATE", Y461)</f>
        <v>ON TIME</v>
      </c>
      <c r="AA461" s="37" t="str">
        <f>IF(WFTracker[[#This Row],[Pre RM Opening Time]]&lt;WFTracker[[#This Row],[Old vs New Order Lead Time WF dead line]], "LATE BY ENG", "ON TIME BY ENG")</f>
        <v>LATE BY ENG</v>
      </c>
      <c r="AB461" s="37"/>
      <c r="AC461" s="15" t="str">
        <f>IF(WFTracker[[#This Row],[Competion Date Content]] = FALSE, "C", "i")</f>
        <v>C</v>
      </c>
      <c r="AD4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30</v>
      </c>
      <c r="AE461" s="37" t="str">
        <f ca="1">IF(WFTracker[[#This Row],[Impact Time Post RM]]&gt;0, "IMPACTED", "NOT IMPACTED")</f>
        <v>IMPACTED</v>
      </c>
      <c r="AF461" s="15"/>
      <c r="AG461" s="18"/>
      <c r="AH461" s="14" t="str">
        <f>IF(WFTracker[[#This Row],[Status]]="C", "Closed", IF(WFTracker[[#This Row],[Status]] = "x", "Cancelled", WFTracker[[#This Row],[Impact Time Post RM]]))</f>
        <v>Closed</v>
      </c>
      <c r="AI461" s="14" t="str">
        <f ca="1">IF(WFTracker[[#This Row],[Impact Time Post RM]]&lt;=0,"ON TIME","LATE")</f>
        <v>LATE</v>
      </c>
      <c r="AJ461" s="14" t="s">
        <v>984</v>
      </c>
      <c r="AK461" s="14">
        <v>18</v>
      </c>
      <c r="AL461" s="915">
        <f>IF(WFTracker[[#This Row],[Type]]="MAKE", WFTracker[[#This Row],[Due date]]+Filters!$J$111, WFTracker[[#This Row],[Due date]]+Filters!$J$135)</f>
        <v>45956.072512647552</v>
      </c>
      <c r="AM461" s="102" cm="1">
        <f t="array" ref="AM4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2" spans="1:39" ht="15" customHeight="1">
      <c r="A462" t="str">
        <f>IF(WFTracker[[#This Row],[Order Number]]="SWBD", "QED2", "PZ4")</f>
        <v>QED2</v>
      </c>
      <c r="B462" s="21" t="s">
        <v>1239</v>
      </c>
      <c r="C462" s="21" t="s">
        <v>1374</v>
      </c>
      <c r="D462" s="23" t="str">
        <f>WFTracker[[#This Row],[Order Number]]  &amp; "-" &amp; WFTracker[[#This Row],[Item]]</f>
        <v>SWBD-swbd</v>
      </c>
      <c r="E462" s="23" t="s">
        <v>1374</v>
      </c>
      <c r="F462" s="12">
        <v>45926</v>
      </c>
      <c r="G462" s="12"/>
      <c r="H462" s="11" t="s">
        <v>947</v>
      </c>
      <c r="I462" s="11" t="s">
        <v>1132</v>
      </c>
      <c r="J462" s="13" t="s">
        <v>1375</v>
      </c>
      <c r="K462" s="14" t="s">
        <v>1023</v>
      </c>
      <c r="L462" s="15" t="s">
        <v>27</v>
      </c>
      <c r="M462" s="29" t="s">
        <v>1120</v>
      </c>
      <c r="N462" s="57" t="s">
        <v>984</v>
      </c>
      <c r="O462" s="15">
        <f>NETWORKDAYS.INTL(WFTracker[[#This Row],[Start date]],WFTracker[[#This Row],[RM]],1,Holidays!D39:D54)</f>
        <v>-15</v>
      </c>
      <c r="P462" s="12">
        <v>45946</v>
      </c>
      <c r="Q462" s="12">
        <v>45954</v>
      </c>
      <c r="R462" s="12">
        <v>45952</v>
      </c>
      <c r="S462" s="12" t="b">
        <f>ISBLANK(WFTracker[[#This Row],[Completion Date]])</f>
        <v>0</v>
      </c>
      <c r="T462" s="27" t="str">
        <f>TEXT(WFTracker[[#This Row],[Start date]],"mmm-yyyy")</f>
        <v>Oct-2025</v>
      </c>
      <c r="U462">
        <v>10</v>
      </c>
      <c r="V462" s="11">
        <f>NETWORKDAYS.INTL(WFTracker[[#This Row],[Start date]],WFTracker[[#This Row],[Due date]],1,Holidays!D39:D54)</f>
        <v>7</v>
      </c>
      <c r="W4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462" s="24">
        <f ca="1">WFTracker[[#This Row],[Active Time]]-WFTracker[[#This Row],[Completion Days Template]]</f>
        <v>-2</v>
      </c>
      <c r="Y462" s="16" t="str">
        <f ca="1" xml:space="preserve"> IF(WFTracker[[#This Row],[Overdue Time '[Expected-Completion']]]&gt;0, "LATE","ON TIME")</f>
        <v>ON TIME</v>
      </c>
      <c r="Z462" s="16" t="str">
        <f ca="1">IF(WFTracker[[#This Row],[Overdue Time '[Expected-Completion']]] &gt;= 15, "SUPER LATE", Y462)</f>
        <v>ON TIME</v>
      </c>
      <c r="AA462" s="37" t="str">
        <f>IF(WFTracker[[#This Row],[Pre RM Opening Time]]&lt;WFTracker[[#This Row],[Old vs New Order Lead Time WF dead line]], "LATE BY ENG", "ON TIME BY ENG")</f>
        <v>LATE BY ENG</v>
      </c>
      <c r="AB462" s="37"/>
      <c r="AC462" s="15" t="str">
        <f>IF(WFTracker[[#This Row],[Competion Date Content]] = FALSE, "C", "I")</f>
        <v>C</v>
      </c>
      <c r="AD4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19</v>
      </c>
      <c r="AE462" s="37" t="str">
        <f ca="1">IF(WFTracker[[#This Row],[Impact Time Post RM]]&gt;0, "IMPACTED", "NOT IMPACTED")</f>
        <v>IMPACTED</v>
      </c>
      <c r="AF462" s="15"/>
      <c r="AG462" s="18"/>
      <c r="AH462" s="14" t="str">
        <f>IF(WFTracker[[#This Row],[Status]]="C", "Closed", IF(WFTracker[[#This Row],[Status]] = "x", "Cancelled", WFTracker[[#This Row],[Impact Time Post RM]]))</f>
        <v>Closed</v>
      </c>
      <c r="AI462" s="14" t="str">
        <f ca="1">IF(WFTracker[[#This Row],[Impact Time Post RM]]&lt;=0,"ON TIME","LATE")</f>
        <v>LATE</v>
      </c>
      <c r="AJ462" s="14" t="s">
        <v>984</v>
      </c>
      <c r="AK462" s="14">
        <v>18</v>
      </c>
      <c r="AL462" s="915">
        <f>IF(WFTracker[[#This Row],[Type]]="MAKE", WFTracker[[#This Row],[Due date]]+Filters!$J$111, WFTracker[[#This Row],[Due date]]+Filters!$J$135)</f>
        <v>45957.072512647552</v>
      </c>
      <c r="AM462" s="102" cm="1">
        <f t="array" ref="AM4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3" spans="1:39" ht="15" customHeight="1">
      <c r="A463" t="str">
        <f>IF(WFTracker[[#This Row],[Order Number]]="SWBD", "QED2", "PZ4")</f>
        <v>PZ4</v>
      </c>
      <c r="B463" s="21" t="s">
        <v>591</v>
      </c>
      <c r="C463" s="903" t="s">
        <v>135</v>
      </c>
      <c r="D463" s="23" t="str">
        <f>WFTracker[[#This Row],[Order Number]]  &amp; "-" &amp; WFTracker[[#This Row],[Item]]</f>
        <v>0051422641-000010</v>
      </c>
      <c r="E463" s="23" t="s">
        <v>1022</v>
      </c>
      <c r="F463" s="12">
        <v>45971</v>
      </c>
      <c r="G463" s="12"/>
      <c r="H463" s="11" t="s">
        <v>947</v>
      </c>
      <c r="I463" s="11" t="s">
        <v>111</v>
      </c>
      <c r="J463" s="55" t="s">
        <v>594</v>
      </c>
      <c r="K463" s="14" t="s">
        <v>1017</v>
      </c>
      <c r="L463" s="15" t="s">
        <v>27</v>
      </c>
      <c r="M463" s="29" t="s">
        <v>1120</v>
      </c>
      <c r="N463" s="57">
        <v>45971</v>
      </c>
      <c r="O463" s="15">
        <f>NETWORKDAYS.INTL(WFTracker[[#This Row],[Start date]],WFTracker[[#This Row],[RM]],1,Holidays!D417:D432)</f>
        <v>18</v>
      </c>
      <c r="P463" s="12">
        <v>45946</v>
      </c>
      <c r="Q463" s="12">
        <v>45957</v>
      </c>
      <c r="R463" s="12">
        <v>45958</v>
      </c>
      <c r="S463" s="12" t="b">
        <f>ISBLANK(WFTracker[[#This Row],[Completion Date]])</f>
        <v>0</v>
      </c>
      <c r="T463" s="27" t="str">
        <f>TEXT(WFTracker[[#This Row],[Start date]],"mmm-yyyy")</f>
        <v>Oct-2025</v>
      </c>
      <c r="U463">
        <v>10</v>
      </c>
      <c r="V463" s="11">
        <f>NETWORKDAYS.INTL(WFTracker[[#This Row],[Start date]],WFTracker[[#This Row],[Due date]],1,Holidays!D417:D432)</f>
        <v>8</v>
      </c>
      <c r="W4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63" s="24">
        <f ca="1">WFTracker[[#This Row],[Active Time]]-WFTracker[[#This Row],[Completion Days Template]]</f>
        <v>1</v>
      </c>
      <c r="Y463" s="16" t="str">
        <f ca="1" xml:space="preserve"> IF(WFTracker[[#This Row],[Overdue Time '[Expected-Completion']]]&gt;0, "LATE","ON TIME")</f>
        <v>LATE</v>
      </c>
      <c r="Z463" s="16" t="str">
        <f ca="1">IF(WFTracker[[#This Row],[Overdue Time '[Expected-Completion']]] &gt;= 15, "SUPER LATE", Y463)</f>
        <v>LATE</v>
      </c>
      <c r="AA463" s="37" t="str">
        <f>IF(WFTracker[[#This Row],[Pre RM Opening Time]]&lt;WFTracker[[#This Row],[Old vs New Order Lead Time WF dead line]], "LATE BY ENG", "ON TIME BY ENG")</f>
        <v>ON TIME BY ENG</v>
      </c>
      <c r="AB463" s="37"/>
      <c r="AC463" s="15" t="str">
        <f>IF(WFTracker[[#This Row],[Competion Date Content]] = FALSE, "C", "i")</f>
        <v>C</v>
      </c>
      <c r="AD4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63" s="37" t="str">
        <f ca="1">IF(WFTracker[[#This Row],[Impact Time Post RM]]&gt;0, "IMPACTED", "NOT IMPACTED")</f>
        <v>NOT IMPACTED</v>
      </c>
      <c r="AF463" s="15"/>
      <c r="AG463" s="18"/>
      <c r="AH463" s="14" t="str">
        <f>IF(WFTracker[[#This Row],[Status]]="C", "Closed", IF(WFTracker[[#This Row],[Status]] = "x", "Cancelled", WFTracker[[#This Row],[Impact Time Post RM]]))</f>
        <v>Closed</v>
      </c>
      <c r="AI463" s="14" t="str">
        <f ca="1">IF(WFTracker[[#This Row],[Impact Time Post RM]]&lt;=0,"ON TIME","LATE")</f>
        <v>ON TIME</v>
      </c>
      <c r="AJ463" s="14" t="s">
        <v>984</v>
      </c>
      <c r="AK463" s="14">
        <v>18</v>
      </c>
      <c r="AL463" s="915">
        <f>IF(WFTracker[[#This Row],[Type]]="MAKE", WFTracker[[#This Row],[Due date]]+Filters!$J$111, WFTracker[[#This Row],[Due date]]+Filters!$J$135)</f>
        <v>45960.072512647552</v>
      </c>
      <c r="AM463" s="102" cm="1">
        <f t="array" ref="AM4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4" spans="1:39" ht="15" customHeight="1">
      <c r="A464" t="str">
        <f>IF(WFTracker[[#This Row],[Order Number]]="SWBD", "QED2", "PZ4")</f>
        <v>PZ4</v>
      </c>
      <c r="B464" s="21" t="s">
        <v>591</v>
      </c>
      <c r="C464" s="903" t="s">
        <v>135</v>
      </c>
      <c r="D464" s="23" t="str">
        <f>WFTracker[[#This Row],[Order Number]]  &amp; "-" &amp; WFTracker[[#This Row],[Item]]</f>
        <v>0051422641-000010</v>
      </c>
      <c r="E464" s="23" t="s">
        <v>1022</v>
      </c>
      <c r="F464" s="12">
        <v>45971</v>
      </c>
      <c r="G464" s="12"/>
      <c r="H464" s="11" t="s">
        <v>947</v>
      </c>
      <c r="I464" s="11" t="s">
        <v>111</v>
      </c>
      <c r="J464" s="55" t="s">
        <v>595</v>
      </c>
      <c r="K464" s="14" t="s">
        <v>1017</v>
      </c>
      <c r="L464" s="15" t="s">
        <v>27</v>
      </c>
      <c r="M464" s="29" t="s">
        <v>1120</v>
      </c>
      <c r="N464" s="57">
        <v>45971</v>
      </c>
      <c r="O464" s="15">
        <f>NETWORKDAYS.INTL(WFTracker[[#This Row],[Start date]],WFTracker[[#This Row],[RM]],1,Holidays!D418:D433)</f>
        <v>18</v>
      </c>
      <c r="P464" s="12">
        <v>45946</v>
      </c>
      <c r="Q464" s="12">
        <v>45957</v>
      </c>
      <c r="R464" s="12">
        <v>45958</v>
      </c>
      <c r="S464" s="12" t="b">
        <f>ISBLANK(WFTracker[[#This Row],[Completion Date]])</f>
        <v>0</v>
      </c>
      <c r="T464" s="27" t="str">
        <f>TEXT(WFTracker[[#This Row],[Start date]],"mmm-yyyy")</f>
        <v>Oct-2025</v>
      </c>
      <c r="U464">
        <v>10</v>
      </c>
      <c r="V464" s="11">
        <f>NETWORKDAYS.INTL(WFTracker[[#This Row],[Start date]],WFTracker[[#This Row],[Due date]],1,Holidays!D418:D433)</f>
        <v>8</v>
      </c>
      <c r="W4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64" s="24">
        <f ca="1">WFTracker[[#This Row],[Active Time]]-WFTracker[[#This Row],[Completion Days Template]]</f>
        <v>1</v>
      </c>
      <c r="Y464" s="16" t="str">
        <f ca="1" xml:space="preserve"> IF(WFTracker[[#This Row],[Overdue Time '[Expected-Completion']]]&gt;0, "LATE","ON TIME")</f>
        <v>LATE</v>
      </c>
      <c r="Z464" s="16" t="str">
        <f ca="1">IF(WFTracker[[#This Row],[Overdue Time '[Expected-Completion']]] &gt;= 15, "SUPER LATE", Y464)</f>
        <v>LATE</v>
      </c>
      <c r="AA464" s="37" t="str">
        <f>IF(WFTracker[[#This Row],[Pre RM Opening Time]]&lt;WFTracker[[#This Row],[Old vs New Order Lead Time WF dead line]], "LATE BY ENG", "ON TIME BY ENG")</f>
        <v>ON TIME BY ENG</v>
      </c>
      <c r="AB464" s="37"/>
      <c r="AC464" s="15" t="str">
        <f>IF(WFTracker[[#This Row],[Competion Date Content]] = FALSE, "C", "i")</f>
        <v>C</v>
      </c>
      <c r="AD4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64" s="37" t="str">
        <f ca="1">IF(WFTracker[[#This Row],[Impact Time Post RM]]&gt;0, "IMPACTED", "NOT IMPACTED")</f>
        <v>NOT IMPACTED</v>
      </c>
      <c r="AF464" s="15"/>
      <c r="AG464" s="18"/>
      <c r="AH464" s="14" t="str">
        <f>IF(WFTracker[[#This Row],[Status]]="C", "Closed", IF(WFTracker[[#This Row],[Status]] = "x", "Cancelled", WFTracker[[#This Row],[Impact Time Post RM]]))</f>
        <v>Closed</v>
      </c>
      <c r="AI464" s="14" t="str">
        <f ca="1">IF(WFTracker[[#This Row],[Impact Time Post RM]]&lt;=0,"ON TIME","LATE")</f>
        <v>ON TIME</v>
      </c>
      <c r="AJ464" s="14" t="s">
        <v>984</v>
      </c>
      <c r="AK464" s="14">
        <v>18</v>
      </c>
      <c r="AL464" s="915">
        <f>IF(WFTracker[[#This Row],[Type]]="MAKE", WFTracker[[#This Row],[Due date]]+Filters!$J$111, WFTracker[[#This Row],[Due date]]+Filters!$J$135)</f>
        <v>45960.072512647552</v>
      </c>
      <c r="AM464" s="102" cm="1">
        <f t="array" ref="AM4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5" spans="1:39" ht="15" customHeight="1">
      <c r="A465" t="str">
        <f>IF(WFTracker[[#This Row],[Order Number]]="SWBD", "QED2", "PZ4")</f>
        <v>PZ4</v>
      </c>
      <c r="B465" s="21" t="s">
        <v>591</v>
      </c>
      <c r="C465" s="903" t="s">
        <v>135</v>
      </c>
      <c r="D465" s="23" t="str">
        <f>WFTracker[[#This Row],[Order Number]]  &amp; "-" &amp; WFTracker[[#This Row],[Item]]</f>
        <v>0051422641-000010</v>
      </c>
      <c r="E465" s="23" t="s">
        <v>1022</v>
      </c>
      <c r="F465" s="12">
        <v>45971</v>
      </c>
      <c r="G465" s="12"/>
      <c r="H465" s="11" t="s">
        <v>947</v>
      </c>
      <c r="I465" s="11" t="s">
        <v>111</v>
      </c>
      <c r="J465" s="108" t="s">
        <v>596</v>
      </c>
      <c r="K465" s="14" t="s">
        <v>1017</v>
      </c>
      <c r="L465" s="15" t="s">
        <v>40</v>
      </c>
      <c r="M465" s="29" t="s">
        <v>1123</v>
      </c>
      <c r="N465" s="57">
        <v>45971</v>
      </c>
      <c r="O465" s="15">
        <f>NETWORKDAYS.INTL(WFTracker[[#This Row],[Start date]],WFTracker[[#This Row],[RM]],1,Holidays!D419:D434)</f>
        <v>18</v>
      </c>
      <c r="P465" s="12">
        <v>45946</v>
      </c>
      <c r="Q465" s="12">
        <v>45960</v>
      </c>
      <c r="R465" s="12">
        <v>45958</v>
      </c>
      <c r="S465" s="12" t="b">
        <f>ISBLANK(WFTracker[[#This Row],[Completion Date]])</f>
        <v>0</v>
      </c>
      <c r="T465" s="27" t="str">
        <f>TEXT(WFTracker[[#This Row],[Start date]],"mmm-yyyy")</f>
        <v>Oct-2025</v>
      </c>
      <c r="U465">
        <v>10</v>
      </c>
      <c r="V465" s="11">
        <f>NETWORKDAYS.INTL(WFTracker[[#This Row],[Start date]],WFTracker[[#This Row],[Due date]],1,Holidays!D419:D434)</f>
        <v>11</v>
      </c>
      <c r="W4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65" s="24">
        <f ca="1">WFTracker[[#This Row],[Active Time]]-WFTracker[[#This Row],[Completion Days Template]]</f>
        <v>-2</v>
      </c>
      <c r="Y465" s="16" t="str">
        <f ca="1" xml:space="preserve"> IF(WFTracker[[#This Row],[Overdue Time '[Expected-Completion']]]&gt;0, "LATE","ON TIME")</f>
        <v>ON TIME</v>
      </c>
      <c r="Z465" s="16" t="str">
        <f ca="1">IF(WFTracker[[#This Row],[Overdue Time '[Expected-Completion']]] &gt;= 15, "SUPER LATE", Y465)</f>
        <v>ON TIME</v>
      </c>
      <c r="AA465" s="37" t="str">
        <f>IF(WFTracker[[#This Row],[Pre RM Opening Time]]&lt;WFTracker[[#This Row],[Old vs New Order Lead Time WF dead line]], "LATE BY ENG", "ON TIME BY ENG")</f>
        <v>ON TIME BY ENG</v>
      </c>
      <c r="AB465" s="37"/>
      <c r="AC465" s="15" t="str">
        <f>IF(WFTracker[[#This Row],[Competion Date Content]] = FALSE, "C", "i")</f>
        <v>C</v>
      </c>
      <c r="AD4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65" s="25" t="str">
        <f ca="1">IF(WFTracker[[#This Row],[Impact Time Post RM]]&gt;0, "IMPACTED", "NOT IMPACTED")</f>
        <v>NOT IMPACTED</v>
      </c>
      <c r="AF465" s="15"/>
      <c r="AG465" s="18"/>
      <c r="AH465" s="14" t="str">
        <f>IF(WFTracker[[#This Row],[Status]]="C", "Closed", IF(WFTracker[[#This Row],[Status]] = "x", "Cancelled", WFTracker[[#This Row],[Impact Time Post RM]]))</f>
        <v>Closed</v>
      </c>
      <c r="AI465" s="14" t="str">
        <f ca="1">IF(WFTracker[[#This Row],[Impact Time Post RM]]&lt;=0,"ON TIME","LATE")</f>
        <v>ON TIME</v>
      </c>
      <c r="AJ465" s="14" t="s">
        <v>984</v>
      </c>
      <c r="AK465" s="14">
        <v>17</v>
      </c>
      <c r="AL465" s="915">
        <f>IF(WFTracker[[#This Row],[Type]]="MAKE", WFTracker[[#This Row],[Due date]]+Filters!$J$111, WFTracker[[#This Row],[Due date]]+Filters!$J$135)</f>
        <v>45960.415686274508</v>
      </c>
      <c r="AM465" s="102" cm="1">
        <f t="array" ref="AM4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6" spans="1:39" ht="15" customHeight="1">
      <c r="A466" t="str">
        <f>IF(WFTracker[[#This Row],[Order Number]]="SWBD", "QED2", "PZ4")</f>
        <v>PZ4</v>
      </c>
      <c r="B466" s="21" t="s">
        <v>1376</v>
      </c>
      <c r="C466" s="115" t="s">
        <v>1377</v>
      </c>
      <c r="D466" s="23" t="str">
        <f>WFTracker[[#This Row],[Order Number]]  &amp; "-" &amp; WFTracker[[#This Row],[Item]]</f>
        <v>JIRA-COUNTERMEASURE</v>
      </c>
      <c r="E466" s="23" t="s">
        <v>1046</v>
      </c>
      <c r="F466" s="27">
        <v>45959</v>
      </c>
      <c r="G466" s="27"/>
      <c r="H466" s="11" t="s">
        <v>36</v>
      </c>
      <c r="I466" s="11"/>
      <c r="J466" s="55" t="s">
        <v>1378</v>
      </c>
      <c r="K466" s="14" t="s">
        <v>1023</v>
      </c>
      <c r="L466" s="15" t="s">
        <v>27</v>
      </c>
      <c r="M466" s="29" t="s">
        <v>984</v>
      </c>
      <c r="N466" s="106" t="s">
        <v>984</v>
      </c>
      <c r="O466" s="15">
        <f>NETWORKDAYS.INTL(WFTracker[[#This Row],[Start date]],WFTracker[[#This Row],[RM]],1,Holidays!D201:D216)</f>
        <v>9</v>
      </c>
      <c r="P466" s="12">
        <v>45947</v>
      </c>
      <c r="Q466" s="12">
        <v>45954</v>
      </c>
      <c r="R466" s="12">
        <v>45966</v>
      </c>
      <c r="S466" s="12" t="b">
        <f>ISBLANK(WFTracker[[#This Row],[Completion Date]])</f>
        <v>0</v>
      </c>
      <c r="T466" s="27" t="str">
        <f>TEXT(WFTracker[[#This Row],[Start date]],"mmm-yyyy")</f>
        <v>Oct-2025</v>
      </c>
      <c r="U466">
        <v>10</v>
      </c>
      <c r="V466" s="11">
        <f>NETWORKDAYS.INTL(WFTracker[[#This Row],[Start date]],WFTracker[[#This Row],[Due date]],1,Holidays!D201:D216)</f>
        <v>6</v>
      </c>
      <c r="W4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66" s="24">
        <f ca="1">WFTracker[[#This Row],[Active Time]]-WFTracker[[#This Row],[Completion Days Template]]</f>
        <v>7</v>
      </c>
      <c r="Y466" s="16" t="str">
        <f ca="1" xml:space="preserve"> IF(WFTracker[[#This Row],[Overdue Time '[Expected-Completion']]]&gt;0, "LATE","ON TIME")</f>
        <v>LATE</v>
      </c>
      <c r="Z466" s="16" t="str">
        <f ca="1">IF(WFTracker[[#This Row],[Overdue Time '[Expected-Completion']]] &gt;= 15, "SUPER LATE", Y466)</f>
        <v>LATE</v>
      </c>
      <c r="AA466" s="37" t="str">
        <f>IF(WFTracker[[#This Row],[Pre RM Opening Time]]&lt;WFTracker[[#This Row],[Old vs New Order Lead Time WF dead line]], "LATE BY ENG", "ON TIME BY ENG")</f>
        <v>LATE BY ENG</v>
      </c>
      <c r="AB466" s="37" t="s">
        <v>1376</v>
      </c>
      <c r="AC466" s="15" t="str">
        <f>IF(WFTracker[[#This Row],[Competion Date Content]] = FALSE, "C", "i")</f>
        <v>C</v>
      </c>
      <c r="AD4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466" s="37" t="str">
        <f ca="1">IF(WFTracker[[#This Row],[Impact Time Post RM]]&gt;0, "IMPACTED", "NOT IMPACTED")</f>
        <v>IMPACTED</v>
      </c>
      <c r="AF466" s="15"/>
      <c r="AG466" s="18"/>
      <c r="AH466" s="14" t="str">
        <f>IF(WFTracker[[#This Row],[Status]]="C", "Closed", IF(WFTracker[[#This Row],[Status]] = "x", "Cancelled", WFTracker[[#This Row],[Impact Time Post RM]]))</f>
        <v>Closed</v>
      </c>
      <c r="AI466" s="14" t="str">
        <f ca="1">IF(WFTracker[[#This Row],[Impact Time Post RM]]&lt;=0,"ON TIME","LATE")</f>
        <v>LATE</v>
      </c>
      <c r="AJ466" s="14" t="s">
        <v>984</v>
      </c>
      <c r="AK466" s="14">
        <v>18</v>
      </c>
      <c r="AL466" s="915">
        <f>IF(WFTracker[[#This Row],[Type]]="MAKE", WFTracker[[#This Row],[Due date]]+Filters!$J$111, WFTracker[[#This Row],[Due date]]+Filters!$J$135)</f>
        <v>45957.072512647552</v>
      </c>
      <c r="AM466" s="102" cm="1">
        <f t="array" ref="AM46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7" spans="1:39" ht="15" customHeight="1">
      <c r="A467" t="str">
        <f>IF(WFTracker[[#This Row],[Order Number]]="SWBD", "QED2", "PZ4")</f>
        <v>PZ4</v>
      </c>
      <c r="B467" s="21" t="s">
        <v>1376</v>
      </c>
      <c r="C467" s="26" t="s">
        <v>1377</v>
      </c>
      <c r="D467" s="23" t="str">
        <f>WFTracker[[#This Row],[Order Number]]  &amp; "-" &amp; WFTracker[[#This Row],[Item]]</f>
        <v>JIRA-COUNTERMEASURE</v>
      </c>
      <c r="E467" s="23" t="s">
        <v>1046</v>
      </c>
      <c r="F467" s="27">
        <v>45959</v>
      </c>
      <c r="G467" s="27"/>
      <c r="H467" s="11" t="s">
        <v>36</v>
      </c>
      <c r="I467" s="11"/>
      <c r="J467" s="55" t="s">
        <v>1379</v>
      </c>
      <c r="K467" s="14" t="s">
        <v>1023</v>
      </c>
      <c r="L467" s="15" t="s">
        <v>40</v>
      </c>
      <c r="M467" s="29" t="s">
        <v>984</v>
      </c>
      <c r="N467" s="106" t="s">
        <v>984</v>
      </c>
      <c r="O467" s="15">
        <f>NETWORKDAYS.INTL(WFTracker[[#This Row],[Start date]],WFTracker[[#This Row],[RM]],1,Holidays!D202:D217)</f>
        <v>9</v>
      </c>
      <c r="P467" s="12">
        <v>45947</v>
      </c>
      <c r="Q467" s="12">
        <v>45959</v>
      </c>
      <c r="R467" s="12">
        <v>45959</v>
      </c>
      <c r="S467" s="12" t="b">
        <f>ISBLANK(WFTracker[[#This Row],[Completion Date]])</f>
        <v>0</v>
      </c>
      <c r="T467" s="27" t="str">
        <f>TEXT(WFTracker[[#This Row],[Start date]],"mmm-yyyy")</f>
        <v>Oct-2025</v>
      </c>
      <c r="U467">
        <v>10</v>
      </c>
      <c r="V467" s="11">
        <f>NETWORKDAYS.INTL(WFTracker[[#This Row],[Start date]],WFTracker[[#This Row],[Due date]],1,Holidays!D202:D217)</f>
        <v>9</v>
      </c>
      <c r="W4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67" s="24">
        <f ca="1">WFTracker[[#This Row],[Active Time]]-WFTracker[[#This Row],[Completion Days Template]]</f>
        <v>0</v>
      </c>
      <c r="Y467" s="16" t="str">
        <f ca="1" xml:space="preserve"> IF(WFTracker[[#This Row],[Overdue Time '[Expected-Completion']]]&gt;0, "LATE","ON TIME")</f>
        <v>ON TIME</v>
      </c>
      <c r="Z467" s="16" t="str">
        <f ca="1">IF(WFTracker[[#This Row],[Overdue Time '[Expected-Completion']]] &gt;= 15, "SUPER LATE", Y467)</f>
        <v>ON TIME</v>
      </c>
      <c r="AA467" s="37" t="str">
        <f>IF(WFTracker[[#This Row],[Pre RM Opening Time]]&lt;WFTracker[[#This Row],[Old vs New Order Lead Time WF dead line]], "LATE BY ENG", "ON TIME BY ENG")</f>
        <v>LATE BY ENG</v>
      </c>
      <c r="AB467" s="37" t="s">
        <v>1376</v>
      </c>
      <c r="AC467" s="15" t="str">
        <f>IF(WFTracker[[#This Row],[Competion Date Content]] = FALSE, "C", "i")</f>
        <v>C</v>
      </c>
      <c r="AD4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467" s="37" t="str">
        <f ca="1">IF(WFTracker[[#This Row],[Impact Time Post RM]]&gt;0, "IMPACTED", "NOT IMPACTED")</f>
        <v>IMPACTED</v>
      </c>
      <c r="AF467" s="15"/>
      <c r="AG467" s="18"/>
      <c r="AH467" s="14" t="str">
        <f>IF(WFTracker[[#This Row],[Status]]="C", "Closed", IF(WFTracker[[#This Row],[Status]] = "x", "Cancelled", WFTracker[[#This Row],[Impact Time Post RM]]))</f>
        <v>Closed</v>
      </c>
      <c r="AI467" s="14" t="str">
        <f ca="1">IF(WFTracker[[#This Row],[Impact Time Post RM]]&lt;=0,"ON TIME","LATE")</f>
        <v>LATE</v>
      </c>
      <c r="AJ467" s="14" t="s">
        <v>984</v>
      </c>
      <c r="AK467" s="14">
        <v>17</v>
      </c>
      <c r="AL467" s="915">
        <f>IF(WFTracker[[#This Row],[Type]]="MAKE", WFTracker[[#This Row],[Due date]]+Filters!$J$111, WFTracker[[#This Row],[Due date]]+Filters!$J$135)</f>
        <v>45959.415686274508</v>
      </c>
      <c r="AM467" s="102" cm="1">
        <f t="array" ref="AM4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8" spans="1:39" ht="15" customHeight="1">
      <c r="A468" t="str">
        <f>IF(WFTracker[[#This Row],[Order Number]]="SWBD", "QED2", "PZ4")</f>
        <v>PZ4</v>
      </c>
      <c r="B468" s="21" t="s">
        <v>591</v>
      </c>
      <c r="C468" s="26" t="s">
        <v>135</v>
      </c>
      <c r="D468" s="23" t="s">
        <v>1380</v>
      </c>
      <c r="E468" s="23" t="s">
        <v>1022</v>
      </c>
      <c r="F468" s="27">
        <v>45971</v>
      </c>
      <c r="G468" s="27"/>
      <c r="H468" s="11" t="s">
        <v>947</v>
      </c>
      <c r="I468" s="11" t="s">
        <v>111</v>
      </c>
      <c r="J468" s="55" t="s">
        <v>600</v>
      </c>
      <c r="K468" s="14" t="s">
        <v>1017</v>
      </c>
      <c r="L468" s="15" t="s">
        <v>27</v>
      </c>
      <c r="M468" s="29" t="s">
        <v>1123</v>
      </c>
      <c r="N468" s="57">
        <v>45971</v>
      </c>
      <c r="O468" s="15">
        <f>NETWORKDAYS.INTL(WFTracker[[#This Row],[Start date]],WFTracker[[#This Row],[RM]],1,Holidays!D392:D407)</f>
        <v>17</v>
      </c>
      <c r="P468" s="12">
        <v>45947</v>
      </c>
      <c r="Q468" s="12">
        <v>45954</v>
      </c>
      <c r="R468" s="12">
        <v>45958</v>
      </c>
      <c r="S468" s="12" t="b">
        <f>ISBLANK(WFTracker[[#This Row],[Completion Date]])</f>
        <v>0</v>
      </c>
      <c r="T468" s="27" t="str">
        <f>TEXT(WFTracker[[#This Row],[Start date]],"mmm-yyyy")</f>
        <v>Oct-2025</v>
      </c>
      <c r="U468">
        <v>10</v>
      </c>
      <c r="V468" s="11">
        <f>NETWORKDAYS.INTL(WFTracker[[#This Row],[Start date]],WFTracker[[#This Row],[Due date]],1,Holidays!D392:D407)</f>
        <v>6</v>
      </c>
      <c r="W4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68" s="24">
        <f ca="1">WFTracker[[#This Row],[Active Time]]-WFTracker[[#This Row],[Completion Days Template]]</f>
        <v>2</v>
      </c>
      <c r="Y468" s="16" t="str">
        <f ca="1" xml:space="preserve"> IF(WFTracker[[#This Row],[Overdue Time '[Expected-Completion']]]&gt;0, "LATE","ON TIME")</f>
        <v>LATE</v>
      </c>
      <c r="Z468" s="16" t="str">
        <f ca="1">IF(WFTracker[[#This Row],[Overdue Time '[Expected-Completion']]] &gt;= 15, "SUPER LATE", Y468)</f>
        <v>LATE</v>
      </c>
      <c r="AA468" s="37" t="str">
        <f>IF(WFTracker[[#This Row],[Pre RM Opening Time]]&lt;WFTracker[[#This Row],[Old vs New Order Lead Time WF dead line]], "LATE BY ENG", "ON TIME BY ENG")</f>
        <v>ON TIME BY ENG</v>
      </c>
      <c r="AB468" s="37"/>
      <c r="AC468" s="15" t="str">
        <f>IF(WFTracker[[#This Row],[Competion Date Content]] = FALSE, "C", "i")</f>
        <v>C</v>
      </c>
      <c r="AD4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68" s="37" t="str">
        <f ca="1">IF(WFTracker[[#This Row],[Impact Time Post RM]]&gt;0, "IMPACTED", "NOT IMPACTED")</f>
        <v>NOT IMPACTED</v>
      </c>
      <c r="AF468" s="15"/>
      <c r="AG468" s="18"/>
      <c r="AH468" s="14" t="str">
        <f>IF(WFTracker[[#This Row],[Status]]="C", "Closed", IF(WFTracker[[#This Row],[Status]] = "x", "Cancelled", WFTracker[[#This Row],[Impact Time Post RM]]))</f>
        <v>Closed</v>
      </c>
      <c r="AI468" s="14" t="str">
        <f ca="1">IF(WFTracker[[#This Row],[Impact Time Post RM]]&lt;=0,"ON TIME","LATE")</f>
        <v>ON TIME</v>
      </c>
      <c r="AJ468" s="14" t="s">
        <v>984</v>
      </c>
      <c r="AK468" s="14">
        <v>18</v>
      </c>
      <c r="AL468" s="915">
        <f>IF(WFTracker[[#This Row],[Type]]="MAKE", WFTracker[[#This Row],[Due date]]+Filters!$J$111, WFTracker[[#This Row],[Due date]]+Filters!$J$135)</f>
        <v>45957.072512647552</v>
      </c>
      <c r="AM468" s="102" cm="1">
        <f t="array" ref="AM4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69" spans="1:39" ht="15" customHeight="1">
      <c r="A469" t="str">
        <f>IF(WFTracker[[#This Row],[Order Number]]="SWBD", "QED2", "PZ4")</f>
        <v>PZ4</v>
      </c>
      <c r="B469" s="35" t="s">
        <v>365</v>
      </c>
      <c r="C469" s="26" t="s">
        <v>366</v>
      </c>
      <c r="D469" s="11" t="str">
        <f>WFTracker[[#This Row],[Order Number]]  &amp; "-" &amp; WFTracker[[#This Row],[Item]]</f>
        <v>0050728484-018570</v>
      </c>
      <c r="E469" s="23" t="s">
        <v>613</v>
      </c>
      <c r="F469" s="107">
        <v>45966</v>
      </c>
      <c r="G469" s="107"/>
      <c r="H469" s="11" t="s">
        <v>156</v>
      </c>
      <c r="I469" s="11" t="s">
        <v>37</v>
      </c>
      <c r="J469" s="55" t="s">
        <v>548</v>
      </c>
      <c r="K469" s="14" t="s">
        <v>1017</v>
      </c>
      <c r="L469" s="15" t="s">
        <v>27</v>
      </c>
      <c r="M469" s="29" t="s">
        <v>1120</v>
      </c>
      <c r="N469" s="57">
        <v>45986</v>
      </c>
      <c r="O469" s="15">
        <f>NETWORKDAYS.INTL(WFTracker[[#This Row],[Start date]],WFTracker[[#This Row],[RM]],1,Holidays!D393:D408)</f>
        <v>13</v>
      </c>
      <c r="P469" s="12">
        <v>45950</v>
      </c>
      <c r="Q469" s="12">
        <v>45957</v>
      </c>
      <c r="R469" s="12">
        <v>45952</v>
      </c>
      <c r="S469" s="12" t="b">
        <f>ISBLANK(WFTracker[[#This Row],[Completion Date]])</f>
        <v>0</v>
      </c>
      <c r="T469" s="27" t="str">
        <f>TEXT(WFTracker[[#This Row],[Start date]],"mmm-yyyy")</f>
        <v>Oct-2025</v>
      </c>
      <c r="U469">
        <v>10</v>
      </c>
      <c r="V469" s="11">
        <f>NETWORKDAYS.INTL(WFTracker[[#This Row],[Start date]],WFTracker[[#This Row],[Due date]],1,Holidays!D393:D408)</f>
        <v>6</v>
      </c>
      <c r="W4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69" s="24">
        <f ca="1">WFTracker[[#This Row],[Active Time]]-WFTracker[[#This Row],[Completion Days Template]]</f>
        <v>-3</v>
      </c>
      <c r="Y469" s="16" t="str">
        <f ca="1" xml:space="preserve"> IF(WFTracker[[#This Row],[Overdue Time '[Expected-Completion']]]&gt;0, "LATE","ON TIME")</f>
        <v>ON TIME</v>
      </c>
      <c r="Z469" s="16" t="str">
        <f ca="1">IF(WFTracker[[#This Row],[Overdue Time '[Expected-Completion']]] &gt;= 15, "SUPER LATE", Y469)</f>
        <v>ON TIME</v>
      </c>
      <c r="AA469" s="37" t="str">
        <f>IF(WFTracker[[#This Row],[Pre RM Opening Time]]&lt;WFTracker[[#This Row],[Old vs New Order Lead Time WF dead line]], "LATE BY ENG", "ON TIME BY ENG")</f>
        <v>ON TIME BY ENG</v>
      </c>
      <c r="AB469" s="37"/>
      <c r="AC469" s="15" t="str">
        <f>IF(WFTracker[[#This Row],[Competion Date Content]] = FALSE, "C", "i")</f>
        <v>C</v>
      </c>
      <c r="AD4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469" s="37" t="str">
        <f ca="1">IF(WFTracker[[#This Row],[Impact Time Post RM]]&gt;0, "IMPACTED", "NOT IMPACTED")</f>
        <v>NOT IMPACTED</v>
      </c>
      <c r="AF469" s="15"/>
      <c r="AG469" s="18"/>
      <c r="AH469" s="14" t="str">
        <f>IF(WFTracker[[#This Row],[Status]]="C", "Closed", IF(WFTracker[[#This Row],[Status]] = "x", "Cancelled", WFTracker[[#This Row],[Impact Time Post RM]]))</f>
        <v>Closed</v>
      </c>
      <c r="AI469" s="14" t="str">
        <f ca="1">IF(WFTracker[[#This Row],[Impact Time Post RM]]&lt;=0,"ON TIME","LATE")</f>
        <v>ON TIME</v>
      </c>
      <c r="AJ469" s="14" t="s">
        <v>984</v>
      </c>
      <c r="AK469" s="14">
        <v>18</v>
      </c>
      <c r="AL469" s="915">
        <f>IF(WFTracker[[#This Row],[Type]]="MAKE", WFTracker[[#This Row],[Due date]]+Filters!$J$111, WFTracker[[#This Row],[Due date]]+Filters!$J$135)</f>
        <v>45960.072512647552</v>
      </c>
      <c r="AM469" s="102" cm="1">
        <f t="array" ref="AM4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0" spans="1:39" ht="15" customHeight="1">
      <c r="A470" t="str">
        <f>IF(WFTracker[[#This Row],[Order Number]]="SWBD", "QED2", "PZ4")</f>
        <v>QED2</v>
      </c>
      <c r="B470" s="21" t="s">
        <v>1239</v>
      </c>
      <c r="C470" s="26" t="s">
        <v>1049</v>
      </c>
      <c r="D470" s="23" t="str">
        <f>WFTracker[[#This Row],[Order Number]]  &amp; "-" &amp; WFTracker[[#This Row],[Item]]</f>
        <v>SWBD-meta f2.0</v>
      </c>
      <c r="E470" s="23" t="s">
        <v>1049</v>
      </c>
      <c r="F470" s="27">
        <v>45926</v>
      </c>
      <c r="G470" s="27"/>
      <c r="H470" s="11" t="s">
        <v>947</v>
      </c>
      <c r="I470" s="11" t="s">
        <v>1132</v>
      </c>
      <c r="J470" s="13" t="s">
        <v>1381</v>
      </c>
      <c r="K470" s="14" t="s">
        <v>1023</v>
      </c>
      <c r="L470" s="15" t="s">
        <v>27</v>
      </c>
      <c r="M470" s="29" t="s">
        <v>1120</v>
      </c>
      <c r="N470" s="57" t="s">
        <v>984</v>
      </c>
      <c r="O470" s="15">
        <f>NETWORKDAYS.INTL(WFTracker[[#This Row],[Start date]],WFTracker[[#This Row],[RM]],1,Holidays!D37:D52)</f>
        <v>-17</v>
      </c>
      <c r="P470" s="12">
        <v>45950</v>
      </c>
      <c r="Q470" s="12">
        <v>45958</v>
      </c>
      <c r="R470" s="12">
        <v>45952</v>
      </c>
      <c r="S470" s="12" t="b">
        <f>ISBLANK(WFTracker[[#This Row],[Completion Date]])</f>
        <v>0</v>
      </c>
      <c r="T470" s="12" t="str">
        <f>TEXT(WFTracker[[#This Row],[Start date]],"mmm-yyyy")</f>
        <v>Oct-2025</v>
      </c>
      <c r="U470" s="11">
        <v>10</v>
      </c>
      <c r="V470" s="11">
        <f>NETWORKDAYS.INTL(WFTracker[[#This Row],[Start date]],WFTracker[[#This Row],[Due date]],1,Holidays!D37:D52)</f>
        <v>7</v>
      </c>
      <c r="W4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70" s="24">
        <f ca="1">WFTracker[[#This Row],[Active Time]]-WFTracker[[#This Row],[Completion Days Template]]</f>
        <v>-4</v>
      </c>
      <c r="Y470" s="16" t="str">
        <f ca="1" xml:space="preserve"> IF(WFTracker[[#This Row],[Overdue Time '[Expected-Completion']]]&gt;0, "LATE","ON TIME")</f>
        <v>ON TIME</v>
      </c>
      <c r="Z470" s="16" t="str">
        <f ca="1">IF(WFTracker[[#This Row],[Overdue Time '[Expected-Completion']]] &gt;= 15, "SUPER LATE", Y470)</f>
        <v>ON TIME</v>
      </c>
      <c r="AA470" s="37" t="str">
        <f>IF(WFTracker[[#This Row],[Pre RM Opening Time]]&lt;WFTracker[[#This Row],[Old vs New Order Lead Time WF dead line]], "LATE BY ENG", "ON TIME BY ENG")</f>
        <v>LATE BY ENG</v>
      </c>
      <c r="AB470" s="37"/>
      <c r="AC470" s="15" t="str">
        <f>IF(WFTracker[[#This Row],[Competion Date Content]] = FALSE, "C", "I")</f>
        <v>C</v>
      </c>
      <c r="AD4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19</v>
      </c>
      <c r="AE470" s="37" t="str">
        <f ca="1">IF(WFTracker[[#This Row],[Impact Time Post RM]]&gt;0, "IMPACTED", "NOT IMPACTED")</f>
        <v>IMPACTED</v>
      </c>
      <c r="AF470" s="15"/>
      <c r="AG470" s="18"/>
      <c r="AH470" s="14" t="str">
        <f>IF(WFTracker[[#This Row],[Status]]="C", "Closed", IF(WFTracker[[#This Row],[Status]] = "x", "Cancelled", WFTracker[[#This Row],[Impact Time Post RM]]))</f>
        <v>Closed</v>
      </c>
      <c r="AI470" s="14" t="str">
        <f ca="1">IF(WFTracker[[#This Row],[Impact Time Post RM]]&lt;=0,"ON TIME","LATE")</f>
        <v>LATE</v>
      </c>
      <c r="AJ470" s="14" t="s">
        <v>984</v>
      </c>
      <c r="AK470" s="14">
        <v>18</v>
      </c>
      <c r="AL470" s="915">
        <f>IF(WFTracker[[#This Row],[Type]]="MAKE", WFTracker[[#This Row],[Due date]]+Filters!$J$111, WFTracker[[#This Row],[Due date]]+Filters!$J$135)</f>
        <v>45961.072512647552</v>
      </c>
      <c r="AM470" s="102" cm="1">
        <f t="array" ref="AM4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1" spans="1:39" ht="15" customHeight="1">
      <c r="A471" t="str">
        <f>IF(WFTracker[[#This Row],[Order Number]]="SWBD", "QED2", "PZ4")</f>
        <v>PZ4</v>
      </c>
      <c r="B471" s="21" t="s">
        <v>588</v>
      </c>
      <c r="C471" s="26" t="s">
        <v>135</v>
      </c>
      <c r="D471" s="23" t="str">
        <f>WFTracker[[#This Row],[Order Number]]  &amp; "-" &amp; WFTracker[[#This Row],[Item]]</f>
        <v>0051608932-000010</v>
      </c>
      <c r="E471" s="23" t="s">
        <v>589</v>
      </c>
      <c r="F471" s="27">
        <v>45953</v>
      </c>
      <c r="G471" s="27"/>
      <c r="H471" s="11" t="s">
        <v>1351</v>
      </c>
      <c r="I471" s="11" t="s">
        <v>241</v>
      </c>
      <c r="J471" s="55" t="s">
        <v>1382</v>
      </c>
      <c r="K471" s="14" t="s">
        <v>1017</v>
      </c>
      <c r="L471" s="15" t="s">
        <v>27</v>
      </c>
      <c r="M471" s="29" t="s">
        <v>1120</v>
      </c>
      <c r="N471" s="57">
        <v>45881</v>
      </c>
      <c r="O471" s="15">
        <f>NETWORKDAYS.INTL(WFTracker[[#This Row],[Start date]],WFTracker[[#This Row],[RM]],1,Holidays!D86:D101)</f>
        <v>4</v>
      </c>
      <c r="P471" s="12">
        <v>45950</v>
      </c>
      <c r="Q471" s="12">
        <v>45957</v>
      </c>
      <c r="R471" s="12">
        <v>45950</v>
      </c>
      <c r="S471" s="12" t="b">
        <f>ISBLANK(WFTracker[[#This Row],[Completion Date]])</f>
        <v>0</v>
      </c>
      <c r="T471" s="12" t="str">
        <f>TEXT(WFTracker[[#This Row],[Start date]],"mmm-yyyy")</f>
        <v>Oct-2025</v>
      </c>
      <c r="U471" s="11">
        <v>10</v>
      </c>
      <c r="V471" s="11">
        <f>NETWORKDAYS.INTL(WFTracker[[#This Row],[Start date]],WFTracker[[#This Row],[Due date]],1,Holidays!D86:D101)</f>
        <v>6</v>
      </c>
      <c r="W4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</v>
      </c>
      <c r="X471" s="24">
        <f ca="1">WFTracker[[#This Row],[Active Time]]-WFTracker[[#This Row],[Completion Days Template]]</f>
        <v>-5</v>
      </c>
      <c r="Y471" s="16" t="str">
        <f ca="1" xml:space="preserve"> IF(WFTracker[[#This Row],[Overdue Time '[Expected-Completion']]]&gt;0, "LATE","ON TIME")</f>
        <v>ON TIME</v>
      </c>
      <c r="Z471" s="16" t="str">
        <f ca="1">IF(WFTracker[[#This Row],[Overdue Time '[Expected-Completion']]] &gt;= 15, "SUPER LATE", Y471)</f>
        <v>ON TIME</v>
      </c>
      <c r="AA471" s="37" t="str">
        <f>IF(WFTracker[[#This Row],[Pre RM Opening Time]]&lt;WFTracker[[#This Row],[Old vs New Order Lead Time WF dead line]], "LATE BY ENG", "ON TIME BY ENG")</f>
        <v>LATE BY ENG</v>
      </c>
      <c r="AB471" s="37"/>
      <c r="AC471" s="15" t="s">
        <v>1011</v>
      </c>
      <c r="AD4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471" s="37" t="str">
        <f ca="1">IF(WFTracker[[#This Row],[Impact Time Post RM]]&gt;0, "IMPACTED", "NOT IMPACTED")</f>
        <v>NOT IMPACTED</v>
      </c>
      <c r="AF471" s="15"/>
      <c r="AG471" s="18"/>
      <c r="AH471" s="14" t="str">
        <f>IF(WFTracker[[#This Row],[Status]]="C", "Closed", IF(WFTracker[[#This Row],[Status]] = "x", "Cancelled", WFTracker[[#This Row],[Impact Time Post RM]]))</f>
        <v>Cancelled</v>
      </c>
      <c r="AI471" s="14" t="str">
        <f ca="1">IF(WFTracker[[#This Row],[Impact Time Post RM]]&lt;=0,"ON TIME","LATE")</f>
        <v>ON TIME</v>
      </c>
      <c r="AJ471" s="14" t="s">
        <v>984</v>
      </c>
      <c r="AK471" s="14">
        <v>0</v>
      </c>
      <c r="AL471" s="915">
        <f>IF(WFTracker[[#This Row],[Type]]="MAKE", WFTracker[[#This Row],[Due date]]+Filters!$J$111, WFTracker[[#This Row],[Due date]]+Filters!$J$135)</f>
        <v>45960.072512647552</v>
      </c>
      <c r="AM471" s="102" cm="1">
        <f t="array" ref="AM471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472" spans="1:39" ht="15" customHeight="1">
      <c r="A472" t="str">
        <f>IF(WFTracker[[#This Row],[Order Number]]="SWBD", "QED2", "PZ4")</f>
        <v>PZ4</v>
      </c>
      <c r="B472" s="21" t="s">
        <v>1297</v>
      </c>
      <c r="C472" s="26" t="s">
        <v>1298</v>
      </c>
      <c r="D472" s="11" t="str">
        <f>WFTracker[[#This Row],[Order Number]]  &amp; "-" &amp; WFTracker[[#This Row],[Item]]</f>
        <v>051576246-000020&amp;30&amp;40&amp;50&amp;60</v>
      </c>
      <c r="E472" s="23" t="s">
        <v>551</v>
      </c>
      <c r="F472" s="27">
        <v>45954</v>
      </c>
      <c r="G472" s="27"/>
      <c r="H472" s="11" t="s">
        <v>80</v>
      </c>
      <c r="I472" s="11" t="s">
        <v>1154</v>
      </c>
      <c r="J472" s="55" t="s">
        <v>1383</v>
      </c>
      <c r="K472" s="14" t="s">
        <v>1017</v>
      </c>
      <c r="L472" s="15" t="s">
        <v>27</v>
      </c>
      <c r="M472" s="29" t="s">
        <v>1120</v>
      </c>
      <c r="N472" s="57">
        <v>46030</v>
      </c>
      <c r="O472" s="15">
        <f>NETWORKDAYS.INTL(WFTracker[[#This Row],[Start date]],WFTracker[[#This Row],[RM]],1,Holidays!D99:D114)</f>
        <v>5</v>
      </c>
      <c r="P472" s="12">
        <v>45950</v>
      </c>
      <c r="Q472" s="12">
        <v>45957</v>
      </c>
      <c r="R472" s="12">
        <v>45950</v>
      </c>
      <c r="S472" s="12" t="b">
        <f>ISBLANK(WFTracker[[#This Row],[Completion Date]])</f>
        <v>0</v>
      </c>
      <c r="T472" s="12" t="str">
        <f>TEXT(WFTracker[[#This Row],[Start date]],"mmm-yyyy")</f>
        <v>Oct-2025</v>
      </c>
      <c r="U472" s="11">
        <v>10</v>
      </c>
      <c r="V472" s="11">
        <f>NETWORKDAYS.INTL(WFTracker[[#This Row],[Start date]],WFTracker[[#This Row],[Due date]],1,Holidays!D99:D114)</f>
        <v>6</v>
      </c>
      <c r="W4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</v>
      </c>
      <c r="X472" s="24">
        <f ca="1">WFTracker[[#This Row],[Active Time]]-WFTracker[[#This Row],[Completion Days Template]]</f>
        <v>-5</v>
      </c>
      <c r="Y472" s="16" t="str">
        <f ca="1" xml:space="preserve"> IF(WFTracker[[#This Row],[Overdue Time '[Expected-Completion']]]&gt;0, "LATE","ON TIME")</f>
        <v>ON TIME</v>
      </c>
      <c r="Z472" s="16" t="str">
        <f ca="1">IF(WFTracker[[#This Row],[Overdue Time '[Expected-Completion']]] &gt;= 15, "SUPER LATE", Y472)</f>
        <v>ON TIME</v>
      </c>
      <c r="AA472" s="37" t="str">
        <f>IF(WFTracker[[#This Row],[Pre RM Opening Time]]&lt;WFTracker[[#This Row],[Old vs New Order Lead Time WF dead line]], "LATE BY ENG", "ON TIME BY ENG")</f>
        <v>LATE BY ENG</v>
      </c>
      <c r="AB472" s="37" t="s">
        <v>1384</v>
      </c>
      <c r="AC472" s="15" t="s">
        <v>46</v>
      </c>
      <c r="AD4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472" s="37" t="str">
        <f ca="1">IF(WFTracker[[#This Row],[Impact Time Post RM]]&gt;0, "IMPACTED", "NOT IMPACTED")</f>
        <v>NOT IMPACTED</v>
      </c>
      <c r="AF472" s="15"/>
      <c r="AG472" s="18" t="s">
        <v>1385</v>
      </c>
      <c r="AH472" s="14" t="str">
        <f>IF(WFTracker[[#This Row],[Status]]="C", "Closed", IF(WFTracker[[#This Row],[Status]] = "x", "Cancelled", WFTracker[[#This Row],[Impact Time Post RM]]))</f>
        <v>Cancelled</v>
      </c>
      <c r="AI472" s="14" t="str">
        <f ca="1">IF(WFTracker[[#This Row],[Impact Time Post RM]]&lt;=0,"ON TIME","LATE")</f>
        <v>ON TIME</v>
      </c>
      <c r="AJ472" s="14" t="s">
        <v>984</v>
      </c>
      <c r="AK472" s="14">
        <v>0</v>
      </c>
      <c r="AL472" s="915">
        <f>IF(WFTracker[[#This Row],[Type]]="MAKE", WFTracker[[#This Row],[Due date]]+Filters!$J$111, WFTracker[[#This Row],[Due date]]+Filters!$J$135)</f>
        <v>45960.072512647552</v>
      </c>
      <c r="AM472" s="102" cm="1">
        <f t="array" ref="AM472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473" spans="1:39" ht="15" customHeight="1">
      <c r="A473" t="str">
        <f>IF(WFTracker[[#This Row],[Order Number]]="SWBD", "QED2", "PZ4")</f>
        <v>PZ4</v>
      </c>
      <c r="B473" s="21" t="s">
        <v>591</v>
      </c>
      <c r="C473" s="903" t="s">
        <v>135</v>
      </c>
      <c r="D473" s="23" t="str">
        <f>WFTracker[[#This Row],[Order Number]]  &amp; "-" &amp; WFTracker[[#This Row],[Item]]</f>
        <v>0051422641-000010</v>
      </c>
      <c r="E473" s="23" t="s">
        <v>1022</v>
      </c>
      <c r="F473" s="27">
        <v>45971</v>
      </c>
      <c r="G473" s="27"/>
      <c r="H473" s="11" t="s">
        <v>947</v>
      </c>
      <c r="I473" s="11" t="s">
        <v>111</v>
      </c>
      <c r="J473" s="55" t="s">
        <v>1386</v>
      </c>
      <c r="K473" s="14" t="s">
        <v>1017</v>
      </c>
      <c r="L473" s="15" t="s">
        <v>27</v>
      </c>
      <c r="M473" s="29" t="s">
        <v>1123</v>
      </c>
      <c r="N473" s="57">
        <v>45971</v>
      </c>
      <c r="O473" s="15">
        <f>NETWORKDAYS.INTL(WFTracker[[#This Row],[Start date]],WFTracker[[#This Row],[RM]],1,Holidays!D378:D393)</f>
        <v>16</v>
      </c>
      <c r="P473" s="12">
        <v>45950</v>
      </c>
      <c r="Q473" s="12">
        <v>45957</v>
      </c>
      <c r="R473" s="12">
        <v>45953</v>
      </c>
      <c r="S473" s="12" t="b">
        <f>ISBLANK(WFTracker[[#This Row],[Completion Date]])</f>
        <v>0</v>
      </c>
      <c r="T473" s="12" t="str">
        <f>TEXT(WFTracker[[#This Row],[Start date]],"mmm-yyyy")</f>
        <v>Oct-2025</v>
      </c>
      <c r="U473" s="11">
        <v>10</v>
      </c>
      <c r="V473" s="11">
        <f>NETWORKDAYS.INTL(WFTracker[[#This Row],[Start date]],WFTracker[[#This Row],[Due date]],1,Holidays!D378:D393)</f>
        <v>6</v>
      </c>
      <c r="W4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73" s="24">
        <f ca="1">WFTracker[[#This Row],[Active Time]]-WFTracker[[#This Row],[Completion Days Template]]</f>
        <v>-2</v>
      </c>
      <c r="Y473" s="16" t="str">
        <f ca="1" xml:space="preserve"> IF(WFTracker[[#This Row],[Overdue Time '[Expected-Completion']]]&gt;0, "LATE","ON TIME")</f>
        <v>ON TIME</v>
      </c>
      <c r="Z473" s="16" t="str">
        <f ca="1">IF(WFTracker[[#This Row],[Overdue Time '[Expected-Completion']]] &gt;= 15, "SUPER LATE", Y473)</f>
        <v>ON TIME</v>
      </c>
      <c r="AA473" s="37" t="str">
        <f>IF(WFTracker[[#This Row],[Pre RM Opening Time]]&lt;WFTracker[[#This Row],[Old vs New Order Lead Time WF dead line]], "LATE BY ENG", "ON TIME BY ENG")</f>
        <v>ON TIME BY ENG</v>
      </c>
      <c r="AB473" s="37"/>
      <c r="AC473" s="15" t="str">
        <f>IF(WFTracker[[#This Row],[Competion Date Content]] = FALSE, "C", "i")</f>
        <v>C</v>
      </c>
      <c r="AD4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473" s="37" t="str">
        <f ca="1">IF(WFTracker[[#This Row],[Impact Time Post RM]]&gt;0, "IMPACTED", "NOT IMPACTED")</f>
        <v>NOT IMPACTED</v>
      </c>
      <c r="AF473" s="15"/>
      <c r="AG473" s="18"/>
      <c r="AH473" s="14" t="str">
        <f>IF(WFTracker[[#This Row],[Status]]="C", "Closed", IF(WFTracker[[#This Row],[Status]] = "x", "Cancelled", WFTracker[[#This Row],[Impact Time Post RM]]))</f>
        <v>Closed</v>
      </c>
      <c r="AI473" s="14" t="str">
        <f ca="1">IF(WFTracker[[#This Row],[Impact Time Post RM]]&lt;=0,"ON TIME","LATE")</f>
        <v>ON TIME</v>
      </c>
      <c r="AJ473" s="14" t="s">
        <v>984</v>
      </c>
      <c r="AK473" s="14">
        <v>18</v>
      </c>
      <c r="AL473" s="915">
        <f>IF(WFTracker[[#This Row],[Type]]="MAKE", WFTracker[[#This Row],[Due date]]+Filters!$J$111, WFTracker[[#This Row],[Due date]]+Filters!$J$135)</f>
        <v>45960.072512647552</v>
      </c>
      <c r="AM473" s="102" cm="1">
        <f t="array" ref="AM4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4" spans="1:39" ht="15" customHeight="1">
      <c r="A474" t="str">
        <f>IF(WFTracker[[#This Row],[Order Number]]="SWBD", "QED2", "PZ4")</f>
        <v>PZ4</v>
      </c>
      <c r="B474" s="21" t="s">
        <v>615</v>
      </c>
      <c r="C474" s="26" t="s">
        <v>293</v>
      </c>
      <c r="D474" s="23" t="str">
        <f>WFTracker[[#This Row],[Order Number]]  &amp; "-" &amp; WFTracker[[#This Row],[Item]]</f>
        <v>0051354978-000080</v>
      </c>
      <c r="E474" s="23" t="s">
        <v>617</v>
      </c>
      <c r="F474" s="27">
        <v>45981</v>
      </c>
      <c r="G474" s="27"/>
      <c r="H474" s="11" t="s">
        <v>137</v>
      </c>
      <c r="I474" s="11" t="s">
        <v>429</v>
      </c>
      <c r="J474" s="55" t="s">
        <v>619</v>
      </c>
      <c r="K474" s="14" t="s">
        <v>1017</v>
      </c>
      <c r="L474" s="15" t="s">
        <v>27</v>
      </c>
      <c r="M474" s="29" t="s">
        <v>1120</v>
      </c>
      <c r="N474" s="57">
        <v>46052</v>
      </c>
      <c r="O474" s="15">
        <f>NETWORKDAYS.INTL(WFTracker[[#This Row],[Start date]],WFTracker[[#This Row],[RM]],1,Holidays!D503:D518)</f>
        <v>24</v>
      </c>
      <c r="P474" s="12">
        <v>45950</v>
      </c>
      <c r="Q474" s="12">
        <v>45958</v>
      </c>
      <c r="R474" s="12">
        <v>45966</v>
      </c>
      <c r="S474" s="12" t="b">
        <f>ISBLANK(WFTracker[[#This Row],[Completion Date]])</f>
        <v>0</v>
      </c>
      <c r="T474" s="12" t="str">
        <f>TEXT(WFTracker[[#This Row],[Start date]],"mmm-yyyy")</f>
        <v>Oct-2025</v>
      </c>
      <c r="U474" s="11">
        <v>10</v>
      </c>
      <c r="V474" s="11">
        <f>NETWORKDAYS.INTL(WFTracker[[#This Row],[Start date]],WFTracker[[#This Row],[Due date]],1,Holidays!D503:D518)</f>
        <v>7</v>
      </c>
      <c r="W4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474" s="24">
        <f ca="1">WFTracker[[#This Row],[Active Time]]-WFTracker[[#This Row],[Completion Days Template]]</f>
        <v>5</v>
      </c>
      <c r="Y474" s="16" t="str">
        <f ca="1" xml:space="preserve"> IF(WFTracker[[#This Row],[Overdue Time '[Expected-Completion']]]&gt;0, "LATE","ON TIME")</f>
        <v>LATE</v>
      </c>
      <c r="Z474" s="16" t="str">
        <f ca="1">IF(WFTracker[[#This Row],[Overdue Time '[Expected-Completion']]] &gt;= 15, "SUPER LATE", Y474)</f>
        <v>LATE</v>
      </c>
      <c r="AA474" s="37" t="str">
        <f>IF(WFTracker[[#This Row],[Pre RM Opening Time]]&lt;WFTracker[[#This Row],[Old vs New Order Lead Time WF dead line]], "LATE BY ENG", "ON TIME BY ENG")</f>
        <v>ON TIME BY ENG</v>
      </c>
      <c r="AB474" s="37"/>
      <c r="AC474" s="15" t="str">
        <f>IF(WFTracker[[#This Row],[Competion Date Content]] = FALSE, "C", "i")</f>
        <v>C</v>
      </c>
      <c r="AD4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74" s="37" t="str">
        <f ca="1">IF(WFTracker[[#This Row],[Impact Time Post RM]]&gt;0, "IMPACTED", "NOT IMPACTED")</f>
        <v>NOT IMPACTED</v>
      </c>
      <c r="AF474" s="15"/>
      <c r="AG474" s="18"/>
      <c r="AH474" s="14" t="str">
        <f>IF(WFTracker[[#This Row],[Status]]="C", "Closed", IF(WFTracker[[#This Row],[Status]] = "x", "Cancelled", WFTracker[[#This Row],[Impact Time Post RM]]))</f>
        <v>Closed</v>
      </c>
      <c r="AI474" s="14" t="str">
        <f ca="1">IF(WFTracker[[#This Row],[Impact Time Post RM]]&lt;=0,"ON TIME","LATE")</f>
        <v>ON TIME</v>
      </c>
      <c r="AJ474" s="14" t="s">
        <v>984</v>
      </c>
      <c r="AK474" s="14">
        <v>18</v>
      </c>
      <c r="AL474" s="915">
        <f>IF(WFTracker[[#This Row],[Type]]="MAKE", WFTracker[[#This Row],[Due date]]+Filters!$J$111, WFTracker[[#This Row],[Due date]]+Filters!$J$135)</f>
        <v>45961.072512647552</v>
      </c>
      <c r="AM474" s="102" cm="1">
        <f t="array" ref="AM4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5" spans="1:39" ht="15" customHeight="1">
      <c r="A475" t="str">
        <f>IF(WFTracker[[#This Row],[Order Number]]="SWBD", "QED2", "PZ4")</f>
        <v>PZ4</v>
      </c>
      <c r="B475" s="21" t="s">
        <v>601</v>
      </c>
      <c r="C475" s="26" t="s">
        <v>609</v>
      </c>
      <c r="D475" s="23" t="str">
        <f>WFTracker[[#This Row],[Order Number]]  &amp; "-" &amp; WFTracker[[#This Row],[Item]]</f>
        <v>0051378207-000260</v>
      </c>
      <c r="E475" s="23" t="s">
        <v>602</v>
      </c>
      <c r="F475" s="27">
        <v>45989</v>
      </c>
      <c r="G475" s="27"/>
      <c r="H475" s="11" t="s">
        <v>137</v>
      </c>
      <c r="I475" s="11" t="s">
        <v>429</v>
      </c>
      <c r="J475" s="55" t="s">
        <v>610</v>
      </c>
      <c r="K475" s="14" t="s">
        <v>1017</v>
      </c>
      <c r="L475" s="15" t="s">
        <v>27</v>
      </c>
      <c r="M475" s="29" t="s">
        <v>1120</v>
      </c>
      <c r="N475" s="57">
        <v>46076</v>
      </c>
      <c r="O475" s="15">
        <f>NETWORKDAYS.INTL(WFTracker[[#This Row],[Start date]],WFTracker[[#This Row],[RM]],1,Holidays!D550:D565)</f>
        <v>30</v>
      </c>
      <c r="P475" s="12">
        <v>45950</v>
      </c>
      <c r="Q475" s="12">
        <v>45958</v>
      </c>
      <c r="R475" s="12">
        <v>45957</v>
      </c>
      <c r="S475" s="12" t="b">
        <f>ISBLANK(WFTracker[[#This Row],[Completion Date]])</f>
        <v>0</v>
      </c>
      <c r="T475" s="12" t="str">
        <f>TEXT(WFTracker[[#This Row],[Start date]],"mmm-yyyy")</f>
        <v>Oct-2025</v>
      </c>
      <c r="U475" s="11">
        <v>10</v>
      </c>
      <c r="V475" s="11">
        <f>NETWORKDAYS.INTL(WFTracker[[#This Row],[Start date]],WFTracker[[#This Row],[Due date]],1,Holidays!D550:D565)</f>
        <v>7</v>
      </c>
      <c r="W4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75" s="24">
        <f ca="1">WFTracker[[#This Row],[Active Time]]-WFTracker[[#This Row],[Completion Days Template]]</f>
        <v>-1</v>
      </c>
      <c r="Y475" s="16" t="str">
        <f ca="1" xml:space="preserve"> IF(WFTracker[[#This Row],[Overdue Time '[Expected-Completion']]]&gt;0, "LATE","ON TIME")</f>
        <v>ON TIME</v>
      </c>
      <c r="Z475" s="16" t="str">
        <f ca="1">IF(WFTracker[[#This Row],[Overdue Time '[Expected-Completion']]] &gt;= 15, "SUPER LATE", Y475)</f>
        <v>ON TIME</v>
      </c>
      <c r="AA475" s="37" t="str">
        <f>IF(WFTracker[[#This Row],[Pre RM Opening Time]]&lt;WFTracker[[#This Row],[Old vs New Order Lead Time WF dead line]], "LATE BY ENG", "ON TIME BY ENG")</f>
        <v>ON TIME BY ENG</v>
      </c>
      <c r="AB475" s="37"/>
      <c r="AC475" s="15" t="str">
        <f>IF(WFTracker[[#This Row],[Competion Date Content]] = FALSE, "C", "i")</f>
        <v>C</v>
      </c>
      <c r="AD4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475" s="37" t="str">
        <f ca="1">IF(WFTracker[[#This Row],[Impact Time Post RM]]&gt;0, "IMPACTED", "NOT IMPACTED")</f>
        <v>NOT IMPACTED</v>
      </c>
      <c r="AF475" s="15"/>
      <c r="AG475" s="18"/>
      <c r="AH475" s="14" t="str">
        <f>IF(WFTracker[[#This Row],[Status]]="C", "Closed", IF(WFTracker[[#This Row],[Status]] = "x", "Cancelled", WFTracker[[#This Row],[Impact Time Post RM]]))</f>
        <v>Closed</v>
      </c>
      <c r="AI475" s="14" t="str">
        <f ca="1">IF(WFTracker[[#This Row],[Impact Time Post RM]]&lt;=0,"ON TIME","LATE")</f>
        <v>ON TIME</v>
      </c>
      <c r="AJ475" s="14" t="s">
        <v>984</v>
      </c>
      <c r="AK475" s="14">
        <v>18</v>
      </c>
      <c r="AL475" s="915">
        <f>IF(WFTracker[[#This Row],[Type]]="MAKE", WFTracker[[#This Row],[Due date]]+Filters!$J$111, WFTracker[[#This Row],[Due date]]+Filters!$J$135)</f>
        <v>45961.072512647552</v>
      </c>
      <c r="AM475" s="102" cm="1">
        <f t="array" ref="AM4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6" spans="1:39" ht="15" customHeight="1">
      <c r="A476" t="str">
        <f>IF(WFTracker[[#This Row],[Order Number]]="SWBD", "QED2", "PZ4")</f>
        <v>PZ4</v>
      </c>
      <c r="B476" s="21" t="s">
        <v>826</v>
      </c>
      <c r="C476" s="26" t="s">
        <v>834</v>
      </c>
      <c r="D476" s="23" t="s">
        <v>1387</v>
      </c>
      <c r="E476" s="23" t="s">
        <v>1027</v>
      </c>
      <c r="F476" s="27">
        <v>46001</v>
      </c>
      <c r="G476" s="27"/>
      <c r="H476" s="11" t="s">
        <v>259</v>
      </c>
      <c r="I476" s="11"/>
      <c r="J476" s="55" t="s">
        <v>1388</v>
      </c>
      <c r="K476" s="14" t="s">
        <v>1023</v>
      </c>
      <c r="L476" s="15" t="s">
        <v>27</v>
      </c>
      <c r="M476" s="29" t="s">
        <v>1120</v>
      </c>
      <c r="N476" s="57">
        <v>46271</v>
      </c>
      <c r="O476" s="15">
        <f>NETWORKDAYS.INTL(WFTracker[[#This Row],[Start date]],WFTracker[[#This Row],[RM]],1,Holidays!D594:D609)</f>
        <v>37</v>
      </c>
      <c r="P476" s="12">
        <v>45951</v>
      </c>
      <c r="Q476" s="12">
        <v>45958</v>
      </c>
      <c r="R476" s="12">
        <v>45966</v>
      </c>
      <c r="S476" s="12" t="b">
        <f>ISBLANK(WFTracker[[#This Row],[Completion Date]])</f>
        <v>0</v>
      </c>
      <c r="T476" s="12" t="str">
        <f>TEXT(WFTracker[[#This Row],[Start date]],"mmm-yyyy")</f>
        <v>Oct-2025</v>
      </c>
      <c r="U476" s="11">
        <v>10</v>
      </c>
      <c r="V476" s="11">
        <f>NETWORKDAYS.INTL(WFTracker[[#This Row],[Start date]],WFTracker[[#This Row],[Due date]],1,Holidays!D594:D609)</f>
        <v>6</v>
      </c>
      <c r="W4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76" s="24">
        <f ca="1">WFTracker[[#This Row],[Active Time]]-WFTracker[[#This Row],[Completion Days Template]]</f>
        <v>5</v>
      </c>
      <c r="Y476" s="16" t="str">
        <f ca="1" xml:space="preserve"> IF(WFTracker[[#This Row],[Overdue Time '[Expected-Completion']]]&gt;0, "LATE","ON TIME")</f>
        <v>LATE</v>
      </c>
      <c r="Z476" s="16" t="str">
        <f ca="1">IF(WFTracker[[#This Row],[Overdue Time '[Expected-Completion']]] &gt;= 15, "SUPER LATE", Y476)</f>
        <v>LATE</v>
      </c>
      <c r="AA476" s="37" t="str">
        <f>IF(WFTracker[[#This Row],[Pre RM Opening Time]]&lt;WFTracker[[#This Row],[Old vs New Order Lead Time WF dead line]], "LATE BY ENG", "ON TIME BY ENG")</f>
        <v>ON TIME BY ENG</v>
      </c>
      <c r="AB476" s="37"/>
      <c r="AC476" s="15" t="str">
        <f>IF(WFTracker[[#This Row],[Competion Date Content]] = FALSE, "C", "i")</f>
        <v>C</v>
      </c>
      <c r="AD4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476" s="37" t="str">
        <f ca="1">IF(WFTracker[[#This Row],[Impact Time Post RM]]&gt;0, "IMPACTED", "NOT IMPACTED")</f>
        <v>NOT IMPACTED</v>
      </c>
      <c r="AF476" s="15"/>
      <c r="AG476" s="18"/>
      <c r="AH476" s="14" t="str">
        <f>IF(WFTracker[[#This Row],[Status]]="C", "Closed", IF(WFTracker[[#This Row],[Status]] = "x", "Cancelled", WFTracker[[#This Row],[Impact Time Post RM]]))</f>
        <v>Closed</v>
      </c>
      <c r="AI476" s="14" t="str">
        <f ca="1">IF(WFTracker[[#This Row],[Impact Time Post RM]]&lt;=0,"ON TIME","LATE")</f>
        <v>ON TIME</v>
      </c>
      <c r="AJ476" s="14" t="s">
        <v>984</v>
      </c>
      <c r="AK476" s="14">
        <v>18</v>
      </c>
      <c r="AL476" s="915">
        <f>IF(WFTracker[[#This Row],[Type]]="MAKE", WFTracker[[#This Row],[Due date]]+Filters!$J$111, WFTracker[[#This Row],[Due date]]+Filters!$J$135)</f>
        <v>45961.072512647552</v>
      </c>
      <c r="AM476" s="102" cm="1">
        <f t="array" ref="AM4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7" spans="1:39" ht="15" customHeight="1">
      <c r="A477" t="str">
        <f>IF(WFTracker[[#This Row],[Order Number]]="SWBD", "QED2", "PZ4")</f>
        <v>PZ4</v>
      </c>
      <c r="B477" s="21" t="s">
        <v>826</v>
      </c>
      <c r="C477" s="26" t="s">
        <v>882</v>
      </c>
      <c r="D477" s="23" t="s">
        <v>1387</v>
      </c>
      <c r="E477" s="23" t="s">
        <v>1027</v>
      </c>
      <c r="F477" s="27">
        <v>46001</v>
      </c>
      <c r="G477" s="27"/>
      <c r="H477" s="11" t="s">
        <v>259</v>
      </c>
      <c r="I477" s="11"/>
      <c r="J477" s="55" t="s">
        <v>1389</v>
      </c>
      <c r="K477" s="14" t="s">
        <v>1023</v>
      </c>
      <c r="L477" s="15" t="s">
        <v>27</v>
      </c>
      <c r="M477" s="29" t="s">
        <v>1120</v>
      </c>
      <c r="N477" s="57">
        <v>46271</v>
      </c>
      <c r="O477" s="15">
        <f>NETWORKDAYS.INTL(WFTracker[[#This Row],[Start date]],WFTracker[[#This Row],[RM]],1,Holidays!D595:D610)</f>
        <v>37</v>
      </c>
      <c r="P477" s="12">
        <v>45951</v>
      </c>
      <c r="Q477" s="12">
        <v>45961</v>
      </c>
      <c r="R477" s="12">
        <v>45966</v>
      </c>
      <c r="S477" s="12" t="b">
        <f>ISBLANK(WFTracker[[#This Row],[Completion Date]])</f>
        <v>0</v>
      </c>
      <c r="T477" s="12" t="str">
        <f>TEXT(WFTracker[[#This Row],[Start date]],"mmm-yyyy")</f>
        <v>Oct-2025</v>
      </c>
      <c r="U477" s="11">
        <v>10</v>
      </c>
      <c r="V477" s="11">
        <f>NETWORKDAYS.INTL(WFTracker[[#This Row],[Start date]],WFTracker[[#This Row],[Due date]],1,Holidays!D595:D610)</f>
        <v>9</v>
      </c>
      <c r="W4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77" s="24">
        <f ca="1">WFTracker[[#This Row],[Active Time]]-WFTracker[[#This Row],[Completion Days Template]]</f>
        <v>2</v>
      </c>
      <c r="Y477" s="16" t="str">
        <f ca="1" xml:space="preserve"> IF(WFTracker[[#This Row],[Overdue Time '[Expected-Completion']]]&gt;0, "LATE","ON TIME")</f>
        <v>LATE</v>
      </c>
      <c r="Z477" s="16" t="str">
        <f ca="1">IF(WFTracker[[#This Row],[Overdue Time '[Expected-Completion']]] &gt;= 15, "SUPER LATE", Y477)</f>
        <v>LATE</v>
      </c>
      <c r="AA477" s="37" t="str">
        <f>IF(WFTracker[[#This Row],[Pre RM Opening Time]]&lt;WFTracker[[#This Row],[Old vs New Order Lead Time WF dead line]], "LATE BY ENG", "ON TIME BY ENG")</f>
        <v>ON TIME BY ENG</v>
      </c>
      <c r="AB477" s="37"/>
      <c r="AC477" s="15" t="str">
        <f>IF(WFTracker[[#This Row],[Competion Date Content]] = FALSE, "C", "i")</f>
        <v>C</v>
      </c>
      <c r="AD4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477" s="37" t="str">
        <f ca="1">IF(WFTracker[[#This Row],[Impact Time Post RM]]&gt;0, "IMPACTED", "NOT IMPACTED")</f>
        <v>NOT IMPACTED</v>
      </c>
      <c r="AF477" s="15"/>
      <c r="AG477" s="18"/>
      <c r="AH477" s="14" t="str">
        <f>IF(WFTracker[[#This Row],[Status]]="C", "Closed", IF(WFTracker[[#This Row],[Status]] = "x", "Cancelled", WFTracker[[#This Row],[Impact Time Post RM]]))</f>
        <v>Closed</v>
      </c>
      <c r="AI477" s="14" t="str">
        <f ca="1">IF(WFTracker[[#This Row],[Impact Time Post RM]]&lt;=0,"ON TIME","LATE")</f>
        <v>ON TIME</v>
      </c>
      <c r="AJ477" s="14" t="s">
        <v>984</v>
      </c>
      <c r="AK477" s="14">
        <v>18</v>
      </c>
      <c r="AL477" s="915">
        <f>IF(WFTracker[[#This Row],[Type]]="MAKE", WFTracker[[#This Row],[Due date]]+Filters!$J$111, WFTracker[[#This Row],[Due date]]+Filters!$J$135)</f>
        <v>45964.072512647552</v>
      </c>
      <c r="AM477" s="102" cm="1">
        <f t="array" ref="AM4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8" spans="1:39" ht="15" customHeight="1">
      <c r="A478" t="str">
        <f>IF(WFTracker[[#This Row],[Order Number]]="SWBD", "QED2", "PZ4")</f>
        <v>PZ4</v>
      </c>
      <c r="B478" s="21" t="s">
        <v>333</v>
      </c>
      <c r="C478" s="903" t="s">
        <v>219</v>
      </c>
      <c r="D478" s="23" t="str">
        <f>WFTracker[[#This Row],[Order Number]]  &amp; "-" &amp; WFTracker[[#This Row],[Item]]</f>
        <v>0051283748-000120</v>
      </c>
      <c r="E478" s="23" t="s">
        <v>334</v>
      </c>
      <c r="F478" s="27">
        <v>45856</v>
      </c>
      <c r="G478" s="27"/>
      <c r="H478" s="11" t="s">
        <v>1390</v>
      </c>
      <c r="I478" s="11"/>
      <c r="J478" s="108" t="s">
        <v>1391</v>
      </c>
      <c r="K478" s="14" t="s">
        <v>1023</v>
      </c>
      <c r="L478" s="15" t="s">
        <v>40</v>
      </c>
      <c r="M478" s="29" t="s">
        <v>1120</v>
      </c>
      <c r="N478" s="57">
        <v>45879</v>
      </c>
      <c r="O478" s="15">
        <f>NETWORKDAYS.INTL(WFTracker[[#This Row],[Start date]],WFTracker[[#This Row],[RM]],1,Holidays!D596:D611)</f>
        <v>-69</v>
      </c>
      <c r="P478" s="12">
        <v>45952</v>
      </c>
      <c r="Q478" s="12">
        <v>45964</v>
      </c>
      <c r="R478" s="12">
        <v>45964</v>
      </c>
      <c r="S478" s="12" t="b">
        <f>ISBLANK(WFTracker[[#This Row],[Completion Date]])</f>
        <v>0</v>
      </c>
      <c r="T478" s="12" t="str">
        <f>TEXT(WFTracker[[#This Row],[Start date]],"mmm-yyyy")</f>
        <v>Oct-2025</v>
      </c>
      <c r="U478" s="11">
        <v>10</v>
      </c>
      <c r="V478" s="11">
        <f>NETWORKDAYS.INTL(WFTracker[[#This Row],[Start date]],WFTracker[[#This Row],[Due date]],1,Holidays!D596:D611)</f>
        <v>9</v>
      </c>
      <c r="W4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78" s="24">
        <f ca="1">WFTracker[[#This Row],[Active Time]]-WFTracker[[#This Row],[Completion Days Template]]</f>
        <v>-1</v>
      </c>
      <c r="Y478" s="16" t="str">
        <f ca="1" xml:space="preserve"> IF(WFTracker[[#This Row],[Overdue Time '[Expected-Completion']]]&gt;0, "LATE","ON TIME")</f>
        <v>ON TIME</v>
      </c>
      <c r="Z478" s="16" t="str">
        <f ca="1">IF(WFTracker[[#This Row],[Overdue Time '[Expected-Completion']]] &gt;= 15, "SUPER LATE", Y478)</f>
        <v>ON TIME</v>
      </c>
      <c r="AA478" s="37" t="str">
        <f>IF(WFTracker[[#This Row],[Pre RM Opening Time]]&lt;WFTracker[[#This Row],[Old vs New Order Lead Time WF dead line]], "LATE BY ENG", "ON TIME BY ENG")</f>
        <v>LATE BY ENG</v>
      </c>
      <c r="AB478" s="37" t="s">
        <v>1376</v>
      </c>
      <c r="AC478" s="15" t="str">
        <f>IF(WFTracker[[#This Row],[Competion Date Content]] = FALSE, "C", "i")</f>
        <v>C</v>
      </c>
      <c r="AD4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75</v>
      </c>
      <c r="AE478" s="37" t="str">
        <f ca="1">IF(WFTracker[[#This Row],[Impact Time Post RM]]&gt;0, "IMPACTED", "NOT IMPACTED")</f>
        <v>IMPACTED</v>
      </c>
      <c r="AF478" s="15"/>
      <c r="AG478" s="18"/>
      <c r="AH478" s="14" t="str">
        <f>IF(WFTracker[[#This Row],[Status]]="C", "Closed", IF(WFTracker[[#This Row],[Status]] = "x", "Cancelled", WFTracker[[#This Row],[Impact Time Post RM]]))</f>
        <v>Closed</v>
      </c>
      <c r="AI478" s="14" t="str">
        <f ca="1">IF(WFTracker[[#This Row],[Impact Time Post RM]]&lt;=0,"ON TIME","LATE")</f>
        <v>LATE</v>
      </c>
      <c r="AJ478" s="14" t="s">
        <v>984</v>
      </c>
      <c r="AK478" s="14">
        <v>17</v>
      </c>
      <c r="AL478" s="915">
        <f>IF(WFTracker[[#This Row],[Type]]="MAKE", WFTracker[[#This Row],[Due date]]+Filters!$J$111, WFTracker[[#This Row],[Due date]]+Filters!$J$135)</f>
        <v>45964.415686274508</v>
      </c>
      <c r="AM478" s="102" cm="1">
        <f t="array" ref="AM47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79" spans="1:39" ht="15" customHeight="1">
      <c r="A479" t="str">
        <f>IF(WFTracker[[#This Row],[Order Number]]="SWBD", "QED2", "PZ4")</f>
        <v>PZ4</v>
      </c>
      <c r="B479" s="21" t="s">
        <v>365</v>
      </c>
      <c r="C479" s="26" t="s">
        <v>612</v>
      </c>
      <c r="D479" s="23" t="str">
        <f>WFTracker[[#This Row],[Order Number]]  &amp; "-" &amp; WFTracker[[#This Row],[Item]]</f>
        <v>0050728484-018580</v>
      </c>
      <c r="E479" s="23" t="s">
        <v>613</v>
      </c>
      <c r="F479" s="27">
        <v>45982</v>
      </c>
      <c r="G479" s="27"/>
      <c r="H479" s="11" t="s">
        <v>110</v>
      </c>
      <c r="I479" s="11" t="s">
        <v>1392</v>
      </c>
      <c r="J479" s="55" t="s">
        <v>614</v>
      </c>
      <c r="K479" s="14" t="s">
        <v>1017</v>
      </c>
      <c r="L479" s="15" t="s">
        <v>27</v>
      </c>
      <c r="M479" s="29" t="s">
        <v>1120</v>
      </c>
      <c r="N479" s="57">
        <v>46051</v>
      </c>
      <c r="O479" s="15">
        <f>NETWORKDAYS.INTL(WFTracker[[#This Row],[Start date]],WFTracker[[#This Row],[RM]],1,Holidays!D498:D513)</f>
        <v>23</v>
      </c>
      <c r="P479" s="12">
        <v>45952</v>
      </c>
      <c r="Q479" s="12">
        <v>45960</v>
      </c>
      <c r="R479" s="12">
        <v>45959</v>
      </c>
      <c r="S479" s="12" t="b">
        <f>ISBLANK(WFTracker[[#This Row],[Completion Date]])</f>
        <v>0</v>
      </c>
      <c r="T479" s="12" t="str">
        <f>TEXT(WFTracker[[#This Row],[Start date]],"mmm-yyyy")</f>
        <v>Oct-2025</v>
      </c>
      <c r="U479" s="11">
        <v>10</v>
      </c>
      <c r="V479" s="11">
        <f>NETWORKDAYS.INTL(WFTracker[[#This Row],[Start date]],WFTracker[[#This Row],[Due date]],1,Holidays!D498:D513)</f>
        <v>7</v>
      </c>
      <c r="W4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79" s="24">
        <f ca="1">WFTracker[[#This Row],[Active Time]]-WFTracker[[#This Row],[Completion Days Template]]</f>
        <v>-1</v>
      </c>
      <c r="Y479" s="16" t="str">
        <f ca="1" xml:space="preserve"> IF(WFTracker[[#This Row],[Overdue Time '[Expected-Completion']]]&gt;0, "LATE","ON TIME")</f>
        <v>ON TIME</v>
      </c>
      <c r="Z479" s="16" t="str">
        <f ca="1">IF(WFTracker[[#This Row],[Overdue Time '[Expected-Completion']]] &gt;= 15, "SUPER LATE", Y479)</f>
        <v>ON TIME</v>
      </c>
      <c r="AA479" s="37" t="str">
        <f>IF(WFTracker[[#This Row],[Pre RM Opening Time]]&lt;WFTracker[[#This Row],[Old vs New Order Lead Time WF dead line]], "LATE BY ENG", "ON TIME BY ENG")</f>
        <v>ON TIME BY ENG</v>
      </c>
      <c r="AB479" s="37"/>
      <c r="AC479" s="15" t="str">
        <f>IF(WFTracker[[#This Row],[Competion Date Content]] = FALSE, "C", "i")</f>
        <v>C</v>
      </c>
      <c r="AD4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479" s="37" t="str">
        <f ca="1">IF(WFTracker[[#This Row],[Impact Time Post RM]]&gt;0, "IMPACTED", "NOT IMPACTED")</f>
        <v>NOT IMPACTED</v>
      </c>
      <c r="AF479" s="15"/>
      <c r="AG479" s="18"/>
      <c r="AH479" s="14" t="str">
        <f>IF(WFTracker[[#This Row],[Status]]="C", "Closed", IF(WFTracker[[#This Row],[Status]] = "x", "Cancelled", WFTracker[[#This Row],[Impact Time Post RM]]))</f>
        <v>Closed</v>
      </c>
      <c r="AI479" s="14" t="str">
        <f ca="1">IF(WFTracker[[#This Row],[Impact Time Post RM]]&lt;=0,"ON TIME","LATE")</f>
        <v>ON TIME</v>
      </c>
      <c r="AJ479" s="14" t="s">
        <v>984</v>
      </c>
      <c r="AK479" s="14">
        <v>18</v>
      </c>
      <c r="AL479" s="915">
        <f>IF(WFTracker[[#This Row],[Type]]="MAKE", WFTracker[[#This Row],[Due date]]+Filters!$J$111, WFTracker[[#This Row],[Due date]]+Filters!$J$135)</f>
        <v>45963.072512647552</v>
      </c>
      <c r="AM479" s="102" cm="1">
        <f t="array" ref="AM4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0" spans="1:39" ht="15" customHeight="1">
      <c r="A480" t="str">
        <f>IF(WFTracker[[#This Row],[Order Number]]="SWBD", "QED2", "PZ4")</f>
        <v>PZ4</v>
      </c>
      <c r="B480" s="21" t="s">
        <v>601</v>
      </c>
      <c r="C480" s="26" t="s">
        <v>102</v>
      </c>
      <c r="D480" s="23" t="s">
        <v>1393</v>
      </c>
      <c r="E480" s="23" t="s">
        <v>602</v>
      </c>
      <c r="F480" s="12">
        <v>45989</v>
      </c>
      <c r="G480" s="12"/>
      <c r="H480" s="11" t="s">
        <v>137</v>
      </c>
      <c r="I480" s="11" t="s">
        <v>238</v>
      </c>
      <c r="J480" s="55" t="s">
        <v>603</v>
      </c>
      <c r="K480" s="14" t="s">
        <v>1017</v>
      </c>
      <c r="L480" s="15" t="s">
        <v>27</v>
      </c>
      <c r="M480" s="29" t="s">
        <v>1120</v>
      </c>
      <c r="N480" s="57">
        <v>46076</v>
      </c>
      <c r="O480" s="15">
        <f>NETWORKDAYS.INTL(WFTracker[[#This Row],[Start date]],WFTracker[[#This Row],[RM]],1,Holidays!D532:D547)</f>
        <v>28</v>
      </c>
      <c r="P480" s="12">
        <v>45952</v>
      </c>
      <c r="Q480" s="12">
        <v>45959</v>
      </c>
      <c r="R480" s="12">
        <v>45958</v>
      </c>
      <c r="S480" s="12" t="b">
        <f>ISBLANK(WFTracker[[#This Row],[Completion Date]])</f>
        <v>0</v>
      </c>
      <c r="T480" s="12" t="str">
        <f>TEXT(WFTracker[[#This Row],[Start date]],"mmm-yyyy")</f>
        <v>Oct-2025</v>
      </c>
      <c r="U480" s="11">
        <v>10</v>
      </c>
      <c r="V480" s="11">
        <f>NETWORKDAYS.INTL(WFTracker[[#This Row],[Start date]],WFTracker[[#This Row],[Due date]],1,Holidays!D532:D547)</f>
        <v>6</v>
      </c>
      <c r="W4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480" s="24">
        <f ca="1">WFTracker[[#This Row],[Active Time]]-WFTracker[[#This Row],[Completion Days Template]]</f>
        <v>-1</v>
      </c>
      <c r="Y480" s="16" t="str">
        <f ca="1" xml:space="preserve"> IF(WFTracker[[#This Row],[Overdue Time '[Expected-Completion']]]&gt;0, "LATE","ON TIME")</f>
        <v>ON TIME</v>
      </c>
      <c r="Z480" s="16" t="str">
        <f ca="1">IF(WFTracker[[#This Row],[Overdue Time '[Expected-Completion']]] &gt;= 15, "SUPER LATE", Y480)</f>
        <v>ON TIME</v>
      </c>
      <c r="AA480" s="37" t="str">
        <f>IF(WFTracker[[#This Row],[Pre RM Opening Time]]&lt;WFTracker[[#This Row],[Old vs New Order Lead Time WF dead line]], "LATE BY ENG", "ON TIME BY ENG")</f>
        <v>ON TIME BY ENG</v>
      </c>
      <c r="AB480" s="37"/>
      <c r="AC480" s="15" t="str">
        <f>IF(WFTracker[[#This Row],[Competion Date Content]] = FALSE, "C", "i")</f>
        <v>C</v>
      </c>
      <c r="AD4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480" s="37" t="str">
        <f ca="1">IF(WFTracker[[#This Row],[Impact Time Post RM]]&gt;0, "IMPACTED", "NOT IMPACTED")</f>
        <v>NOT IMPACTED</v>
      </c>
      <c r="AF480" s="15"/>
      <c r="AG480" s="18"/>
      <c r="AH480" s="14" t="str">
        <f>IF(WFTracker[[#This Row],[Status]]="C", "Closed", IF(WFTracker[[#This Row],[Status]] = "x", "Cancelled", WFTracker[[#This Row],[Impact Time Post RM]]))</f>
        <v>Closed</v>
      </c>
      <c r="AI480" s="14" t="str">
        <f ca="1">IF(WFTracker[[#This Row],[Impact Time Post RM]]&lt;=0,"ON TIME","LATE")</f>
        <v>ON TIME</v>
      </c>
      <c r="AJ480" s="14" t="s">
        <v>984</v>
      </c>
      <c r="AK480" s="14">
        <v>18</v>
      </c>
      <c r="AL480" s="915">
        <f>IF(WFTracker[[#This Row],[Type]]="MAKE", WFTracker[[#This Row],[Due date]]+Filters!$J$111, WFTracker[[#This Row],[Due date]]+Filters!$J$135)</f>
        <v>45962.072512647552</v>
      </c>
      <c r="AM480" s="102" cm="1">
        <f t="array" ref="AM4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1" spans="1:39" ht="15" customHeight="1">
      <c r="A481" t="str">
        <f>IF(WFTracker[[#This Row],[Order Number]]="SWBD", "QED2", "PZ4")</f>
        <v>PZ4</v>
      </c>
      <c r="B481" s="21" t="s">
        <v>234</v>
      </c>
      <c r="C481" s="26" t="s">
        <v>240</v>
      </c>
      <c r="D481" s="23" t="str">
        <f>WFTracker[[#This Row],[Order Number]]  &amp; "-" &amp; WFTracker[[#This Row],[Item]]</f>
        <v>0050545482-001630</v>
      </c>
      <c r="E481" s="23" t="s">
        <v>236</v>
      </c>
      <c r="F481" s="27">
        <v>45812</v>
      </c>
      <c r="G481" s="27"/>
      <c r="H481" s="11" t="s">
        <v>237</v>
      </c>
      <c r="I481" s="11" t="s">
        <v>186</v>
      </c>
      <c r="J481" s="55" t="s">
        <v>1394</v>
      </c>
      <c r="K481" s="14" t="s">
        <v>1017</v>
      </c>
      <c r="L481" s="15" t="s">
        <v>27</v>
      </c>
      <c r="M481" s="29" t="s">
        <v>1120</v>
      </c>
      <c r="N481" s="21" t="s">
        <v>1395</v>
      </c>
      <c r="O481" s="15">
        <f>NETWORKDAYS.INTL(WFTracker[[#This Row],[Start date]],WFTracker[[#This Row],[RM]],1,Holidays!D5:D20)</f>
        <v>-101</v>
      </c>
      <c r="P481" s="12">
        <v>45953</v>
      </c>
      <c r="Q481" s="12">
        <v>45961</v>
      </c>
      <c r="R481" s="12">
        <v>45957</v>
      </c>
      <c r="S481" s="12" t="b">
        <f>ISBLANK(WFTracker[[#This Row],[Completion Date]])</f>
        <v>0</v>
      </c>
      <c r="T481" s="12" t="str">
        <f>TEXT(WFTracker[[#This Row],[Start date]],"mmm-yyyy")</f>
        <v>Oct-2025</v>
      </c>
      <c r="U481" s="11">
        <v>10</v>
      </c>
      <c r="V481" s="11">
        <f>NETWORKDAYS.INTL(WFTracker[[#This Row],[Start date]],WFTracker[[#This Row],[Due date]],1,Holidays!D5:D20)</f>
        <v>6</v>
      </c>
      <c r="W4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81" s="24">
        <f ca="1">WFTracker[[#This Row],[Active Time]]-WFTracker[[#This Row],[Completion Days Template]]</f>
        <v>-3</v>
      </c>
      <c r="Y481" s="16" t="str">
        <f ca="1" xml:space="preserve"> IF(WFTracker[[#This Row],[Overdue Time '[Expected-Completion']]]&gt;0, "LATE","ON TIME")</f>
        <v>ON TIME</v>
      </c>
      <c r="Z481" s="16" t="str">
        <f ca="1">IF(WFTracker[[#This Row],[Overdue Time '[Expected-Completion']]] &gt;= 15, "SUPER LATE", Y481)</f>
        <v>ON TIME</v>
      </c>
      <c r="AA481" s="37" t="str">
        <f>IF(WFTracker[[#This Row],[Pre RM Opening Time]]&lt;WFTracker[[#This Row],[Old vs New Order Lead Time WF dead line]], "LATE BY ENG", "ON TIME BY ENG")</f>
        <v>LATE BY ENG</v>
      </c>
      <c r="AB481" s="37"/>
      <c r="AC481" s="15" t="str">
        <f>IF(WFTracker[[#This Row],[Competion Date Content]] = FALSE, "C", "i")</f>
        <v>C</v>
      </c>
      <c r="AD4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103</v>
      </c>
      <c r="AE481" s="37" t="str">
        <f ca="1">IF(WFTracker[[#This Row],[Impact Time Post RM]]&gt;0, "IMPACTED", "NOT IMPACTED")</f>
        <v>IMPACTED</v>
      </c>
      <c r="AF481" s="15"/>
      <c r="AG481" s="18"/>
      <c r="AH481" s="14" t="str">
        <f>IF(WFTracker[[#This Row],[Status]]="C", "Closed", IF(WFTracker[[#This Row],[Status]] = "x", "Cancelled", WFTracker[[#This Row],[Impact Time Post RM]]))</f>
        <v>Closed</v>
      </c>
      <c r="AI481" s="14" t="str">
        <f ca="1">IF(WFTracker[[#This Row],[Impact Time Post RM]]&lt;=0,"ON TIME","LATE")</f>
        <v>LATE</v>
      </c>
      <c r="AJ481" s="14" t="s">
        <v>984</v>
      </c>
      <c r="AK481" s="14">
        <v>18</v>
      </c>
      <c r="AL481" s="915">
        <f>IF(WFTracker[[#This Row],[Type]]="MAKE", WFTracker[[#This Row],[Due date]]+Filters!$J$111, WFTracker[[#This Row],[Due date]]+Filters!$J$135)</f>
        <v>45964.072512647552</v>
      </c>
      <c r="AM481" s="102" cm="1">
        <f t="array" ref="AM4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2" spans="1:39" ht="15" customHeight="1">
      <c r="A482" t="str">
        <f>IF(WFTracker[[#This Row],[Order Number]]="SWBD", "QED2", "PZ4")</f>
        <v>PZ4</v>
      </c>
      <c r="B482" s="21" t="s">
        <v>1297</v>
      </c>
      <c r="C482" s="26" t="s">
        <v>1298</v>
      </c>
      <c r="D482" s="23" t="str">
        <f>WFTracker[[#This Row],[Order Number]]  &amp; "-" &amp; WFTracker[[#This Row],[Item]]</f>
        <v>051576246-000020&amp;30&amp;40&amp;50&amp;60</v>
      </c>
      <c r="E482" s="23" t="s">
        <v>551</v>
      </c>
      <c r="F482" s="27">
        <v>45954</v>
      </c>
      <c r="G482" s="27"/>
      <c r="H482" s="11" t="s">
        <v>80</v>
      </c>
      <c r="I482" s="11" t="s">
        <v>1154</v>
      </c>
      <c r="J482" s="55" t="s">
        <v>1396</v>
      </c>
      <c r="K482" s="14" t="s">
        <v>1023</v>
      </c>
      <c r="L482" s="15" t="s">
        <v>27</v>
      </c>
      <c r="M482" s="29" t="s">
        <v>1120</v>
      </c>
      <c r="N482" s="57">
        <v>46030</v>
      </c>
      <c r="O482" s="15">
        <f>NETWORKDAYS.INTL(WFTracker[[#This Row],[Start date]],WFTracker[[#This Row],[RM]],1,Holidays!D73:D88)</f>
        <v>2</v>
      </c>
      <c r="P482" s="12">
        <v>45953</v>
      </c>
      <c r="Q482" s="12">
        <v>45961</v>
      </c>
      <c r="R482" s="12">
        <v>45957</v>
      </c>
      <c r="S482" s="12" t="b">
        <f>ISBLANK(WFTracker[[#This Row],[Completion Date]])</f>
        <v>0</v>
      </c>
      <c r="T482" s="12" t="str">
        <f>TEXT(WFTracker[[#This Row],[Start date]],"mmm-yyyy")</f>
        <v>Oct-2025</v>
      </c>
      <c r="U482" s="11">
        <v>10</v>
      </c>
      <c r="V482" s="11">
        <f>NETWORKDAYS.INTL(WFTracker[[#This Row],[Start date]],WFTracker[[#This Row],[Due date]],1,Holidays!D73:D88)</f>
        <v>7</v>
      </c>
      <c r="W4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482" s="24">
        <f ca="1">WFTracker[[#This Row],[Active Time]]-WFTracker[[#This Row],[Completion Days Template]]</f>
        <v>-4</v>
      </c>
      <c r="Y482" s="16" t="str">
        <f ca="1" xml:space="preserve"> IF(WFTracker[[#This Row],[Overdue Time '[Expected-Completion']]]&gt;0, "LATE","ON TIME")</f>
        <v>ON TIME</v>
      </c>
      <c r="Z482" s="16" t="str">
        <f ca="1">IF(WFTracker[[#This Row],[Overdue Time '[Expected-Completion']]] &gt;= 15, "SUPER LATE", Y482)</f>
        <v>ON TIME</v>
      </c>
      <c r="AA482" s="37" t="str">
        <f>IF(WFTracker[[#This Row],[Pre RM Opening Time]]&lt;WFTracker[[#This Row],[Old vs New Order Lead Time WF dead line]], "LATE BY ENG", "ON TIME BY ENG")</f>
        <v>LATE BY ENG</v>
      </c>
      <c r="AB482" s="37" t="s">
        <v>1397</v>
      </c>
      <c r="AC482" s="15" t="str">
        <f>IF(WFTracker[[#This Row],[Competion Date Content]] = FALSE, "C", "i")</f>
        <v>C</v>
      </c>
      <c r="AD4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482" s="37" t="str">
        <f ca="1">IF(WFTracker[[#This Row],[Impact Time Post RM]]&gt;0, "IMPACTED", "NOT IMPACTED")</f>
        <v>IMPACTED</v>
      </c>
      <c r="AF482" s="15"/>
      <c r="AG482" s="18"/>
      <c r="AH482" s="14" t="str">
        <f>IF(WFTracker[[#This Row],[Status]]="C", "Closed", IF(WFTracker[[#This Row],[Status]] = "x", "Cancelled", WFTracker[[#This Row],[Impact Time Post RM]]))</f>
        <v>Closed</v>
      </c>
      <c r="AI482" s="14" t="str">
        <f ca="1">IF(WFTracker[[#This Row],[Impact Time Post RM]]&lt;=0,"ON TIME","LATE")</f>
        <v>LATE</v>
      </c>
      <c r="AJ482" s="14" t="s">
        <v>984</v>
      </c>
      <c r="AK482" s="14">
        <v>18</v>
      </c>
      <c r="AL482" s="915">
        <f>IF(WFTracker[[#This Row],[Type]]="MAKE", WFTracker[[#This Row],[Due date]]+Filters!$J$111, WFTracker[[#This Row],[Due date]]+Filters!$J$135)</f>
        <v>45964.072512647552</v>
      </c>
      <c r="AM482" s="102" cm="1">
        <f t="array" ref="AM4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3" spans="1:39" ht="15" customHeight="1">
      <c r="A483" t="str">
        <f>IF(WFTracker[[#This Row],[Order Number]]="SWBD", "QED2", "PZ4")</f>
        <v>PZ4</v>
      </c>
      <c r="B483" s="21" t="s">
        <v>1398</v>
      </c>
      <c r="C483" s="26" t="s">
        <v>135</v>
      </c>
      <c r="D483" s="23" t="str">
        <f>WFTracker[[#This Row],[Order Number]]  &amp; "-" &amp; WFTracker[[#This Row],[Item]]</f>
        <v>0011892449-000010</v>
      </c>
      <c r="E483" s="23" t="s">
        <v>1022</v>
      </c>
      <c r="F483" s="27">
        <v>45971</v>
      </c>
      <c r="G483" s="27"/>
      <c r="H483" s="11" t="s">
        <v>947</v>
      </c>
      <c r="I483" s="11" t="s">
        <v>111</v>
      </c>
      <c r="J483" s="108" t="s">
        <v>598</v>
      </c>
      <c r="K483" s="14" t="s">
        <v>1017</v>
      </c>
      <c r="L483" s="15" t="s">
        <v>27</v>
      </c>
      <c r="M483" s="29" t="s">
        <v>1123</v>
      </c>
      <c r="N483" s="27">
        <v>45971</v>
      </c>
      <c r="O483" s="15">
        <f>NETWORKDAYS.INTL(WFTracker[[#This Row],[Start date]],WFTracker[[#This Row],[RM]],1,Holidays!D298:D313)</f>
        <v>13</v>
      </c>
      <c r="P483" s="12">
        <v>45953</v>
      </c>
      <c r="Q483" s="12">
        <v>45961</v>
      </c>
      <c r="R483" s="12">
        <v>45958</v>
      </c>
      <c r="S483" s="12" t="b">
        <f>ISBLANK(WFTracker[[#This Row],[Completion Date]])</f>
        <v>0</v>
      </c>
      <c r="T483" s="12" t="str">
        <f>TEXT(WFTracker[[#This Row],[Start date]],"mmm-yyyy")</f>
        <v>Oct-2025</v>
      </c>
      <c r="U483" s="11">
        <v>10</v>
      </c>
      <c r="V483" s="11">
        <f>NETWORKDAYS.INTL(WFTracker[[#This Row],[Start date]],WFTracker[[#This Row],[Due date]],1,Holidays!D298:D313)</f>
        <v>7</v>
      </c>
      <c r="W4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83" s="24">
        <f ca="1">WFTracker[[#This Row],[Active Time]]-WFTracker[[#This Row],[Completion Days Template]]</f>
        <v>-3</v>
      </c>
      <c r="Y483" s="16" t="str">
        <f ca="1" xml:space="preserve"> IF(WFTracker[[#This Row],[Overdue Time '[Expected-Completion']]]&gt;0, "LATE","ON TIME")</f>
        <v>ON TIME</v>
      </c>
      <c r="Z483" s="16" t="str">
        <f ca="1">IF(WFTracker[[#This Row],[Overdue Time '[Expected-Completion']]] &gt;= 15, "SUPER LATE", Y483)</f>
        <v>ON TIME</v>
      </c>
      <c r="AA483" s="37" t="str">
        <f>IF(WFTracker[[#This Row],[Pre RM Opening Time]]&lt;WFTracker[[#This Row],[Old vs New Order Lead Time WF dead line]], "LATE BY ENG", "ON TIME BY ENG")</f>
        <v>ON TIME BY ENG</v>
      </c>
      <c r="AB483" s="37"/>
      <c r="AC483" s="15" t="str">
        <f>IF(WFTracker[[#This Row],[Competion Date Content]] = FALSE, "C", "i")</f>
        <v>C</v>
      </c>
      <c r="AD4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83" s="37" t="str">
        <f ca="1">IF(WFTracker[[#This Row],[Impact Time Post RM]]&gt;0, "IMPACTED", "NOT IMPACTED")</f>
        <v>NOT IMPACTED</v>
      </c>
      <c r="AF483" s="15"/>
      <c r="AG483" s="18"/>
      <c r="AH483" s="14" t="str">
        <f>IF(WFTracker[[#This Row],[Status]]="C", "Closed", IF(WFTracker[[#This Row],[Status]] = "x", "Cancelled", WFTracker[[#This Row],[Impact Time Post RM]]))</f>
        <v>Closed</v>
      </c>
      <c r="AI483" s="14" t="str">
        <f ca="1">IF(WFTracker[[#This Row],[Impact Time Post RM]]&lt;=0,"ON TIME","LATE")</f>
        <v>ON TIME</v>
      </c>
      <c r="AJ483" s="14" t="s">
        <v>984</v>
      </c>
      <c r="AK483" s="14">
        <v>18</v>
      </c>
      <c r="AL483" s="915">
        <f>IF(WFTracker[[#This Row],[Type]]="MAKE", WFTracker[[#This Row],[Due date]]+Filters!$J$111, WFTracker[[#This Row],[Due date]]+Filters!$J$135)</f>
        <v>45964.072512647552</v>
      </c>
      <c r="AM483" s="102" cm="1">
        <f t="array" ref="AM4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4" spans="1:39" ht="15" customHeight="1">
      <c r="A484" t="str">
        <f>IF(WFTracker[[#This Row],[Order Number]]="SWBD", "QED2", "PZ4")</f>
        <v>PZ4</v>
      </c>
      <c r="B484" s="21" t="s">
        <v>826</v>
      </c>
      <c r="C484" s="26" t="s">
        <v>1399</v>
      </c>
      <c r="D484" s="23" t="str">
        <f>WFTracker[[#This Row],[Order Number]]  &amp; "-" &amp; WFTracker[[#This Row],[Item]]</f>
        <v>0050384250-001230&amp;1260</v>
      </c>
      <c r="E484" s="23" t="s">
        <v>1027</v>
      </c>
      <c r="F484" s="27">
        <v>46001</v>
      </c>
      <c r="G484" s="27"/>
      <c r="H484" s="11" t="s">
        <v>1390</v>
      </c>
      <c r="I484" s="11"/>
      <c r="J484" s="55" t="s">
        <v>1400</v>
      </c>
      <c r="K484" s="14" t="s">
        <v>1023</v>
      </c>
      <c r="L484" s="15" t="s">
        <v>27</v>
      </c>
      <c r="M484" s="29" t="s">
        <v>1120</v>
      </c>
      <c r="N484" s="57">
        <v>46271</v>
      </c>
      <c r="O484" s="15">
        <f>NETWORKDAYS.INTL(WFTracker[[#This Row],[Start date]],WFTracker[[#This Row],[RM]],1,Holidays!D585:D600)</f>
        <v>35</v>
      </c>
      <c r="P484" s="12">
        <v>45953</v>
      </c>
      <c r="Q484" s="12">
        <v>45960</v>
      </c>
      <c r="R484" s="12">
        <v>45966</v>
      </c>
      <c r="S484" s="12" t="b">
        <f>ISBLANK(WFTracker[[#This Row],[Completion Date]])</f>
        <v>0</v>
      </c>
      <c r="T484" s="12" t="str">
        <f>TEXT(WFTracker[[#This Row],[Start date]],"mmm-yyyy")</f>
        <v>Oct-2025</v>
      </c>
      <c r="U484" s="11">
        <v>10</v>
      </c>
      <c r="V484" s="11">
        <f>NETWORKDAYS.INTL(WFTracker[[#This Row],[Start date]],WFTracker[[#This Row],[Due date]],1,Holidays!D585:D600)</f>
        <v>6</v>
      </c>
      <c r="W4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84" s="24">
        <f ca="1">WFTracker[[#This Row],[Active Time]]-WFTracker[[#This Row],[Completion Days Template]]</f>
        <v>3</v>
      </c>
      <c r="Y484" s="16" t="str">
        <f ca="1" xml:space="preserve"> IF(WFTracker[[#This Row],[Overdue Time '[Expected-Completion']]]&gt;0, "LATE","ON TIME")</f>
        <v>LATE</v>
      </c>
      <c r="Z484" s="16" t="str">
        <f ca="1">IF(WFTracker[[#This Row],[Overdue Time '[Expected-Completion']]] &gt;= 15, "SUPER LATE", Y484)</f>
        <v>LATE</v>
      </c>
      <c r="AA484" s="37" t="str">
        <f>IF(WFTracker[[#This Row],[Pre RM Opening Time]]&lt;WFTracker[[#This Row],[Old vs New Order Lead Time WF dead line]], "LATE BY ENG", "ON TIME BY ENG")</f>
        <v>ON TIME BY ENG</v>
      </c>
      <c r="AB484" s="37"/>
      <c r="AC484" s="15" t="str">
        <f>IF(WFTracker[[#This Row],[Competion Date Content]] = FALSE, "C", "i")</f>
        <v>C</v>
      </c>
      <c r="AD4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484" s="37" t="str">
        <f ca="1">IF(WFTracker[[#This Row],[Impact Time Post RM]]&gt;0, "IMPACTED", "NOT IMPACTED")</f>
        <v>NOT IMPACTED</v>
      </c>
      <c r="AF484" s="15"/>
      <c r="AG484" s="18"/>
      <c r="AH484" s="14" t="str">
        <f>IF(WFTracker[[#This Row],[Status]]="C", "Closed", IF(WFTracker[[#This Row],[Status]] = "x", "Cancelled", WFTracker[[#This Row],[Impact Time Post RM]]))</f>
        <v>Closed</v>
      </c>
      <c r="AI484" s="14" t="str">
        <f ca="1">IF(WFTracker[[#This Row],[Impact Time Post RM]]&lt;=0,"ON TIME","LATE")</f>
        <v>ON TIME</v>
      </c>
      <c r="AJ484" s="14" t="s">
        <v>984</v>
      </c>
      <c r="AK484" s="14">
        <v>18</v>
      </c>
      <c r="AL484" s="915">
        <f>IF(WFTracker[[#This Row],[Type]]="MAKE", WFTracker[[#This Row],[Due date]]+Filters!$J$111, WFTracker[[#This Row],[Due date]]+Filters!$J$135)</f>
        <v>45963.072512647552</v>
      </c>
      <c r="AM484" s="102" cm="1">
        <f t="array" ref="AM4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5" spans="1:39" ht="15" customHeight="1">
      <c r="A485" t="str">
        <f>IF(WFTracker[[#This Row],[Order Number]]="SWBD", "QED2", "PZ4")</f>
        <v>PZ4</v>
      </c>
      <c r="B485" s="21" t="s">
        <v>826</v>
      </c>
      <c r="C485" s="26" t="s">
        <v>1399</v>
      </c>
      <c r="D485" s="23" t="s">
        <v>1401</v>
      </c>
      <c r="E485" s="23" t="s">
        <v>1027</v>
      </c>
      <c r="F485" s="27">
        <v>46001</v>
      </c>
      <c r="G485" s="27"/>
      <c r="H485" s="11" t="s">
        <v>259</v>
      </c>
      <c r="I485" s="11"/>
      <c r="J485" s="55" t="s">
        <v>1402</v>
      </c>
      <c r="K485" s="14" t="s">
        <v>1023</v>
      </c>
      <c r="L485" s="15" t="s">
        <v>27</v>
      </c>
      <c r="M485" s="29" t="s">
        <v>1120</v>
      </c>
      <c r="N485" s="57">
        <v>46271</v>
      </c>
      <c r="O485" s="15">
        <f>NETWORKDAYS.INTL(WFTracker[[#This Row],[Start date]],WFTracker[[#This Row],[RM]],1,Holidays!D586:D601)</f>
        <v>35</v>
      </c>
      <c r="P485" s="12">
        <v>45953</v>
      </c>
      <c r="Q485" s="12">
        <v>45960</v>
      </c>
      <c r="R485" s="12">
        <v>45966</v>
      </c>
      <c r="S485" s="12" t="b">
        <f>ISBLANK(WFTracker[[#This Row],[Completion Date]])</f>
        <v>0</v>
      </c>
      <c r="T485" s="12" t="str">
        <f>TEXT(WFTracker[[#This Row],[Start date]],"mmm-yyyy")</f>
        <v>Oct-2025</v>
      </c>
      <c r="U485" s="11">
        <v>10</v>
      </c>
      <c r="V485" s="11">
        <f>NETWORKDAYS.INTL(WFTracker[[#This Row],[Start date]],WFTracker[[#This Row],[Due date]],1,Holidays!D586:D601)</f>
        <v>6</v>
      </c>
      <c r="W4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85" s="24">
        <f ca="1">WFTracker[[#This Row],[Active Time]]-WFTracker[[#This Row],[Completion Days Template]]</f>
        <v>3</v>
      </c>
      <c r="Y485" s="16" t="str">
        <f ca="1" xml:space="preserve"> IF(WFTracker[[#This Row],[Overdue Time '[Expected-Completion']]]&gt;0, "LATE","ON TIME")</f>
        <v>LATE</v>
      </c>
      <c r="Z485" s="16" t="str">
        <f ca="1">IF(WFTracker[[#This Row],[Overdue Time '[Expected-Completion']]] &gt;= 15, "SUPER LATE", Y485)</f>
        <v>LATE</v>
      </c>
      <c r="AA485" s="37" t="str">
        <f>IF(WFTracker[[#This Row],[Pre RM Opening Time]]&lt;WFTracker[[#This Row],[Old vs New Order Lead Time WF dead line]], "LATE BY ENG", "ON TIME BY ENG")</f>
        <v>ON TIME BY ENG</v>
      </c>
      <c r="AB485" s="37"/>
      <c r="AC485" s="15" t="str">
        <f>IF(WFTracker[[#This Row],[Competion Date Content]] = FALSE, "C", "i")</f>
        <v>C</v>
      </c>
      <c r="AD4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485" s="37" t="str">
        <f ca="1">IF(WFTracker[[#This Row],[Impact Time Post RM]]&gt;0, "IMPACTED", "NOT IMPACTED")</f>
        <v>NOT IMPACTED</v>
      </c>
      <c r="AF485" s="15"/>
      <c r="AG485" s="18"/>
      <c r="AH485" s="14" t="str">
        <f>IF(WFTracker[[#This Row],[Status]]="C", "Closed", IF(WFTracker[[#This Row],[Status]] = "x", "Cancelled", WFTracker[[#This Row],[Impact Time Post RM]]))</f>
        <v>Closed</v>
      </c>
      <c r="AI485" s="14" t="str">
        <f ca="1">IF(WFTracker[[#This Row],[Impact Time Post RM]]&lt;=0,"ON TIME","LATE")</f>
        <v>ON TIME</v>
      </c>
      <c r="AJ485" s="14" t="s">
        <v>984</v>
      </c>
      <c r="AK485" s="14">
        <v>18</v>
      </c>
      <c r="AL485" s="915">
        <f>IF(WFTracker[[#This Row],[Type]]="MAKE", WFTracker[[#This Row],[Due date]]+Filters!$J$111, WFTracker[[#This Row],[Due date]]+Filters!$J$135)</f>
        <v>45963.072512647552</v>
      </c>
      <c r="AM485" s="102" cm="1">
        <f t="array" ref="AM48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6" spans="1:39" ht="15" customHeight="1">
      <c r="A486" t="str">
        <f>IF(WFTracker[[#This Row],[Order Number]]="SWBD", "QED2", "PZ4")</f>
        <v>PZ4</v>
      </c>
      <c r="B486" s="21" t="s">
        <v>826</v>
      </c>
      <c r="C486" s="1000" t="s">
        <v>1403</v>
      </c>
      <c r="D486" s="23" t="str">
        <f>WFTracker[[#This Row],[Order Number]]  &amp; "-" &amp; WFTracker[[#This Row],[Item]]</f>
        <v>0050384250-001240&amp;1250&amp;001270</v>
      </c>
      <c r="E486" s="23" t="s">
        <v>1027</v>
      </c>
      <c r="F486" s="27">
        <v>46001</v>
      </c>
      <c r="G486" s="27"/>
      <c r="H486" s="11" t="s">
        <v>237</v>
      </c>
      <c r="I486" s="11"/>
      <c r="J486" s="55" t="s">
        <v>1404</v>
      </c>
      <c r="K486" s="14" t="s">
        <v>1023</v>
      </c>
      <c r="L486" s="15" t="s">
        <v>27</v>
      </c>
      <c r="M486" s="29" t="s">
        <v>1120</v>
      </c>
      <c r="N486" s="57">
        <v>46203</v>
      </c>
      <c r="O486" s="15">
        <f>NETWORKDAYS.INTL(WFTracker[[#This Row],[Start date]],WFTracker[[#This Row],[RM]],1,Holidays!D587:D602)</f>
        <v>35</v>
      </c>
      <c r="P486" s="12">
        <v>45953</v>
      </c>
      <c r="Q486" s="12">
        <v>45964</v>
      </c>
      <c r="R486" s="12">
        <v>45966</v>
      </c>
      <c r="S486" s="12" t="b">
        <f>ISBLANK(WFTracker[[#This Row],[Completion Date]])</f>
        <v>0</v>
      </c>
      <c r="T486" s="12" t="str">
        <f>TEXT(WFTracker[[#This Row],[Start date]],"mmm-yyyy")</f>
        <v>Oct-2025</v>
      </c>
      <c r="U486" s="11">
        <v>10</v>
      </c>
      <c r="V486" s="11">
        <f>NETWORKDAYS.INTL(WFTracker[[#This Row],[Start date]],WFTracker[[#This Row],[Due date]],1,Holidays!D587:D602)</f>
        <v>8</v>
      </c>
      <c r="W4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486" s="24">
        <f ca="1">WFTracker[[#This Row],[Active Time]]-WFTracker[[#This Row],[Completion Days Template]]</f>
        <v>1</v>
      </c>
      <c r="Y486" s="16" t="str">
        <f ca="1" xml:space="preserve"> IF(WFTracker[[#This Row],[Overdue Time '[Expected-Completion']]]&gt;0, "LATE","ON TIME")</f>
        <v>LATE</v>
      </c>
      <c r="Z486" s="16" t="str">
        <f ca="1">IF(WFTracker[[#This Row],[Overdue Time '[Expected-Completion']]] &gt;= 15, "SUPER LATE", Y486)</f>
        <v>LATE</v>
      </c>
      <c r="AA486" s="37" t="str">
        <f>IF(WFTracker[[#This Row],[Pre RM Opening Time]]&lt;WFTracker[[#This Row],[Old vs New Order Lead Time WF dead line]], "LATE BY ENG", "ON TIME BY ENG")</f>
        <v>ON TIME BY ENG</v>
      </c>
      <c r="AB486" s="37"/>
      <c r="AC486" s="15" t="str">
        <f>IF(WFTracker[[#This Row],[Competion Date Content]] = FALSE, "C", "i")</f>
        <v>C</v>
      </c>
      <c r="AD4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486" s="37" t="str">
        <f ca="1">IF(WFTracker[[#This Row],[Impact Time Post RM]]&gt;0, "IMPACTED", "NOT IMPACTED")</f>
        <v>NOT IMPACTED</v>
      </c>
      <c r="AF486" s="15"/>
      <c r="AG486" s="18"/>
      <c r="AH486" s="14" t="str">
        <f>IF(WFTracker[[#This Row],[Status]]="C", "Closed", IF(WFTracker[[#This Row],[Status]] = "x", "Cancelled", WFTracker[[#This Row],[Impact Time Post RM]]))</f>
        <v>Closed</v>
      </c>
      <c r="AI486" s="14" t="str">
        <f ca="1">IF(WFTracker[[#This Row],[Impact Time Post RM]]&lt;=0,"ON TIME","LATE")</f>
        <v>ON TIME</v>
      </c>
      <c r="AJ486" s="14" t="s">
        <v>984</v>
      </c>
      <c r="AK486" s="14">
        <v>18</v>
      </c>
      <c r="AL486" s="915">
        <f>IF(WFTracker[[#This Row],[Type]]="MAKE", WFTracker[[#This Row],[Due date]]+Filters!$J$111, WFTracker[[#This Row],[Due date]]+Filters!$J$135)</f>
        <v>45967.072512647552</v>
      </c>
      <c r="AM486" s="102" cm="1">
        <f t="array" ref="AM4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7" spans="1:39" ht="15" customHeight="1">
      <c r="A487" t="str">
        <f>IF(WFTracker[[#This Row],[Order Number]]="SWBD", "QED2", "PZ4")</f>
        <v>PZ4</v>
      </c>
      <c r="B487" s="21" t="s">
        <v>826</v>
      </c>
      <c r="C487" s="1000" t="s">
        <v>1403</v>
      </c>
      <c r="D487" s="23" t="str">
        <f>WFTracker[[#This Row],[Order Number]]  &amp; "-" &amp; WFTracker[[#This Row],[Item]]</f>
        <v>0050384250-001240&amp;1250&amp;001270</v>
      </c>
      <c r="E487" s="23" t="s">
        <v>1027</v>
      </c>
      <c r="F487" s="27">
        <v>46001</v>
      </c>
      <c r="G487" s="27"/>
      <c r="H487" s="11" t="s">
        <v>237</v>
      </c>
      <c r="I487" s="11"/>
      <c r="J487" s="55" t="s">
        <v>1405</v>
      </c>
      <c r="K487" s="14" t="s">
        <v>1023</v>
      </c>
      <c r="L487" s="15" t="s">
        <v>27</v>
      </c>
      <c r="M487" s="29" t="s">
        <v>1120</v>
      </c>
      <c r="N487" s="57">
        <v>46203</v>
      </c>
      <c r="O487" s="15">
        <f>NETWORKDAYS.INTL(WFTracker[[#This Row],[Start date]],WFTracker[[#This Row],[RM]],1,Holidays!D588:D603)</f>
        <v>35</v>
      </c>
      <c r="P487" s="12">
        <v>45953</v>
      </c>
      <c r="Q487" s="12">
        <v>45964</v>
      </c>
      <c r="R487" s="12">
        <v>45968</v>
      </c>
      <c r="S487" s="12" t="b">
        <f>ISBLANK(WFTracker[[#This Row],[Completion Date]])</f>
        <v>0</v>
      </c>
      <c r="T487" s="12" t="str">
        <f>TEXT(WFTracker[[#This Row],[Start date]],"mmm-yyyy")</f>
        <v>Oct-2025</v>
      </c>
      <c r="U487" s="11">
        <v>10</v>
      </c>
      <c r="V487" s="11">
        <f>NETWORKDAYS.INTL(WFTracker[[#This Row],[Start date]],WFTracker[[#This Row],[Due date]],1,Holidays!D588:D603)</f>
        <v>8</v>
      </c>
      <c r="W4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87" s="24">
        <f ca="1">WFTracker[[#This Row],[Active Time]]-WFTracker[[#This Row],[Completion Days Template]]</f>
        <v>3</v>
      </c>
      <c r="Y487" s="16" t="str">
        <f ca="1" xml:space="preserve"> IF(WFTracker[[#This Row],[Overdue Time '[Expected-Completion']]]&gt;0, "LATE","ON TIME")</f>
        <v>LATE</v>
      </c>
      <c r="Z487" s="16" t="str">
        <f ca="1">IF(WFTracker[[#This Row],[Overdue Time '[Expected-Completion']]] &gt;= 15, "SUPER LATE", Y487)</f>
        <v>LATE</v>
      </c>
      <c r="AA487" s="37" t="str">
        <f>IF(WFTracker[[#This Row],[Pre RM Opening Time]]&lt;WFTracker[[#This Row],[Old vs New Order Lead Time WF dead line]], "LATE BY ENG", "ON TIME BY ENG")</f>
        <v>ON TIME BY ENG</v>
      </c>
      <c r="AB487" s="37"/>
      <c r="AC487" s="15" t="str">
        <f>IF(WFTracker[[#This Row],[Competion Date Content]] = FALSE, "C", "i")</f>
        <v>C</v>
      </c>
      <c r="AD4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487" s="37" t="str">
        <f ca="1">IF(WFTracker[[#This Row],[Impact Time Post RM]]&gt;0, "IMPACTED", "NOT IMPACTED")</f>
        <v>NOT IMPACTED</v>
      </c>
      <c r="AF487" s="15"/>
      <c r="AG487" s="18"/>
      <c r="AH487" s="14" t="str">
        <f>IF(WFTracker[[#This Row],[Status]]="C", "Closed", IF(WFTracker[[#This Row],[Status]] = "x", "Cancelled", WFTracker[[#This Row],[Impact Time Post RM]]))</f>
        <v>Closed</v>
      </c>
      <c r="AI487" s="14" t="str">
        <f ca="1">IF(WFTracker[[#This Row],[Impact Time Post RM]]&lt;=0,"ON TIME","LATE")</f>
        <v>ON TIME</v>
      </c>
      <c r="AJ487" s="14" t="s">
        <v>984</v>
      </c>
      <c r="AK487" s="14">
        <v>18</v>
      </c>
      <c r="AL487" s="915">
        <f>IF(WFTracker[[#This Row],[Type]]="MAKE", WFTracker[[#This Row],[Due date]]+Filters!$J$111, WFTracker[[#This Row],[Due date]]+Filters!$J$135)</f>
        <v>45967.072512647552</v>
      </c>
      <c r="AM487" s="102" cm="1">
        <f t="array" ref="AM4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8" spans="1:39" ht="15" customHeight="1">
      <c r="A488" t="str">
        <f>IF(WFTracker[[#This Row],[Order Number]]="SWBD", "QED2", "PZ4")</f>
        <v>PZ4</v>
      </c>
      <c r="B488" s="21" t="s">
        <v>826</v>
      </c>
      <c r="C488" s="26" t="s">
        <v>1399</v>
      </c>
      <c r="D488" s="23" t="s">
        <v>1401</v>
      </c>
      <c r="E488" s="23" t="s">
        <v>1027</v>
      </c>
      <c r="F488" s="27">
        <v>46001</v>
      </c>
      <c r="G488" s="27"/>
      <c r="H488" s="11" t="s">
        <v>259</v>
      </c>
      <c r="I488" s="11"/>
      <c r="J488" s="55" t="s">
        <v>1406</v>
      </c>
      <c r="K488" s="14" t="s">
        <v>1023</v>
      </c>
      <c r="L488" s="15" t="s">
        <v>27</v>
      </c>
      <c r="M488" s="29" t="s">
        <v>1120</v>
      </c>
      <c r="N488" s="57">
        <v>46271</v>
      </c>
      <c r="O488" s="15">
        <f>NETWORKDAYS.INTL(WFTracker[[#This Row],[Start date]],WFTracker[[#This Row],[RM]],1,Holidays!D589:D604)</f>
        <v>35</v>
      </c>
      <c r="P488" s="12">
        <v>45953</v>
      </c>
      <c r="Q488" s="12">
        <v>45965</v>
      </c>
      <c r="R488" s="12">
        <v>45968</v>
      </c>
      <c r="S488" s="12" t="b">
        <f>ISBLANK(WFTracker[[#This Row],[Completion Date]])</f>
        <v>0</v>
      </c>
      <c r="T488" s="12" t="str">
        <f>TEXT(WFTracker[[#This Row],[Start date]],"mmm-yyyy")</f>
        <v>Oct-2025</v>
      </c>
      <c r="U488" s="11">
        <v>10</v>
      </c>
      <c r="V488" s="11">
        <f>NETWORKDAYS.INTL(WFTracker[[#This Row],[Start date]],WFTracker[[#This Row],[Due date]],1,Holidays!D589:D604)</f>
        <v>9</v>
      </c>
      <c r="W4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488" s="24">
        <f ca="1">WFTracker[[#This Row],[Active Time]]-WFTracker[[#This Row],[Completion Days Template]]</f>
        <v>2</v>
      </c>
      <c r="Y488" s="16" t="str">
        <f ca="1" xml:space="preserve"> IF(WFTracker[[#This Row],[Overdue Time '[Expected-Completion']]]&gt;0, "LATE","ON TIME")</f>
        <v>LATE</v>
      </c>
      <c r="Z488" s="16" t="str">
        <f ca="1">IF(WFTracker[[#This Row],[Overdue Time '[Expected-Completion']]] &gt;= 15, "SUPER LATE", Y488)</f>
        <v>LATE</v>
      </c>
      <c r="AA488" s="37" t="str">
        <f>IF(WFTracker[[#This Row],[Pre RM Opening Time]]&lt;WFTracker[[#This Row],[Old vs New Order Lead Time WF dead line]], "LATE BY ENG", "ON TIME BY ENG")</f>
        <v>ON TIME BY ENG</v>
      </c>
      <c r="AB488" s="37"/>
      <c r="AC488" s="15" t="str">
        <f>IF(WFTracker[[#This Row],[Competion Date Content]] = FALSE, "C", "i")</f>
        <v>C</v>
      </c>
      <c r="AD4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488" s="37" t="str">
        <f ca="1">IF(WFTracker[[#This Row],[Impact Time Post RM]]&gt;0, "IMPACTED", "NOT IMPACTED")</f>
        <v>NOT IMPACTED</v>
      </c>
      <c r="AF488" s="15"/>
      <c r="AG488" s="18"/>
      <c r="AH488" s="14" t="str">
        <f>IF(WFTracker[[#This Row],[Status]]="C", "Closed", IF(WFTracker[[#This Row],[Status]] = "x", "Cancelled", WFTracker[[#This Row],[Impact Time Post RM]]))</f>
        <v>Closed</v>
      </c>
      <c r="AI488" s="14" t="str">
        <f ca="1">IF(WFTracker[[#This Row],[Impact Time Post RM]]&lt;=0,"ON TIME","LATE")</f>
        <v>ON TIME</v>
      </c>
      <c r="AJ488" s="14" t="s">
        <v>984</v>
      </c>
      <c r="AK488" s="14">
        <v>18</v>
      </c>
      <c r="AL488" s="915">
        <f>IF(WFTracker[[#This Row],[Type]]="MAKE", WFTracker[[#This Row],[Due date]]+Filters!$J$111, WFTracker[[#This Row],[Due date]]+Filters!$J$135)</f>
        <v>45968.072512647552</v>
      </c>
      <c r="AM488" s="102" cm="1">
        <f t="array" ref="AM4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89" spans="1:39" ht="15" customHeight="1">
      <c r="A489" t="str">
        <f>IF(WFTracker[[#This Row],[Order Number]]="SWBD", "QED2", "PZ4")</f>
        <v>PZ4</v>
      </c>
      <c r="B489" s="21" t="s">
        <v>401</v>
      </c>
      <c r="C489" s="26" t="s">
        <v>135</v>
      </c>
      <c r="D489" s="23" t="s">
        <v>1407</v>
      </c>
      <c r="E489" s="23" t="s">
        <v>1020</v>
      </c>
      <c r="F489" s="27">
        <v>45936</v>
      </c>
      <c r="G489" s="27"/>
      <c r="H489" s="11"/>
      <c r="I489" s="11" t="s">
        <v>260</v>
      </c>
      <c r="J489" s="55" t="s">
        <v>1408</v>
      </c>
      <c r="K489" s="14" t="s">
        <v>1017</v>
      </c>
      <c r="L489" s="15" t="s">
        <v>27</v>
      </c>
      <c r="M489" s="29" t="s">
        <v>1409</v>
      </c>
      <c r="N489" s="27">
        <v>45987</v>
      </c>
      <c r="O489" s="15">
        <f>NETWORKDAYS.INTL(WFTracker[[#This Row],[Start date]],WFTracker[[#This Row],[RM]],1,Holidays!D590:D605)</f>
        <v>-15</v>
      </c>
      <c r="P489" s="12">
        <v>45954</v>
      </c>
      <c r="Q489" s="12">
        <v>45964</v>
      </c>
      <c r="R489" s="12">
        <v>45959</v>
      </c>
      <c r="S489" s="12" t="b">
        <f>ISBLANK(WFTracker[[#This Row],[Completion Date]])</f>
        <v>0</v>
      </c>
      <c r="T489" s="12" t="str">
        <f>TEXT(WFTracker[[#This Row],[Start date]],"mmm-yyyy")</f>
        <v>Oct-2025</v>
      </c>
      <c r="U489" s="11">
        <v>10</v>
      </c>
      <c r="V489" s="11">
        <f>NETWORKDAYS.INTL(WFTracker[[#This Row],[Start date]],WFTracker[[#This Row],[Due date]],1,Holidays!D590:D605)</f>
        <v>7</v>
      </c>
      <c r="W4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489" s="24">
        <f ca="1">WFTracker[[#This Row],[Active Time]]-WFTracker[[#This Row],[Completion Days Template]]</f>
        <v>-3</v>
      </c>
      <c r="Y489" s="16" t="str">
        <f ca="1" xml:space="preserve"> IF(WFTracker[[#This Row],[Overdue Time '[Expected-Completion']]]&gt;0, "LATE","ON TIME")</f>
        <v>ON TIME</v>
      </c>
      <c r="Z489" s="16" t="str">
        <f ca="1">IF(WFTracker[[#This Row],[Overdue Time '[Expected-Completion']]] &gt;= 15, "SUPER LATE", Y489)</f>
        <v>ON TIME</v>
      </c>
      <c r="AA489" s="37" t="str">
        <f>IF(WFTracker[[#This Row],[Pre RM Opening Time]]&lt;WFTracker[[#This Row],[Old vs New Order Lead Time WF dead line]], "LATE BY ENG", "ON TIME BY ENG")</f>
        <v>LATE BY ENG</v>
      </c>
      <c r="AB489" s="37" t="s">
        <v>1410</v>
      </c>
      <c r="AC489" s="15" t="str">
        <f>IF(WFTracker[[#This Row],[Competion Date Content]] = FALSE, "C", "i")</f>
        <v>C</v>
      </c>
      <c r="AD4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18</v>
      </c>
      <c r="AE489" s="37" t="str">
        <f ca="1">IF(WFTracker[[#This Row],[Impact Time Post RM]]&gt;0, "IMPACTED", "NOT IMPACTED")</f>
        <v>IMPACTED</v>
      </c>
      <c r="AF489" s="15"/>
      <c r="AG489" s="18"/>
      <c r="AH489" s="14" t="str">
        <f>IF(WFTracker[[#This Row],[Status]]="C", "Closed", IF(WFTracker[[#This Row],[Status]] = "x", "Cancelled", WFTracker[[#This Row],[Impact Time Post RM]]))</f>
        <v>Closed</v>
      </c>
      <c r="AI489" s="14" t="str">
        <f ca="1">IF(WFTracker[[#This Row],[Impact Time Post RM]]&lt;=0,"ON TIME","LATE")</f>
        <v>LATE</v>
      </c>
      <c r="AJ489" s="14" t="s">
        <v>984</v>
      </c>
      <c r="AK489" s="14">
        <v>18</v>
      </c>
      <c r="AL489" s="915">
        <f>IF(WFTracker[[#This Row],[Type]]="MAKE", WFTracker[[#This Row],[Due date]]+Filters!$J$111, WFTracker[[#This Row],[Due date]]+Filters!$J$135)</f>
        <v>45967.072512647552</v>
      </c>
      <c r="AM489" s="102" cm="1">
        <f t="array" ref="AM4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0" spans="1:39" ht="15" customHeight="1">
      <c r="A490" t="str">
        <f>IF(WFTracker[[#This Row],[Order Number]]="SWBD", "QED2", "PZ4")</f>
        <v>PZ4</v>
      </c>
      <c r="B490" s="21" t="s">
        <v>1398</v>
      </c>
      <c r="C490" s="26" t="s">
        <v>135</v>
      </c>
      <c r="D490" s="23" t="s">
        <v>1411</v>
      </c>
      <c r="E490" s="906" t="s">
        <v>1022</v>
      </c>
      <c r="F490" s="27">
        <v>45971</v>
      </c>
      <c r="G490" s="27"/>
      <c r="H490" s="11" t="s">
        <v>947</v>
      </c>
      <c r="I490" s="11" t="s">
        <v>111</v>
      </c>
      <c r="J490" s="55" t="s">
        <v>599</v>
      </c>
      <c r="K490" s="14" t="s">
        <v>1017</v>
      </c>
      <c r="L490" s="15" t="s">
        <v>40</v>
      </c>
      <c r="M490" s="29" t="s">
        <v>1123</v>
      </c>
      <c r="N490" s="27">
        <v>45971</v>
      </c>
      <c r="O490" s="15">
        <f>NETWORKDAYS.INTL(WFTracker[[#This Row],[Start date]],WFTracker[[#This Row],[RM]],1,Holidays!D270:D285)</f>
        <v>12</v>
      </c>
      <c r="P490" s="12">
        <v>45954</v>
      </c>
      <c r="Q490" s="12">
        <v>45955</v>
      </c>
      <c r="R490" s="12">
        <v>45964</v>
      </c>
      <c r="S490" s="12" t="b">
        <f>ISBLANK(WFTracker[[#This Row],[Completion Date]])</f>
        <v>0</v>
      </c>
      <c r="T490" s="12" t="str">
        <f>TEXT(WFTracker[[#This Row],[Start date]],"mmm-yyyy")</f>
        <v>Oct-2025</v>
      </c>
      <c r="U490" s="11">
        <v>10</v>
      </c>
      <c r="V490" s="11">
        <f>NETWORKDAYS.INTL(WFTracker[[#This Row],[Start date]],WFTracker[[#This Row],[Due date]],1,Holidays!D270:D285)</f>
        <v>1</v>
      </c>
      <c r="W4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90" s="24">
        <f ca="1">WFTracker[[#This Row],[Active Time]]-WFTracker[[#This Row],[Completion Days Template]]</f>
        <v>5</v>
      </c>
      <c r="Y490" s="16" t="str">
        <f ca="1" xml:space="preserve"> IF(WFTracker[[#This Row],[Overdue Time '[Expected-Completion']]]&gt;0, "LATE","ON TIME")</f>
        <v>LATE</v>
      </c>
      <c r="Z490" s="16" t="str">
        <f ca="1">IF(WFTracker[[#This Row],[Overdue Time '[Expected-Completion']]] &gt;= 15, "SUPER LATE", Y490)</f>
        <v>LATE</v>
      </c>
      <c r="AA490" s="37" t="str">
        <f>IF(WFTracker[[#This Row],[Pre RM Opening Time]]&lt;WFTracker[[#This Row],[Old vs New Order Lead Time WF dead line]], "LATE BY ENG", "ON TIME BY ENG")</f>
        <v>ON TIME BY ENG</v>
      </c>
      <c r="AB490" s="37"/>
      <c r="AC490" s="15" t="str">
        <f>IF(WFTracker[[#This Row],[Competion Date Content]] = FALSE, "C", "i")</f>
        <v>C</v>
      </c>
      <c r="AD4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490" s="37" t="str">
        <f ca="1">IF(WFTracker[[#This Row],[Impact Time Post RM]]&gt;0, "IMPACTED", "NOT IMPACTED")</f>
        <v>NOT IMPACTED</v>
      </c>
      <c r="AF490" s="15"/>
      <c r="AG490" s="18"/>
      <c r="AH490" s="14" t="str">
        <f>IF(WFTracker[[#This Row],[Status]]="C", "Closed", IF(WFTracker[[#This Row],[Status]] = "x", "Cancelled", WFTracker[[#This Row],[Impact Time Post RM]]))</f>
        <v>Closed</v>
      </c>
      <c r="AI490" s="14" t="str">
        <f ca="1">IF(WFTracker[[#This Row],[Impact Time Post RM]]&lt;=0,"ON TIME","LATE")</f>
        <v>ON TIME</v>
      </c>
      <c r="AJ490" s="14" t="s">
        <v>984</v>
      </c>
      <c r="AK490" s="14">
        <v>17</v>
      </c>
      <c r="AL490" s="915">
        <f>IF(WFTracker[[#This Row],[Type]]="MAKE", WFTracker[[#This Row],[Due date]]+Filters!$J$111, WFTracker[[#This Row],[Due date]]+Filters!$J$135)</f>
        <v>45955.415686274508</v>
      </c>
      <c r="AM490" s="102" cm="1">
        <f t="array" ref="AM4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1" spans="1:39" ht="15" customHeight="1">
      <c r="A491" t="str">
        <f>IF(WFTracker[[#This Row],[Order Number]]="SWBD", "QED2", "PZ4")</f>
        <v>PZ4</v>
      </c>
      <c r="B491" s="21" t="s">
        <v>1376</v>
      </c>
      <c r="C491" s="26" t="s">
        <v>1377</v>
      </c>
      <c r="D491" s="23" t="s">
        <v>1412</v>
      </c>
      <c r="E491" s="21" t="s">
        <v>1047</v>
      </c>
      <c r="F491" s="27">
        <v>45973</v>
      </c>
      <c r="G491" s="27"/>
      <c r="H491" s="11" t="s">
        <v>36</v>
      </c>
      <c r="I491" s="11"/>
      <c r="J491" s="55" t="s">
        <v>1413</v>
      </c>
      <c r="K491" s="14" t="s">
        <v>1023</v>
      </c>
      <c r="L491" s="15" t="s">
        <v>40</v>
      </c>
      <c r="M491" s="29" t="s">
        <v>1120</v>
      </c>
      <c r="N491" s="106" t="s">
        <v>984</v>
      </c>
      <c r="O491" s="15">
        <f>NETWORKDAYS.INTL(WFTracker[[#This Row],[Start date]],WFTracker[[#This Row],[RM]],1,Holidays!D326:D341)</f>
        <v>14</v>
      </c>
      <c r="P491" s="12">
        <v>45954</v>
      </c>
      <c r="Q491" s="12">
        <v>45966</v>
      </c>
      <c r="R491" s="12">
        <v>45968</v>
      </c>
      <c r="S491" s="12" t="b">
        <f>ISBLANK(WFTracker[[#This Row],[Completion Date]])</f>
        <v>0</v>
      </c>
      <c r="T491" s="12" t="str">
        <f>TEXT(WFTracker[[#This Row],[Start date]],"mmm-yyyy")</f>
        <v>Oct-2025</v>
      </c>
      <c r="U491" s="11">
        <v>10</v>
      </c>
      <c r="V491" s="11">
        <f>NETWORKDAYS.INTL(WFTracker[[#This Row],[Start date]],WFTracker[[#This Row],[Due date]],1,Holidays!D326:D341)</f>
        <v>9</v>
      </c>
      <c r="W4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491" s="24">
        <f ca="1">WFTracker[[#This Row],[Active Time]]-WFTracker[[#This Row],[Completion Days Template]]</f>
        <v>1</v>
      </c>
      <c r="Y491" s="16" t="str">
        <f ca="1" xml:space="preserve"> IF(WFTracker[[#This Row],[Overdue Time '[Expected-Completion']]]&gt;0, "LATE","ON TIME")</f>
        <v>LATE</v>
      </c>
      <c r="Z491" s="16" t="str">
        <f ca="1">IF(WFTracker[[#This Row],[Overdue Time '[Expected-Completion']]] &gt;= 15, "SUPER LATE", Y491)</f>
        <v>LATE</v>
      </c>
      <c r="AA491" s="37" t="str">
        <f>IF(WFTracker[[#This Row],[Pre RM Opening Time]]&lt;WFTracker[[#This Row],[Old vs New Order Lead Time WF dead line]], "LATE BY ENG", "ON TIME BY ENG")</f>
        <v>ON TIME BY ENG</v>
      </c>
      <c r="AB491" s="37" t="s">
        <v>1376</v>
      </c>
      <c r="AC491" s="15" t="str">
        <f>IF(WFTracker[[#This Row],[Competion Date Content]] = FALSE, "C", "i")</f>
        <v>C</v>
      </c>
      <c r="AD4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491" s="37" t="str">
        <f ca="1">IF(WFTracker[[#This Row],[Impact Time Post RM]]&gt;0, "IMPACTED", "NOT IMPACTED")</f>
        <v>NOT IMPACTED</v>
      </c>
      <c r="AF491" s="15"/>
      <c r="AG491" s="18"/>
      <c r="AH491" s="14" t="str">
        <f>IF(WFTracker[[#This Row],[Status]]="C", "Closed", IF(WFTracker[[#This Row],[Status]] = "x", "Cancelled", WFTracker[[#This Row],[Impact Time Post RM]]))</f>
        <v>Closed</v>
      </c>
      <c r="AI491" s="14" t="str">
        <f ca="1">IF(WFTracker[[#This Row],[Impact Time Post RM]]&lt;=0,"ON TIME","LATE")</f>
        <v>ON TIME</v>
      </c>
      <c r="AJ491" s="14" t="s">
        <v>984</v>
      </c>
      <c r="AK491" s="14">
        <v>17</v>
      </c>
      <c r="AL491" s="915">
        <f>IF(WFTracker[[#This Row],[Type]]="MAKE", WFTracker[[#This Row],[Due date]]+Filters!$J$111, WFTracker[[#This Row],[Due date]]+Filters!$J$135)</f>
        <v>45966.415686274508</v>
      </c>
      <c r="AM491" s="102" cm="1">
        <f t="array" ref="AM4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2" spans="1:39" ht="15" customHeight="1">
      <c r="A492" t="str">
        <f>IF(WFTracker[[#This Row],[Order Number]]="SWBD", "QED2", "PZ4")</f>
        <v>PZ4</v>
      </c>
      <c r="B492" s="21" t="s">
        <v>625</v>
      </c>
      <c r="C492" s="26" t="s">
        <v>192</v>
      </c>
      <c r="D492" s="23" t="str">
        <f>WFTracker[[#This Row],[Order Number]]  &amp; "-" &amp; WFTracker[[#This Row],[Item]]</f>
        <v>0051648563-000040</v>
      </c>
      <c r="E492" s="23" t="s">
        <v>1414</v>
      </c>
      <c r="F492" s="27">
        <v>45981</v>
      </c>
      <c r="G492" s="27"/>
      <c r="H492" s="11" t="s">
        <v>1351</v>
      </c>
      <c r="I492" s="11" t="s">
        <v>241</v>
      </c>
      <c r="J492" s="55" t="s">
        <v>1415</v>
      </c>
      <c r="K492" s="14" t="s">
        <v>1017</v>
      </c>
      <c r="L492" s="15" t="s">
        <v>27</v>
      </c>
      <c r="M492" s="29" t="s">
        <v>1120</v>
      </c>
      <c r="N492" s="57">
        <v>46080</v>
      </c>
      <c r="O492" s="15">
        <f>NETWORKDAYS.INTL(WFTracker[[#This Row],[Start date]],WFTracker[[#This Row],[RM]],1,Holidays!D439:D454)</f>
        <v>20</v>
      </c>
      <c r="P492" s="12">
        <v>45954</v>
      </c>
      <c r="Q492" s="12">
        <v>45965</v>
      </c>
      <c r="R492" s="12">
        <v>45966</v>
      </c>
      <c r="S492" s="12" t="b">
        <f>ISBLANK(WFTracker[[#This Row],[Completion Date]])</f>
        <v>0</v>
      </c>
      <c r="T492" s="12" t="str">
        <f>TEXT(WFTracker[[#This Row],[Start date]],"mmm-yyyy")</f>
        <v>Oct-2025</v>
      </c>
      <c r="U492" s="11">
        <v>10</v>
      </c>
      <c r="V492" s="11">
        <f>NETWORKDAYS.INTL(WFTracker[[#This Row],[Start date]],WFTracker[[#This Row],[Due date]],1,Holidays!D439:D454)</f>
        <v>8</v>
      </c>
      <c r="W4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92" s="24">
        <f ca="1">WFTracker[[#This Row],[Active Time]]-WFTracker[[#This Row],[Completion Days Template]]</f>
        <v>0</v>
      </c>
      <c r="Y492" s="16" t="str">
        <f ca="1" xml:space="preserve"> IF(WFTracker[[#This Row],[Overdue Time '[Expected-Completion']]]&gt;0, "LATE","ON TIME")</f>
        <v>ON TIME</v>
      </c>
      <c r="Z492" s="16" t="str">
        <f ca="1">IF(WFTracker[[#This Row],[Overdue Time '[Expected-Completion']]] &gt;= 15, "SUPER LATE", Y492)</f>
        <v>ON TIME</v>
      </c>
      <c r="AA492" s="37" t="str">
        <f>IF(WFTracker[[#This Row],[Pre RM Opening Time]]&lt;WFTracker[[#This Row],[Old vs New Order Lead Time WF dead line]], "LATE BY ENG", "ON TIME BY ENG")</f>
        <v>ON TIME BY ENG</v>
      </c>
      <c r="AB492" s="37"/>
      <c r="AC492" s="15" t="str">
        <f>IF(WFTracker[[#This Row],[Competion Date Content]] = FALSE, "C", "i")</f>
        <v>C</v>
      </c>
      <c r="AD4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492" s="37" t="str">
        <f ca="1">IF(WFTracker[[#This Row],[Impact Time Post RM]]&gt;0, "IMPACTED", "NOT IMPACTED")</f>
        <v>NOT IMPACTED</v>
      </c>
      <c r="AF492" s="15"/>
      <c r="AG492" s="18"/>
      <c r="AH492" s="14" t="str">
        <f>IF(WFTracker[[#This Row],[Status]]="C", "Closed", IF(WFTracker[[#This Row],[Status]] = "x", "Cancelled", WFTracker[[#This Row],[Impact Time Post RM]]))</f>
        <v>Closed</v>
      </c>
      <c r="AI492" s="14" t="str">
        <f ca="1">IF(WFTracker[[#This Row],[Impact Time Post RM]]&lt;=0,"ON TIME","LATE")</f>
        <v>ON TIME</v>
      </c>
      <c r="AJ492" s="14" t="s">
        <v>984</v>
      </c>
      <c r="AK492" s="14">
        <v>18</v>
      </c>
      <c r="AL492" s="915">
        <f>IF(WFTracker[[#This Row],[Type]]="MAKE", WFTracker[[#This Row],[Due date]]+Filters!$J$111, WFTracker[[#This Row],[Due date]]+Filters!$J$135)</f>
        <v>45968.072512647552</v>
      </c>
      <c r="AM492" s="102" cm="1">
        <f t="array" ref="AM4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3" spans="1:39" ht="15" customHeight="1">
      <c r="A493" t="str">
        <f>IF(WFTracker[[#This Row],[Order Number]]="SWBD", "QED2", "PZ4")</f>
        <v>PZ4</v>
      </c>
      <c r="B493" s="21" t="s">
        <v>658</v>
      </c>
      <c r="C493" s="26" t="s">
        <v>135</v>
      </c>
      <c r="D493" s="23" t="str">
        <f>WFTracker[[#This Row],[Order Number]]  &amp; "-" &amp; WFTracker[[#This Row],[Item]]</f>
        <v>0051647770-000010</v>
      </c>
      <c r="E493" s="23" t="s">
        <v>1048</v>
      </c>
      <c r="F493" s="27">
        <v>46000</v>
      </c>
      <c r="G493" s="27"/>
      <c r="H493" s="11" t="s">
        <v>104</v>
      </c>
      <c r="I493" s="11"/>
      <c r="J493" s="55" t="s">
        <v>1416</v>
      </c>
      <c r="K493" s="14" t="s">
        <v>1023</v>
      </c>
      <c r="L493" s="15" t="s">
        <v>27</v>
      </c>
      <c r="M493" s="29" t="s">
        <v>1120</v>
      </c>
      <c r="N493" s="57">
        <v>46052</v>
      </c>
      <c r="O493" s="29">
        <f>NETWORKDAYS.INTL(WFTracker[[#This Row],[Start date]],WFTracker[[#This Row],[RM]],1,Holidays!D559:D574)</f>
        <v>31</v>
      </c>
      <c r="P493" s="27">
        <v>45958</v>
      </c>
      <c r="Q493" s="27">
        <v>45967</v>
      </c>
      <c r="R493" s="27">
        <v>45975</v>
      </c>
      <c r="S493" s="27" t="b">
        <f>ISBLANK(WFTracker[[#This Row],[Completion Date]])</f>
        <v>0</v>
      </c>
      <c r="T493" s="27" t="str">
        <f>TEXT(WFTracker[[#This Row],[Start date]],"mmm-yyyy")</f>
        <v>Oct-2025</v>
      </c>
      <c r="U493" s="11">
        <v>10</v>
      </c>
      <c r="V493" s="11">
        <f>NETWORKDAYS.INTL(WFTracker[[#This Row],[Start date]],WFTracker[[#This Row],[Due date]],1,Holidays!D559:D574)</f>
        <v>8</v>
      </c>
      <c r="W4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93" s="30">
        <f ca="1">WFTracker[[#This Row],[Active Time]]-WFTracker[[#This Row],[Completion Days Template]]</f>
        <v>5</v>
      </c>
      <c r="Y493" s="34" t="str">
        <f ca="1" xml:space="preserve"> IF(WFTracker[[#This Row],[Overdue Time '[Expected-Completion']]]&gt;0, "LATE","ON TIME")</f>
        <v>LATE</v>
      </c>
      <c r="Z493" s="34" t="str">
        <f ca="1">IF(WFTracker[[#This Row],[Overdue Time '[Expected-Completion']]] &gt;= 15, "SUPER LATE", Y493)</f>
        <v>LATE</v>
      </c>
      <c r="AA493" s="105" t="str">
        <f>IF(WFTracker[[#This Row],[Pre RM Opening Time]]&lt;WFTracker[[#This Row],[Old vs New Order Lead Time WF dead line]], "LATE BY ENG", "ON TIME BY ENG")</f>
        <v>ON TIME BY ENG</v>
      </c>
      <c r="AB493" s="105"/>
      <c r="AC493" s="15" t="str">
        <f>IF(WFTracker[[#This Row],[Competion Date Content]] = FALSE, "C", "I")</f>
        <v>C</v>
      </c>
      <c r="AD4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-15</v>
      </c>
      <c r="AE493" s="105" t="str">
        <f ca="1">IF(WFTracker[[#This Row],[Impact Time Post RM]]&gt;0, "IMPACTED", "NOT IMPACTED")</f>
        <v>NOT IMPACTED</v>
      </c>
      <c r="AF493" s="15"/>
      <c r="AG493" s="42"/>
      <c r="AH493" s="14" t="str">
        <f>IF(WFTracker[[#This Row],[Status]]="C", "Closed", IF(WFTracker[[#This Row],[Status]] = "x", "Cancelled", WFTracker[[#This Row],[Impact Time Post RM]]))</f>
        <v>Closed</v>
      </c>
      <c r="AI493" s="14" t="str">
        <f ca="1">IF(WFTracker[[#This Row],[Impact Time Post RM]]&lt;=0,"ON TIME","LATE")</f>
        <v>ON TIME</v>
      </c>
      <c r="AJ493" s="14" t="s">
        <v>984</v>
      </c>
      <c r="AK493" s="14">
        <v>18</v>
      </c>
      <c r="AL493" s="915">
        <f>IF(WFTracker[[#This Row],[Type]]="MAKE", WFTracker[[#This Row],[Due date]]+Filters!$J$111, WFTracker[[#This Row],[Due date]]+Filters!$J$135)</f>
        <v>45970.072512647552</v>
      </c>
      <c r="AM493" s="102" cm="1">
        <f t="array" ref="AM4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4" spans="1:39" ht="15" customHeight="1">
      <c r="A494" t="str">
        <f>IF(WFTracker[[#This Row],[Order Number]]="SWBD", "QED2", "PZ4")</f>
        <v>PZ4</v>
      </c>
      <c r="B494" s="21" t="s">
        <v>658</v>
      </c>
      <c r="C494" s="26" t="s">
        <v>135</v>
      </c>
      <c r="D494" s="23" t="str">
        <f>WFTracker[[#This Row],[Order Number]]  &amp; "-" &amp; WFTracker[[#This Row],[Item]]</f>
        <v>0051647770-000010</v>
      </c>
      <c r="E494" s="23" t="s">
        <v>1048</v>
      </c>
      <c r="F494" s="27">
        <v>46000</v>
      </c>
      <c r="G494" s="27"/>
      <c r="H494" s="11" t="s">
        <v>104</v>
      </c>
      <c r="I494" s="11"/>
      <c r="J494" s="55" t="s">
        <v>1417</v>
      </c>
      <c r="K494" s="14" t="s">
        <v>1023</v>
      </c>
      <c r="L494" s="15" t="s">
        <v>40</v>
      </c>
      <c r="M494" s="29" t="s">
        <v>1120</v>
      </c>
      <c r="N494" s="57">
        <v>46052</v>
      </c>
      <c r="O494" s="15">
        <f>NETWORKDAYS.INTL(WFTracker[[#This Row],[Start date]],WFTracker[[#This Row],[RM]],1,Holidays!D560:D575)</f>
        <v>31</v>
      </c>
      <c r="P494" s="12">
        <v>45958</v>
      </c>
      <c r="Q494" s="12">
        <v>45971</v>
      </c>
      <c r="R494" s="12">
        <v>45959</v>
      </c>
      <c r="S494" s="12" t="b">
        <f>ISBLANK(WFTracker[[#This Row],[Completion Date]])</f>
        <v>0</v>
      </c>
      <c r="T494" s="12" t="str">
        <f>TEXT(WFTracker[[#This Row],[Start date]],"mmm-yyyy")</f>
        <v>Oct-2025</v>
      </c>
      <c r="U494" s="11">
        <v>10</v>
      </c>
      <c r="V494" s="11">
        <f>NETWORKDAYS.INTL(WFTracker[[#This Row],[Start date]],WFTracker[[#This Row],[Due date]],1,Holidays!D560:D575)</f>
        <v>10</v>
      </c>
      <c r="W4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494" s="24">
        <f ca="1">WFTracker[[#This Row],[Active Time]]-WFTracker[[#This Row],[Completion Days Template]]</f>
        <v>-8</v>
      </c>
      <c r="Y494" s="16" t="str">
        <f ca="1" xml:space="preserve"> IF(WFTracker[[#This Row],[Overdue Time '[Expected-Completion']]]&gt;0, "LATE","ON TIME")</f>
        <v>ON TIME</v>
      </c>
      <c r="Z494" s="16" t="str">
        <f ca="1">IF(WFTracker[[#This Row],[Overdue Time '[Expected-Completion']]] &gt;= 15, "SUPER LATE", Y494)</f>
        <v>ON TIME</v>
      </c>
      <c r="AA494" s="37" t="str">
        <f>IF(WFTracker[[#This Row],[Pre RM Opening Time]]&lt;WFTracker[[#This Row],[Old vs New Order Lead Time WF dead line]], "LATE BY ENG", "ON TIME BY ENG")</f>
        <v>ON TIME BY ENG</v>
      </c>
      <c r="AB494" s="37"/>
      <c r="AC494" s="15" t="str">
        <f>IF(WFTracker[[#This Row],[Competion Date Content]] = FALSE, "C", "i")</f>
        <v>C</v>
      </c>
      <c r="AD4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-26</v>
      </c>
      <c r="AE494" s="25" t="str">
        <f ca="1">IF(WFTracker[[#This Row],[Impact Time Post RM]]&gt;0, "IMPACTED", "NOT IMPACTED")</f>
        <v>NOT IMPACTED</v>
      </c>
      <c r="AF494" s="15"/>
      <c r="AG494" s="18"/>
      <c r="AH494" s="14" t="str">
        <f>IF(WFTracker[[#This Row],[Status]]="C", "Closed", IF(WFTracker[[#This Row],[Status]] = "x", "Cancelled", WFTracker[[#This Row],[Impact Time Post RM]]))</f>
        <v>Closed</v>
      </c>
      <c r="AI494" s="14" t="str">
        <f ca="1">IF(WFTracker[[#This Row],[Impact Time Post RM]]&lt;=0,"ON TIME","LATE")</f>
        <v>ON TIME</v>
      </c>
      <c r="AJ494" s="14" t="s">
        <v>984</v>
      </c>
      <c r="AK494" s="28">
        <v>0</v>
      </c>
      <c r="AL494" s="915">
        <f>IF(WFTracker[[#This Row],[Type]]="MAKE", WFTracker[[#This Row],[Due date]]+Filters!$J$111, WFTracker[[#This Row],[Due date]]+Filters!$J$135)</f>
        <v>45971.415686274508</v>
      </c>
      <c r="AM494" s="102" cm="1">
        <f t="array" ref="AM494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495" spans="1:39" ht="15" customHeight="1">
      <c r="A495" t="str">
        <f>IF(WFTracker[[#This Row],[Order Number]]="SWBD", "QED2", "PZ4")</f>
        <v>PZ4</v>
      </c>
      <c r="B495" s="21" t="s">
        <v>658</v>
      </c>
      <c r="C495" s="26" t="s">
        <v>135</v>
      </c>
      <c r="D495" s="23" t="str">
        <f>WFTracker[[#This Row],[Order Number]]  &amp; "-" &amp; WFTracker[[#This Row],[Item]]</f>
        <v>0051647770-000010</v>
      </c>
      <c r="E495" s="23" t="s">
        <v>1048</v>
      </c>
      <c r="F495" s="27">
        <v>46000</v>
      </c>
      <c r="G495" s="27"/>
      <c r="H495" s="11" t="s">
        <v>104</v>
      </c>
      <c r="I495" s="11"/>
      <c r="J495" s="55" t="s">
        <v>1418</v>
      </c>
      <c r="K495" s="14" t="s">
        <v>1023</v>
      </c>
      <c r="L495" s="15" t="s">
        <v>40</v>
      </c>
      <c r="M495" s="29" t="s">
        <v>1120</v>
      </c>
      <c r="N495" s="57">
        <v>46052</v>
      </c>
      <c r="O495" s="15">
        <f>NETWORKDAYS.INTL(WFTracker[[#This Row],[Start date]],WFTracker[[#This Row],[RM]],1,Holidays!D561:D576)</f>
        <v>31</v>
      </c>
      <c r="P495" s="12">
        <v>45958</v>
      </c>
      <c r="Q495" s="12">
        <v>45971</v>
      </c>
      <c r="R495" s="12">
        <v>45967</v>
      </c>
      <c r="S495" s="12" t="b">
        <f>ISBLANK(WFTracker[[#This Row],[Completion Date]])</f>
        <v>0</v>
      </c>
      <c r="T495" s="12" t="str">
        <f>TEXT(WFTracker[[#This Row],[Start date]],"mmm-yyyy")</f>
        <v>Oct-2025</v>
      </c>
      <c r="U495" s="11">
        <v>10</v>
      </c>
      <c r="V495" s="11">
        <f>NETWORKDAYS.INTL(WFTracker[[#This Row],[Start date]],WFTracker[[#This Row],[Due date]],1,Holidays!D561:D576)</f>
        <v>10</v>
      </c>
      <c r="W4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495" s="24">
        <f ca="1">WFTracker[[#This Row],[Active Time]]-WFTracker[[#This Row],[Completion Days Template]]</f>
        <v>-3</v>
      </c>
      <c r="Y495" s="16" t="str">
        <f ca="1" xml:space="preserve"> IF(WFTracker[[#This Row],[Overdue Time '[Expected-Completion']]]&gt;0, "LATE","ON TIME")</f>
        <v>ON TIME</v>
      </c>
      <c r="Z495" s="16" t="str">
        <f ca="1">IF(WFTracker[[#This Row],[Overdue Time '[Expected-Completion']]] &gt;= 15, "SUPER LATE", Y495)</f>
        <v>ON TIME</v>
      </c>
      <c r="AA495" s="37" t="str">
        <f>IF(WFTracker[[#This Row],[Pre RM Opening Time]]&lt;WFTracker[[#This Row],[Old vs New Order Lead Time WF dead line]], "LATE BY ENG", "ON TIME BY ENG")</f>
        <v>ON TIME BY ENG</v>
      </c>
      <c r="AB495" s="37"/>
      <c r="AC495" s="15" t="str">
        <f>IF(WFTracker[[#This Row],[Competion Date Content]] = FALSE, "C", "i")</f>
        <v>C</v>
      </c>
      <c r="AD4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495" s="25" t="str">
        <f ca="1">IF(WFTracker[[#This Row],[Impact Time Post RM]]&gt;0, "IMPACTED", "NOT IMPACTED")</f>
        <v>NOT IMPACTED</v>
      </c>
      <c r="AF495" s="15"/>
      <c r="AG495" s="18"/>
      <c r="AH495" s="14" t="str">
        <f>IF(WFTracker[[#This Row],[Status]]="C", "Closed", IF(WFTracker[[#This Row],[Status]] = "x", "Cancelled", WFTracker[[#This Row],[Impact Time Post RM]]))</f>
        <v>Closed</v>
      </c>
      <c r="AI495" s="14" t="str">
        <f ca="1">IF(WFTracker[[#This Row],[Impact Time Post RM]]&lt;=0,"ON TIME","LATE")</f>
        <v>ON TIME</v>
      </c>
      <c r="AJ495" s="14" t="s">
        <v>984</v>
      </c>
      <c r="AK495" s="14">
        <v>17</v>
      </c>
      <c r="AL495" s="915">
        <f>IF(WFTracker[[#This Row],[Type]]="MAKE", WFTracker[[#This Row],[Due date]]+Filters!$J$111, WFTracker[[#This Row],[Due date]]+Filters!$J$135)</f>
        <v>45971.415686274508</v>
      </c>
      <c r="AM495" s="102" cm="1">
        <f t="array" ref="AM4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6" spans="1:39" ht="15" customHeight="1">
      <c r="A496" t="str">
        <f>IF(WFTracker[[#This Row],[Order Number]]="SWBD", "QED2", "PZ4")</f>
        <v>PZ4</v>
      </c>
      <c r="B496" s="21" t="s">
        <v>650</v>
      </c>
      <c r="C496" s="21" t="s">
        <v>867</v>
      </c>
      <c r="D496" s="23" t="s">
        <v>1419</v>
      </c>
      <c r="E496" s="23" t="s">
        <v>652</v>
      </c>
      <c r="F496" s="27">
        <v>45996</v>
      </c>
      <c r="G496" s="27"/>
      <c r="H496" s="11" t="s">
        <v>80</v>
      </c>
      <c r="I496" s="11" t="s">
        <v>24</v>
      </c>
      <c r="J496" s="55" t="s">
        <v>1420</v>
      </c>
      <c r="K496" s="14" t="s">
        <v>1023</v>
      </c>
      <c r="L496" s="15" t="s">
        <v>40</v>
      </c>
      <c r="M496" s="29" t="s">
        <v>1120</v>
      </c>
      <c r="N496" s="57">
        <v>46157</v>
      </c>
      <c r="O496" s="15">
        <f>NETWORKDAYS.INTL(WFTracker[[#This Row],[Start date]],WFTracker[[#This Row],[RM]],1,Holidays!D533:D548)</f>
        <v>28</v>
      </c>
      <c r="P496" s="12">
        <v>45959</v>
      </c>
      <c r="Q496" s="12">
        <v>45972</v>
      </c>
      <c r="R496" s="12">
        <v>45980</v>
      </c>
      <c r="S496" s="12" t="b">
        <f>ISBLANK(WFTracker[[#This Row],[Completion Date]])</f>
        <v>0</v>
      </c>
      <c r="T496" s="12" t="str">
        <f>TEXT(WFTracker[[#This Row],[Start date]],"mmm-yyyy")</f>
        <v>Oct-2025</v>
      </c>
      <c r="U496" s="11">
        <v>10</v>
      </c>
      <c r="V496" s="11">
        <f>NETWORKDAYS.INTL(WFTracker[[#This Row],[Start date]],WFTracker[[#This Row],[Due date]],1,Holidays!D533:D548)</f>
        <v>10</v>
      </c>
      <c r="W4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496" s="24">
        <f ca="1">WFTracker[[#This Row],[Active Time]]-WFTracker[[#This Row],[Completion Days Template]]</f>
        <v>3</v>
      </c>
      <c r="Y496" s="16" t="str">
        <f ca="1" xml:space="preserve"> IF(WFTracker[[#This Row],[Overdue Time '[Expected-Completion']]]&gt;0, "LATE","ON TIME")</f>
        <v>LATE</v>
      </c>
      <c r="Z496" s="16" t="str">
        <f ca="1">IF(WFTracker[[#This Row],[Overdue Time '[Expected-Completion']]] &gt;= 15, "SUPER LATE", Y496)</f>
        <v>LATE</v>
      </c>
      <c r="AA496" s="37" t="str">
        <f>IF(WFTracker[[#This Row],[Pre RM Opening Time]]&lt;WFTracker[[#This Row],[Old vs New Order Lead Time WF dead line]], "LATE BY ENG", "ON TIME BY ENG")</f>
        <v>ON TIME BY ENG</v>
      </c>
      <c r="AB496" s="37"/>
      <c r="AC496" s="15" t="str">
        <f>IF(WFTracker[[#This Row],[Competion Date Content]] = FALSE, "C", "I")</f>
        <v>C</v>
      </c>
      <c r="AD4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496" s="37" t="str">
        <f ca="1">IF(WFTracker[[#This Row],[Impact Time Post RM]]&gt;0, "IMPACTED", "NOT IMPACTED")</f>
        <v>NOT IMPACTED</v>
      </c>
      <c r="AF496" s="15"/>
      <c r="AG496" s="18"/>
      <c r="AH496" s="14" t="str">
        <f>IF(WFTracker[[#This Row],[Status]]="C", "Closed", IF(WFTracker[[#This Row],[Status]] = "x", "Cancelled", WFTracker[[#This Row],[Impact Time Post RM]]))</f>
        <v>Closed</v>
      </c>
      <c r="AI496" s="14" t="str">
        <f ca="1">IF(WFTracker[[#This Row],[Impact Time Post RM]]&lt;=0,"ON TIME","LATE")</f>
        <v>ON TIME</v>
      </c>
      <c r="AJ496" s="14" t="s">
        <v>984</v>
      </c>
      <c r="AK496" s="28">
        <v>17</v>
      </c>
      <c r="AL496" s="915">
        <f>IF(WFTracker[[#This Row],[Type]]="MAKE", WFTracker[[#This Row],[Due date]]+Filters!$J$111, WFTracker[[#This Row],[Due date]]+Filters!$J$135)</f>
        <v>45972.415686274508</v>
      </c>
      <c r="AM496" s="102" cm="1">
        <f t="array" ref="AM4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7" spans="1:39" ht="15" customHeight="1">
      <c r="A497" t="str">
        <f>IF(WFTracker[[#This Row],[Order Number]]="SWBD", "QED2", "PZ4")</f>
        <v>PZ4</v>
      </c>
      <c r="B497" s="21" t="s">
        <v>658</v>
      </c>
      <c r="C497" s="35" t="s">
        <v>135</v>
      </c>
      <c r="D497" s="23" t="str">
        <f>WFTracker[[#This Row],[Order Number]]  &amp; "-" &amp; WFTracker[[#This Row],[Item]]</f>
        <v>0051647770-000010</v>
      </c>
      <c r="E497" s="23" t="s">
        <v>1048</v>
      </c>
      <c r="F497" s="27">
        <v>46000</v>
      </c>
      <c r="G497" s="27"/>
      <c r="H497" s="11" t="s">
        <v>104</v>
      </c>
      <c r="I497" s="11"/>
      <c r="J497" s="55" t="s">
        <v>1421</v>
      </c>
      <c r="K497" s="14" t="s">
        <v>1023</v>
      </c>
      <c r="L497" s="15" t="s">
        <v>27</v>
      </c>
      <c r="M497" s="29" t="s">
        <v>1120</v>
      </c>
      <c r="N497" s="57">
        <v>46052</v>
      </c>
      <c r="O497" s="15">
        <f>NETWORKDAYS.INTL(WFTracker[[#This Row],[Start date]],WFTracker[[#This Row],[RM]],1,Holidays!D551:D566)</f>
        <v>30</v>
      </c>
      <c r="P497" s="12">
        <v>45959</v>
      </c>
      <c r="Q497" s="12">
        <v>45967</v>
      </c>
      <c r="R497" s="12">
        <v>45975</v>
      </c>
      <c r="S497" s="12" t="b">
        <f>ISBLANK(WFTracker[[#This Row],[Completion Date]])</f>
        <v>0</v>
      </c>
      <c r="T497" s="12" t="str">
        <f>TEXT(WFTracker[[#This Row],[Start date]],"mmm-yyyy")</f>
        <v>Oct-2025</v>
      </c>
      <c r="U497" s="11">
        <v>10</v>
      </c>
      <c r="V497" s="11">
        <f>NETWORKDAYS.INTL(WFTracker[[#This Row],[Start date]],WFTracker[[#This Row],[Due date]],1,Holidays!D551:D566)</f>
        <v>7</v>
      </c>
      <c r="W4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497" s="24">
        <f ca="1">WFTracker[[#This Row],[Active Time]]-WFTracker[[#This Row],[Completion Days Template]]</f>
        <v>5</v>
      </c>
      <c r="Y497" s="16" t="str">
        <f ca="1" xml:space="preserve"> IF(WFTracker[[#This Row],[Overdue Time '[Expected-Completion']]]&gt;0, "LATE","ON TIME")</f>
        <v>LATE</v>
      </c>
      <c r="Z497" s="16" t="str">
        <f ca="1">IF(WFTracker[[#This Row],[Overdue Time '[Expected-Completion']]] &gt;= 15, "SUPER LATE", Y497)</f>
        <v>LATE</v>
      </c>
      <c r="AA497" s="37" t="str">
        <f>IF(WFTracker[[#This Row],[Pre RM Opening Time]]&lt;WFTracker[[#This Row],[Old vs New Order Lead Time WF dead line]], "LATE BY ENG", "ON TIME BY ENG")</f>
        <v>ON TIME BY ENG</v>
      </c>
      <c r="AB497" s="37"/>
      <c r="AC497" s="15" t="str">
        <f>IF(WFTracker[[#This Row],[Competion Date Content]] = FALSE, "C", "I")</f>
        <v>C</v>
      </c>
      <c r="AD4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-15</v>
      </c>
      <c r="AE497" s="37" t="str">
        <f ca="1">IF(WFTracker[[#This Row],[Impact Time Post RM]]&gt;0, "IMPACTED", "NOT IMPACTED")</f>
        <v>NOT IMPACTED</v>
      </c>
      <c r="AF497" s="15"/>
      <c r="AG497" s="18"/>
      <c r="AH497" s="14" t="str">
        <f>IF(WFTracker[[#This Row],[Status]]="C", "Closed", IF(WFTracker[[#This Row],[Status]] = "x", "Cancelled", WFTracker[[#This Row],[Impact Time Post RM]]))</f>
        <v>Closed</v>
      </c>
      <c r="AI497" s="14" t="str">
        <f ca="1">IF(WFTracker[[#This Row],[Impact Time Post RM]]&lt;=0,"ON TIME","LATE")</f>
        <v>ON TIME</v>
      </c>
      <c r="AJ497" s="14" t="s">
        <v>984</v>
      </c>
      <c r="AK497" s="14">
        <v>18</v>
      </c>
      <c r="AL497" s="915">
        <f>IF(WFTracker[[#This Row],[Type]]="MAKE", WFTracker[[#This Row],[Due date]]+Filters!$J$111, WFTracker[[#This Row],[Due date]]+Filters!$J$135)</f>
        <v>45970.072512647552</v>
      </c>
      <c r="AM497" s="102" cm="1">
        <f t="array" ref="AM4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8" spans="1:39" ht="15" customHeight="1">
      <c r="A498" t="str">
        <f>IF(WFTracker[[#This Row],[Order Number]]="SWBD", "QED2", "PZ4")</f>
        <v>PZ4</v>
      </c>
      <c r="B498" s="21" t="s">
        <v>625</v>
      </c>
      <c r="C498" s="26" t="s">
        <v>282</v>
      </c>
      <c r="D498" s="23" t="str">
        <f>WFTracker[[#This Row],[Order Number]]  &amp; "-" &amp; WFTracker[[#This Row],[Item]]</f>
        <v>0051648563-000070</v>
      </c>
      <c r="E498" s="23" t="s">
        <v>1414</v>
      </c>
      <c r="F498" s="27">
        <v>45981</v>
      </c>
      <c r="G498" s="27"/>
      <c r="H498" s="11" t="s">
        <v>1351</v>
      </c>
      <c r="I498" s="11" t="s">
        <v>1154</v>
      </c>
      <c r="J498" s="55" t="s">
        <v>1422</v>
      </c>
      <c r="K498" s="14" t="s">
        <v>1017</v>
      </c>
      <c r="L498" s="15" t="s">
        <v>27</v>
      </c>
      <c r="M498" s="29" t="s">
        <v>1120</v>
      </c>
      <c r="N498" s="57">
        <v>46035</v>
      </c>
      <c r="O498" s="15">
        <f>NETWORKDAYS.INTL(WFTracker[[#This Row],[Start date]],WFTracker[[#This Row],[RM]],1,Holidays!D346:D361)</f>
        <v>16</v>
      </c>
      <c r="P498" s="12">
        <v>45960</v>
      </c>
      <c r="Q498" s="12">
        <v>45968</v>
      </c>
      <c r="R498" s="12">
        <v>45968</v>
      </c>
      <c r="S498" s="12" t="b">
        <f>ISBLANK(WFTracker[[#This Row],[Completion Date]])</f>
        <v>0</v>
      </c>
      <c r="T498" s="12" t="str">
        <f>TEXT(WFTracker[[#This Row],[Start date]],"mmm-yyyy")</f>
        <v>Oct-2025</v>
      </c>
      <c r="U498" s="11">
        <v>10</v>
      </c>
      <c r="V498" s="11">
        <f>NETWORKDAYS.INTL(WFTracker[[#This Row],[Start date]],WFTracker[[#This Row],[Due date]],1,Holidays!D346:D361)</f>
        <v>7</v>
      </c>
      <c r="W4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498" s="24">
        <f ca="1">WFTracker[[#This Row],[Active Time]]-WFTracker[[#This Row],[Completion Days Template]]</f>
        <v>-1</v>
      </c>
      <c r="Y498" s="16" t="str">
        <f ca="1" xml:space="preserve"> IF(WFTracker[[#This Row],[Overdue Time '[Expected-Completion']]]&gt;0, "LATE","ON TIME")</f>
        <v>ON TIME</v>
      </c>
      <c r="Z498" s="16" t="str">
        <f ca="1">IF(WFTracker[[#This Row],[Overdue Time '[Expected-Completion']]] &gt;= 15, "SUPER LATE", Y498)</f>
        <v>ON TIME</v>
      </c>
      <c r="AA498" s="37" t="str">
        <f>IF(WFTracker[[#This Row],[Pre RM Opening Time]]&lt;WFTracker[[#This Row],[Old vs New Order Lead Time WF dead line]], "LATE BY ENG", "ON TIME BY ENG")</f>
        <v>ON TIME BY ENG</v>
      </c>
      <c r="AB498" s="37"/>
      <c r="AC498" s="15" t="str">
        <f>IF(WFTracker[[#This Row],[Competion Date Content]] = FALSE, "C", "i")</f>
        <v>C</v>
      </c>
      <c r="AD4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498" s="37" t="str">
        <f ca="1">IF(WFTracker[[#This Row],[Impact Time Post RM]]&gt;0, "IMPACTED", "NOT IMPACTED")</f>
        <v>NOT IMPACTED</v>
      </c>
      <c r="AF498" s="15"/>
      <c r="AG498" s="18"/>
      <c r="AH498" s="14" t="str">
        <f>IF(WFTracker[[#This Row],[Status]]="C", "Closed", IF(WFTracker[[#This Row],[Status]] = "x", "Cancelled", WFTracker[[#This Row],[Impact Time Post RM]]))</f>
        <v>Closed</v>
      </c>
      <c r="AI498" s="14" t="str">
        <f ca="1">IF(WFTracker[[#This Row],[Impact Time Post RM]]&lt;=0,"ON TIME","LATE")</f>
        <v>ON TIME</v>
      </c>
      <c r="AJ498" s="14" t="s">
        <v>984</v>
      </c>
      <c r="AK498" s="14">
        <v>18</v>
      </c>
      <c r="AL498" s="915">
        <f>IF(WFTracker[[#This Row],[Type]]="MAKE", WFTracker[[#This Row],[Due date]]+Filters!$J$111, WFTracker[[#This Row],[Due date]]+Filters!$J$135)</f>
        <v>45971.072512647552</v>
      </c>
      <c r="AM498" s="102" cm="1">
        <f t="array" ref="AM49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499" spans="1:39" ht="15" customHeight="1">
      <c r="A499" t="str">
        <f>IF(WFTracker[[#This Row],[Order Number]]="SWBD", "QED2", "PZ4")</f>
        <v>PZ4</v>
      </c>
      <c r="B499" s="21" t="s">
        <v>447</v>
      </c>
      <c r="C499" s="26" t="s">
        <v>165</v>
      </c>
      <c r="D499" s="23" t="str">
        <f>WFTracker[[#This Row],[Order Number]]  &amp; "-" &amp; WFTracker[[#This Row],[Item]]</f>
        <v>0051536680-000030</v>
      </c>
      <c r="E499" s="23" t="s">
        <v>621</v>
      </c>
      <c r="F499" s="27">
        <v>46010</v>
      </c>
      <c r="G499" s="27"/>
      <c r="H499" s="11" t="s">
        <v>295</v>
      </c>
      <c r="I499" s="11" t="s">
        <v>1132</v>
      </c>
      <c r="J499" s="55" t="s">
        <v>622</v>
      </c>
      <c r="K499" s="14" t="s">
        <v>1017</v>
      </c>
      <c r="L499" s="15" t="s">
        <v>27</v>
      </c>
      <c r="M499" s="29" t="s">
        <v>1120</v>
      </c>
      <c r="N499" s="57">
        <v>46059</v>
      </c>
      <c r="O499" s="15">
        <f>NETWORKDAYS.INTL(WFTracker[[#This Row],[Start date]],WFTracker[[#This Row],[RM]],1,Holidays!D590:D605)</f>
        <v>35</v>
      </c>
      <c r="P499" s="12">
        <v>45964</v>
      </c>
      <c r="Q499" s="12">
        <v>45972</v>
      </c>
      <c r="R499" s="12">
        <v>45973</v>
      </c>
      <c r="S499" s="12" t="b">
        <f>ISBLANK(WFTracker[[#This Row],[Completion Date]])</f>
        <v>0</v>
      </c>
      <c r="T499" s="12" t="str">
        <f>TEXT(WFTracker[[#This Row],[Start date]],"mmm-yyyy")</f>
        <v>Nov-2025</v>
      </c>
      <c r="U499" s="11">
        <v>10</v>
      </c>
      <c r="V499" s="11">
        <f>NETWORKDAYS.INTL(WFTracker[[#This Row],[Start date]],WFTracker[[#This Row],[Due date]],1,Holidays!D590:D605)</f>
        <v>7</v>
      </c>
      <c r="W4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499" s="24">
        <f ca="1">WFTracker[[#This Row],[Active Time]]-WFTracker[[#This Row],[Completion Days Template]]</f>
        <v>1</v>
      </c>
      <c r="Y499" s="16" t="str">
        <f ca="1" xml:space="preserve"> IF(WFTracker[[#This Row],[Overdue Time '[Expected-Completion']]]&gt;0, "LATE","ON TIME")</f>
        <v>LATE</v>
      </c>
      <c r="Z499" s="16" t="str">
        <f ca="1">IF(WFTracker[[#This Row],[Overdue Time '[Expected-Completion']]] &gt;= 15, "SUPER LATE", Y499)</f>
        <v>LATE</v>
      </c>
      <c r="AA499" s="37" t="str">
        <f>IF(WFTracker[[#This Row],[Pre RM Opening Time]]&lt;WFTracker[[#This Row],[Old vs New Order Lead Time WF dead line]], "LATE BY ENG", "ON TIME BY ENG")</f>
        <v>ON TIME BY ENG</v>
      </c>
      <c r="AB499" s="37"/>
      <c r="AC499" s="15" t="str">
        <f>IF(WFTracker[[#This Row],[Competion Date Content]] = FALSE, "C", "I")</f>
        <v>C</v>
      </c>
      <c r="AD4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499" s="37" t="str">
        <f ca="1">IF(WFTracker[[#This Row],[Impact Time Post RM]]&gt;0, "IMPACTED", "NOT IMPACTED")</f>
        <v>NOT IMPACTED</v>
      </c>
      <c r="AF499" s="15"/>
      <c r="AG499" s="18"/>
      <c r="AH499" s="14" t="str">
        <f>IF(WFTracker[[#This Row],[Status]]="C", "Closed", IF(WFTracker[[#This Row],[Status]] = "x", "Cancelled", WFTracker[[#This Row],[Impact Time Post RM]]))</f>
        <v>Closed</v>
      </c>
      <c r="AI499" s="14" t="str">
        <f ca="1">IF(WFTracker[[#This Row],[Impact Time Post RM]]&lt;=0,"ON TIME","LATE")</f>
        <v>ON TIME</v>
      </c>
      <c r="AJ499" s="14" t="s">
        <v>984</v>
      </c>
      <c r="AK499" s="14">
        <v>18</v>
      </c>
      <c r="AL499" s="915">
        <f>IF(WFTracker[[#This Row],[Type]]="MAKE", WFTracker[[#This Row],[Due date]]+Filters!$J$111, WFTracker[[#This Row],[Due date]]+Filters!$J$135)</f>
        <v>45975.072512647552</v>
      </c>
      <c r="AM499" s="102" cm="1">
        <f t="array" ref="AM4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0" spans="1:39" ht="15" customHeight="1">
      <c r="A500" t="str">
        <f>IF(WFTracker[[#This Row],[Order Number]]="SWBD", "QED2", "PZ4")</f>
        <v>PZ4</v>
      </c>
      <c r="B500" s="21" t="s">
        <v>447</v>
      </c>
      <c r="C500" s="26" t="s">
        <v>165</v>
      </c>
      <c r="D500" s="23" t="str">
        <f>WFTracker[[#This Row],[Order Number]]  &amp; "-" &amp; WFTracker[[#This Row],[Item]]</f>
        <v>0051536680-000030</v>
      </c>
      <c r="E500" s="23" t="s">
        <v>621</v>
      </c>
      <c r="F500" s="27">
        <v>46010</v>
      </c>
      <c r="G500" s="27"/>
      <c r="H500" s="11" t="s">
        <v>295</v>
      </c>
      <c r="I500" s="11" t="s">
        <v>1132</v>
      </c>
      <c r="J500" s="55" t="s">
        <v>623</v>
      </c>
      <c r="K500" s="14" t="s">
        <v>1017</v>
      </c>
      <c r="L500" s="15" t="s">
        <v>27</v>
      </c>
      <c r="M500" s="29" t="s">
        <v>1120</v>
      </c>
      <c r="N500" s="57">
        <v>46059</v>
      </c>
      <c r="O500" s="15">
        <f>NETWORKDAYS.INTL(WFTracker[[#This Row],[Start date]],WFTracker[[#This Row],[RM]],1,Holidays!D591:D606)</f>
        <v>35</v>
      </c>
      <c r="P500" s="12">
        <v>45964</v>
      </c>
      <c r="Q500" s="12">
        <v>45972</v>
      </c>
      <c r="R500" s="12">
        <v>45973</v>
      </c>
      <c r="S500" s="12" t="b">
        <f>ISBLANK(WFTracker[[#This Row],[Completion Date]])</f>
        <v>0</v>
      </c>
      <c r="T500" s="12" t="str">
        <f>TEXT(WFTracker[[#This Row],[Start date]],"mmm-yyyy")</f>
        <v>Nov-2025</v>
      </c>
      <c r="U500" s="11">
        <v>10</v>
      </c>
      <c r="V500" s="11">
        <f>NETWORKDAYS.INTL(WFTracker[[#This Row],[Start date]],WFTracker[[#This Row],[Due date]],1,Holidays!D591:D606)</f>
        <v>7</v>
      </c>
      <c r="W5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00" s="24">
        <f ca="1">WFTracker[[#This Row],[Active Time]]-WFTracker[[#This Row],[Completion Days Template]]</f>
        <v>1</v>
      </c>
      <c r="Y500" s="16" t="str">
        <f ca="1" xml:space="preserve"> IF(WFTracker[[#This Row],[Overdue Time '[Expected-Completion']]]&gt;0, "LATE","ON TIME")</f>
        <v>LATE</v>
      </c>
      <c r="Z500" s="16" t="str">
        <f ca="1">IF(WFTracker[[#This Row],[Overdue Time '[Expected-Completion']]] &gt;= 15, "SUPER LATE", Y500)</f>
        <v>LATE</v>
      </c>
      <c r="AA500" s="37" t="str">
        <f>IF(WFTracker[[#This Row],[Pre RM Opening Time]]&lt;WFTracker[[#This Row],[Old vs New Order Lead Time WF dead line]], "LATE BY ENG", "ON TIME BY ENG")</f>
        <v>ON TIME BY ENG</v>
      </c>
      <c r="AB500" s="37"/>
      <c r="AC500" s="15" t="str">
        <f>IF(WFTracker[[#This Row],[Competion Date Content]] = FALSE, "C", "I")</f>
        <v>C</v>
      </c>
      <c r="AD5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500" s="37" t="str">
        <f ca="1">IF(WFTracker[[#This Row],[Impact Time Post RM]]&gt;0, "IMPACTED", "NOT IMPACTED")</f>
        <v>NOT IMPACTED</v>
      </c>
      <c r="AF500" s="15"/>
      <c r="AG500" s="18"/>
      <c r="AH500" s="14" t="str">
        <f>IF(WFTracker[[#This Row],[Status]]="C", "Closed", IF(WFTracker[[#This Row],[Status]] = "x", "Cancelled", WFTracker[[#This Row],[Impact Time Post RM]]))</f>
        <v>Closed</v>
      </c>
      <c r="AI500" s="14" t="str">
        <f ca="1">IF(WFTracker[[#This Row],[Impact Time Post RM]]&lt;=0,"ON TIME","LATE")</f>
        <v>ON TIME</v>
      </c>
      <c r="AJ500" s="14" t="s">
        <v>984</v>
      </c>
      <c r="AK500" s="14">
        <v>18</v>
      </c>
      <c r="AL500" s="915">
        <f>IF(WFTracker[[#This Row],[Type]]="MAKE", WFTracker[[#This Row],[Due date]]+Filters!$J$111, WFTracker[[#This Row],[Due date]]+Filters!$J$135)</f>
        <v>45975.072512647552</v>
      </c>
      <c r="AM500" s="102" cm="1">
        <f t="array" ref="AM5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1" spans="1:39" ht="15" customHeight="1">
      <c r="A501" t="str">
        <f>IF(WFTracker[[#This Row],[Order Number]]="SWBD", "QED2", "PZ4")</f>
        <v>PZ4</v>
      </c>
      <c r="B501" s="21" t="s">
        <v>447</v>
      </c>
      <c r="C501" s="26" t="s">
        <v>165</v>
      </c>
      <c r="D501" s="23" t="str">
        <f>WFTracker[[#This Row],[Order Number]]  &amp; "-" &amp; WFTracker[[#This Row],[Item]]</f>
        <v>0051536680-000030</v>
      </c>
      <c r="E501" s="23" t="s">
        <v>621</v>
      </c>
      <c r="F501" s="27">
        <v>46010</v>
      </c>
      <c r="G501" s="27"/>
      <c r="H501" s="11" t="s">
        <v>295</v>
      </c>
      <c r="I501" s="11" t="s">
        <v>1132</v>
      </c>
      <c r="J501" s="55" t="s">
        <v>624</v>
      </c>
      <c r="K501" s="14" t="s">
        <v>1017</v>
      </c>
      <c r="L501" s="15" t="s">
        <v>27</v>
      </c>
      <c r="M501" s="29" t="s">
        <v>1120</v>
      </c>
      <c r="N501" s="57">
        <v>46059</v>
      </c>
      <c r="O501" s="15">
        <f>NETWORKDAYS.INTL(WFTracker[[#This Row],[Start date]],WFTracker[[#This Row],[RM]],1,Holidays!D592:D607)</f>
        <v>35</v>
      </c>
      <c r="P501" s="12">
        <v>45964</v>
      </c>
      <c r="Q501" s="12">
        <v>45972</v>
      </c>
      <c r="R501" s="12">
        <v>45973</v>
      </c>
      <c r="S501" s="12" t="b">
        <f>ISBLANK(WFTracker[[#This Row],[Completion Date]])</f>
        <v>0</v>
      </c>
      <c r="T501" s="12" t="str">
        <f>TEXT(WFTracker[[#This Row],[Start date]],"mmm-yyyy")</f>
        <v>Nov-2025</v>
      </c>
      <c r="U501" s="11">
        <v>10</v>
      </c>
      <c r="V501" s="11">
        <f>NETWORKDAYS.INTL(WFTracker[[#This Row],[Start date]],WFTracker[[#This Row],[Due date]],1,Holidays!D592:D607)</f>
        <v>7</v>
      </c>
      <c r="W5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01" s="24">
        <f ca="1">WFTracker[[#This Row],[Active Time]]-WFTracker[[#This Row],[Completion Days Template]]</f>
        <v>1</v>
      </c>
      <c r="Y501" s="16" t="str">
        <f ca="1" xml:space="preserve"> IF(WFTracker[[#This Row],[Overdue Time '[Expected-Completion']]]&gt;0, "LATE","ON TIME")</f>
        <v>LATE</v>
      </c>
      <c r="Z501" s="16" t="str">
        <f ca="1">IF(WFTracker[[#This Row],[Overdue Time '[Expected-Completion']]] &gt;= 15, "SUPER LATE", Y501)</f>
        <v>LATE</v>
      </c>
      <c r="AA501" s="37" t="str">
        <f>IF(WFTracker[[#This Row],[Pre RM Opening Time]]&lt;WFTracker[[#This Row],[Old vs New Order Lead Time WF dead line]], "LATE BY ENG", "ON TIME BY ENG")</f>
        <v>ON TIME BY ENG</v>
      </c>
      <c r="AB501" s="37"/>
      <c r="AC501" s="15" t="str">
        <f>IF(WFTracker[[#This Row],[Competion Date Content]] = FALSE, "C", "I")</f>
        <v>C</v>
      </c>
      <c r="AD5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501" s="37" t="str">
        <f ca="1">IF(WFTracker[[#This Row],[Impact Time Post RM]]&gt;0, "IMPACTED", "NOT IMPACTED")</f>
        <v>NOT IMPACTED</v>
      </c>
      <c r="AF501" s="15"/>
      <c r="AG501" s="18"/>
      <c r="AH501" s="14" t="str">
        <f>IF(WFTracker[[#This Row],[Status]]="C", "Closed", IF(WFTracker[[#This Row],[Status]] = "x", "Cancelled", WFTracker[[#This Row],[Impact Time Post RM]]))</f>
        <v>Closed</v>
      </c>
      <c r="AI501" s="14" t="str">
        <f ca="1">IF(WFTracker[[#This Row],[Impact Time Post RM]]&lt;=0,"ON TIME","LATE")</f>
        <v>ON TIME</v>
      </c>
      <c r="AJ501" s="14" t="s">
        <v>984</v>
      </c>
      <c r="AK501" s="14">
        <v>18</v>
      </c>
      <c r="AL501" s="915">
        <f>IF(WFTracker[[#This Row],[Type]]="MAKE", WFTracker[[#This Row],[Due date]]+Filters!$J$111, WFTracker[[#This Row],[Due date]]+Filters!$J$135)</f>
        <v>45975.072512647552</v>
      </c>
      <c r="AM501" s="102" cm="1">
        <f t="array" ref="AM5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2" spans="1:39" ht="15" customHeight="1">
      <c r="A502" t="str">
        <f>IF(WFTracker[[#This Row],[Order Number]]="SWBD", "QED2", "PZ4")</f>
        <v>PZ4</v>
      </c>
      <c r="B502" s="21" t="s">
        <v>530</v>
      </c>
      <c r="C502" s="26" t="s">
        <v>135</v>
      </c>
      <c r="D502" s="23" t="str">
        <f>WFTracker[[#This Row],[Order Number]]  &amp; "-" &amp; WFTracker[[#This Row],[Item]]</f>
        <v>0051378342-000010</v>
      </c>
      <c r="E502" s="23" t="s">
        <v>532</v>
      </c>
      <c r="F502" s="27">
        <v>45957</v>
      </c>
      <c r="G502" s="27"/>
      <c r="H502" s="11" t="s">
        <v>104</v>
      </c>
      <c r="I502" s="11" t="s">
        <v>111</v>
      </c>
      <c r="J502" s="55" t="s">
        <v>1423</v>
      </c>
      <c r="K502" s="14" t="s">
        <v>1023</v>
      </c>
      <c r="L502" s="15" t="s">
        <v>40</v>
      </c>
      <c r="M502" s="29" t="s">
        <v>1123</v>
      </c>
      <c r="N502" s="57">
        <v>46083</v>
      </c>
      <c r="O502" s="15">
        <f>NETWORKDAYS.INTL(WFTracker[[#This Row],[Start date]],WFTracker[[#This Row],[RM]],1,Holidays!D47:D62)</f>
        <v>-7</v>
      </c>
      <c r="P502" s="12">
        <v>45965</v>
      </c>
      <c r="Q502" s="12">
        <v>45975</v>
      </c>
      <c r="R502" s="12">
        <v>45968</v>
      </c>
      <c r="S502" s="12" t="b">
        <f>ISBLANK(WFTracker[[#This Row],[Completion Date]])</f>
        <v>0</v>
      </c>
      <c r="T502" s="12" t="str">
        <f>TEXT(WFTracker[[#This Row],[Start date]],"mmm-yyyy")</f>
        <v>Nov-2025</v>
      </c>
      <c r="U502" s="11">
        <v>10</v>
      </c>
      <c r="V502" s="11">
        <f>NETWORKDAYS.INTL(WFTracker[[#This Row],[Start date]],WFTracker[[#This Row],[Due date]],1,Holidays!D47:D62)</f>
        <v>9</v>
      </c>
      <c r="W5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02" s="24">
        <f ca="1">WFTracker[[#This Row],[Active Time]]-WFTracker[[#This Row],[Completion Days Template]]</f>
        <v>-5</v>
      </c>
      <c r="Y502" s="16" t="str">
        <f ca="1" xml:space="preserve"> IF(WFTracker[[#This Row],[Overdue Time '[Expected-Completion']]]&gt;0, "LATE","ON TIME")</f>
        <v>ON TIME</v>
      </c>
      <c r="Z502" s="16" t="str">
        <f ca="1">IF(WFTracker[[#This Row],[Overdue Time '[Expected-Completion']]] &gt;= 15, "SUPER LATE", Y502)</f>
        <v>ON TIME</v>
      </c>
      <c r="AA502" s="37" t="str">
        <f>IF(WFTracker[[#This Row],[Pre RM Opening Time]]&lt;WFTracker[[#This Row],[Old vs New Order Lead Time WF dead line]], "LATE BY ENG", "ON TIME BY ENG")</f>
        <v>LATE BY ENG</v>
      </c>
      <c r="AB502" s="37" t="s">
        <v>1424</v>
      </c>
      <c r="AC502" s="15" t="str">
        <f>IF(WFTracker[[#This Row],[Competion Date Content]] = FALSE, "C", "i")</f>
        <v>C</v>
      </c>
      <c r="AD5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502" s="25" t="str">
        <f ca="1">IF(WFTracker[[#This Row],[Impact Time Post RM]]&gt;0, "IMPACTED", "NOT IMPACTED")</f>
        <v>IMPACTED</v>
      </c>
      <c r="AF502" s="15"/>
      <c r="AG502" s="18"/>
      <c r="AH502" s="14" t="str">
        <f>IF(WFTracker[[#This Row],[Status]]="C", "Closed", IF(WFTracker[[#This Row],[Status]] = "x", "Cancelled", WFTracker[[#This Row],[Impact Time Post RM]]))</f>
        <v>Closed</v>
      </c>
      <c r="AI502" s="14" t="str">
        <f ca="1">IF(WFTracker[[#This Row],[Impact Time Post RM]]&lt;=0,"ON TIME","LATE")</f>
        <v>LATE</v>
      </c>
      <c r="AJ502" s="14" t="s">
        <v>984</v>
      </c>
      <c r="AK502" s="28">
        <v>17</v>
      </c>
      <c r="AL502" s="915">
        <f>IF(WFTracker[[#This Row],[Type]]="MAKE", WFTracker[[#This Row],[Due date]]+Filters!$J$111, WFTracker[[#This Row],[Due date]]+Filters!$J$135)</f>
        <v>45975.415686274508</v>
      </c>
      <c r="AM502" s="102" cm="1">
        <f t="array" ref="AM5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3" spans="1:39" ht="15" customHeight="1">
      <c r="A503" t="str">
        <f>IF(WFTracker[[#This Row],[Order Number]]="SWBD", "QED2", "PZ4")</f>
        <v>PZ4</v>
      </c>
      <c r="B503" s="21" t="s">
        <v>636</v>
      </c>
      <c r="C503" s="26" t="s">
        <v>555</v>
      </c>
      <c r="D503" s="23" t="str">
        <f>WFTracker[[#This Row],[Order Number]]  &amp; "-" &amp; WFTracker[[#This Row],[Item]]</f>
        <v>0051659711-000060</v>
      </c>
      <c r="E503" s="23" t="s">
        <v>634</v>
      </c>
      <c r="F503" s="27">
        <v>45989</v>
      </c>
      <c r="G503" s="27"/>
      <c r="H503" s="11" t="s">
        <v>252</v>
      </c>
      <c r="I503" s="11" t="s">
        <v>264</v>
      </c>
      <c r="J503" s="55" t="s">
        <v>1425</v>
      </c>
      <c r="K503" s="14" t="s">
        <v>1023</v>
      </c>
      <c r="L503" s="15" t="s">
        <v>27</v>
      </c>
      <c r="M503" s="29" t="s">
        <v>1120</v>
      </c>
      <c r="N503" s="57">
        <v>46267</v>
      </c>
      <c r="O503" s="15">
        <f>NETWORKDAYS.INTL(WFTracker[[#This Row],[Start date]],WFTracker[[#This Row],[RM]],1,Holidays!D440:D455)</f>
        <v>19</v>
      </c>
      <c r="P503" s="12">
        <v>45965</v>
      </c>
      <c r="Q503" s="12">
        <v>45972</v>
      </c>
      <c r="R503" s="12">
        <v>45973</v>
      </c>
      <c r="S503" s="12" t="b">
        <f>ISBLANK(WFTracker[[#This Row],[Completion Date]])</f>
        <v>0</v>
      </c>
      <c r="T503" s="12" t="str">
        <f>TEXT(WFTracker[[#This Row],[Start date]],"mmm-yyyy")</f>
        <v>Nov-2025</v>
      </c>
      <c r="U503" s="11">
        <v>10</v>
      </c>
      <c r="V503" s="11">
        <f>NETWORKDAYS.INTL(WFTracker[[#This Row],[Start date]],WFTracker[[#This Row],[Due date]],1,Holidays!D440:D455)</f>
        <v>6</v>
      </c>
      <c r="W5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503" s="24">
        <f ca="1">WFTracker[[#This Row],[Active Time]]-WFTracker[[#This Row],[Completion Days Template]]</f>
        <v>1</v>
      </c>
      <c r="Y503" s="16" t="str">
        <f ca="1" xml:space="preserve"> IF(WFTracker[[#This Row],[Overdue Time '[Expected-Completion']]]&gt;0, "LATE","ON TIME")</f>
        <v>LATE</v>
      </c>
      <c r="Z503" s="16" t="str">
        <f ca="1">IF(WFTracker[[#This Row],[Overdue Time '[Expected-Completion']]] &gt;= 15, "SUPER LATE", Y503)</f>
        <v>LATE</v>
      </c>
      <c r="AA503" s="37" t="str">
        <f>IF(WFTracker[[#This Row],[Pre RM Opening Time]]&lt;WFTracker[[#This Row],[Old vs New Order Lead Time WF dead line]], "LATE BY ENG", "ON TIME BY ENG")</f>
        <v>ON TIME BY ENG</v>
      </c>
      <c r="AB503" s="37"/>
      <c r="AC503" s="15" t="str">
        <f>IF(WFTracker[[#This Row],[Competion Date Content]] = FALSE, "C", "I")</f>
        <v>C</v>
      </c>
      <c r="AD5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03" s="37" t="str">
        <f ca="1">IF(WFTracker[[#This Row],[Impact Time Post RM]]&gt;0, "IMPACTED", "NOT IMPACTED")</f>
        <v>NOT IMPACTED</v>
      </c>
      <c r="AF503" s="15"/>
      <c r="AG503" s="18"/>
      <c r="AH503" s="14" t="str">
        <f>IF(WFTracker[[#This Row],[Status]]="C", "Closed", IF(WFTracker[[#This Row],[Status]] = "x", "Cancelled", WFTracker[[#This Row],[Impact Time Post RM]]))</f>
        <v>Closed</v>
      </c>
      <c r="AI503" s="14" t="str">
        <f ca="1">IF(WFTracker[[#This Row],[Impact Time Post RM]]&lt;=0,"ON TIME","LATE")</f>
        <v>ON TIME</v>
      </c>
      <c r="AJ503" s="14" t="s">
        <v>984</v>
      </c>
      <c r="AK503" s="14">
        <v>18</v>
      </c>
      <c r="AL503" s="915">
        <f>IF(WFTracker[[#This Row],[Type]]="MAKE", WFTracker[[#This Row],[Due date]]+Filters!$J$111, WFTracker[[#This Row],[Due date]]+Filters!$J$135)</f>
        <v>45975.072512647552</v>
      </c>
      <c r="AM503" s="102" cm="1">
        <f t="array" ref="AM5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4" spans="1:39" ht="15" customHeight="1">
      <c r="A504" t="str">
        <f>IF(WFTracker[[#This Row],[Order Number]]="SWBD", "QED2", "PZ4")</f>
        <v>PZ4</v>
      </c>
      <c r="B504" s="21" t="s">
        <v>636</v>
      </c>
      <c r="C504" s="26" t="s">
        <v>555</v>
      </c>
      <c r="D504" s="23" t="s">
        <v>1426</v>
      </c>
      <c r="E504" s="23" t="s">
        <v>634</v>
      </c>
      <c r="F504" s="27">
        <v>45989</v>
      </c>
      <c r="G504" s="27"/>
      <c r="H504" s="11" t="s">
        <v>252</v>
      </c>
      <c r="I504" s="11" t="s">
        <v>264</v>
      </c>
      <c r="J504" s="55" t="s">
        <v>1427</v>
      </c>
      <c r="K504" s="14" t="s">
        <v>1023</v>
      </c>
      <c r="L504" s="15" t="s">
        <v>27</v>
      </c>
      <c r="M504" s="29" t="s">
        <v>1120</v>
      </c>
      <c r="N504" s="57">
        <v>46267</v>
      </c>
      <c r="O504" s="15">
        <f>NETWORKDAYS.INTL(WFTracker[[#This Row],[Start date]],WFTracker[[#This Row],[RM]],1,Holidays!D420:D435)</f>
        <v>18</v>
      </c>
      <c r="P504" s="12">
        <v>45966</v>
      </c>
      <c r="Q504" s="12">
        <v>45974</v>
      </c>
      <c r="R504" s="12">
        <v>45973</v>
      </c>
      <c r="S504" s="12" t="b">
        <f>ISBLANK(WFTracker[[#This Row],[Completion Date]])</f>
        <v>0</v>
      </c>
      <c r="T504" s="12" t="str">
        <f>TEXT(WFTracker[[#This Row],[Start date]],"mmm-yyyy")</f>
        <v>Nov-2025</v>
      </c>
      <c r="U504" s="11">
        <v>10</v>
      </c>
      <c r="V504" s="11">
        <f>NETWORKDAYS.INTL(WFTracker[[#This Row],[Start date]],WFTracker[[#This Row],[Due date]],1,Holidays!D420:D435)</f>
        <v>7</v>
      </c>
      <c r="W5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04" s="24">
        <f ca="1">WFTracker[[#This Row],[Active Time]]-WFTracker[[#This Row],[Completion Days Template]]</f>
        <v>-1</v>
      </c>
      <c r="Y504" s="16" t="str">
        <f ca="1" xml:space="preserve"> IF(WFTracker[[#This Row],[Overdue Time '[Expected-Completion']]]&gt;0, "LATE","ON TIME")</f>
        <v>ON TIME</v>
      </c>
      <c r="Z504" s="16" t="str">
        <f ca="1">IF(WFTracker[[#This Row],[Overdue Time '[Expected-Completion']]] &gt;= 15, "SUPER LATE", Y504)</f>
        <v>ON TIME</v>
      </c>
      <c r="AA504" s="37" t="str">
        <f>IF(WFTracker[[#This Row],[Pre RM Opening Time]]&lt;WFTracker[[#This Row],[Old vs New Order Lead Time WF dead line]], "LATE BY ENG", "ON TIME BY ENG")</f>
        <v>ON TIME BY ENG</v>
      </c>
      <c r="AB504" s="37"/>
      <c r="AC504" s="15" t="str">
        <f>IF(WFTracker[[#This Row],[Competion Date Content]] = FALSE, "C", "I")</f>
        <v>C</v>
      </c>
      <c r="AD5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04" s="37" t="str">
        <f ca="1">IF(WFTracker[[#This Row],[Impact Time Post RM]]&gt;0, "IMPACTED", "NOT IMPACTED")</f>
        <v>NOT IMPACTED</v>
      </c>
      <c r="AF504" s="15"/>
      <c r="AG504" s="18"/>
      <c r="AH504" s="14" t="str">
        <f>IF(WFTracker[[#This Row],[Status]]="C", "Closed", IF(WFTracker[[#This Row],[Status]] = "x", "Cancelled", WFTracker[[#This Row],[Impact Time Post RM]]))</f>
        <v>Closed</v>
      </c>
      <c r="AI504" s="14" t="str">
        <f ca="1">IF(WFTracker[[#This Row],[Impact Time Post RM]]&lt;=0,"ON TIME","LATE")</f>
        <v>ON TIME</v>
      </c>
      <c r="AJ504" s="14" t="s">
        <v>984</v>
      </c>
      <c r="AK504" s="14">
        <v>18</v>
      </c>
      <c r="AL504" s="915">
        <f>IF(WFTracker[[#This Row],[Type]]="MAKE", WFTracker[[#This Row],[Due date]]+Filters!$J$111, WFTracker[[#This Row],[Due date]]+Filters!$J$135)</f>
        <v>45977.072512647552</v>
      </c>
      <c r="AM504" s="102" cm="1">
        <f t="array" ref="AM5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5" spans="1:39" ht="15" customHeight="1">
      <c r="A505" t="str">
        <f>IF(WFTracker[[#This Row],[Order Number]]="SWBD", "QED2", "PZ4")</f>
        <v>QED2</v>
      </c>
      <c r="B505" s="21" t="s">
        <v>1239</v>
      </c>
      <c r="C505" s="26" t="s">
        <v>1428</v>
      </c>
      <c r="D505" s="23" t="str">
        <f>WFTracker[[#This Row],[Order Number]]  &amp; "-" &amp; WFTracker[[#This Row],[Item]]</f>
        <v>SWBD-META F2.0</v>
      </c>
      <c r="E505" s="123" t="s">
        <v>1428</v>
      </c>
      <c r="F505" s="27">
        <v>45982</v>
      </c>
      <c r="G505" s="27"/>
      <c r="H505" s="11" t="s">
        <v>947</v>
      </c>
      <c r="I505" s="11" t="s">
        <v>1132</v>
      </c>
      <c r="J505" s="55" t="s">
        <v>1429</v>
      </c>
      <c r="K505" s="14" t="s">
        <v>1017</v>
      </c>
      <c r="L505" s="15" t="s">
        <v>1430</v>
      </c>
      <c r="M505" s="29" t="s">
        <v>1120</v>
      </c>
      <c r="N505" s="57" t="s">
        <v>984</v>
      </c>
      <c r="O505" s="15">
        <f>NETWORKDAYS.INTL(WFTracker[[#This Row],[Start date]],WFTracker[[#This Row],[RM]],1,Holidays!D236:D251)</f>
        <v>11</v>
      </c>
      <c r="P505" s="12">
        <v>45968</v>
      </c>
      <c r="Q505" s="12">
        <v>45974</v>
      </c>
      <c r="R505" s="12">
        <v>45975</v>
      </c>
      <c r="S505" s="12" t="b">
        <f>ISBLANK(WFTracker[[#This Row],[Completion Date]])</f>
        <v>0</v>
      </c>
      <c r="T505" s="12" t="str">
        <f>TEXT(WFTracker[[#This Row],[Start date]],"mmm-yyyy")</f>
        <v>Nov-2025</v>
      </c>
      <c r="U505" s="11">
        <v>10</v>
      </c>
      <c r="V505" s="11">
        <f>NETWORKDAYS.INTL(WFTracker[[#This Row],[Start date]],WFTracker[[#This Row],[Due date]],1,Holidays!D236:D251)</f>
        <v>5</v>
      </c>
      <c r="W5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05" s="24">
        <f ca="1">WFTracker[[#This Row],[Active Time]]-WFTracker[[#This Row],[Completion Days Template]]</f>
        <v>1</v>
      </c>
      <c r="Y505" s="16" t="str">
        <f ca="1" xml:space="preserve"> IF(WFTracker[[#This Row],[Overdue Time '[Expected-Completion']]]&gt;0, "LATE","ON TIME")</f>
        <v>LATE</v>
      </c>
      <c r="Z505" s="16" t="str">
        <f ca="1">IF(WFTracker[[#This Row],[Overdue Time '[Expected-Completion']]] &gt;= 15, "SUPER LATE", Y505)</f>
        <v>LATE</v>
      </c>
      <c r="AA505" s="37" t="str">
        <f>IF(WFTracker[[#This Row],[Pre RM Opening Time]]&lt;WFTracker[[#This Row],[Old vs New Order Lead Time WF dead line]], "LATE BY ENG", "ON TIME BY ENG")</f>
        <v>ON TIME BY ENG</v>
      </c>
      <c r="AB505" s="37"/>
      <c r="AC505" s="15" t="str">
        <f>IF(WFTracker[[#This Row],[Competion Date Content]] = FALSE, "C", "I")</f>
        <v>C</v>
      </c>
      <c r="AD5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505" s="37" t="str">
        <f ca="1">IF(WFTracker[[#This Row],[Impact Time Post RM]]&gt;0, "IMPACTED", "NOT IMPACTED")</f>
        <v>NOT IMPACTED</v>
      </c>
      <c r="AF505" s="15"/>
      <c r="AG505" s="18"/>
      <c r="AH505" s="14" t="str">
        <f>IF(WFTracker[[#This Row],[Status]]="C", "Closed", IF(WFTracker[[#This Row],[Status]] = "x", "Cancelled", WFTracker[[#This Row],[Impact Time Post RM]]))</f>
        <v>Closed</v>
      </c>
      <c r="AI505" s="14" t="str">
        <f ca="1">IF(WFTracker[[#This Row],[Impact Time Post RM]]&lt;=0,"ON TIME","LATE")</f>
        <v>ON TIME</v>
      </c>
      <c r="AJ505" s="14" t="s">
        <v>984</v>
      </c>
      <c r="AK505" s="14">
        <v>11</v>
      </c>
      <c r="AL505" s="915">
        <f>IF(WFTracker[[#This Row],[Type]]="MAKE", WFTracker[[#This Row],[Due date]]+Filters!$J$111, WFTracker[[#This Row],[Due date]]+Filters!$J$135)</f>
        <v>45974.415686274508</v>
      </c>
      <c r="AM505" s="102" cm="1">
        <f t="array" ref="AM5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6" spans="1:39" ht="15" customHeight="1">
      <c r="A506" t="str">
        <f>IF(WFTracker[[#This Row],[Order Number]]="SWBD", "QED2", "PZ4")</f>
        <v>QED2</v>
      </c>
      <c r="B506" s="21" t="s">
        <v>1239</v>
      </c>
      <c r="C506" s="26" t="s">
        <v>1428</v>
      </c>
      <c r="D506" s="23" t="str">
        <f>WFTracker[[#This Row],[Order Number]]  &amp; "-" &amp; WFTracker[[#This Row],[Item]]</f>
        <v>SWBD-META F2.0</v>
      </c>
      <c r="E506" s="110" t="s">
        <v>1428</v>
      </c>
      <c r="F506" s="27">
        <v>45982</v>
      </c>
      <c r="G506" s="27"/>
      <c r="H506" s="11" t="s">
        <v>947</v>
      </c>
      <c r="I506" s="11" t="s">
        <v>1132</v>
      </c>
      <c r="J506" s="55" t="s">
        <v>1431</v>
      </c>
      <c r="K506" s="14" t="s">
        <v>1017</v>
      </c>
      <c r="L506" s="15" t="s">
        <v>27</v>
      </c>
      <c r="M506" s="29" t="s">
        <v>1120</v>
      </c>
      <c r="N506" s="57" t="s">
        <v>984</v>
      </c>
      <c r="O506" s="15">
        <f>NETWORKDAYS.INTL(WFTracker[[#This Row],[Start date]],WFTracker[[#This Row],[RM]],1,Holidays!D237:D252)</f>
        <v>11</v>
      </c>
      <c r="P506" s="12">
        <v>45968</v>
      </c>
      <c r="Q506" s="12">
        <v>45975</v>
      </c>
      <c r="R506" s="12">
        <v>45974</v>
      </c>
      <c r="S506" s="12" t="b">
        <f>ISBLANK(WFTracker[[#This Row],[Completion Date]])</f>
        <v>0</v>
      </c>
      <c r="T506" s="12" t="str">
        <f>TEXT(WFTracker[[#This Row],[Start date]],"mmm-yyyy")</f>
        <v>Nov-2025</v>
      </c>
      <c r="U506" s="11">
        <v>10</v>
      </c>
      <c r="V506" s="11">
        <f>NETWORKDAYS.INTL(WFTracker[[#This Row],[Start date]],WFTracker[[#This Row],[Due date]],1,Holidays!D237:D252)</f>
        <v>6</v>
      </c>
      <c r="W5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06" s="24">
        <f ca="1">WFTracker[[#This Row],[Active Time]]-WFTracker[[#This Row],[Completion Days Template]]</f>
        <v>-1</v>
      </c>
      <c r="Y506" s="16" t="str">
        <f ca="1" xml:space="preserve"> IF(WFTracker[[#This Row],[Overdue Time '[Expected-Completion']]]&gt;0, "LATE","ON TIME")</f>
        <v>ON TIME</v>
      </c>
      <c r="Z506" s="16" t="str">
        <f ca="1">IF(WFTracker[[#This Row],[Overdue Time '[Expected-Completion']]] &gt;= 15, "SUPER LATE", Y506)</f>
        <v>ON TIME</v>
      </c>
      <c r="AA506" s="37" t="str">
        <f>IF(WFTracker[[#This Row],[Pre RM Opening Time]]&lt;WFTracker[[#This Row],[Old vs New Order Lead Time WF dead line]], "LATE BY ENG", "ON TIME BY ENG")</f>
        <v>ON TIME BY ENG</v>
      </c>
      <c r="AB506" s="37"/>
      <c r="AC506" s="15" t="str">
        <f>IF(WFTracker[[#This Row],[Competion Date Content]] = FALSE, "C", "I")</f>
        <v>C</v>
      </c>
      <c r="AD5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06" s="37" t="str">
        <f ca="1">IF(WFTracker[[#This Row],[Impact Time Post RM]]&gt;0, "IMPACTED", "NOT IMPACTED")</f>
        <v>NOT IMPACTED</v>
      </c>
      <c r="AF506" s="15"/>
      <c r="AG506" s="18"/>
      <c r="AH506" s="14" t="str">
        <f>IF(WFTracker[[#This Row],[Status]]="C", "Closed", IF(WFTracker[[#This Row],[Status]] = "x", "Cancelled", WFTracker[[#This Row],[Impact Time Post RM]]))</f>
        <v>Closed</v>
      </c>
      <c r="AI506" s="14" t="str">
        <f ca="1">IF(WFTracker[[#This Row],[Impact Time Post RM]]&lt;=0,"ON TIME","LATE")</f>
        <v>ON TIME</v>
      </c>
      <c r="AJ506" s="14" t="s">
        <v>984</v>
      </c>
      <c r="AK506" s="14">
        <v>18</v>
      </c>
      <c r="AL506" s="915">
        <f>IF(WFTracker[[#This Row],[Type]]="MAKE", WFTracker[[#This Row],[Due date]]+Filters!$J$111, WFTracker[[#This Row],[Due date]]+Filters!$J$135)</f>
        <v>45978.072512647552</v>
      </c>
      <c r="AM506" s="102" cm="1">
        <f t="array" ref="AM5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7" spans="1:39" ht="15" customHeight="1">
      <c r="A507" t="str">
        <f>IF(WFTracker[[#This Row],[Order Number]]="SWBD", "QED2", "PZ4")</f>
        <v>QED2</v>
      </c>
      <c r="B507" s="21" t="s">
        <v>1239</v>
      </c>
      <c r="C507" s="26" t="s">
        <v>1428</v>
      </c>
      <c r="D507" s="23" t="str">
        <f>WFTracker[[#This Row],[Order Number]]  &amp; "-" &amp; WFTracker[[#This Row],[Item]]</f>
        <v>SWBD-META F2.0</v>
      </c>
      <c r="E507" s="123" t="s">
        <v>1428</v>
      </c>
      <c r="F507" s="27">
        <v>45982</v>
      </c>
      <c r="G507" s="27"/>
      <c r="H507" s="11" t="s">
        <v>947</v>
      </c>
      <c r="I507" s="11" t="s">
        <v>1132</v>
      </c>
      <c r="J507" s="55" t="s">
        <v>1432</v>
      </c>
      <c r="K507" s="14" t="s">
        <v>1017</v>
      </c>
      <c r="L507" s="15" t="s">
        <v>40</v>
      </c>
      <c r="M507" s="29" t="s">
        <v>1120</v>
      </c>
      <c r="N507" s="57" t="s">
        <v>984</v>
      </c>
      <c r="O507" s="15">
        <f>NETWORKDAYS.INTL(WFTracker[[#This Row],[Start date]],WFTracker[[#This Row],[RM]],1,Holidays!D238:D253)</f>
        <v>11</v>
      </c>
      <c r="P507" s="12">
        <v>45968</v>
      </c>
      <c r="Q507" s="12">
        <v>45980</v>
      </c>
      <c r="R507" s="12">
        <v>45974</v>
      </c>
      <c r="S507" s="12" t="b">
        <f>ISBLANK(WFTracker[[#This Row],[Completion Date]])</f>
        <v>0</v>
      </c>
      <c r="T507" s="12" t="str">
        <f>TEXT(WFTracker[[#This Row],[Start date]],"mmm-yyyy")</f>
        <v>Nov-2025</v>
      </c>
      <c r="U507" s="11">
        <v>10</v>
      </c>
      <c r="V507" s="11">
        <f>NETWORKDAYS.INTL(WFTracker[[#This Row],[Start date]],WFTracker[[#This Row],[Due date]],1,Holidays!D238:D253)</f>
        <v>9</v>
      </c>
      <c r="W5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07" s="24">
        <f ca="1">WFTracker[[#This Row],[Active Time]]-WFTracker[[#This Row],[Completion Days Template]]</f>
        <v>-4</v>
      </c>
      <c r="Y507" s="16" t="str">
        <f ca="1" xml:space="preserve"> IF(WFTracker[[#This Row],[Overdue Time '[Expected-Completion']]]&gt;0, "LATE","ON TIME")</f>
        <v>ON TIME</v>
      </c>
      <c r="Z507" s="16" t="str">
        <f ca="1">IF(WFTracker[[#This Row],[Overdue Time '[Expected-Completion']]] &gt;= 15, "SUPER LATE", Y507)</f>
        <v>ON TIME</v>
      </c>
      <c r="AA507" s="37" t="str">
        <f>IF(WFTracker[[#This Row],[Pre RM Opening Time]]&lt;WFTracker[[#This Row],[Old vs New Order Lead Time WF dead line]], "LATE BY ENG", "ON TIME BY ENG")</f>
        <v>ON TIME BY ENG</v>
      </c>
      <c r="AB507" s="37"/>
      <c r="AC507" s="15" t="str">
        <f>IF(WFTracker[[#This Row],[Competion Date Content]] = FALSE, "C", "I")</f>
        <v>C</v>
      </c>
      <c r="AD5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07" s="25" t="str">
        <f ca="1">IF(WFTracker[[#This Row],[Impact Time Post RM]]&gt;0, "IMPACTED", "NOT IMPACTED")</f>
        <v>NOT IMPACTED</v>
      </c>
      <c r="AF507" s="15"/>
      <c r="AG507" s="18"/>
      <c r="AH507" s="14" t="str">
        <f>IF(WFTracker[[#This Row],[Status]]="C", "Closed", IF(WFTracker[[#This Row],[Status]] = "x", "Cancelled", WFTracker[[#This Row],[Impact Time Post RM]]))</f>
        <v>Closed</v>
      </c>
      <c r="AI507" s="14" t="str">
        <f ca="1">IF(WFTracker[[#This Row],[Impact Time Post RM]]&lt;=0,"ON TIME","LATE")</f>
        <v>ON TIME</v>
      </c>
      <c r="AJ507" s="14" t="s">
        <v>984</v>
      </c>
      <c r="AK507" s="14">
        <v>17</v>
      </c>
      <c r="AL507" s="915">
        <f>IF(WFTracker[[#This Row],[Type]]="MAKE", WFTracker[[#This Row],[Due date]]+Filters!$J$111, WFTracker[[#This Row],[Due date]]+Filters!$J$135)</f>
        <v>45980.415686274508</v>
      </c>
      <c r="AM507" s="102" cm="1">
        <f t="array" ref="AM50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8" spans="1:39" ht="15" customHeight="1">
      <c r="A508" t="str">
        <f>IF(WFTracker[[#This Row],[Order Number]]="SWBD", "QED2", "PZ4")</f>
        <v>PZ4</v>
      </c>
      <c r="B508" s="21" t="s">
        <v>650</v>
      </c>
      <c r="C508" s="26" t="s">
        <v>867</v>
      </c>
      <c r="D508" s="23" t="str">
        <f>WFTracker[[#This Row],[Order Number]]  &amp; "-" &amp; WFTracker[[#This Row],[Item]]</f>
        <v>0051095105-000410</v>
      </c>
      <c r="E508" s="23" t="s">
        <v>652</v>
      </c>
      <c r="F508" s="27">
        <v>45996</v>
      </c>
      <c r="G508" s="27"/>
      <c r="H508" s="11" t="s">
        <v>80</v>
      </c>
      <c r="I508" s="11"/>
      <c r="J508" s="55" t="s">
        <v>1433</v>
      </c>
      <c r="K508" s="14" t="s">
        <v>1023</v>
      </c>
      <c r="L508" s="15" t="s">
        <v>27</v>
      </c>
      <c r="M508" s="29" t="s">
        <v>1120</v>
      </c>
      <c r="N508" s="57">
        <v>46157</v>
      </c>
      <c r="O508" s="15">
        <f>NETWORKDAYS.INTL(WFTracker[[#This Row],[Start date]],WFTracker[[#This Row],[RM]],1,Holidays!D486:D501)</f>
        <v>21</v>
      </c>
      <c r="P508" s="12">
        <v>45968</v>
      </c>
      <c r="Q508" s="12">
        <v>45975</v>
      </c>
      <c r="R508" s="12">
        <v>45975</v>
      </c>
      <c r="S508" s="12" t="b">
        <f>ISBLANK(WFTracker[[#This Row],[Completion Date]])</f>
        <v>0</v>
      </c>
      <c r="T508" s="12" t="str">
        <f>TEXT(WFTracker[[#This Row],[Start date]],"mmm-yyyy")</f>
        <v>Nov-2025</v>
      </c>
      <c r="U508" s="11">
        <v>10</v>
      </c>
      <c r="V508" s="11">
        <f>NETWORKDAYS.INTL(WFTracker[[#This Row],[Start date]],WFTracker[[#This Row],[Due date]],1,Holidays!D486:D501)</f>
        <v>6</v>
      </c>
      <c r="W5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08" s="24">
        <f ca="1">WFTracker[[#This Row],[Active Time]]-WFTracker[[#This Row],[Completion Days Template]]</f>
        <v>0</v>
      </c>
      <c r="Y508" s="16" t="str">
        <f ca="1" xml:space="preserve"> IF(WFTracker[[#This Row],[Overdue Time '[Expected-Completion']]]&gt;0, "LATE","ON TIME")</f>
        <v>ON TIME</v>
      </c>
      <c r="Z508" s="16" t="str">
        <f ca="1">IF(WFTracker[[#This Row],[Overdue Time '[Expected-Completion']]] &gt;= 15, "SUPER LATE", Y508)</f>
        <v>ON TIME</v>
      </c>
      <c r="AA508" s="37" t="str">
        <f>IF(WFTracker[[#This Row],[Pre RM Opening Time]]&lt;WFTracker[[#This Row],[Old vs New Order Lead Time WF dead line]], "LATE BY ENG", "ON TIME BY ENG")</f>
        <v>ON TIME BY ENG</v>
      </c>
      <c r="AB508" s="37"/>
      <c r="AC508" s="15" t="str">
        <f>IF(WFTracker[[#This Row],[Competion Date Content]] = FALSE, "C", "I")</f>
        <v>C</v>
      </c>
      <c r="AD5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508" s="37" t="str">
        <f ca="1">IF(WFTracker[[#This Row],[Impact Time Post RM]]&gt;0, "IMPACTED", "NOT IMPACTED")</f>
        <v>NOT IMPACTED</v>
      </c>
      <c r="AF508" s="15"/>
      <c r="AG508" s="18"/>
      <c r="AH508" s="14" t="str">
        <f>IF(WFTracker[[#This Row],[Status]]="C", "Closed", IF(WFTracker[[#This Row],[Status]] = "x", "Cancelled", WFTracker[[#This Row],[Impact Time Post RM]]))</f>
        <v>Closed</v>
      </c>
      <c r="AI508" s="14" t="str">
        <f ca="1">IF(WFTracker[[#This Row],[Impact Time Post RM]]&lt;=0,"ON TIME","LATE")</f>
        <v>ON TIME</v>
      </c>
      <c r="AJ508" s="14" t="s">
        <v>984</v>
      </c>
      <c r="AK508" s="14">
        <v>18</v>
      </c>
      <c r="AL508" s="915">
        <f>IF(WFTracker[[#This Row],[Type]]="MAKE", WFTracker[[#This Row],[Due date]]+Filters!$J$111, WFTracker[[#This Row],[Due date]]+Filters!$J$135)</f>
        <v>45978.072512647552</v>
      </c>
      <c r="AM508" s="102" cm="1">
        <f t="array" ref="AM50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09" spans="1:39" ht="15" customHeight="1">
      <c r="A509" t="str">
        <f>IF(WFTracker[[#This Row],[Order Number]]="SWBD", "QED2", "PZ4")</f>
        <v>PZ4</v>
      </c>
      <c r="B509" s="21" t="s">
        <v>1434</v>
      </c>
      <c r="C509" s="26" t="s">
        <v>1434</v>
      </c>
      <c r="D509" s="23" t="str">
        <f>WFTracker[[#This Row],[Order Number]]  &amp; "-" &amp; WFTracker[[#This Row],[Item]]</f>
        <v>SPECIAL-SPECIAL</v>
      </c>
      <c r="E509" s="23" t="s">
        <v>1435</v>
      </c>
      <c r="F509" s="27">
        <v>45985</v>
      </c>
      <c r="G509" s="27"/>
      <c r="H509" s="11" t="s">
        <v>709</v>
      </c>
      <c r="I509" s="11"/>
      <c r="J509" s="55" t="s">
        <v>1436</v>
      </c>
      <c r="K509" s="14" t="s">
        <v>1023</v>
      </c>
      <c r="L509" s="15" t="s">
        <v>40</v>
      </c>
      <c r="M509" s="29" t="s">
        <v>984</v>
      </c>
      <c r="N509" s="57" t="s">
        <v>984</v>
      </c>
      <c r="O509" s="15">
        <f>NETWORKDAYS.INTL(WFTracker[[#This Row],[Start date]],WFTracker[[#This Row],[RM]],1,Holidays!D239:D254)</f>
        <v>11</v>
      </c>
      <c r="P509" s="12">
        <v>45971</v>
      </c>
      <c r="Q509" s="12">
        <v>45985</v>
      </c>
      <c r="R509" s="12">
        <v>45980</v>
      </c>
      <c r="S509" s="12" t="b">
        <f>ISBLANK(WFTracker[[#This Row],[Completion Date]])</f>
        <v>0</v>
      </c>
      <c r="T509" s="12" t="str">
        <f>TEXT(WFTracker[[#This Row],[Start date]],"mmm-yyyy")</f>
        <v>Nov-2025</v>
      </c>
      <c r="U509" s="11">
        <v>10</v>
      </c>
      <c r="V509" s="11">
        <f>NETWORKDAYS.INTL(WFTracker[[#This Row],[Start date]],WFTracker[[#This Row],[Due date]],1,Holidays!D239:D254)</f>
        <v>11</v>
      </c>
      <c r="W5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09" s="24">
        <f ca="1">WFTracker[[#This Row],[Active Time]]-WFTracker[[#This Row],[Completion Days Template]]</f>
        <v>-5</v>
      </c>
      <c r="Y509" s="16" t="str">
        <f ca="1" xml:space="preserve"> IF(WFTracker[[#This Row],[Overdue Time '[Expected-Completion']]]&gt;0, "LATE","ON TIME")</f>
        <v>ON TIME</v>
      </c>
      <c r="Z509" s="16" t="str">
        <f ca="1">IF(WFTracker[[#This Row],[Overdue Time '[Expected-Completion']]] &gt;= 15, "SUPER LATE", Y509)</f>
        <v>ON TIME</v>
      </c>
      <c r="AA509" s="37" t="str">
        <f>IF(WFTracker[[#This Row],[Pre RM Opening Time]]&lt;WFTracker[[#This Row],[Old vs New Order Lead Time WF dead line]], "LATE BY ENG", "ON TIME BY ENG")</f>
        <v>ON TIME BY ENG</v>
      </c>
      <c r="AB509" s="37"/>
      <c r="AC509" s="15" t="str">
        <f>IF(WFTracker[[#This Row],[Competion Date Content]] = FALSE, "C", "I")</f>
        <v>C</v>
      </c>
      <c r="AD5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509" s="25" t="str">
        <f ca="1">IF(WFTracker[[#This Row],[Impact Time Post RM]]&gt;0, "IMPACTED", "NOT IMPACTED")</f>
        <v>NOT IMPACTED</v>
      </c>
      <c r="AF509" s="15"/>
      <c r="AG509" s="18"/>
      <c r="AH509" s="14" t="str">
        <f>IF(WFTracker[[#This Row],[Status]]="C", "Closed", IF(WFTracker[[#This Row],[Status]] = "x", "Cancelled", WFTracker[[#This Row],[Impact Time Post RM]]))</f>
        <v>Closed</v>
      </c>
      <c r="AI509" s="14" t="str">
        <f ca="1">IF(WFTracker[[#This Row],[Impact Time Post RM]]&lt;=0,"ON TIME","LATE")</f>
        <v>ON TIME</v>
      </c>
      <c r="AJ509" s="14" t="s">
        <v>984</v>
      </c>
      <c r="AK509" s="14">
        <v>17</v>
      </c>
      <c r="AL509" s="915">
        <f>IF(WFTracker[[#This Row],[Type]]="MAKE", WFTracker[[#This Row],[Due date]]+Filters!$J$111, WFTracker[[#This Row],[Due date]]+Filters!$J$135)</f>
        <v>45985.415686274508</v>
      </c>
      <c r="AM509" s="102" cm="1">
        <f t="array" ref="AM5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0" spans="1:39" ht="15" customHeight="1">
      <c r="A510" t="str">
        <f>IF(WFTracker[[#This Row],[Order Number]]="SWBD", "QED2", "PZ4")</f>
        <v>PZ4</v>
      </c>
      <c r="B510" s="21" t="s">
        <v>1437</v>
      </c>
      <c r="C510" s="26" t="s">
        <v>257</v>
      </c>
      <c r="D510" s="23" t="str">
        <f>WFTracker[[#This Row],[Order Number]]  &amp; "-" &amp; WFTracker[[#This Row],[Item]]</f>
        <v xml:space="preserve">	0051659711-000090</v>
      </c>
      <c r="E510" s="23" t="s">
        <v>634</v>
      </c>
      <c r="F510" s="27">
        <v>45989</v>
      </c>
      <c r="G510" s="27"/>
      <c r="H510" s="11" t="s">
        <v>252</v>
      </c>
      <c r="I510" s="11"/>
      <c r="J510" s="55" t="s">
        <v>635</v>
      </c>
      <c r="K510" s="14" t="s">
        <v>1017</v>
      </c>
      <c r="L510" s="15" t="s">
        <v>27</v>
      </c>
      <c r="M510" s="29" t="s">
        <v>1120</v>
      </c>
      <c r="N510" s="57">
        <v>46267</v>
      </c>
      <c r="O510" s="15">
        <f>NETWORKDAYS.INTL(WFTracker[[#This Row],[Start date]],WFTracker[[#This Row],[RM]],1,Holidays!D347:D362)</f>
        <v>15</v>
      </c>
      <c r="P510" s="12">
        <v>45971</v>
      </c>
      <c r="Q510" s="12">
        <v>45979</v>
      </c>
      <c r="R510" s="12">
        <v>45981</v>
      </c>
      <c r="S510" s="12" t="b">
        <f>ISBLANK(WFTracker[[#This Row],[Completion Date]])</f>
        <v>0</v>
      </c>
      <c r="T510" s="12" t="str">
        <f>TEXT(WFTracker[[#This Row],[Start date]],"mmm-yyyy")</f>
        <v>Nov-2025</v>
      </c>
      <c r="U510" s="11">
        <v>10</v>
      </c>
      <c r="V510" s="11">
        <f>NETWORKDAYS.INTL(WFTracker[[#This Row],[Start date]],WFTracker[[#This Row],[Due date]],1,Holidays!D347:D362)</f>
        <v>7</v>
      </c>
      <c r="W5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10" s="24">
        <f ca="1">WFTracker[[#This Row],[Active Time]]-WFTracker[[#This Row],[Completion Days Template]]</f>
        <v>-1</v>
      </c>
      <c r="Y510" s="16" t="str">
        <f ca="1" xml:space="preserve"> IF(WFTracker[[#This Row],[Overdue Time '[Expected-Completion']]]&gt;0, "LATE","ON TIME")</f>
        <v>ON TIME</v>
      </c>
      <c r="Z510" s="16" t="str">
        <f ca="1">IF(WFTracker[[#This Row],[Overdue Time '[Expected-Completion']]] &gt;= 15, "SUPER LATE", Y510)</f>
        <v>ON TIME</v>
      </c>
      <c r="AA510" s="37" t="str">
        <f>IF(WFTracker[[#This Row],[Pre RM Opening Time]]&lt;WFTracker[[#This Row],[Old vs New Order Lead Time WF dead line]], "LATE BY ENG", "ON TIME BY ENG")</f>
        <v>ON TIME BY ENG</v>
      </c>
      <c r="AB510" s="37"/>
      <c r="AC510" s="15" t="str">
        <f>IF(WFTracker[[#This Row],[Competion Date Content]] = FALSE, "C", "I")</f>
        <v>C</v>
      </c>
      <c r="AD5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10" s="37" t="str">
        <f ca="1">IF(WFTracker[[#This Row],[Impact Time Post RM]]&gt;0, "IMPACTED", "NOT IMPACTED")</f>
        <v>NOT IMPACTED</v>
      </c>
      <c r="AF510" s="15"/>
      <c r="AG510" s="18"/>
      <c r="AH510" s="14" t="str">
        <f>IF(WFTracker[[#This Row],[Status]]="C", "Closed", IF(WFTracker[[#This Row],[Status]] = "x", "Cancelled", WFTracker[[#This Row],[Impact Time Post RM]]))</f>
        <v>Closed</v>
      </c>
      <c r="AI510" s="14" t="str">
        <f ca="1">IF(WFTracker[[#This Row],[Impact Time Post RM]]&lt;=0,"ON TIME","LATE")</f>
        <v>ON TIME</v>
      </c>
      <c r="AJ510" s="14" t="s">
        <v>984</v>
      </c>
      <c r="AK510" s="14">
        <v>18</v>
      </c>
      <c r="AL510" s="915">
        <f>IF(WFTracker[[#This Row],[Type]]="MAKE", WFTracker[[#This Row],[Due date]]+Filters!$J$111, WFTracker[[#This Row],[Due date]]+Filters!$J$135)</f>
        <v>45982.072512647552</v>
      </c>
      <c r="AM510" s="102" cm="1">
        <f t="array" ref="AM5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1" spans="1:39" ht="15" customHeight="1">
      <c r="A511" t="str">
        <f>IF(WFTracker[[#This Row],[Order Number]]="SWBD", "QED2", "PZ4")</f>
        <v>PZ4</v>
      </c>
      <c r="B511" s="21" t="s">
        <v>601</v>
      </c>
      <c r="C511" s="26" t="s">
        <v>102</v>
      </c>
      <c r="D511" s="23" t="str">
        <f>WFTracker[[#This Row],[Order Number]]  &amp; "-" &amp; WFTracker[[#This Row],[Item]]</f>
        <v>0051378207-000270</v>
      </c>
      <c r="E511" s="26" t="s">
        <v>602</v>
      </c>
      <c r="F511" s="27">
        <v>45989</v>
      </c>
      <c r="G511" s="27"/>
      <c r="H511" s="11" t="s">
        <v>137</v>
      </c>
      <c r="I511" s="11" t="s">
        <v>238</v>
      </c>
      <c r="J511" s="113" t="s">
        <v>1438</v>
      </c>
      <c r="K511" s="14" t="s">
        <v>1023</v>
      </c>
      <c r="L511" s="15" t="s">
        <v>40</v>
      </c>
      <c r="M511" s="29" t="s">
        <v>1120</v>
      </c>
      <c r="N511" s="57">
        <v>46051</v>
      </c>
      <c r="O511" s="15">
        <f>NETWORKDAYS.INTL(WFTracker[[#This Row],[Start date]],WFTracker[[#This Row],[RM]],1,Holidays!D348:D363)</f>
        <v>15</v>
      </c>
      <c r="P511" s="12">
        <v>45971</v>
      </c>
      <c r="Q511" s="12">
        <v>45981</v>
      </c>
      <c r="R511" s="12">
        <v>45972</v>
      </c>
      <c r="S511" s="12" t="b">
        <f>ISBLANK(WFTracker[[#This Row],[Completion Date]])</f>
        <v>0</v>
      </c>
      <c r="T511" s="12" t="str">
        <f>TEXT(WFTracker[[#This Row],[Start date]],"mmm-yyyy")</f>
        <v>Nov-2025</v>
      </c>
      <c r="U511" s="11">
        <v>10</v>
      </c>
      <c r="V511" s="11">
        <f>NETWORKDAYS.INTL(WFTracker[[#This Row],[Start date]],WFTracker[[#This Row],[Due date]],1,Holidays!D348:D363)</f>
        <v>9</v>
      </c>
      <c r="W5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11" s="24">
        <f ca="1">WFTracker[[#This Row],[Active Time]]-WFTracker[[#This Row],[Completion Days Template]]</f>
        <v>-7</v>
      </c>
      <c r="Y511" s="16" t="str">
        <f ca="1" xml:space="preserve"> IF(WFTracker[[#This Row],[Overdue Time '[Expected-Completion']]]&gt;0, "LATE","ON TIME")</f>
        <v>ON TIME</v>
      </c>
      <c r="Z511" s="16" t="str">
        <f ca="1">IF(WFTracker[[#This Row],[Overdue Time '[Expected-Completion']]] &gt;= 15, "SUPER LATE", Y511)</f>
        <v>ON TIME</v>
      </c>
      <c r="AA511" s="37" t="str">
        <f>IF(WFTracker[[#This Row],[Pre RM Opening Time]]&lt;WFTracker[[#This Row],[Old vs New Order Lead Time WF dead line]], "LATE BY ENG", "ON TIME BY ENG")</f>
        <v>ON TIME BY ENG</v>
      </c>
      <c r="AB511" s="37"/>
      <c r="AC511" s="15" t="s">
        <v>46</v>
      </c>
      <c r="AD5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11" s="25" t="str">
        <f ca="1">IF(WFTracker[[#This Row],[Impact Time Post RM]]&gt;0, "IMPACTED", "NOT IMPACTED")</f>
        <v>NOT IMPACTED</v>
      </c>
      <c r="AF511" s="15"/>
      <c r="AG511" s="18"/>
      <c r="AH511" s="14" t="str">
        <f>IF(WFTracker[[#This Row],[Status]]="C", "Closed", IF(WFTracker[[#This Row],[Status]] = "x", "Cancelled", WFTracker[[#This Row],[Impact Time Post RM]]))</f>
        <v>Cancelled</v>
      </c>
      <c r="AI511" s="14" t="str">
        <f ca="1">IF(WFTracker[[#This Row],[Impact Time Post RM]]&lt;=0,"ON TIME","LATE")</f>
        <v>ON TIME</v>
      </c>
      <c r="AJ511" s="14" t="s">
        <v>984</v>
      </c>
      <c r="AK511" s="14">
        <v>0</v>
      </c>
      <c r="AL511" s="915">
        <f>IF(WFTracker[[#This Row],[Type]]="MAKE", WFTracker[[#This Row],[Due date]]+Filters!$J$111, WFTracker[[#This Row],[Due date]]+Filters!$J$135)</f>
        <v>45981.415686274508</v>
      </c>
      <c r="AM511" s="102" cm="1">
        <f t="array" ref="AM511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12" spans="1:39" ht="15" customHeight="1">
      <c r="A512" t="str">
        <f>IF(WFTracker[[#This Row],[Order Number]]="SWBD", "QED2", "PZ4")</f>
        <v>PZ4</v>
      </c>
      <c r="B512" s="21" t="s">
        <v>1437</v>
      </c>
      <c r="C512" s="109" t="s">
        <v>257</v>
      </c>
      <c r="D512" s="23" t="str">
        <f>WFTracker[[#This Row],[Order Number]]  &amp; "-" &amp; WFTracker[[#This Row],[Item]]</f>
        <v xml:space="preserve">	0051659711-000090</v>
      </c>
      <c r="E512" s="109" t="s">
        <v>634</v>
      </c>
      <c r="F512" s="27">
        <v>45989</v>
      </c>
      <c r="G512" s="27"/>
      <c r="H512" s="11" t="s">
        <v>252</v>
      </c>
      <c r="I512" s="11"/>
      <c r="J512" s="113" t="s">
        <v>637</v>
      </c>
      <c r="K512" s="14" t="s">
        <v>1017</v>
      </c>
      <c r="L512" s="15" t="s">
        <v>40</v>
      </c>
      <c r="M512" s="29" t="s">
        <v>1120</v>
      </c>
      <c r="N512" s="57">
        <v>46267</v>
      </c>
      <c r="O512" s="29">
        <f>NETWORKDAYS.INTL(WFTracker[[#This Row],[Start date]],WFTracker[[#This Row],[RM]],1,Holidays!D349:D364)</f>
        <v>15</v>
      </c>
      <c r="P512" s="27">
        <v>45971</v>
      </c>
      <c r="Q512" s="27">
        <v>45981</v>
      </c>
      <c r="R512" s="27">
        <v>45981</v>
      </c>
      <c r="S512" s="27" t="b">
        <f>ISBLANK(WFTracker[[#This Row],[Completion Date]])</f>
        <v>0</v>
      </c>
      <c r="T512" s="27" t="str">
        <f>TEXT(WFTracker[[#This Row],[Start date]],"mmm-yyyy")</f>
        <v>Nov-2025</v>
      </c>
      <c r="U512" s="11">
        <v>10</v>
      </c>
      <c r="V512" s="11">
        <f>NETWORKDAYS.INTL(WFTracker[[#This Row],[Start date]],WFTracker[[#This Row],[Due date]],1,Holidays!D349:D364)</f>
        <v>9</v>
      </c>
      <c r="W5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12" s="30">
        <f ca="1">WFTracker[[#This Row],[Active Time]]-WFTracker[[#This Row],[Completion Days Template]]</f>
        <v>-3</v>
      </c>
      <c r="Y512" s="34" t="str">
        <f ca="1" xml:space="preserve"> IF(WFTracker[[#This Row],[Overdue Time '[Expected-Completion']]]&gt;0, "LATE","ON TIME")</f>
        <v>ON TIME</v>
      </c>
      <c r="Z512" s="34" t="str">
        <f ca="1">IF(WFTracker[[#This Row],[Overdue Time '[Expected-Completion']]] &gt;= 15, "SUPER LATE", Y512)</f>
        <v>ON TIME</v>
      </c>
      <c r="AA512" s="105" t="str">
        <f>IF(WFTracker[[#This Row],[Pre RM Opening Time]]&lt;WFTracker[[#This Row],[Old vs New Order Lead Time WF dead line]], "LATE BY ENG", "ON TIME BY ENG")</f>
        <v>ON TIME BY ENG</v>
      </c>
      <c r="AB512" s="105"/>
      <c r="AC512" s="15" t="str">
        <f>IF(WFTracker[[#This Row],[Competion Date Content]] = FALSE, "C", "I")</f>
        <v>C</v>
      </c>
      <c r="AD5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12" s="105" t="str">
        <f ca="1">IF(WFTracker[[#This Row],[Impact Time Post RM]]&gt;0, "IMPACTED", "NOT IMPACTED")</f>
        <v>NOT IMPACTED</v>
      </c>
      <c r="AF512" s="15"/>
      <c r="AG512" s="42"/>
      <c r="AH512" s="14" t="str">
        <f>IF(WFTracker[[#This Row],[Status]]="C", "Closed", IF(WFTracker[[#This Row],[Status]] = "x", "Cancelled", WFTracker[[#This Row],[Impact Time Post RM]]))</f>
        <v>Closed</v>
      </c>
      <c r="AI512" s="14" t="str">
        <f ca="1">IF(WFTracker[[#This Row],[Impact Time Post RM]]&lt;=0,"ON TIME","LATE")</f>
        <v>ON TIME</v>
      </c>
      <c r="AJ512" s="14" t="s">
        <v>984</v>
      </c>
      <c r="AK512" s="14">
        <v>17</v>
      </c>
      <c r="AL512" s="915">
        <f>IF(WFTracker[[#This Row],[Type]]="MAKE", WFTracker[[#This Row],[Due date]]+Filters!$J$111, WFTracker[[#This Row],[Due date]]+Filters!$J$135)</f>
        <v>45981.415686274508</v>
      </c>
      <c r="AM512" s="102" cm="1">
        <f t="array" ref="AM5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3" spans="1:39" ht="15" customHeight="1">
      <c r="A513" t="str">
        <f>IF(WFTracker[[#This Row],[Order Number]]="SWBD", "QED2", "PZ4")</f>
        <v>PZ4</v>
      </c>
      <c r="B513" s="21" t="s">
        <v>667</v>
      </c>
      <c r="C513" s="109" t="s">
        <v>385</v>
      </c>
      <c r="D513" s="23" t="str">
        <f>WFTracker[[#This Row],[Order Number]]  &amp; "-" &amp; WFTracker[[#This Row],[Item]]</f>
        <v>0051024393-000310</v>
      </c>
      <c r="E513" s="109" t="s">
        <v>668</v>
      </c>
      <c r="F513" s="12">
        <v>46013</v>
      </c>
      <c r="G513" s="12">
        <v>46006</v>
      </c>
      <c r="H513" s="11" t="s">
        <v>259</v>
      </c>
      <c r="I513" s="11" t="s">
        <v>216</v>
      </c>
      <c r="J513" s="113" t="s">
        <v>1439</v>
      </c>
      <c r="K513" s="14" t="s">
        <v>1023</v>
      </c>
      <c r="L513" s="15" t="s">
        <v>27</v>
      </c>
      <c r="M513" s="29" t="s">
        <v>1123</v>
      </c>
      <c r="N513" s="57">
        <v>46083</v>
      </c>
      <c r="O513" s="29">
        <f>NETWORKDAYS.INTL(WFTracker[[#This Row],[Start date]],WFTracker[[#This Row],[RM]],1,Holidays!D562:D577)</f>
        <v>31</v>
      </c>
      <c r="P513" s="27">
        <v>45971</v>
      </c>
      <c r="Q513" s="27">
        <v>45980</v>
      </c>
      <c r="R513" s="12">
        <v>46001</v>
      </c>
      <c r="S513" s="27" t="b">
        <f>ISBLANK(WFTracker[[#This Row],[Completion Date]])</f>
        <v>0</v>
      </c>
      <c r="T513" s="27" t="str">
        <f>TEXT(WFTracker[[#This Row],[Start date]],"mmm-yyyy")</f>
        <v>Nov-2025</v>
      </c>
      <c r="U513" s="11">
        <v>10</v>
      </c>
      <c r="V513" s="11">
        <f>NETWORKDAYS.INTL(WFTracker[[#This Row],[Start date]],WFTracker[[#This Row],[Due date]],1,Holidays!D562:D577)</f>
        <v>8</v>
      </c>
      <c r="W5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20</v>
      </c>
      <c r="X513" s="30">
        <f ca="1">WFTracker[[#This Row],[Active Time]]-WFTracker[[#This Row],[Completion Days Template]]</f>
        <v>12</v>
      </c>
      <c r="Y513" s="34" t="str">
        <f ca="1" xml:space="preserve"> IF(WFTracker[[#This Row],[Overdue Time '[Expected-Completion']]]&gt;0, "LATE","ON TIME")</f>
        <v>LATE</v>
      </c>
      <c r="Z513" s="34" t="str">
        <f ca="1">IF(WFTracker[[#This Row],[Overdue Time '[Expected-Completion']]] &gt;= 15, "SUPER LATE", Y513)</f>
        <v>LATE</v>
      </c>
      <c r="AA513" s="105" t="str">
        <f>IF(WFTracker[[#This Row],[Pre RM Opening Time]]&lt;WFTracker[[#This Row],[Old vs New Order Lead Time WF dead line]], "LATE BY ENG", "ON TIME BY ENG")</f>
        <v>ON TIME BY ENG</v>
      </c>
      <c r="AB513" s="105"/>
      <c r="AC513" s="15" t="str">
        <f>IF(WFTracker[[#This Row],[Competion Date Content]] = FALSE, "C", "I")</f>
        <v>C</v>
      </c>
      <c r="AD5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513" s="105" t="str">
        <f ca="1">IF(WFTracker[[#This Row],[Impact Time Post RM]]&gt;0, "IMPACTED", "NOT IMPACTED")</f>
        <v>NOT IMPACTED</v>
      </c>
      <c r="AF513" s="15"/>
      <c r="AG513" s="42"/>
      <c r="AH513" s="14" t="str">
        <f>IF(WFTracker[[#This Row],[Status]]="C", "Closed", IF(WFTracker[[#This Row],[Status]] = "x", "Cancelled", WFTracker[[#This Row],[Impact Time Post RM]]))</f>
        <v>Closed</v>
      </c>
      <c r="AI513" s="14" t="str">
        <f ca="1">IF(WFTracker[[#This Row],[Impact Time Post RM]]&lt;=0,"ON TIME","LATE")</f>
        <v>ON TIME</v>
      </c>
      <c r="AJ513" s="14" t="s">
        <v>984</v>
      </c>
      <c r="AK513" s="14">
        <v>18</v>
      </c>
      <c r="AL513" s="915">
        <f>IF(WFTracker[[#This Row],[Type]]="MAKE", WFTracker[[#This Row],[Due date]]+Filters!$J$111, WFTracker[[#This Row],[Due date]]+Filters!$J$135)</f>
        <v>45983.072512647552</v>
      </c>
      <c r="AM513" s="102" cm="1">
        <f t="array" ref="AM5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4" spans="1:39" ht="15" customHeight="1">
      <c r="A514" t="str">
        <f>IF(WFTracker[[#This Row],[Order Number]]="SWBD", "QED2", "PZ4")</f>
        <v>PZ4</v>
      </c>
      <c r="B514" s="21" t="s">
        <v>636</v>
      </c>
      <c r="C514" s="109" t="s">
        <v>257</v>
      </c>
      <c r="D514" s="23" t="s">
        <v>1426</v>
      </c>
      <c r="E514" s="109" t="s">
        <v>634</v>
      </c>
      <c r="F514" s="27">
        <v>45989</v>
      </c>
      <c r="G514" s="27"/>
      <c r="H514" s="11" t="s">
        <v>252</v>
      </c>
      <c r="I514" s="11" t="s">
        <v>264</v>
      </c>
      <c r="J514" s="113" t="s">
        <v>630</v>
      </c>
      <c r="K514" s="14" t="s">
        <v>1017</v>
      </c>
      <c r="L514" s="15" t="s">
        <v>27</v>
      </c>
      <c r="M514" s="29" t="s">
        <v>1120</v>
      </c>
      <c r="N514" s="57">
        <v>46267</v>
      </c>
      <c r="O514" s="29">
        <f>NETWORKDAYS.INTL(WFTracker[[#This Row],[Start date]],WFTracker[[#This Row],[RM]],1,Holidays!D327:D342)</f>
        <v>14</v>
      </c>
      <c r="P514" s="27">
        <v>45972</v>
      </c>
      <c r="Q514" s="27">
        <v>45979</v>
      </c>
      <c r="R514" s="27">
        <v>45978</v>
      </c>
      <c r="S514" s="27" t="b">
        <f>ISBLANK(WFTracker[[#This Row],[Completion Date]])</f>
        <v>0</v>
      </c>
      <c r="T514" s="27" t="str">
        <f>TEXT(WFTracker[[#This Row],[Start date]],"mmm-yyyy")</f>
        <v>Nov-2025</v>
      </c>
      <c r="U514" s="11">
        <v>10</v>
      </c>
      <c r="V514" s="11">
        <f>NETWORKDAYS.INTL(WFTracker[[#This Row],[Start date]],WFTracker[[#This Row],[Due date]],1,Holidays!D327:D342)</f>
        <v>6</v>
      </c>
      <c r="W5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14" s="30">
        <f ca="1">WFTracker[[#This Row],[Active Time]]-WFTracker[[#This Row],[Completion Days Template]]</f>
        <v>-2</v>
      </c>
      <c r="Y514" s="34" t="str">
        <f ca="1" xml:space="preserve"> IF(WFTracker[[#This Row],[Overdue Time '[Expected-Completion']]]&gt;0, "LATE","ON TIME")</f>
        <v>ON TIME</v>
      </c>
      <c r="Z514" s="34" t="str">
        <f ca="1">IF(WFTracker[[#This Row],[Overdue Time '[Expected-Completion']]] &gt;= 15, "SUPER LATE", Y514)</f>
        <v>ON TIME</v>
      </c>
      <c r="AA514" s="105" t="str">
        <f>IF(WFTracker[[#This Row],[Pre RM Opening Time]]&lt;WFTracker[[#This Row],[Old vs New Order Lead Time WF dead line]], "LATE BY ENG", "ON TIME BY ENG")</f>
        <v>ON TIME BY ENG</v>
      </c>
      <c r="AB514" s="105"/>
      <c r="AC514" s="15" t="str">
        <f>IF(WFTracker[[#This Row],[Competion Date Content]] = FALSE, "C", "I")</f>
        <v>C</v>
      </c>
      <c r="AD5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514" s="105" t="str">
        <f ca="1">IF(WFTracker[[#This Row],[Impact Time Post RM]]&gt;0, "IMPACTED", "NOT IMPACTED")</f>
        <v>NOT IMPACTED</v>
      </c>
      <c r="AF514" s="15"/>
      <c r="AG514" s="42"/>
      <c r="AH514" s="14" t="str">
        <f>IF(WFTracker[[#This Row],[Status]]="C", "Closed", IF(WFTracker[[#This Row],[Status]] = "x", "Cancelled", WFTracker[[#This Row],[Impact Time Post RM]]))</f>
        <v>Closed</v>
      </c>
      <c r="AI514" s="14" t="str">
        <f ca="1">IF(WFTracker[[#This Row],[Impact Time Post RM]]&lt;=0,"ON TIME","LATE")</f>
        <v>ON TIME</v>
      </c>
      <c r="AJ514" s="14" t="s">
        <v>984</v>
      </c>
      <c r="AK514" s="14">
        <v>18</v>
      </c>
      <c r="AL514" s="915">
        <f>IF(WFTracker[[#This Row],[Type]]="MAKE", WFTracker[[#This Row],[Due date]]+Filters!$J$111, WFTracker[[#This Row],[Due date]]+Filters!$J$135)</f>
        <v>45982.072512647552</v>
      </c>
      <c r="AM514" s="102" cm="1">
        <f t="array" ref="AM5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5" spans="1:39" ht="15" customHeight="1">
      <c r="A515" t="str">
        <f>IF(WFTracker[[#This Row],[Order Number]]="SWBD", "QED2", "PZ4")</f>
        <v>PZ4</v>
      </c>
      <c r="B515" s="21" t="s">
        <v>601</v>
      </c>
      <c r="C515" s="109" t="s">
        <v>102</v>
      </c>
      <c r="D515" s="23" t="s">
        <v>1440</v>
      </c>
      <c r="E515" s="109" t="s">
        <v>602</v>
      </c>
      <c r="F515" s="27">
        <v>45989</v>
      </c>
      <c r="G515" s="27"/>
      <c r="H515" s="11" t="s">
        <v>137</v>
      </c>
      <c r="I515" s="11" t="s">
        <v>238</v>
      </c>
      <c r="J515" s="113" t="s">
        <v>1441</v>
      </c>
      <c r="K515" s="14" t="s">
        <v>1017</v>
      </c>
      <c r="L515" s="15" t="s">
        <v>27</v>
      </c>
      <c r="M515" s="29" t="s">
        <v>1120</v>
      </c>
      <c r="N515" s="57">
        <v>46267</v>
      </c>
      <c r="O515" s="29">
        <f>NETWORKDAYS.INTL(WFTracker[[#This Row],[Start date]],WFTracker[[#This Row],[RM]],1,Holidays!D328:D343)</f>
        <v>14</v>
      </c>
      <c r="P515" s="27">
        <v>45972</v>
      </c>
      <c r="Q515" s="27">
        <v>45980</v>
      </c>
      <c r="R515" s="27">
        <v>45973</v>
      </c>
      <c r="S515" s="27" t="b">
        <f>ISBLANK(WFTracker[[#This Row],[Completion Date]])</f>
        <v>0</v>
      </c>
      <c r="T515" s="27" t="str">
        <f>TEXT(WFTracker[[#This Row],[Start date]],"mmm-yyyy")</f>
        <v>Nov-2025</v>
      </c>
      <c r="U515" s="11">
        <v>10</v>
      </c>
      <c r="V515" s="11">
        <f>NETWORKDAYS.INTL(WFTracker[[#This Row],[Start date]],WFTracker[[#This Row],[Due date]],1,Holidays!D328:D343)</f>
        <v>7</v>
      </c>
      <c r="W5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15" s="30">
        <f ca="1">WFTracker[[#This Row],[Active Time]]-WFTracker[[#This Row],[Completion Days Template]]</f>
        <v>-5</v>
      </c>
      <c r="Y515" s="34" t="str">
        <f ca="1" xml:space="preserve"> IF(WFTracker[[#This Row],[Overdue Time '[Expected-Completion']]]&gt;0, "LATE","ON TIME")</f>
        <v>ON TIME</v>
      </c>
      <c r="Z515" s="34" t="str">
        <f ca="1">IF(WFTracker[[#This Row],[Overdue Time '[Expected-Completion']]] &gt;= 15, "SUPER LATE", Y515)</f>
        <v>ON TIME</v>
      </c>
      <c r="AA515" s="105" t="str">
        <f>IF(WFTracker[[#This Row],[Pre RM Opening Time]]&lt;WFTracker[[#This Row],[Old vs New Order Lead Time WF dead line]], "LATE BY ENG", "ON TIME BY ENG")</f>
        <v>ON TIME BY ENG</v>
      </c>
      <c r="AB515" s="105"/>
      <c r="AC515" s="15" t="s">
        <v>46</v>
      </c>
      <c r="AD5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15" s="105" t="str">
        <f ca="1">IF(WFTracker[[#This Row],[Impact Time Post RM]]&gt;0, "IMPACTED", "NOT IMPACTED")</f>
        <v>NOT IMPACTED</v>
      </c>
      <c r="AF515" s="15"/>
      <c r="AG515" s="42"/>
      <c r="AH515" s="14" t="str">
        <f>IF(WFTracker[[#This Row],[Status]]="C", "Closed", IF(WFTracker[[#This Row],[Status]] = "x", "Cancelled", WFTracker[[#This Row],[Impact Time Post RM]]))</f>
        <v>Cancelled</v>
      </c>
      <c r="AI515" s="14" t="str">
        <f ca="1">IF(WFTracker[[#This Row],[Impact Time Post RM]]&lt;=0,"ON TIME","LATE")</f>
        <v>ON TIME</v>
      </c>
      <c r="AJ515" s="14" t="s">
        <v>984</v>
      </c>
      <c r="AK515" s="14">
        <v>0</v>
      </c>
      <c r="AL515" s="915">
        <f>IF(WFTracker[[#This Row],[Type]]="MAKE", WFTracker[[#This Row],[Due date]]+Filters!$J$111, WFTracker[[#This Row],[Due date]]+Filters!$J$135)</f>
        <v>45983.072512647552</v>
      </c>
      <c r="AM515" s="102" cm="1">
        <f t="array" ref="AM515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16" spans="1:39" ht="15" customHeight="1">
      <c r="A516" t="str">
        <f>IF(WFTracker[[#This Row],[Order Number]]="SWBD", "QED2", "PZ4")</f>
        <v>PZ4</v>
      </c>
      <c r="B516" s="21" t="s">
        <v>601</v>
      </c>
      <c r="C516" s="109" t="s">
        <v>102</v>
      </c>
      <c r="D516" s="23" t="s">
        <v>1440</v>
      </c>
      <c r="E516" s="109" t="s">
        <v>602</v>
      </c>
      <c r="F516" s="27">
        <v>45989</v>
      </c>
      <c r="G516" s="27"/>
      <c r="H516" s="11" t="s">
        <v>137</v>
      </c>
      <c r="I516" s="11" t="s">
        <v>238</v>
      </c>
      <c r="J516" s="113" t="s">
        <v>1442</v>
      </c>
      <c r="K516" s="14" t="s">
        <v>1017</v>
      </c>
      <c r="L516" s="15" t="s">
        <v>27</v>
      </c>
      <c r="M516" s="29" t="s">
        <v>1120</v>
      </c>
      <c r="N516" s="57">
        <v>46267</v>
      </c>
      <c r="O516" s="29">
        <f>NETWORKDAYS.INTL(WFTracker[[#This Row],[Start date]],WFTracker[[#This Row],[RM]],1,Holidays!D329:D344)</f>
        <v>14</v>
      </c>
      <c r="P516" s="27">
        <v>45972</v>
      </c>
      <c r="Q516" s="27">
        <v>45980</v>
      </c>
      <c r="R516" s="27"/>
      <c r="S516" s="27" t="b">
        <f>ISBLANK(WFTracker[[#This Row],[Completion Date]])</f>
        <v>1</v>
      </c>
      <c r="T516" s="27" t="str">
        <f>TEXT(WFTracker[[#This Row],[Start date]],"mmm-yyyy")</f>
        <v>Nov-2025</v>
      </c>
      <c r="U516" s="11">
        <v>10</v>
      </c>
      <c r="V516" s="11">
        <f>NETWORKDAYS.INTL(WFTracker[[#This Row],[Start date]],WFTracker[[#This Row],[Due date]],1,Holidays!D329:D344)</f>
        <v>7</v>
      </c>
      <c r="W5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86</v>
      </c>
      <c r="X516" s="30">
        <f ca="1">WFTracker[[#This Row],[Active Time]]-WFTracker[[#This Row],[Completion Days Template]]</f>
        <v>79</v>
      </c>
      <c r="Y516" s="34" t="str">
        <f ca="1" xml:space="preserve"> IF(WFTracker[[#This Row],[Overdue Time '[Expected-Completion']]]&gt;0, "LATE","ON TIME")</f>
        <v>LATE</v>
      </c>
      <c r="Z516" s="34" t="str">
        <f ca="1">IF(WFTracker[[#This Row],[Overdue Time '[Expected-Completion']]] &gt;= 15, "SUPER LATE", Y516)</f>
        <v>SUPER LATE</v>
      </c>
      <c r="AA516" s="105" t="str">
        <f>IF(WFTracker[[#This Row],[Pre RM Opening Time]]&lt;WFTracker[[#This Row],[Old vs New Order Lead Time WF dead line]], "LATE BY ENG", "ON TIME BY ENG")</f>
        <v>ON TIME BY ENG</v>
      </c>
      <c r="AB516" s="105"/>
      <c r="AC516" s="15" t="s">
        <v>1011</v>
      </c>
      <c r="AD5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76</v>
      </c>
      <c r="AE516" s="105" t="str">
        <f ca="1">IF(WFTracker[[#This Row],[Impact Time Post RM]]&gt;0, "IMPACTED", "NOT IMPACTED")</f>
        <v>IMPACTED</v>
      </c>
      <c r="AF516" s="15"/>
      <c r="AG516" s="42" t="s">
        <v>1443</v>
      </c>
      <c r="AH516" s="14" t="str">
        <f>IF(WFTracker[[#This Row],[Status]]="C", "Closed", IF(WFTracker[[#This Row],[Status]] = "x", "Cancelled", WFTracker[[#This Row],[Impact Time Post RM]]))</f>
        <v>Cancelled</v>
      </c>
      <c r="AI516" s="14" t="str">
        <f ca="1">IF(WFTracker[[#This Row],[Impact Time Post RM]]&lt;=0,"ON TIME","LATE")</f>
        <v>LATE</v>
      </c>
      <c r="AJ516" s="14" t="s">
        <v>984</v>
      </c>
      <c r="AK516" s="14">
        <v>0</v>
      </c>
      <c r="AL516" s="915">
        <f>IF(WFTracker[[#This Row],[Type]]="MAKE", WFTracker[[#This Row],[Due date]]+Filters!$J$111, WFTracker[[#This Row],[Due date]]+Filters!$J$135)</f>
        <v>45983.072512647552</v>
      </c>
      <c r="AM516" s="102" cm="1">
        <f t="array" ref="AM516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17" spans="1:39" ht="15" customHeight="1">
      <c r="A517" t="str">
        <f>IF(WFTracker[[#This Row],[Order Number]]="SWBD", "QED2", "PZ4")</f>
        <v>PZ4</v>
      </c>
      <c r="B517" s="21" t="s">
        <v>601</v>
      </c>
      <c r="C517" s="109" t="s">
        <v>102</v>
      </c>
      <c r="D517" s="23" t="s">
        <v>1440</v>
      </c>
      <c r="E517" s="109" t="s">
        <v>602</v>
      </c>
      <c r="F517" s="27">
        <v>45989</v>
      </c>
      <c r="G517" s="27"/>
      <c r="H517" s="11" t="s">
        <v>137</v>
      </c>
      <c r="I517" s="11" t="s">
        <v>238</v>
      </c>
      <c r="J517" s="113" t="s">
        <v>606</v>
      </c>
      <c r="K517" s="14" t="s">
        <v>1017</v>
      </c>
      <c r="L517" s="15" t="s">
        <v>27</v>
      </c>
      <c r="M517" s="29" t="s">
        <v>1120</v>
      </c>
      <c r="N517" s="57">
        <v>46267</v>
      </c>
      <c r="O517" s="29">
        <f>NETWORKDAYS.INTL(WFTracker[[#This Row],[Start date]],WFTracker[[#This Row],[RM]],1,Holidays!D330:D345)</f>
        <v>14</v>
      </c>
      <c r="P517" s="27">
        <v>45972</v>
      </c>
      <c r="Q517" s="27">
        <v>45980</v>
      </c>
      <c r="R517" s="27">
        <v>45983</v>
      </c>
      <c r="S517" s="27" t="b">
        <f>ISBLANK(WFTracker[[#This Row],[Completion Date]])</f>
        <v>0</v>
      </c>
      <c r="T517" s="27" t="str">
        <f>TEXT(WFTracker[[#This Row],[Start date]],"mmm-yyyy")</f>
        <v>Nov-2025</v>
      </c>
      <c r="U517" s="11">
        <v>10</v>
      </c>
      <c r="V517" s="11">
        <f>NETWORKDAYS.INTL(WFTracker[[#This Row],[Start date]],WFTracker[[#This Row],[Due date]],1,Holidays!D330:D345)</f>
        <v>7</v>
      </c>
      <c r="W5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17" s="30">
        <f ca="1">WFTracker[[#This Row],[Active Time]]-WFTracker[[#This Row],[Completion Days Template]]</f>
        <v>-1</v>
      </c>
      <c r="Y517" s="34" t="str">
        <f ca="1" xml:space="preserve"> IF(WFTracker[[#This Row],[Overdue Time '[Expected-Completion']]]&gt;0, "LATE","ON TIME")</f>
        <v>ON TIME</v>
      </c>
      <c r="Z517" s="34" t="str">
        <f ca="1">IF(WFTracker[[#This Row],[Overdue Time '[Expected-Completion']]] &gt;= 15, "SUPER LATE", Y517)</f>
        <v>ON TIME</v>
      </c>
      <c r="AA517" s="105" t="str">
        <f>IF(WFTracker[[#This Row],[Pre RM Opening Time]]&lt;WFTracker[[#This Row],[Old vs New Order Lead Time WF dead line]], "LATE BY ENG", "ON TIME BY ENG")</f>
        <v>ON TIME BY ENG</v>
      </c>
      <c r="AB517" s="105"/>
      <c r="AC517" s="15" t="str">
        <f>IF(WFTracker[[#This Row],[Competion Date Content]] = FALSE, "C", "I")</f>
        <v>C</v>
      </c>
      <c r="AD5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17" s="105" t="str">
        <f ca="1">IF(WFTracker[[#This Row],[Impact Time Post RM]]&gt;0, "IMPACTED", "NOT IMPACTED")</f>
        <v>NOT IMPACTED</v>
      </c>
      <c r="AF517" s="15"/>
      <c r="AG517" s="42"/>
      <c r="AH517" s="14" t="str">
        <f>IF(WFTracker[[#This Row],[Status]]="C", "Closed", IF(WFTracker[[#This Row],[Status]] = "x", "Cancelled", WFTracker[[#This Row],[Impact Time Post RM]]))</f>
        <v>Closed</v>
      </c>
      <c r="AI517" s="14" t="str">
        <f ca="1">IF(WFTracker[[#This Row],[Impact Time Post RM]]&lt;=0,"ON TIME","LATE")</f>
        <v>ON TIME</v>
      </c>
      <c r="AJ517" s="14" t="s">
        <v>984</v>
      </c>
      <c r="AK517" s="14">
        <v>18</v>
      </c>
      <c r="AL517" s="915">
        <f>IF(WFTracker[[#This Row],[Type]]="MAKE", WFTracker[[#This Row],[Due date]]+Filters!$J$111, WFTracker[[#This Row],[Due date]]+Filters!$J$135)</f>
        <v>45983.072512647552</v>
      </c>
      <c r="AM517" s="102" cm="1">
        <f t="array" ref="AM5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8" spans="1:39" ht="15" customHeight="1">
      <c r="A518" t="str">
        <f>IF(WFTracker[[#This Row],[Order Number]]="SWBD", "QED2", "PZ4")</f>
        <v>PZ4</v>
      </c>
      <c r="B518" s="21" t="s">
        <v>646</v>
      </c>
      <c r="C518" s="109" t="s">
        <v>286</v>
      </c>
      <c r="D518" s="23" t="str">
        <f>WFTracker[[#This Row],[Order Number]]  &amp; "-" &amp; WFTracker[[#This Row],[Item]]</f>
        <v>0051041146-000100</v>
      </c>
      <c r="E518" s="109" t="s">
        <v>648</v>
      </c>
      <c r="F518" s="27">
        <v>45989</v>
      </c>
      <c r="G518" s="27"/>
      <c r="H518" s="11" t="s">
        <v>237</v>
      </c>
      <c r="I518" s="11"/>
      <c r="J518" s="113" t="s">
        <v>1444</v>
      </c>
      <c r="K518" s="14" t="s">
        <v>1023</v>
      </c>
      <c r="L518" s="15" t="s">
        <v>27</v>
      </c>
      <c r="M518" s="29" t="s">
        <v>1120</v>
      </c>
      <c r="N518" s="57">
        <v>46328</v>
      </c>
      <c r="O518" s="29">
        <f>NETWORKDAYS.INTL(WFTracker[[#This Row],[Start date]],WFTracker[[#This Row],[RM]],1,Holidays!D331:D346)</f>
        <v>14</v>
      </c>
      <c r="P518" s="27">
        <v>45972</v>
      </c>
      <c r="Q518" s="27">
        <v>45981</v>
      </c>
      <c r="R518" s="27">
        <v>45987</v>
      </c>
      <c r="S518" s="27" t="b">
        <f>ISBLANK(WFTracker[[#This Row],[Completion Date]])</f>
        <v>0</v>
      </c>
      <c r="T518" s="27" t="str">
        <f>TEXT(WFTracker[[#This Row],[Start date]],"mmm-yyyy")</f>
        <v>Nov-2025</v>
      </c>
      <c r="U518" s="11">
        <v>10</v>
      </c>
      <c r="V518" s="11">
        <f>NETWORKDAYS.INTL(WFTracker[[#This Row],[Start date]],WFTracker[[#This Row],[Due date]],1,Holidays!D331:D346)</f>
        <v>8</v>
      </c>
      <c r="W5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18" s="30">
        <f ca="1">WFTracker[[#This Row],[Active Time]]-WFTracker[[#This Row],[Completion Days Template]]</f>
        <v>1</v>
      </c>
      <c r="Y518" s="34" t="str">
        <f ca="1" xml:space="preserve"> IF(WFTracker[[#This Row],[Overdue Time '[Expected-Completion']]]&gt;0, "LATE","ON TIME")</f>
        <v>LATE</v>
      </c>
      <c r="Z518" s="34" t="str">
        <f ca="1">IF(WFTracker[[#This Row],[Overdue Time '[Expected-Completion']]] &gt;= 15, "SUPER LATE", Y518)</f>
        <v>LATE</v>
      </c>
      <c r="AA518" s="105" t="str">
        <f>IF(WFTracker[[#This Row],[Pre RM Opening Time]]&lt;WFTracker[[#This Row],[Old vs New Order Lead Time WF dead line]], "LATE BY ENG", "ON TIME BY ENG")</f>
        <v>ON TIME BY ENG</v>
      </c>
      <c r="AB518" s="105"/>
      <c r="AC518" s="15" t="str">
        <f>IF(WFTracker[[#This Row],[Competion Date Content]] = FALSE, "C", "I")</f>
        <v>C</v>
      </c>
      <c r="AD5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518" s="105" t="str">
        <f ca="1">IF(WFTracker[[#This Row],[Impact Time Post RM]]&gt;0, "IMPACTED", "NOT IMPACTED")</f>
        <v>NOT IMPACTED</v>
      </c>
      <c r="AF518" s="15"/>
      <c r="AG518" s="42"/>
      <c r="AH518" s="14" t="str">
        <f>IF(WFTracker[[#This Row],[Status]]="C", "Closed", IF(WFTracker[[#This Row],[Status]] = "x", "Cancelled", WFTracker[[#This Row],[Impact Time Post RM]]))</f>
        <v>Closed</v>
      </c>
      <c r="AI518" s="14" t="str">
        <f ca="1">IF(WFTracker[[#This Row],[Impact Time Post RM]]&lt;=0,"ON TIME","LATE")</f>
        <v>ON TIME</v>
      </c>
      <c r="AJ518" s="14" t="s">
        <v>984</v>
      </c>
      <c r="AK518" s="14">
        <v>18</v>
      </c>
      <c r="AL518" s="915">
        <f>IF(WFTracker[[#This Row],[Type]]="MAKE", WFTracker[[#This Row],[Due date]]+Filters!$J$111, WFTracker[[#This Row],[Due date]]+Filters!$J$135)</f>
        <v>45984.072512647552</v>
      </c>
      <c r="AM518" s="102" cm="1">
        <f t="array" ref="AM5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19" spans="1:39" ht="15" customHeight="1">
      <c r="A519" t="str">
        <f>IF(WFTracker[[#This Row],[Order Number]]="SWBD", "QED2", "PZ4")</f>
        <v>PZ4</v>
      </c>
      <c r="B519" s="21" t="s">
        <v>636</v>
      </c>
      <c r="C519" s="109" t="s">
        <v>257</v>
      </c>
      <c r="D519" s="23" t="s">
        <v>1426</v>
      </c>
      <c r="E519" s="109" t="s">
        <v>634</v>
      </c>
      <c r="F519" s="27">
        <v>45989</v>
      </c>
      <c r="G519" s="27"/>
      <c r="H519" s="11" t="s">
        <v>252</v>
      </c>
      <c r="I519" s="11" t="s">
        <v>264</v>
      </c>
      <c r="J519" s="113" t="s">
        <v>1445</v>
      </c>
      <c r="K519" s="14" t="s">
        <v>1017</v>
      </c>
      <c r="L519" s="15" t="s">
        <v>40</v>
      </c>
      <c r="M519" s="29" t="s">
        <v>1120</v>
      </c>
      <c r="N519" s="57">
        <v>46267</v>
      </c>
      <c r="O519" s="29">
        <f>NETWORKDAYS.INTL(WFTracker[[#This Row],[Start date]],WFTracker[[#This Row],[RM]],1,Holidays!D332:D347)</f>
        <v>14</v>
      </c>
      <c r="P519" s="27">
        <v>45972</v>
      </c>
      <c r="Q519" s="27">
        <v>45982</v>
      </c>
      <c r="R519" s="27">
        <v>45973</v>
      </c>
      <c r="S519" s="27" t="b">
        <f>ISBLANK(WFTracker[[#This Row],[Completion Date]])</f>
        <v>0</v>
      </c>
      <c r="T519" s="27" t="str">
        <f>TEXT(WFTracker[[#This Row],[Start date]],"mmm-yyyy")</f>
        <v>Nov-2025</v>
      </c>
      <c r="U519" s="11">
        <v>10</v>
      </c>
      <c r="V519" s="11">
        <f>NETWORKDAYS.INTL(WFTracker[[#This Row],[Start date]],WFTracker[[#This Row],[Due date]],1,Holidays!D332:D347)</f>
        <v>9</v>
      </c>
      <c r="W5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19" s="30">
        <f ca="1">WFTracker[[#This Row],[Active Time]]-WFTracker[[#This Row],[Completion Days Template]]</f>
        <v>-7</v>
      </c>
      <c r="Y519" s="34" t="str">
        <f ca="1" xml:space="preserve"> IF(WFTracker[[#This Row],[Overdue Time '[Expected-Completion']]]&gt;0, "LATE","ON TIME")</f>
        <v>ON TIME</v>
      </c>
      <c r="Z519" s="34" t="str">
        <f ca="1">IF(WFTracker[[#This Row],[Overdue Time '[Expected-Completion']]] &gt;= 15, "SUPER LATE", Y519)</f>
        <v>ON TIME</v>
      </c>
      <c r="AA519" s="105" t="str">
        <f>IF(WFTracker[[#This Row],[Pre RM Opening Time]]&lt;WFTracker[[#This Row],[Old vs New Order Lead Time WF dead line]], "LATE BY ENG", "ON TIME BY ENG")</f>
        <v>ON TIME BY ENG</v>
      </c>
      <c r="AB519" s="105"/>
      <c r="AC519" s="15" t="s">
        <v>1011</v>
      </c>
      <c r="AD5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19" s="31" t="str">
        <f ca="1">IF(WFTracker[[#This Row],[Impact Time Post RM]]&gt;0, "IMPACTED", "NOT IMPACTED")</f>
        <v>NOT IMPACTED</v>
      </c>
      <c r="AF519" s="15"/>
      <c r="AG519" s="42" t="s">
        <v>1446</v>
      </c>
      <c r="AH519" s="14" t="str">
        <f>IF(WFTracker[[#This Row],[Status]]="C", "Closed", IF(WFTracker[[#This Row],[Status]] = "x", "Cancelled", WFTracker[[#This Row],[Impact Time Post RM]]))</f>
        <v>Cancelled</v>
      </c>
      <c r="AI519" s="14" t="str">
        <f ca="1">IF(WFTracker[[#This Row],[Impact Time Post RM]]&lt;=0,"ON TIME","LATE")</f>
        <v>ON TIME</v>
      </c>
      <c r="AJ519" s="14" t="s">
        <v>984</v>
      </c>
      <c r="AK519" s="14">
        <v>0</v>
      </c>
      <c r="AL519" s="915">
        <f>IF(WFTracker[[#This Row],[Type]]="MAKE", WFTracker[[#This Row],[Due date]]+Filters!$J$111, WFTracker[[#This Row],[Due date]]+Filters!$J$135)</f>
        <v>45982.415686274508</v>
      </c>
      <c r="AM519" s="102" cm="1">
        <f t="array" ref="AM519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20" spans="1:39" ht="15" customHeight="1">
      <c r="A520" t="str">
        <f>IF(WFTracker[[#This Row],[Order Number]]="SWBD", "QED2", "PZ4")</f>
        <v>PZ4</v>
      </c>
      <c r="B520" s="21" t="s">
        <v>646</v>
      </c>
      <c r="C520" s="109" t="s">
        <v>286</v>
      </c>
      <c r="D520" s="23" t="str">
        <f>WFTracker[[#This Row],[Order Number]]  &amp; "-" &amp; WFTracker[[#This Row],[Item]]</f>
        <v>0051041146-000100</v>
      </c>
      <c r="E520" s="109" t="s">
        <v>648</v>
      </c>
      <c r="F520" s="27">
        <v>45989</v>
      </c>
      <c r="G520" s="27"/>
      <c r="H520" s="11" t="s">
        <v>237</v>
      </c>
      <c r="I520" s="11"/>
      <c r="J520" s="113" t="s">
        <v>1447</v>
      </c>
      <c r="K520" s="14" t="s">
        <v>1023</v>
      </c>
      <c r="L520" s="15" t="s">
        <v>40</v>
      </c>
      <c r="M520" s="29" t="s">
        <v>1120</v>
      </c>
      <c r="N520" s="57">
        <v>46328</v>
      </c>
      <c r="O520" s="29">
        <f>NETWORKDAYS.INTL(WFTracker[[#This Row],[Start date]],WFTracker[[#This Row],[RM]],1,Holidays!D333:D348)</f>
        <v>14</v>
      </c>
      <c r="P520" s="27">
        <v>45972</v>
      </c>
      <c r="Q520" s="27">
        <v>45982</v>
      </c>
      <c r="R520" s="27">
        <v>45981</v>
      </c>
      <c r="S520" s="27" t="b">
        <f>ISBLANK(WFTracker[[#This Row],[Completion Date]])</f>
        <v>0</v>
      </c>
      <c r="T520" s="27" t="str">
        <f>TEXT(WFTracker[[#This Row],[Start date]],"mmm-yyyy")</f>
        <v>Nov-2025</v>
      </c>
      <c r="U520" s="11">
        <v>10</v>
      </c>
      <c r="V520" s="11">
        <f>NETWORKDAYS.INTL(WFTracker[[#This Row],[Start date]],WFTracker[[#This Row],[Due date]],1,Holidays!D333:D348)</f>
        <v>9</v>
      </c>
      <c r="W5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20" s="30">
        <f ca="1">WFTracker[[#This Row],[Active Time]]-WFTracker[[#This Row],[Completion Days Template]]</f>
        <v>-4</v>
      </c>
      <c r="Y520" s="34" t="str">
        <f ca="1" xml:space="preserve"> IF(WFTracker[[#This Row],[Overdue Time '[Expected-Completion']]]&gt;0, "LATE","ON TIME")</f>
        <v>ON TIME</v>
      </c>
      <c r="Z520" s="34" t="str">
        <f ca="1">IF(WFTracker[[#This Row],[Overdue Time '[Expected-Completion']]] &gt;= 15, "SUPER LATE", Y520)</f>
        <v>ON TIME</v>
      </c>
      <c r="AA520" s="105" t="str">
        <f>IF(WFTracker[[#This Row],[Pre RM Opening Time]]&lt;WFTracker[[#This Row],[Old vs New Order Lead Time WF dead line]], "LATE BY ENG", "ON TIME BY ENG")</f>
        <v>ON TIME BY ENG</v>
      </c>
      <c r="AB520" s="105"/>
      <c r="AC520" s="15" t="str">
        <f>IF(WFTracker[[#This Row],[Competion Date Content]] = FALSE, "C", "I")</f>
        <v>C</v>
      </c>
      <c r="AD5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20" s="31" t="str">
        <f ca="1">IF(WFTracker[[#This Row],[Impact Time Post RM]]&gt;0, "IMPACTED", "NOT IMPACTED")</f>
        <v>NOT IMPACTED</v>
      </c>
      <c r="AF520" s="15"/>
      <c r="AG520" s="42"/>
      <c r="AH520" s="14" t="str">
        <f>IF(WFTracker[[#This Row],[Status]]="C", "Closed", IF(WFTracker[[#This Row],[Status]] = "x", "Cancelled", WFTracker[[#This Row],[Impact Time Post RM]]))</f>
        <v>Closed</v>
      </c>
      <c r="AI520" s="14" t="str">
        <f ca="1">IF(WFTracker[[#This Row],[Impact Time Post RM]]&lt;=0,"ON TIME","LATE")</f>
        <v>ON TIME</v>
      </c>
      <c r="AJ520" s="14" t="s">
        <v>984</v>
      </c>
      <c r="AK520" s="14">
        <v>17</v>
      </c>
      <c r="AL520" s="915">
        <f>IF(WFTracker[[#This Row],[Type]]="MAKE", WFTracker[[#This Row],[Due date]]+Filters!$J$111, WFTracker[[#This Row],[Due date]]+Filters!$J$135)</f>
        <v>45982.415686274508</v>
      </c>
      <c r="AM520" s="102" cm="1">
        <f t="array" ref="AM5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1" spans="1:39" ht="15" customHeight="1">
      <c r="A521" t="str">
        <f>IF(WFTracker[[#This Row],[Order Number]]="SWBD", "QED2", "PZ4")</f>
        <v>PZ4</v>
      </c>
      <c r="B521" s="21" t="s">
        <v>601</v>
      </c>
      <c r="C521" s="109" t="s">
        <v>102</v>
      </c>
      <c r="D521" s="23" t="str">
        <f>WFTracker[[#This Row],[Order Number]]  &amp; "-" &amp; WFTracker[[#This Row],[Item]]</f>
        <v>0051378207-000270</v>
      </c>
      <c r="E521" s="109" t="s">
        <v>602</v>
      </c>
      <c r="F521" s="27">
        <v>45989</v>
      </c>
      <c r="G521" s="27"/>
      <c r="H521" s="11" t="s">
        <v>137</v>
      </c>
      <c r="I521" s="11" t="s">
        <v>238</v>
      </c>
      <c r="J521" s="113" t="s">
        <v>604</v>
      </c>
      <c r="K521" s="14" t="s">
        <v>1017</v>
      </c>
      <c r="L521" s="15" t="s">
        <v>40</v>
      </c>
      <c r="M521" s="29" t="s">
        <v>1120</v>
      </c>
      <c r="N521" s="57">
        <v>46267</v>
      </c>
      <c r="O521" s="29">
        <f>NETWORKDAYS.INTL(WFTracker[[#This Row],[Start date]],WFTracker[[#This Row],[RM]],1,Holidays!D334:D349)</f>
        <v>14</v>
      </c>
      <c r="P521" s="27">
        <v>45972</v>
      </c>
      <c r="Q521" s="27">
        <v>45982</v>
      </c>
      <c r="R521" s="27">
        <v>45981</v>
      </c>
      <c r="S521" s="27" t="b">
        <f>ISBLANK(WFTracker[[#This Row],[Completion Date]])</f>
        <v>0</v>
      </c>
      <c r="T521" s="27" t="str">
        <f>TEXT(WFTracker[[#This Row],[Start date]],"mmm-yyyy")</f>
        <v>Nov-2025</v>
      </c>
      <c r="U521" s="11">
        <v>10</v>
      </c>
      <c r="V521" s="11">
        <f>NETWORKDAYS.INTL(WFTracker[[#This Row],[Start date]],WFTracker[[#This Row],[Due date]],1,Holidays!D334:D349)</f>
        <v>9</v>
      </c>
      <c r="W5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21" s="30">
        <f ca="1">WFTracker[[#This Row],[Active Time]]-WFTracker[[#This Row],[Completion Days Template]]</f>
        <v>-4</v>
      </c>
      <c r="Y521" s="34" t="str">
        <f ca="1" xml:space="preserve"> IF(WFTracker[[#This Row],[Overdue Time '[Expected-Completion']]]&gt;0, "LATE","ON TIME")</f>
        <v>ON TIME</v>
      </c>
      <c r="Z521" s="34" t="str">
        <f ca="1">IF(WFTracker[[#This Row],[Overdue Time '[Expected-Completion']]] &gt;= 15, "SUPER LATE", Y521)</f>
        <v>ON TIME</v>
      </c>
      <c r="AA521" s="105" t="str">
        <f>IF(WFTracker[[#This Row],[Pre RM Opening Time]]&lt;WFTracker[[#This Row],[Old vs New Order Lead Time WF dead line]], "LATE BY ENG", "ON TIME BY ENG")</f>
        <v>ON TIME BY ENG</v>
      </c>
      <c r="AB521" s="105"/>
      <c r="AC521" s="15" t="str">
        <f>IF(WFTracker[[#This Row],[Competion Date Content]] = FALSE, "C", "I")</f>
        <v>C</v>
      </c>
      <c r="AD5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21" s="31" t="str">
        <f ca="1">IF(WFTracker[[#This Row],[Impact Time Post RM]]&gt;0, "IMPACTED", "NOT IMPACTED")</f>
        <v>NOT IMPACTED</v>
      </c>
      <c r="AF521" s="15"/>
      <c r="AG521" s="42"/>
      <c r="AH521" s="14" t="str">
        <f>IF(WFTracker[[#This Row],[Status]]="C", "Closed", IF(WFTracker[[#This Row],[Status]] = "x", "Cancelled", WFTracker[[#This Row],[Impact Time Post RM]]))</f>
        <v>Closed</v>
      </c>
      <c r="AI521" s="14" t="str">
        <f ca="1">IF(WFTracker[[#This Row],[Impact Time Post RM]]&lt;=0,"ON TIME","LATE")</f>
        <v>ON TIME</v>
      </c>
      <c r="AJ521" s="14" t="s">
        <v>984</v>
      </c>
      <c r="AK521" s="14">
        <v>17</v>
      </c>
      <c r="AL521" s="915">
        <f>IF(WFTracker[[#This Row],[Type]]="MAKE", WFTracker[[#This Row],[Due date]]+Filters!$J$111, WFTracker[[#This Row],[Due date]]+Filters!$J$135)</f>
        <v>45982.415686274508</v>
      </c>
      <c r="AM521" s="102" cm="1">
        <f t="array" ref="AM5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2" spans="1:39" ht="15" customHeight="1">
      <c r="A522" t="str">
        <f>IF(WFTracker[[#This Row],[Order Number]]="SWBD", "QED2", "PZ4")</f>
        <v>PZ4</v>
      </c>
      <c r="B522" s="21" t="s">
        <v>646</v>
      </c>
      <c r="C522" s="109" t="s">
        <v>286</v>
      </c>
      <c r="D522" s="23" t="str">
        <f>WFTracker[[#This Row],[Order Number]]  &amp; "-" &amp; WFTracker[[#This Row],[Item]]</f>
        <v>0051041146-000100</v>
      </c>
      <c r="E522" s="109" t="s">
        <v>648</v>
      </c>
      <c r="F522" s="27">
        <v>45989</v>
      </c>
      <c r="G522" s="27"/>
      <c r="H522" s="11" t="s">
        <v>237</v>
      </c>
      <c r="I522" s="11"/>
      <c r="J522" s="113" t="s">
        <v>1448</v>
      </c>
      <c r="K522" s="14" t="s">
        <v>1023</v>
      </c>
      <c r="L522" s="15" t="s">
        <v>40</v>
      </c>
      <c r="M522" s="29" t="s">
        <v>1120</v>
      </c>
      <c r="N522" s="57">
        <v>46328</v>
      </c>
      <c r="O522" s="29">
        <f>NETWORKDAYS.INTL(WFTracker[[#This Row],[Start date]],WFTracker[[#This Row],[RM]],1,Holidays!D335:D350)</f>
        <v>14</v>
      </c>
      <c r="P522" s="27">
        <v>45972</v>
      </c>
      <c r="Q522" s="27">
        <v>45986</v>
      </c>
      <c r="R522" s="27">
        <v>45987</v>
      </c>
      <c r="S522" s="27" t="b">
        <f>ISBLANK(WFTracker[[#This Row],[Completion Date]])</f>
        <v>0</v>
      </c>
      <c r="T522" s="27" t="str">
        <f>TEXT(WFTracker[[#This Row],[Start date]],"mmm-yyyy")</f>
        <v>Nov-2025</v>
      </c>
      <c r="U522" s="11">
        <v>10</v>
      </c>
      <c r="V522" s="11">
        <f>NETWORKDAYS.INTL(WFTracker[[#This Row],[Start date]],WFTracker[[#This Row],[Due date]],1,Holidays!D335:D350)</f>
        <v>11</v>
      </c>
      <c r="W5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22" s="30">
        <f ca="1">WFTracker[[#This Row],[Active Time]]-WFTracker[[#This Row],[Completion Days Template]]</f>
        <v>-2</v>
      </c>
      <c r="Y522" s="34" t="str">
        <f ca="1" xml:space="preserve"> IF(WFTracker[[#This Row],[Overdue Time '[Expected-Completion']]]&gt;0, "LATE","ON TIME")</f>
        <v>ON TIME</v>
      </c>
      <c r="Z522" s="34" t="str">
        <f ca="1">IF(WFTracker[[#This Row],[Overdue Time '[Expected-Completion']]] &gt;= 15, "SUPER LATE", Y522)</f>
        <v>ON TIME</v>
      </c>
      <c r="AA522" s="105" t="str">
        <f>IF(WFTracker[[#This Row],[Pre RM Opening Time]]&lt;WFTracker[[#This Row],[Old vs New Order Lead Time WF dead line]], "LATE BY ENG", "ON TIME BY ENG")</f>
        <v>ON TIME BY ENG</v>
      </c>
      <c r="AB522" s="105"/>
      <c r="AC522" s="15" t="str">
        <f>IF(WFTracker[[#This Row],[Competion Date Content]] = FALSE, "C", "I")</f>
        <v>C</v>
      </c>
      <c r="AD5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522" s="105" t="str">
        <f ca="1">IF(WFTracker[[#This Row],[Impact Time Post RM]]&gt;0, "IMPACTED", "NOT IMPACTED")</f>
        <v>NOT IMPACTED</v>
      </c>
      <c r="AF522" s="15"/>
      <c r="AG522" s="42"/>
      <c r="AH522" s="14" t="str">
        <f>IF(WFTracker[[#This Row],[Status]]="C", "Closed", IF(WFTracker[[#This Row],[Status]] = "x", "Cancelled", WFTracker[[#This Row],[Impact Time Post RM]]))</f>
        <v>Closed</v>
      </c>
      <c r="AI522" s="14" t="str">
        <f ca="1">IF(WFTracker[[#This Row],[Impact Time Post RM]]&lt;=0,"ON TIME","LATE")</f>
        <v>ON TIME</v>
      </c>
      <c r="AJ522" s="14" t="s">
        <v>984</v>
      </c>
      <c r="AK522" s="14">
        <v>17</v>
      </c>
      <c r="AL522" s="915">
        <f>IF(WFTracker[[#This Row],[Type]]="MAKE", WFTracker[[#This Row],[Due date]]+Filters!$J$111, WFTracker[[#This Row],[Due date]]+Filters!$J$135)</f>
        <v>45986.415686274508</v>
      </c>
      <c r="AM522" s="102" cm="1">
        <f t="array" ref="AM5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3" spans="1:39" ht="15" customHeight="1">
      <c r="A523" t="str">
        <f>IF(WFTracker[[#This Row],[Order Number]]="SWBD", "QED2", "PZ4")</f>
        <v>PZ4</v>
      </c>
      <c r="B523" s="21" t="s">
        <v>601</v>
      </c>
      <c r="C523" s="109" t="s">
        <v>102</v>
      </c>
      <c r="D523" s="23" t="str">
        <f>WFTracker[[#This Row],[Order Number]]  &amp; "-" &amp; WFTracker[[#This Row],[Item]]</f>
        <v>0051378207-000270</v>
      </c>
      <c r="E523" s="109" t="s">
        <v>602</v>
      </c>
      <c r="F523" s="27">
        <v>45989</v>
      </c>
      <c r="G523" s="27"/>
      <c r="H523" s="11" t="s">
        <v>137</v>
      </c>
      <c r="I523" s="11" t="s">
        <v>238</v>
      </c>
      <c r="J523" s="113" t="s">
        <v>605</v>
      </c>
      <c r="K523" s="14" t="s">
        <v>1017</v>
      </c>
      <c r="L523" s="15" t="s">
        <v>27</v>
      </c>
      <c r="M523" s="29" t="s">
        <v>1120</v>
      </c>
      <c r="N523" s="57">
        <v>46267</v>
      </c>
      <c r="O523" s="29">
        <f>NETWORKDAYS.INTL(WFTracker[[#This Row],[Start date]],WFTracker[[#This Row],[RM]],1,Holidays!D299:D314)</f>
        <v>13</v>
      </c>
      <c r="P523" s="27">
        <v>45973</v>
      </c>
      <c r="Q523" s="27">
        <v>45980</v>
      </c>
      <c r="R523" s="27">
        <v>45985</v>
      </c>
      <c r="S523" s="27" t="b">
        <f>ISBLANK(WFTracker[[#This Row],[Completion Date]])</f>
        <v>0</v>
      </c>
      <c r="T523" s="27" t="str">
        <f>TEXT(WFTracker[[#This Row],[Start date]],"mmm-yyyy")</f>
        <v>Nov-2025</v>
      </c>
      <c r="U523" s="11">
        <v>10</v>
      </c>
      <c r="V523" s="11">
        <f>NETWORKDAYS.INTL(WFTracker[[#This Row],[Start date]],WFTracker[[#This Row],[Due date]],1,Holidays!D299:D314)</f>
        <v>6</v>
      </c>
      <c r="W5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23" s="30">
        <f ca="1">WFTracker[[#This Row],[Active Time]]-WFTracker[[#This Row],[Completion Days Template]]</f>
        <v>0</v>
      </c>
      <c r="Y523" s="34" t="str">
        <f ca="1" xml:space="preserve"> IF(WFTracker[[#This Row],[Overdue Time '[Expected-Completion']]]&gt;0, "LATE","ON TIME")</f>
        <v>ON TIME</v>
      </c>
      <c r="Z523" s="34" t="str">
        <f ca="1">IF(WFTracker[[#This Row],[Overdue Time '[Expected-Completion']]] &gt;= 15, "SUPER LATE", Y523)</f>
        <v>ON TIME</v>
      </c>
      <c r="AA523" s="105" t="str">
        <f>IF(WFTracker[[#This Row],[Pre RM Opening Time]]&lt;WFTracker[[#This Row],[Old vs New Order Lead Time WF dead line]], "LATE BY ENG", "ON TIME BY ENG")</f>
        <v>ON TIME BY ENG</v>
      </c>
      <c r="AB523" s="105"/>
      <c r="AC523" s="15" t="str">
        <f>IF(WFTracker[[#This Row],[Competion Date Content]] = FALSE, "C", "I")</f>
        <v>C</v>
      </c>
      <c r="AD5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23" s="105" t="str">
        <f ca="1">IF(WFTracker[[#This Row],[Impact Time Post RM]]&gt;0, "IMPACTED", "NOT IMPACTED")</f>
        <v>NOT IMPACTED</v>
      </c>
      <c r="AF523" s="15"/>
      <c r="AG523" s="42"/>
      <c r="AH523" s="14" t="str">
        <f>IF(WFTracker[[#This Row],[Status]]="C", "Closed", IF(WFTracker[[#This Row],[Status]] = "x", "Cancelled", WFTracker[[#This Row],[Impact Time Post RM]]))</f>
        <v>Closed</v>
      </c>
      <c r="AI523" s="14" t="str">
        <f ca="1">IF(WFTracker[[#This Row],[Impact Time Post RM]]&lt;=0,"ON TIME","LATE")</f>
        <v>ON TIME</v>
      </c>
      <c r="AJ523" s="14" t="s">
        <v>984</v>
      </c>
      <c r="AK523" s="14">
        <v>18</v>
      </c>
      <c r="AL523" s="915">
        <f>IF(WFTracker[[#This Row],[Type]]="MAKE", WFTracker[[#This Row],[Due date]]+Filters!$J$111, WFTracker[[#This Row],[Due date]]+Filters!$J$135)</f>
        <v>45983.072512647552</v>
      </c>
      <c r="AM523" s="102" cm="1">
        <f t="array" ref="AM5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4" spans="1:39" ht="15" customHeight="1">
      <c r="A524" t="str">
        <f>IF(WFTracker[[#This Row],[Order Number]]="SWBD", "QED2", "PZ4")</f>
        <v>PZ4</v>
      </c>
      <c r="B524" s="21" t="s">
        <v>601</v>
      </c>
      <c r="C524" s="109" t="s">
        <v>102</v>
      </c>
      <c r="D524" s="23" t="str">
        <f>WFTracker[[#This Row],[Order Number]]  &amp; "-" &amp; WFTracker[[#This Row],[Item]]</f>
        <v>0051378207-000270</v>
      </c>
      <c r="E524" s="109" t="s">
        <v>602</v>
      </c>
      <c r="F524" s="27">
        <v>45989</v>
      </c>
      <c r="G524" s="27"/>
      <c r="H524" s="11" t="s">
        <v>137</v>
      </c>
      <c r="I524" s="11" t="s">
        <v>238</v>
      </c>
      <c r="J524" s="113" t="s">
        <v>1449</v>
      </c>
      <c r="K524" s="14" t="s">
        <v>1023</v>
      </c>
      <c r="L524" s="15" t="s">
        <v>27</v>
      </c>
      <c r="M524" s="29" t="s">
        <v>1120</v>
      </c>
      <c r="N524" s="57">
        <v>46267</v>
      </c>
      <c r="O524" s="29">
        <f>NETWORKDAYS.INTL(WFTracker[[#This Row],[Start date]],WFTracker[[#This Row],[RM]],1,Holidays!D300:D315)</f>
        <v>13</v>
      </c>
      <c r="P524" s="27">
        <v>45973</v>
      </c>
      <c r="Q524" s="27">
        <v>45981</v>
      </c>
      <c r="R524" s="27">
        <v>45982</v>
      </c>
      <c r="S524" s="27" t="b">
        <f>ISBLANK(WFTracker[[#This Row],[Completion Date]])</f>
        <v>0</v>
      </c>
      <c r="T524" s="27" t="str">
        <f>TEXT(WFTracker[[#This Row],[Start date]],"mmm-yyyy")</f>
        <v>Nov-2025</v>
      </c>
      <c r="U524" s="11">
        <v>10</v>
      </c>
      <c r="V524" s="11">
        <f>NETWORKDAYS.INTL(WFTracker[[#This Row],[Start date]],WFTracker[[#This Row],[Due date]],1,Holidays!D300:D315)</f>
        <v>7</v>
      </c>
      <c r="W5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24" s="30">
        <f ca="1">WFTracker[[#This Row],[Active Time]]-WFTracker[[#This Row],[Completion Days Template]]</f>
        <v>-2</v>
      </c>
      <c r="Y524" s="34" t="str">
        <f ca="1" xml:space="preserve"> IF(WFTracker[[#This Row],[Overdue Time '[Expected-Completion']]]&gt;0, "LATE","ON TIME")</f>
        <v>ON TIME</v>
      </c>
      <c r="Z524" s="34" t="str">
        <f ca="1">IF(WFTracker[[#This Row],[Overdue Time '[Expected-Completion']]] &gt;= 15, "SUPER LATE", Y524)</f>
        <v>ON TIME</v>
      </c>
      <c r="AA524" s="105" t="str">
        <f>IF(WFTracker[[#This Row],[Pre RM Opening Time]]&lt;WFTracker[[#This Row],[Old vs New Order Lead Time WF dead line]], "LATE BY ENG", "ON TIME BY ENG")</f>
        <v>ON TIME BY ENG</v>
      </c>
      <c r="AB524" s="105"/>
      <c r="AC524" s="15" t="str">
        <f>IF(WFTracker[[#This Row],[Competion Date Content]] = FALSE, "C", "I")</f>
        <v>C</v>
      </c>
      <c r="AD5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24" s="105" t="str">
        <f ca="1">IF(WFTracker[[#This Row],[Impact Time Post RM]]&gt;0, "IMPACTED", "NOT IMPACTED")</f>
        <v>NOT IMPACTED</v>
      </c>
      <c r="AF524" s="15"/>
      <c r="AG524" s="42"/>
      <c r="AH524" s="14" t="str">
        <f>IF(WFTracker[[#This Row],[Status]]="C", "Closed", IF(WFTracker[[#This Row],[Status]] = "x", "Cancelled", WFTracker[[#This Row],[Impact Time Post RM]]))</f>
        <v>Closed</v>
      </c>
      <c r="AI524" s="14" t="str">
        <f ca="1">IF(WFTracker[[#This Row],[Impact Time Post RM]]&lt;=0,"ON TIME","LATE")</f>
        <v>ON TIME</v>
      </c>
      <c r="AJ524" s="14" t="s">
        <v>984</v>
      </c>
      <c r="AK524" s="14">
        <v>18</v>
      </c>
      <c r="AL524" s="915">
        <f>IF(WFTracker[[#This Row],[Type]]="MAKE", WFTracker[[#This Row],[Due date]]+Filters!$J$111, WFTracker[[#This Row],[Due date]]+Filters!$J$135)</f>
        <v>45984.072512647552</v>
      </c>
      <c r="AM524" s="102" cm="1">
        <f t="array" ref="AM5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5" spans="1:39" ht="15" customHeight="1">
      <c r="A525" t="str">
        <f>IF(WFTracker[[#This Row],[Order Number]]="SWBD", "QED2", "PZ4")</f>
        <v>PZ4</v>
      </c>
      <c r="B525" s="21" t="s">
        <v>628</v>
      </c>
      <c r="C525" s="109" t="s">
        <v>257</v>
      </c>
      <c r="D525" s="23" t="str">
        <f>WFTracker[[#This Row],[Order Number]]  &amp; "-" &amp; WFTracker[[#This Row],[Item]]</f>
        <v>0051659722-000090</v>
      </c>
      <c r="E525" s="109" t="s">
        <v>629</v>
      </c>
      <c r="F525" s="27">
        <v>45989</v>
      </c>
      <c r="G525" s="27"/>
      <c r="H525" s="11" t="s">
        <v>252</v>
      </c>
      <c r="I525" s="11"/>
      <c r="J525" s="113" t="s">
        <v>1450</v>
      </c>
      <c r="K525" s="14" t="s">
        <v>1017</v>
      </c>
      <c r="L525" s="15" t="s">
        <v>40</v>
      </c>
      <c r="M525" s="29" t="s">
        <v>1120</v>
      </c>
      <c r="N525" s="57">
        <v>46297</v>
      </c>
      <c r="O525" s="29">
        <f>NETWORKDAYS.INTL(WFTracker[[#This Row],[Start date]],WFTracker[[#This Row],[RM]],1,Holidays!D301:D316)</f>
        <v>13</v>
      </c>
      <c r="P525" s="27">
        <v>45973</v>
      </c>
      <c r="Q525" s="27">
        <v>45985</v>
      </c>
      <c r="R525" s="27">
        <v>45974</v>
      </c>
      <c r="S525" s="27" t="b">
        <f>ISBLANK(WFTracker[[#This Row],[Completion Date]])</f>
        <v>0</v>
      </c>
      <c r="T525" s="27" t="str">
        <f>TEXT(WFTracker[[#This Row],[Start date]],"mmm-yyyy")</f>
        <v>Nov-2025</v>
      </c>
      <c r="U525" s="11">
        <v>10</v>
      </c>
      <c r="V525" s="11">
        <f>NETWORKDAYS.INTL(WFTracker[[#This Row],[Start date]],WFTracker[[#This Row],[Due date]],1,Holidays!D301:D316)</f>
        <v>9</v>
      </c>
      <c r="W5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25" s="30">
        <f ca="1">WFTracker[[#This Row],[Active Time]]-WFTracker[[#This Row],[Completion Days Template]]</f>
        <v>-7</v>
      </c>
      <c r="Y525" s="34" t="str">
        <f ca="1" xml:space="preserve"> IF(WFTracker[[#This Row],[Overdue Time '[Expected-Completion']]]&gt;0, "LATE","ON TIME")</f>
        <v>ON TIME</v>
      </c>
      <c r="Z525" s="34" t="str">
        <f ca="1">IF(WFTracker[[#This Row],[Overdue Time '[Expected-Completion']]] &gt;= 15, "SUPER LATE", Y525)</f>
        <v>ON TIME</v>
      </c>
      <c r="AA525" s="105" t="str">
        <f>IF(WFTracker[[#This Row],[Pre RM Opening Time]]&lt;WFTracker[[#This Row],[Old vs New Order Lead Time WF dead line]], "LATE BY ENG", "ON TIME BY ENG")</f>
        <v>ON TIME BY ENG</v>
      </c>
      <c r="AB525" s="105"/>
      <c r="AC525" s="15" t="s">
        <v>1011</v>
      </c>
      <c r="AD5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525" s="31" t="str">
        <f ca="1">IF(WFTracker[[#This Row],[Impact Time Post RM]]&gt;0, "IMPACTED", "NOT IMPACTED")</f>
        <v>NOT IMPACTED</v>
      </c>
      <c r="AF525" s="15"/>
      <c r="AG525" s="42"/>
      <c r="AH525" s="14" t="str">
        <f>IF(WFTracker[[#This Row],[Status]]="C", "Closed", IF(WFTracker[[#This Row],[Status]] = "x", "Cancelled", WFTracker[[#This Row],[Impact Time Post RM]]))</f>
        <v>Cancelled</v>
      </c>
      <c r="AI525" s="14" t="str">
        <f ca="1">IF(WFTracker[[#This Row],[Impact Time Post RM]]&lt;=0,"ON TIME","LATE")</f>
        <v>ON TIME</v>
      </c>
      <c r="AJ525" s="14" t="s">
        <v>984</v>
      </c>
      <c r="AK525" s="14">
        <v>0</v>
      </c>
      <c r="AL525" s="915">
        <f>IF(WFTracker[[#This Row],[Type]]="MAKE", WFTracker[[#This Row],[Due date]]+Filters!$J$111, WFTracker[[#This Row],[Due date]]+Filters!$J$135)</f>
        <v>45985.415686274508</v>
      </c>
      <c r="AM525" s="102" cm="1">
        <f t="array" ref="AM525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26" spans="1:39" ht="15" customHeight="1">
      <c r="A526" t="str">
        <f>IF(WFTracker[[#This Row],[Order Number]]="SWBD", "QED2", "PZ4")</f>
        <v>PZ4</v>
      </c>
      <c r="B526" s="21" t="s">
        <v>601</v>
      </c>
      <c r="C526" s="109" t="s">
        <v>102</v>
      </c>
      <c r="D526" s="23" t="str">
        <f>WFTracker[[#This Row],[Order Number]]  &amp; "-" &amp; WFTracker[[#This Row],[Item]]</f>
        <v>0051378207-000270</v>
      </c>
      <c r="E526" s="109" t="s">
        <v>602</v>
      </c>
      <c r="F526" s="27">
        <v>45989</v>
      </c>
      <c r="G526" s="27"/>
      <c r="H526" s="11" t="s">
        <v>137</v>
      </c>
      <c r="I526" s="11" t="s">
        <v>238</v>
      </c>
      <c r="J526" s="113" t="s">
        <v>1451</v>
      </c>
      <c r="K526" s="14" t="s">
        <v>1023</v>
      </c>
      <c r="L526" s="15" t="s">
        <v>40</v>
      </c>
      <c r="M526" s="29" t="s">
        <v>1120</v>
      </c>
      <c r="N526" s="57">
        <v>46267</v>
      </c>
      <c r="O526" s="29">
        <f>NETWORKDAYS.INTL(WFTracker[[#This Row],[Start date]],WFTracker[[#This Row],[RM]],1,Holidays!D302:D317)</f>
        <v>13</v>
      </c>
      <c r="P526" s="27">
        <v>45973</v>
      </c>
      <c r="Q526" s="27">
        <v>45985</v>
      </c>
      <c r="R526" s="27">
        <v>45980</v>
      </c>
      <c r="S526" s="27" t="b">
        <f>ISBLANK(WFTracker[[#This Row],[Completion Date]])</f>
        <v>0</v>
      </c>
      <c r="T526" s="27" t="str">
        <f>TEXT(WFTracker[[#This Row],[Start date]],"mmm-yyyy")</f>
        <v>Nov-2025</v>
      </c>
      <c r="U526" s="11">
        <v>10</v>
      </c>
      <c r="V526" s="11">
        <f>NETWORKDAYS.INTL(WFTracker[[#This Row],[Start date]],WFTracker[[#This Row],[Due date]],1,Holidays!D302:D317)</f>
        <v>9</v>
      </c>
      <c r="W5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26" s="30">
        <f ca="1">WFTracker[[#This Row],[Active Time]]-WFTracker[[#This Row],[Completion Days Template]]</f>
        <v>-5</v>
      </c>
      <c r="Y526" s="34" t="str">
        <f ca="1" xml:space="preserve"> IF(WFTracker[[#This Row],[Overdue Time '[Expected-Completion']]]&gt;0, "LATE","ON TIME")</f>
        <v>ON TIME</v>
      </c>
      <c r="Z526" s="34" t="str">
        <f ca="1">IF(WFTracker[[#This Row],[Overdue Time '[Expected-Completion']]] &gt;= 15, "SUPER LATE", Y526)</f>
        <v>ON TIME</v>
      </c>
      <c r="AA526" s="105" t="str">
        <f>IF(WFTracker[[#This Row],[Pre RM Opening Time]]&lt;WFTracker[[#This Row],[Old vs New Order Lead Time WF dead line]], "LATE BY ENG", "ON TIME BY ENG")</f>
        <v>ON TIME BY ENG</v>
      </c>
      <c r="AB526" s="105"/>
      <c r="AC526" s="15" t="str">
        <f>IF(WFTracker[[#This Row],[Competion Date Content]] = FALSE, "C", "I")</f>
        <v>C</v>
      </c>
      <c r="AD5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26" s="31" t="str">
        <f ca="1">IF(WFTracker[[#This Row],[Impact Time Post RM]]&gt;0, "IMPACTED", "NOT IMPACTED")</f>
        <v>NOT IMPACTED</v>
      </c>
      <c r="AF526" s="15"/>
      <c r="AG526" s="42"/>
      <c r="AH526" s="14" t="str">
        <f>IF(WFTracker[[#This Row],[Status]]="C", "Closed", IF(WFTracker[[#This Row],[Status]] = "x", "Cancelled", WFTracker[[#This Row],[Impact Time Post RM]]))</f>
        <v>Closed</v>
      </c>
      <c r="AI526" s="14" t="str">
        <f ca="1">IF(WFTracker[[#This Row],[Impact Time Post RM]]&lt;=0,"ON TIME","LATE")</f>
        <v>ON TIME</v>
      </c>
      <c r="AJ526" s="14" t="s">
        <v>984</v>
      </c>
      <c r="AK526" s="14">
        <v>17</v>
      </c>
      <c r="AL526" s="915">
        <f>IF(WFTracker[[#This Row],[Type]]="MAKE", WFTracker[[#This Row],[Due date]]+Filters!$J$111, WFTracker[[#This Row],[Due date]]+Filters!$J$135)</f>
        <v>45985.415686274508</v>
      </c>
      <c r="AM526" s="102" cm="1">
        <f t="array" ref="AM5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27" spans="1:39" ht="15" customHeight="1">
      <c r="A527" t="str">
        <f>IF(WFTracker[[#This Row],[Order Number]]="SWBD", "QED2", "PZ4")</f>
        <v>PZ4</v>
      </c>
      <c r="B527" s="21" t="s">
        <v>1452</v>
      </c>
      <c r="C527" s="109" t="s">
        <v>165</v>
      </c>
      <c r="D527" s="23" t="str">
        <f>WFTracker[[#This Row],[Order Number]]  &amp; "-" &amp; WFTracker[[#This Row],[Item]]</f>
        <v>0051679732-000030</v>
      </c>
      <c r="E527" s="109" t="s">
        <v>1024</v>
      </c>
      <c r="F527" s="27">
        <v>45999</v>
      </c>
      <c r="G527" s="27"/>
      <c r="H527" s="11" t="s">
        <v>295</v>
      </c>
      <c r="I527" s="11"/>
      <c r="J527" s="113" t="s">
        <v>1453</v>
      </c>
      <c r="K527" s="14" t="s">
        <v>1023</v>
      </c>
      <c r="L527" s="15" t="s">
        <v>27</v>
      </c>
      <c r="M527" s="29" t="s">
        <v>1120</v>
      </c>
      <c r="N527" s="57">
        <v>46076</v>
      </c>
      <c r="O527" s="29">
        <f>NETWORKDAYS.INTL(WFTracker[[#This Row],[Start date]],WFTracker[[#This Row],[RM]],1,Holidays!D441:D456)</f>
        <v>19</v>
      </c>
      <c r="P527" s="27">
        <v>45973</v>
      </c>
      <c r="Q527" s="27">
        <v>45981</v>
      </c>
      <c r="R527" s="12">
        <v>45985</v>
      </c>
      <c r="S527" s="27" t="b">
        <f>ISBLANK(WFTracker[[#This Row],[Completion Date]])</f>
        <v>0</v>
      </c>
      <c r="T527" s="27" t="str">
        <f>TEXT(WFTracker[[#This Row],[Start date]],"mmm-yyyy")</f>
        <v>Nov-2025</v>
      </c>
      <c r="U527" s="11">
        <v>10</v>
      </c>
      <c r="V527" s="11">
        <f>NETWORKDAYS.INTL(WFTracker[[#This Row],[Start date]],WFTracker[[#This Row],[Due date]],1,Holidays!D441:D456)</f>
        <v>7</v>
      </c>
      <c r="W5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27" s="30">
        <f ca="1">WFTracker[[#This Row],[Active Time]]-WFTracker[[#This Row],[Completion Days Template]]</f>
        <v>-1</v>
      </c>
      <c r="Y527" s="34" t="str">
        <f ca="1" xml:space="preserve"> IF(WFTracker[[#This Row],[Overdue Time '[Expected-Completion']]]&gt;0, "LATE","ON TIME")</f>
        <v>ON TIME</v>
      </c>
      <c r="Z527" s="34" t="str">
        <f ca="1">IF(WFTracker[[#This Row],[Overdue Time '[Expected-Completion']]] &gt;= 15, "SUPER LATE", Y527)</f>
        <v>ON TIME</v>
      </c>
      <c r="AA527" s="105" t="str">
        <f>IF(WFTracker[[#This Row],[Pre RM Opening Time]]&lt;WFTracker[[#This Row],[Old vs New Order Lead Time WF dead line]], "LATE BY ENG", "ON TIME BY ENG")</f>
        <v>ON TIME BY ENG</v>
      </c>
      <c r="AB527" s="105"/>
      <c r="AC527" s="15" t="s">
        <v>1011</v>
      </c>
      <c r="AD5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27" s="105" t="str">
        <f ca="1">IF(WFTracker[[#This Row],[Impact Time Post RM]]&gt;0, "IMPACTED", "NOT IMPACTED")</f>
        <v>NOT IMPACTED</v>
      </c>
      <c r="AF527" s="15"/>
      <c r="AG527" s="42"/>
      <c r="AH527" s="14" t="str">
        <f>IF(WFTracker[[#This Row],[Status]]="C", "Closed", IF(WFTracker[[#This Row],[Status]] = "x", "Cancelled", WFTracker[[#This Row],[Impact Time Post RM]]))</f>
        <v>Cancelled</v>
      </c>
      <c r="AI527" s="14" t="str">
        <f ca="1">IF(WFTracker[[#This Row],[Impact Time Post RM]]&lt;=0,"ON TIME","LATE")</f>
        <v>ON TIME</v>
      </c>
      <c r="AJ527" s="14" t="s">
        <v>984</v>
      </c>
      <c r="AK527" s="14">
        <v>0</v>
      </c>
      <c r="AL527" s="915">
        <f>IF(WFTracker[[#This Row],[Type]]="MAKE", WFTracker[[#This Row],[Due date]]+Filters!$J$111, WFTracker[[#This Row],[Due date]]+Filters!$J$135)</f>
        <v>45984.072512647552</v>
      </c>
      <c r="AM527" s="102" cm="1">
        <f t="array" ref="AM527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28" spans="1:39" ht="15" customHeight="1">
      <c r="A528" t="str">
        <f>IF(WFTracker[[#This Row],[Order Number]]="SWBD", "QED2", "PZ4")</f>
        <v>PZ4</v>
      </c>
      <c r="B528" s="21" t="s">
        <v>1452</v>
      </c>
      <c r="C528" s="109" t="s">
        <v>165</v>
      </c>
      <c r="D528" s="23" t="str">
        <f>WFTracker[[#This Row],[Order Number]]  &amp; "-" &amp; WFTracker[[#This Row],[Item]]</f>
        <v>0051679732-000030</v>
      </c>
      <c r="E528" s="109" t="s">
        <v>1024</v>
      </c>
      <c r="F528" s="27">
        <v>45999</v>
      </c>
      <c r="G528" s="27"/>
      <c r="H528" s="11" t="s">
        <v>295</v>
      </c>
      <c r="I528" s="11"/>
      <c r="J528" s="113" t="s">
        <v>1454</v>
      </c>
      <c r="K528" s="14" t="s">
        <v>1023</v>
      </c>
      <c r="L528" s="15" t="s">
        <v>40</v>
      </c>
      <c r="M528" s="29" t="s">
        <v>1120</v>
      </c>
      <c r="N528" s="57">
        <v>46076</v>
      </c>
      <c r="O528" s="29">
        <f>NETWORKDAYS.INTL(WFTracker[[#This Row],[Start date]],WFTracker[[#This Row],[RM]],1,Holidays!D442:D457)</f>
        <v>19</v>
      </c>
      <c r="P528" s="27">
        <v>45973</v>
      </c>
      <c r="Q528" s="27">
        <v>45985</v>
      </c>
      <c r="R528" s="12">
        <v>45985</v>
      </c>
      <c r="S528" s="27" t="b">
        <f>ISBLANK(WFTracker[[#This Row],[Completion Date]])</f>
        <v>0</v>
      </c>
      <c r="T528" s="27" t="str">
        <f>TEXT(WFTracker[[#This Row],[Start date]],"mmm-yyyy")</f>
        <v>Nov-2025</v>
      </c>
      <c r="U528" s="11">
        <v>10</v>
      </c>
      <c r="V528" s="11">
        <f>NETWORKDAYS.INTL(WFTracker[[#This Row],[Start date]],WFTracker[[#This Row],[Due date]],1,Holidays!D442:D457)</f>
        <v>9</v>
      </c>
      <c r="W5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28" s="30">
        <f ca="1">WFTracker[[#This Row],[Active Time]]-WFTracker[[#This Row],[Completion Days Template]]</f>
        <v>-3</v>
      </c>
      <c r="Y528" s="34" t="str">
        <f ca="1" xml:space="preserve"> IF(WFTracker[[#This Row],[Overdue Time '[Expected-Completion']]]&gt;0, "LATE","ON TIME")</f>
        <v>ON TIME</v>
      </c>
      <c r="Z528" s="34" t="str">
        <f ca="1">IF(WFTracker[[#This Row],[Overdue Time '[Expected-Completion']]] &gt;= 15, "SUPER LATE", Y528)</f>
        <v>ON TIME</v>
      </c>
      <c r="AA528" s="105" t="str">
        <f>IF(WFTracker[[#This Row],[Pre RM Opening Time]]&lt;WFTracker[[#This Row],[Old vs New Order Lead Time WF dead line]], "LATE BY ENG", "ON TIME BY ENG")</f>
        <v>ON TIME BY ENG</v>
      </c>
      <c r="AB528" s="105"/>
      <c r="AC528" s="15" t="s">
        <v>1011</v>
      </c>
      <c r="AD5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28" s="105" t="str">
        <f ca="1">IF(WFTracker[[#This Row],[Impact Time Post RM]]&gt;0, "IMPACTED", "NOT IMPACTED")</f>
        <v>NOT IMPACTED</v>
      </c>
      <c r="AF528" s="15"/>
      <c r="AG528" s="42"/>
      <c r="AH528" s="14" t="str">
        <f>IF(WFTracker[[#This Row],[Status]]="C", "Closed", IF(WFTracker[[#This Row],[Status]] = "x", "Cancelled", WFTracker[[#This Row],[Impact Time Post RM]]))</f>
        <v>Cancelled</v>
      </c>
      <c r="AI528" s="14" t="str">
        <f ca="1">IF(WFTracker[[#This Row],[Impact Time Post RM]]&lt;=0,"ON TIME","LATE")</f>
        <v>ON TIME</v>
      </c>
      <c r="AJ528" s="14" t="s">
        <v>984</v>
      </c>
      <c r="AK528" s="14">
        <v>1</v>
      </c>
      <c r="AL528" s="915">
        <f>IF(WFTracker[[#This Row],[Type]]="MAKE", WFTracker[[#This Row],[Due date]]+Filters!$J$111, WFTracker[[#This Row],[Due date]]+Filters!$J$135)</f>
        <v>45985.415686274508</v>
      </c>
      <c r="AM528" s="102" cm="1">
        <f t="array" ref="AM528">_xlfn.IFS(WFTracker[[#This Row],[Type]]="BUY", WFTracker[[#This Row],[Task Number]]/17,
     WFTracker[[#This Row],[Type]]="MAKE", WFTracker[[#This Row],[Task Number]]/18,
     WFTracker[[#This Row],[Type]]="CNG-BOM", WFTracker[[#This Row],[Task Number]]/11)</f>
        <v>5.8823529411764705E-2</v>
      </c>
    </row>
    <row r="529" spans="1:39" ht="15" customHeight="1">
      <c r="A529" t="str">
        <f>IF(WFTracker[[#This Row],[Order Number]]="SWBD", "QED2", "PZ4")</f>
        <v>PZ4</v>
      </c>
      <c r="B529" s="21" t="s">
        <v>490</v>
      </c>
      <c r="C529" s="1002" t="s">
        <v>282</v>
      </c>
      <c r="D529" s="23" t="str">
        <f>WFTracker[[#This Row],[Order Number]]  &amp; "-" &amp; WFTracker[[#This Row],[Item]]</f>
        <v>0051442285-000070</v>
      </c>
      <c r="E529" s="109" t="s">
        <v>491</v>
      </c>
      <c r="F529" s="27">
        <v>45947</v>
      </c>
      <c r="G529" s="27"/>
      <c r="H529" s="11" t="s">
        <v>104</v>
      </c>
      <c r="I529" s="11" t="s">
        <v>37</v>
      </c>
      <c r="J529" s="113" t="s">
        <v>1455</v>
      </c>
      <c r="K529" s="14" t="s">
        <v>1023</v>
      </c>
      <c r="L529" s="15" t="s">
        <v>40</v>
      </c>
      <c r="M529" s="29" t="s">
        <v>438</v>
      </c>
      <c r="N529" s="57">
        <v>46008</v>
      </c>
      <c r="O529" s="29">
        <f>NETWORKDAYS.INTL(WFTracker[[#This Row],[Start date]],WFTracker[[#This Row],[RM]],1,Holidays!D32:D45)</f>
        <v>-20</v>
      </c>
      <c r="P529" s="27">
        <v>45974</v>
      </c>
      <c r="Q529" s="27">
        <v>45986</v>
      </c>
      <c r="R529" s="27">
        <v>45980</v>
      </c>
      <c r="S529" s="27" t="b">
        <f>ISBLANK(WFTracker[[#This Row],[Completion Date]])</f>
        <v>0</v>
      </c>
      <c r="T529" s="27" t="str">
        <f>TEXT(WFTracker[[#This Row],[Start date]],"mmm-yyyy")</f>
        <v>Nov-2025</v>
      </c>
      <c r="U529" s="11">
        <v>10</v>
      </c>
      <c r="V529" s="11">
        <f>NETWORKDAYS.INTL(WFTracker[[#This Row],[Start date]],WFTracker[[#This Row],[Due date]],1,Holidays!D32:D45)</f>
        <v>9</v>
      </c>
      <c r="W5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29" s="30">
        <f ca="1">WFTracker[[#This Row],[Active Time]]-WFTracker[[#This Row],[Completion Days Template]]</f>
        <v>-6</v>
      </c>
      <c r="Y529" s="34" t="str">
        <f ca="1" xml:space="preserve"> IF(WFTracker[[#This Row],[Overdue Time '[Expected-Completion']]]&gt;0, "LATE","ON TIME")</f>
        <v>ON TIME</v>
      </c>
      <c r="Z529" s="34" t="str">
        <f ca="1">IF(WFTracker[[#This Row],[Overdue Time '[Expected-Completion']]] &gt;= 15, "SUPER LATE", Y529)</f>
        <v>ON TIME</v>
      </c>
      <c r="AA529" s="105" t="str">
        <f>IF(WFTracker[[#This Row],[Pre RM Opening Time]]&lt;WFTracker[[#This Row],[Old vs New Order Lead Time WF dead line]], "LATE BY ENG", "ON TIME BY ENG")</f>
        <v>LATE BY ENG</v>
      </c>
      <c r="AB529" s="105"/>
      <c r="AC529" s="15" t="str">
        <f>IF(WFTracker[[#This Row],[Competion Date Content]] = FALSE, "C", "I")</f>
        <v>C</v>
      </c>
      <c r="AD5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21</v>
      </c>
      <c r="AE529" s="31" t="str">
        <f ca="1">IF(WFTracker[[#This Row],[Impact Time Post RM]]&gt;0, "IMPACTED", "NOT IMPACTED")</f>
        <v>IMPACTED</v>
      </c>
      <c r="AF529" s="15"/>
      <c r="AG529" s="42"/>
      <c r="AH529" s="14" t="str">
        <f>IF(WFTracker[[#This Row],[Status]]="C", "Closed", IF(WFTracker[[#This Row],[Status]] = "x", "Cancelled", WFTracker[[#This Row],[Impact Time Post RM]]))</f>
        <v>Closed</v>
      </c>
      <c r="AI529" s="14" t="str">
        <f ca="1">IF(WFTracker[[#This Row],[Impact Time Post RM]]&lt;=0,"ON TIME","LATE")</f>
        <v>LATE</v>
      </c>
      <c r="AJ529" s="14" t="s">
        <v>984</v>
      </c>
      <c r="AK529" s="14">
        <v>17</v>
      </c>
      <c r="AL529" s="915">
        <f>IF(WFTracker[[#This Row],[Type]]="MAKE", WFTracker[[#This Row],[Due date]]+Filters!$J$111, WFTracker[[#This Row],[Due date]]+Filters!$J$135)</f>
        <v>45986.415686274508</v>
      </c>
      <c r="AM529" s="102" cm="1">
        <f t="array" ref="AM5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0" spans="1:39" ht="15" customHeight="1">
      <c r="A530" t="str">
        <f>IF(WFTracker[[#This Row],[Order Number]]="SWBD", "QED2", "PZ4")</f>
        <v>PZ4</v>
      </c>
      <c r="B530" s="21" t="s">
        <v>625</v>
      </c>
      <c r="C530" s="1002" t="s">
        <v>282</v>
      </c>
      <c r="D530" s="23" t="str">
        <f>WFTracker[[#This Row],[Order Number]]  &amp; "-" &amp; WFTracker[[#This Row],[Item]]</f>
        <v>0051648563-000070</v>
      </c>
      <c r="E530" s="109" t="s">
        <v>1414</v>
      </c>
      <c r="F530" s="27">
        <v>45981</v>
      </c>
      <c r="G530" s="27"/>
      <c r="H530" s="11" t="s">
        <v>305</v>
      </c>
      <c r="I530" s="11" t="s">
        <v>216</v>
      </c>
      <c r="J530" s="113" t="s">
        <v>627</v>
      </c>
      <c r="K530" s="14" t="s">
        <v>1017</v>
      </c>
      <c r="L530" s="15" t="s">
        <v>27</v>
      </c>
      <c r="M530" s="29" t="s">
        <v>1120</v>
      </c>
      <c r="N530" s="57">
        <v>46035</v>
      </c>
      <c r="O530" s="29">
        <f>NETWORKDAYS.INTL(WFTracker[[#This Row],[Start date]],WFTracker[[#This Row],[RM]],1,Holidays!D100:D115)</f>
        <v>6</v>
      </c>
      <c r="P530" s="27">
        <v>45974</v>
      </c>
      <c r="Q530" s="27">
        <v>45981</v>
      </c>
      <c r="R530" s="27">
        <v>45981</v>
      </c>
      <c r="S530" s="27" t="b">
        <f>ISBLANK(WFTracker[[#This Row],[Completion Date]])</f>
        <v>0</v>
      </c>
      <c r="T530" s="27" t="str">
        <f>TEXT(WFTracker[[#This Row],[Start date]],"mmm-yyyy")</f>
        <v>Nov-2025</v>
      </c>
      <c r="U530" s="11">
        <v>10</v>
      </c>
      <c r="V530" s="11">
        <f>NETWORKDAYS.INTL(WFTracker[[#This Row],[Start date]],WFTracker[[#This Row],[Due date]],1,Holidays!D100:D115)</f>
        <v>6</v>
      </c>
      <c r="W5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30" s="30">
        <f ca="1">WFTracker[[#This Row],[Active Time]]-WFTracker[[#This Row],[Completion Days Template]]</f>
        <v>-3</v>
      </c>
      <c r="Y530" s="34" t="str">
        <f ca="1" xml:space="preserve"> IF(WFTracker[[#This Row],[Overdue Time '[Expected-Completion']]]&gt;0, "LATE","ON TIME")</f>
        <v>ON TIME</v>
      </c>
      <c r="Z530" s="34" t="str">
        <f ca="1">IF(WFTracker[[#This Row],[Overdue Time '[Expected-Completion']]] &gt;= 15, "SUPER LATE", Y530)</f>
        <v>ON TIME</v>
      </c>
      <c r="AA530" s="105" t="str">
        <f>IF(WFTracker[[#This Row],[Pre RM Opening Time]]&lt;WFTracker[[#This Row],[Old vs New Order Lead Time WF dead line]], "LATE BY ENG", "ON TIME BY ENG")</f>
        <v>LATE BY ENG</v>
      </c>
      <c r="AB530" s="105"/>
      <c r="AC530" s="15" t="str">
        <f>IF(WFTracker[[#This Row],[Competion Date Content]] = FALSE, "C", "I")</f>
        <v>C</v>
      </c>
      <c r="AD5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0</v>
      </c>
      <c r="AE530" s="105" t="str">
        <f ca="1">IF(WFTracker[[#This Row],[Impact Time Post RM]]&gt;0, "IMPACTED", "NOT IMPACTED")</f>
        <v>NOT IMPACTED</v>
      </c>
      <c r="AF530" s="15"/>
      <c r="AG530" s="42"/>
      <c r="AH530" s="14" t="str">
        <f>IF(WFTracker[[#This Row],[Status]]="C", "Closed", IF(WFTracker[[#This Row],[Status]] = "x", "Cancelled", WFTracker[[#This Row],[Impact Time Post RM]]))</f>
        <v>Closed</v>
      </c>
      <c r="AI530" s="14" t="str">
        <f ca="1">IF(WFTracker[[#This Row],[Impact Time Post RM]]&lt;=0,"ON TIME","LATE")</f>
        <v>ON TIME</v>
      </c>
      <c r="AJ530" s="14" t="s">
        <v>984</v>
      </c>
      <c r="AK530" s="14">
        <v>18</v>
      </c>
      <c r="AL530" s="915">
        <f>IF(WFTracker[[#This Row],[Type]]="MAKE", WFTracker[[#This Row],[Due date]]+Filters!$J$111, WFTracker[[#This Row],[Due date]]+Filters!$J$135)</f>
        <v>45984.072512647552</v>
      </c>
      <c r="AM530" s="102" cm="1">
        <f t="array" ref="AM5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1" spans="1:39" ht="15" customHeight="1">
      <c r="A531" t="str">
        <f>IF(WFTracker[[#This Row],[Order Number]]="SWBD", "QED2", "PZ4")</f>
        <v>PZ4</v>
      </c>
      <c r="B531" s="21" t="s">
        <v>628</v>
      </c>
      <c r="C531" s="109" t="s">
        <v>257</v>
      </c>
      <c r="D531" s="23" t="str">
        <f>WFTracker[[#This Row],[Order Number]]  &amp; "-" &amp; WFTracker[[#This Row],[Item]]</f>
        <v>0051659722-000090</v>
      </c>
      <c r="E531" s="109" t="s">
        <v>629</v>
      </c>
      <c r="F531" s="27">
        <v>45989</v>
      </c>
      <c r="G531" s="27"/>
      <c r="H531" s="11" t="s">
        <v>252</v>
      </c>
      <c r="I531" s="11" t="s">
        <v>264</v>
      </c>
      <c r="J531" s="116" t="s">
        <v>632</v>
      </c>
      <c r="K531" s="14" t="s">
        <v>1017</v>
      </c>
      <c r="L531" s="15" t="s">
        <v>27</v>
      </c>
      <c r="M531" s="29" t="s">
        <v>1120</v>
      </c>
      <c r="N531" s="57">
        <v>46297</v>
      </c>
      <c r="O531" s="29">
        <f>NETWORKDAYS.INTL(WFTracker[[#This Row],[Start date]],WFTracker[[#This Row],[RM]],1,Holidays!D271:D286)</f>
        <v>12</v>
      </c>
      <c r="P531" s="27">
        <v>45974</v>
      </c>
      <c r="Q531" s="27">
        <v>45981</v>
      </c>
      <c r="R531" s="27">
        <v>45985</v>
      </c>
      <c r="S531" s="27" t="b">
        <f>ISBLANK(WFTracker[[#This Row],[Completion Date]])</f>
        <v>0</v>
      </c>
      <c r="T531" s="27" t="str">
        <f>TEXT(WFTracker[[#This Row],[Start date]],"mmm-yyyy")</f>
        <v>Nov-2025</v>
      </c>
      <c r="U531" s="11">
        <v>10</v>
      </c>
      <c r="V531" s="11">
        <f>NETWORKDAYS.INTL(WFTracker[[#This Row],[Start date]],WFTracker[[#This Row],[Due date]],1,Holidays!D271:D286)</f>
        <v>6</v>
      </c>
      <c r="W5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31" s="30">
        <f ca="1">WFTracker[[#This Row],[Active Time]]-WFTracker[[#This Row],[Completion Days Template]]</f>
        <v>-1</v>
      </c>
      <c r="Y531" s="34" t="str">
        <f ca="1" xml:space="preserve"> IF(WFTracker[[#This Row],[Overdue Time '[Expected-Completion']]]&gt;0, "LATE","ON TIME")</f>
        <v>ON TIME</v>
      </c>
      <c r="Z531" s="34" t="str">
        <f ca="1">IF(WFTracker[[#This Row],[Overdue Time '[Expected-Completion']]] &gt;= 15, "SUPER LATE", Y531)</f>
        <v>ON TIME</v>
      </c>
      <c r="AA531" s="105" t="str">
        <f>IF(WFTracker[[#This Row],[Pre RM Opening Time]]&lt;WFTracker[[#This Row],[Old vs New Order Lead Time WF dead line]], "LATE BY ENG", "ON TIME BY ENG")</f>
        <v>ON TIME BY ENG</v>
      </c>
      <c r="AB531" s="105"/>
      <c r="AC531" s="15" t="str">
        <f>IF(WFTracker[[#This Row],[Competion Date Content]] = FALSE, "C", "I")</f>
        <v>C</v>
      </c>
      <c r="AD5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31" s="105" t="str">
        <f ca="1">IF(WFTracker[[#This Row],[Impact Time Post RM]]&gt;0, "IMPACTED", "NOT IMPACTED")</f>
        <v>NOT IMPACTED</v>
      </c>
      <c r="AF531" s="15"/>
      <c r="AG531" s="42"/>
      <c r="AH531" s="14" t="str">
        <f>IF(WFTracker[[#This Row],[Status]]="C", "Closed", IF(WFTracker[[#This Row],[Status]] = "x", "Cancelled", WFTracker[[#This Row],[Impact Time Post RM]]))</f>
        <v>Closed</v>
      </c>
      <c r="AI531" s="14" t="str">
        <f ca="1">IF(WFTracker[[#This Row],[Impact Time Post RM]]&lt;=0,"ON TIME","LATE")</f>
        <v>ON TIME</v>
      </c>
      <c r="AJ531" s="14" t="s">
        <v>984</v>
      </c>
      <c r="AK531" s="14">
        <v>18</v>
      </c>
      <c r="AL531" s="915">
        <f>IF(WFTracker[[#This Row],[Type]]="MAKE", WFTracker[[#This Row],[Due date]]+Filters!$J$111, WFTracker[[#This Row],[Due date]]+Filters!$J$135)</f>
        <v>45984.072512647552</v>
      </c>
      <c r="AM531" s="102" cm="1">
        <f t="array" ref="AM5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2" spans="1:39" ht="15" customHeight="1">
      <c r="A532" t="str">
        <f>IF(WFTracker[[#This Row],[Order Number]]="SWBD", "QED2", "PZ4")</f>
        <v>PZ4</v>
      </c>
      <c r="B532" s="21" t="s">
        <v>628</v>
      </c>
      <c r="C532" s="109" t="s">
        <v>257</v>
      </c>
      <c r="D532" s="23" t="s">
        <v>1456</v>
      </c>
      <c r="E532" s="109" t="s">
        <v>629</v>
      </c>
      <c r="F532" s="27">
        <v>45989</v>
      </c>
      <c r="G532" s="27"/>
      <c r="H532" s="11" t="s">
        <v>252</v>
      </c>
      <c r="I532" s="11" t="s">
        <v>264</v>
      </c>
      <c r="J532" s="113" t="s">
        <v>631</v>
      </c>
      <c r="K532" s="14" t="s">
        <v>1017</v>
      </c>
      <c r="L532" s="15" t="s">
        <v>27</v>
      </c>
      <c r="M532" s="29" t="s">
        <v>1120</v>
      </c>
      <c r="N532" s="57">
        <v>46297</v>
      </c>
      <c r="O532" s="29">
        <f>NETWORKDAYS.INTL(WFTracker[[#This Row],[Start date]],WFTracker[[#This Row],[RM]],1,Holidays!D272:D287)</f>
        <v>12</v>
      </c>
      <c r="P532" s="27">
        <v>45974</v>
      </c>
      <c r="Q532" s="27">
        <v>45982</v>
      </c>
      <c r="R532" s="27">
        <v>45981</v>
      </c>
      <c r="S532" s="27" t="b">
        <f>ISBLANK(WFTracker[[#This Row],[Completion Date]])</f>
        <v>0</v>
      </c>
      <c r="T532" s="27" t="str">
        <f>TEXT(WFTracker[[#This Row],[Start date]],"mmm-yyyy")</f>
        <v>Nov-2025</v>
      </c>
      <c r="U532" s="11">
        <v>10</v>
      </c>
      <c r="V532" s="11">
        <f>NETWORKDAYS.INTL(WFTracker[[#This Row],[Start date]],WFTracker[[#This Row],[Due date]],1,Holidays!D272:D287)</f>
        <v>7</v>
      </c>
      <c r="W5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32" s="30">
        <f ca="1">WFTracker[[#This Row],[Active Time]]-WFTracker[[#This Row],[Completion Days Template]]</f>
        <v>-4</v>
      </c>
      <c r="Y532" s="34" t="str">
        <f ca="1" xml:space="preserve"> IF(WFTracker[[#This Row],[Overdue Time '[Expected-Completion']]]&gt;0, "LATE","ON TIME")</f>
        <v>ON TIME</v>
      </c>
      <c r="Z532" s="34" t="str">
        <f ca="1">IF(WFTracker[[#This Row],[Overdue Time '[Expected-Completion']]] &gt;= 15, "SUPER LATE", Y532)</f>
        <v>ON TIME</v>
      </c>
      <c r="AA532" s="105" t="str">
        <f>IF(WFTracker[[#This Row],[Pre RM Opening Time]]&lt;WFTracker[[#This Row],[Old vs New Order Lead Time WF dead line]], "LATE BY ENG", "ON TIME BY ENG")</f>
        <v>ON TIME BY ENG</v>
      </c>
      <c r="AB532" s="105"/>
      <c r="AC532" s="15" t="str">
        <f>IF(WFTracker[[#This Row],[Competion Date Content]] = FALSE, "C", "I")</f>
        <v>C</v>
      </c>
      <c r="AD5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32" s="105" t="str">
        <f ca="1">IF(WFTracker[[#This Row],[Impact Time Post RM]]&gt;0, "IMPACTED", "NOT IMPACTED")</f>
        <v>NOT IMPACTED</v>
      </c>
      <c r="AF532" s="15"/>
      <c r="AG532" s="42"/>
      <c r="AH532" s="14" t="str">
        <f>IF(WFTracker[[#This Row],[Status]]="C", "Closed", IF(WFTracker[[#This Row],[Status]] = "x", "Cancelled", WFTracker[[#This Row],[Impact Time Post RM]]))</f>
        <v>Closed</v>
      </c>
      <c r="AI532" s="14" t="str">
        <f ca="1">IF(WFTracker[[#This Row],[Impact Time Post RM]]&lt;=0,"ON TIME","LATE")</f>
        <v>ON TIME</v>
      </c>
      <c r="AJ532" s="14" t="s">
        <v>984</v>
      </c>
      <c r="AK532" s="14">
        <v>18</v>
      </c>
      <c r="AL532" s="915">
        <f>IF(WFTracker[[#This Row],[Type]]="MAKE", WFTracker[[#This Row],[Due date]]+Filters!$J$111, WFTracker[[#This Row],[Due date]]+Filters!$J$135)</f>
        <v>45985.072512647552</v>
      </c>
      <c r="AM532" s="102" cm="1">
        <f t="array" ref="AM5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3" spans="1:39" ht="15" customHeight="1">
      <c r="A533" t="str">
        <f>IF(WFTracker[[#This Row],[Order Number]]="SWBD", "QED2", "PZ4")</f>
        <v>PZ4</v>
      </c>
      <c r="B533" s="21" t="s">
        <v>646</v>
      </c>
      <c r="C533" s="109" t="s">
        <v>286</v>
      </c>
      <c r="D533" s="23" t="s">
        <v>1457</v>
      </c>
      <c r="E533" s="109" t="s">
        <v>648</v>
      </c>
      <c r="F533" s="27">
        <v>45989</v>
      </c>
      <c r="G533" s="27"/>
      <c r="H533" s="11" t="s">
        <v>237</v>
      </c>
      <c r="I533" s="11"/>
      <c r="J533" s="113" t="s">
        <v>649</v>
      </c>
      <c r="K533" s="14" t="s">
        <v>1017</v>
      </c>
      <c r="L533" s="15" t="s">
        <v>27</v>
      </c>
      <c r="M533" s="29" t="s">
        <v>1120</v>
      </c>
      <c r="N533" s="57">
        <v>46328</v>
      </c>
      <c r="O533" s="29">
        <f>NETWORKDAYS.INTL(WFTracker[[#This Row],[Start date]],WFTracker[[#This Row],[RM]],1,Holidays!D273:D288)</f>
        <v>12</v>
      </c>
      <c r="P533" s="27">
        <v>45974</v>
      </c>
      <c r="Q533" s="27">
        <v>45985</v>
      </c>
      <c r="R533" s="27">
        <v>45982</v>
      </c>
      <c r="S533" s="27" t="b">
        <f>ISBLANK(WFTracker[[#This Row],[Completion Date]])</f>
        <v>0</v>
      </c>
      <c r="T533" s="27" t="str">
        <f>TEXT(WFTracker[[#This Row],[Start date]],"mmm-yyyy")</f>
        <v>Nov-2025</v>
      </c>
      <c r="U533" s="11">
        <v>10</v>
      </c>
      <c r="V533" s="11">
        <f>NETWORKDAYS.INTL(WFTracker[[#This Row],[Start date]],WFTracker[[#This Row],[Due date]],1,Holidays!D273:D288)</f>
        <v>8</v>
      </c>
      <c r="W5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33" s="30">
        <f ca="1">WFTracker[[#This Row],[Active Time]]-WFTracker[[#This Row],[Completion Days Template]]</f>
        <v>-4</v>
      </c>
      <c r="Y533" s="34" t="str">
        <f ca="1" xml:space="preserve"> IF(WFTracker[[#This Row],[Overdue Time '[Expected-Completion']]]&gt;0, "LATE","ON TIME")</f>
        <v>ON TIME</v>
      </c>
      <c r="Z533" s="34" t="str">
        <f ca="1">IF(WFTracker[[#This Row],[Overdue Time '[Expected-Completion']]] &gt;= 15, "SUPER LATE", Y533)</f>
        <v>ON TIME</v>
      </c>
      <c r="AA533" s="105" t="str">
        <f>IF(WFTracker[[#This Row],[Pre RM Opening Time]]&lt;WFTracker[[#This Row],[Old vs New Order Lead Time WF dead line]], "LATE BY ENG", "ON TIME BY ENG")</f>
        <v>ON TIME BY ENG</v>
      </c>
      <c r="AB533" s="105"/>
      <c r="AC533" s="15" t="str">
        <f>IF(WFTracker[[#This Row],[Competion Date Content]] = FALSE, "C", "I")</f>
        <v>C</v>
      </c>
      <c r="AD5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33" s="105" t="str">
        <f ca="1">IF(WFTracker[[#This Row],[Impact Time Post RM]]&gt;0, "IMPACTED", "NOT IMPACTED")</f>
        <v>NOT IMPACTED</v>
      </c>
      <c r="AF533" s="15"/>
      <c r="AG533" s="42"/>
      <c r="AH533" s="14" t="str">
        <f>IF(WFTracker[[#This Row],[Status]]="C", "Closed", IF(WFTracker[[#This Row],[Status]] = "x", "Cancelled", WFTracker[[#This Row],[Impact Time Post RM]]))</f>
        <v>Closed</v>
      </c>
      <c r="AI533" s="14" t="str">
        <f ca="1">IF(WFTracker[[#This Row],[Impact Time Post RM]]&lt;=0,"ON TIME","LATE")</f>
        <v>ON TIME</v>
      </c>
      <c r="AJ533" s="14" t="s">
        <v>984</v>
      </c>
      <c r="AK533" s="14">
        <v>18</v>
      </c>
      <c r="AL533" s="915">
        <f>IF(WFTracker[[#This Row],[Type]]="MAKE", WFTracker[[#This Row],[Due date]]+Filters!$J$111, WFTracker[[#This Row],[Due date]]+Filters!$J$135)</f>
        <v>45988.072512647552</v>
      </c>
      <c r="AM533" s="102" cm="1">
        <f t="array" ref="AM5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4" spans="1:39" ht="15" customHeight="1">
      <c r="A534" t="str">
        <f>IF(WFTracker[[#This Row],[Order Number]]="SWBD", "QED2", "PZ4")</f>
        <v>PZ4</v>
      </c>
      <c r="B534" s="21" t="s">
        <v>650</v>
      </c>
      <c r="C534" s="109" t="s">
        <v>867</v>
      </c>
      <c r="D534" s="23" t="str">
        <f>WFTracker[[#This Row],[Order Number]]  &amp; "-" &amp; WFTracker[[#This Row],[Item]]</f>
        <v>0051095105-000410</v>
      </c>
      <c r="E534" s="109" t="s">
        <v>652</v>
      </c>
      <c r="F534" s="27">
        <v>45996</v>
      </c>
      <c r="G534" s="27"/>
      <c r="H534" s="11" t="s">
        <v>80</v>
      </c>
      <c r="I534" s="11" t="s">
        <v>24</v>
      </c>
      <c r="J534" s="113" t="s">
        <v>1458</v>
      </c>
      <c r="K534" s="14" t="s">
        <v>1023</v>
      </c>
      <c r="L534" s="15" t="s">
        <v>40</v>
      </c>
      <c r="M534" s="29" t="s">
        <v>1120</v>
      </c>
      <c r="N534" s="57">
        <v>46071</v>
      </c>
      <c r="O534" s="29">
        <f>NETWORKDAYS.INTL(WFTracker[[#This Row],[Start date]],WFTracker[[#This Row],[RM]],1,Holidays!D393:D408)</f>
        <v>17</v>
      </c>
      <c r="P534" s="27">
        <v>45974</v>
      </c>
      <c r="Q534" s="27">
        <v>45986</v>
      </c>
      <c r="R534" s="27">
        <v>45980</v>
      </c>
      <c r="S534" s="27" t="b">
        <f>ISBLANK(WFTracker[[#This Row],[Completion Date]])</f>
        <v>0</v>
      </c>
      <c r="T534" s="27" t="str">
        <f>TEXT(WFTracker[[#This Row],[Start date]],"mmm-yyyy")</f>
        <v>Nov-2025</v>
      </c>
      <c r="U534" s="11">
        <v>10</v>
      </c>
      <c r="V534" s="11">
        <f>NETWORKDAYS.INTL(WFTracker[[#This Row],[Start date]],WFTracker[[#This Row],[Due date]],1,Holidays!D393:D408)</f>
        <v>9</v>
      </c>
      <c r="W5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34" s="30">
        <f ca="1">WFTracker[[#This Row],[Active Time]]-WFTracker[[#This Row],[Completion Days Template]]</f>
        <v>-6</v>
      </c>
      <c r="Y534" s="34" t="str">
        <f ca="1" xml:space="preserve"> IF(WFTracker[[#This Row],[Overdue Time '[Expected-Completion']]]&gt;0, "LATE","ON TIME")</f>
        <v>ON TIME</v>
      </c>
      <c r="Z534" s="34" t="str">
        <f ca="1">IF(WFTracker[[#This Row],[Overdue Time '[Expected-Completion']]] &gt;= 15, "SUPER LATE", Y534)</f>
        <v>ON TIME</v>
      </c>
      <c r="AA534" s="105" t="str">
        <f>IF(WFTracker[[#This Row],[Pre RM Opening Time]]&lt;WFTracker[[#This Row],[Old vs New Order Lead Time WF dead line]], "LATE BY ENG", "ON TIME BY ENG")</f>
        <v>ON TIME BY ENG</v>
      </c>
      <c r="AB534" s="105"/>
      <c r="AC534" s="15" t="str">
        <f>IF(WFTracker[[#This Row],[Competion Date Content]] = FALSE, "C", "I")</f>
        <v>C</v>
      </c>
      <c r="AD5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34" s="31" t="str">
        <f ca="1">IF(WFTracker[[#This Row],[Impact Time Post RM]]&gt;0, "IMPACTED", "NOT IMPACTED")</f>
        <v>NOT IMPACTED</v>
      </c>
      <c r="AF534" s="15"/>
      <c r="AG534" s="42"/>
      <c r="AH534" s="14" t="str">
        <f>IF(WFTracker[[#This Row],[Status]]="C", "Closed", IF(WFTracker[[#This Row],[Status]] = "x", "Cancelled", WFTracker[[#This Row],[Impact Time Post RM]]))</f>
        <v>Closed</v>
      </c>
      <c r="AI534" s="14" t="str">
        <f ca="1">IF(WFTracker[[#This Row],[Impact Time Post RM]]&lt;=0,"ON TIME","LATE")</f>
        <v>ON TIME</v>
      </c>
      <c r="AJ534" s="14" t="s">
        <v>984</v>
      </c>
      <c r="AK534" s="28">
        <v>17</v>
      </c>
      <c r="AL534" s="915">
        <f>IF(WFTracker[[#This Row],[Type]]="MAKE", WFTracker[[#This Row],[Due date]]+Filters!$J$111, WFTracker[[#This Row],[Due date]]+Filters!$J$135)</f>
        <v>45986.415686274508</v>
      </c>
      <c r="AM534" s="102" cm="1">
        <f t="array" ref="AM5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5" spans="1:39" ht="15" customHeight="1">
      <c r="A535" t="str">
        <f>IF(WFTracker[[#This Row],[Order Number]]="SWBD", "QED2", "PZ4")</f>
        <v>PZ4</v>
      </c>
      <c r="B535" s="21" t="s">
        <v>667</v>
      </c>
      <c r="C535" s="109" t="s">
        <v>385</v>
      </c>
      <c r="D535" s="23" t="s">
        <v>1459</v>
      </c>
      <c r="E535" s="109" t="s">
        <v>668</v>
      </c>
      <c r="F535" s="12">
        <v>46013</v>
      </c>
      <c r="G535" s="12">
        <v>46006</v>
      </c>
      <c r="H535" s="11" t="s">
        <v>259</v>
      </c>
      <c r="I535" s="11" t="s">
        <v>216</v>
      </c>
      <c r="J535" s="113" t="s">
        <v>1460</v>
      </c>
      <c r="K535" s="14" t="s">
        <v>1023</v>
      </c>
      <c r="L535" s="15" t="s">
        <v>40</v>
      </c>
      <c r="M535" s="29" t="s">
        <v>1123</v>
      </c>
      <c r="N535" s="57">
        <v>46083</v>
      </c>
      <c r="O535" s="29">
        <f>NETWORKDAYS.INTL(WFTracker[[#This Row],[Start date]],WFTracker[[#This Row],[RM]],1,Holidays!D534:D549)</f>
        <v>28</v>
      </c>
      <c r="P535" s="27">
        <v>45974</v>
      </c>
      <c r="Q535" s="27">
        <v>45986</v>
      </c>
      <c r="R535" s="12">
        <v>46001</v>
      </c>
      <c r="S535" s="27" t="b">
        <f>ISBLANK(WFTracker[[#This Row],[Completion Date]])</f>
        <v>0</v>
      </c>
      <c r="T535" s="27" t="str">
        <f>TEXT(WFTracker[[#This Row],[Start date]],"mmm-yyyy")</f>
        <v>Nov-2025</v>
      </c>
      <c r="U535" s="11">
        <v>10</v>
      </c>
      <c r="V535" s="11">
        <f>NETWORKDAYS.INTL(WFTracker[[#This Row],[Start date]],WFTracker[[#This Row],[Due date]],1,Holidays!D534:D549)</f>
        <v>9</v>
      </c>
      <c r="W5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535" s="30">
        <f ca="1">WFTracker[[#This Row],[Active Time]]-WFTracker[[#This Row],[Completion Days Template]]</f>
        <v>8</v>
      </c>
      <c r="Y535" s="34" t="str">
        <f ca="1" xml:space="preserve"> IF(WFTracker[[#This Row],[Overdue Time '[Expected-Completion']]]&gt;0, "LATE","ON TIME")</f>
        <v>LATE</v>
      </c>
      <c r="Z535" s="34" t="str">
        <f ca="1">IF(WFTracker[[#This Row],[Overdue Time '[Expected-Completion']]] &gt;= 15, "SUPER LATE", Y535)</f>
        <v>LATE</v>
      </c>
      <c r="AA535" s="105" t="str">
        <f>IF(WFTracker[[#This Row],[Pre RM Opening Time]]&lt;WFTracker[[#This Row],[Old vs New Order Lead Time WF dead line]], "LATE BY ENG", "ON TIME BY ENG")</f>
        <v>ON TIME BY ENG</v>
      </c>
      <c r="AB535" s="105"/>
      <c r="AC535" s="15" t="str">
        <f>IF(WFTracker[[#This Row],[Competion Date Content]] = FALSE, "C", "I")</f>
        <v>C</v>
      </c>
      <c r="AD5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535" s="105" t="str">
        <f ca="1">IF(WFTracker[[#This Row],[Impact Time Post RM]]&gt;0, "IMPACTED", "NOT IMPACTED")</f>
        <v>NOT IMPACTED</v>
      </c>
      <c r="AF535" s="15"/>
      <c r="AG535" s="42"/>
      <c r="AH535" s="14" t="str">
        <f>IF(WFTracker[[#This Row],[Status]]="C", "Closed", IF(WFTracker[[#This Row],[Status]] = "x", "Cancelled", WFTracker[[#This Row],[Impact Time Post RM]]))</f>
        <v>Closed</v>
      </c>
      <c r="AI535" s="14" t="str">
        <f ca="1">IF(WFTracker[[#This Row],[Impact Time Post RM]]&lt;=0,"ON TIME","LATE")</f>
        <v>ON TIME</v>
      </c>
      <c r="AJ535" s="14" t="s">
        <v>984</v>
      </c>
      <c r="AK535" s="28">
        <v>17</v>
      </c>
      <c r="AL535" s="915">
        <f>IF(WFTracker[[#This Row],[Type]]="MAKE", WFTracker[[#This Row],[Due date]]+Filters!$J$111, WFTracker[[#This Row],[Due date]]+Filters!$J$135)</f>
        <v>45986.415686274508</v>
      </c>
      <c r="AM535" s="102" cm="1">
        <f t="array" ref="AM5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6" spans="1:39" ht="15" customHeight="1">
      <c r="A536" t="str">
        <f>IF(WFTracker[[#This Row],[Order Number]]="SWBD", "QED2", "PZ4")</f>
        <v>PZ4</v>
      </c>
      <c r="B536" s="21" t="s">
        <v>601</v>
      </c>
      <c r="C536" s="109" t="s">
        <v>102</v>
      </c>
      <c r="D536" s="23" t="s">
        <v>1440</v>
      </c>
      <c r="E536" s="109" t="s">
        <v>602</v>
      </c>
      <c r="F536" s="27">
        <v>45989</v>
      </c>
      <c r="G536" s="27"/>
      <c r="H536" s="11" t="s">
        <v>137</v>
      </c>
      <c r="I536" s="11" t="s">
        <v>238</v>
      </c>
      <c r="J536" s="113" t="s">
        <v>608</v>
      </c>
      <c r="K536" s="14" t="s">
        <v>1017</v>
      </c>
      <c r="L536" s="15" t="s">
        <v>27</v>
      </c>
      <c r="M536" s="29" t="s">
        <v>1120</v>
      </c>
      <c r="N536" s="57">
        <v>46062</v>
      </c>
      <c r="O536" s="29">
        <f>NETWORKDAYS.INTL(WFTracker[[#This Row],[Start date]],WFTracker[[#This Row],[RM]],1,Holidays!D240:D255)</f>
        <v>11</v>
      </c>
      <c r="P536" s="27">
        <v>45975</v>
      </c>
      <c r="Q536" s="27">
        <v>45982</v>
      </c>
      <c r="R536" s="27">
        <v>45982</v>
      </c>
      <c r="S536" s="27" t="b">
        <f>ISBLANK(WFTracker[[#This Row],[Completion Date]])</f>
        <v>0</v>
      </c>
      <c r="T536" s="27" t="str">
        <f>TEXT(WFTracker[[#This Row],[Start date]],"mmm-yyyy")</f>
        <v>Nov-2025</v>
      </c>
      <c r="U536" s="11">
        <v>10</v>
      </c>
      <c r="V536" s="11">
        <f>NETWORKDAYS.INTL(WFTracker[[#This Row],[Start date]],WFTracker[[#This Row],[Due date]],1,Holidays!D240:D255)</f>
        <v>6</v>
      </c>
      <c r="W5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36" s="30">
        <f ca="1">WFTracker[[#This Row],[Active Time]]-WFTracker[[#This Row],[Completion Days Template]]</f>
        <v>-3</v>
      </c>
      <c r="Y536" s="34" t="str">
        <f ca="1" xml:space="preserve"> IF(WFTracker[[#This Row],[Overdue Time '[Expected-Completion']]]&gt;0, "LATE","ON TIME")</f>
        <v>ON TIME</v>
      </c>
      <c r="Z536" s="34" t="str">
        <f ca="1">IF(WFTracker[[#This Row],[Overdue Time '[Expected-Completion']]] &gt;= 15, "SUPER LATE", Y536)</f>
        <v>ON TIME</v>
      </c>
      <c r="AA536" s="105" t="str">
        <f>IF(WFTracker[[#This Row],[Pre RM Opening Time]]&lt;WFTracker[[#This Row],[Old vs New Order Lead Time WF dead line]], "LATE BY ENG", "ON TIME BY ENG")</f>
        <v>ON TIME BY ENG</v>
      </c>
      <c r="AB536" s="105"/>
      <c r="AC536" s="15" t="str">
        <f>IF(WFTracker[[#This Row],[Competion Date Content]] = FALSE, "C", "I")</f>
        <v>C</v>
      </c>
      <c r="AD5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536" s="105" t="str">
        <f ca="1">IF(WFTracker[[#This Row],[Impact Time Post RM]]&gt;0, "IMPACTED", "NOT IMPACTED")</f>
        <v>NOT IMPACTED</v>
      </c>
      <c r="AF536" s="15"/>
      <c r="AG536" s="42"/>
      <c r="AH536" s="14" t="str">
        <f>IF(WFTracker[[#This Row],[Status]]="C", "Closed", IF(WFTracker[[#This Row],[Status]] = "x", "Cancelled", WFTracker[[#This Row],[Impact Time Post RM]]))</f>
        <v>Closed</v>
      </c>
      <c r="AI536" s="14" t="str">
        <f ca="1">IF(WFTracker[[#This Row],[Impact Time Post RM]]&lt;=0,"ON TIME","LATE")</f>
        <v>ON TIME</v>
      </c>
      <c r="AJ536" s="14" t="s">
        <v>984</v>
      </c>
      <c r="AK536" s="14">
        <v>18</v>
      </c>
      <c r="AL536" s="915">
        <f>IF(WFTracker[[#This Row],[Type]]="MAKE", WFTracker[[#This Row],[Due date]]+Filters!$J$111, WFTracker[[#This Row],[Due date]]+Filters!$J$135)</f>
        <v>45985.072512647552</v>
      </c>
      <c r="AM536" s="102" cm="1">
        <f t="array" ref="AM5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7" spans="1:39" ht="15" customHeight="1">
      <c r="A537" t="str">
        <f>IF(WFTracker[[#This Row],[Order Number]]="SWBD", "QED2", "PZ4")</f>
        <v>PZ4</v>
      </c>
      <c r="B537" s="21" t="s">
        <v>667</v>
      </c>
      <c r="C537" s="109" t="s">
        <v>385</v>
      </c>
      <c r="D537" s="23" t="s">
        <v>1459</v>
      </c>
      <c r="E537" s="109" t="s">
        <v>668</v>
      </c>
      <c r="F537" s="27">
        <v>46013</v>
      </c>
      <c r="G537" s="27"/>
      <c r="H537" s="11" t="s">
        <v>259</v>
      </c>
      <c r="I537" s="11"/>
      <c r="J537" s="113" t="s">
        <v>1461</v>
      </c>
      <c r="K537" s="14" t="s">
        <v>1023</v>
      </c>
      <c r="L537" s="15" t="s">
        <v>40</v>
      </c>
      <c r="M537" s="29" t="s">
        <v>1123</v>
      </c>
      <c r="N537" s="57">
        <v>46090</v>
      </c>
      <c r="O537" s="29">
        <f>NETWORKDAYS.INTL(WFTracker[[#This Row],[Start date]],WFTracker[[#This Row],[RM]],1,Holidays!D517:D532)</f>
        <v>27</v>
      </c>
      <c r="P537" s="27">
        <v>45975</v>
      </c>
      <c r="Q537" s="27">
        <v>45987</v>
      </c>
      <c r="R537" s="27">
        <v>45985</v>
      </c>
      <c r="S537" s="27" t="b">
        <f>ISBLANK(WFTracker[[#This Row],[Completion Date]])</f>
        <v>0</v>
      </c>
      <c r="T537" s="27" t="str">
        <f>TEXT(WFTracker[[#This Row],[Start date]],"mmm-yyyy")</f>
        <v>Nov-2025</v>
      </c>
      <c r="U537" s="11">
        <v>10</v>
      </c>
      <c r="V537" s="11">
        <f>NETWORKDAYS.INTL(WFTracker[[#This Row],[Start date]],WFTracker[[#This Row],[Due date]],1,Holidays!D517:D532)</f>
        <v>9</v>
      </c>
      <c r="W5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37" s="30">
        <f ca="1">WFTracker[[#This Row],[Active Time]]-WFTracker[[#This Row],[Completion Days Template]]</f>
        <v>-5</v>
      </c>
      <c r="Y537" s="34" t="str">
        <f ca="1" xml:space="preserve"> IF(WFTracker[[#This Row],[Overdue Time '[Expected-Completion']]]&gt;0, "LATE","ON TIME")</f>
        <v>ON TIME</v>
      </c>
      <c r="Z537" s="34" t="str">
        <f ca="1">IF(WFTracker[[#This Row],[Overdue Time '[Expected-Completion']]] &gt;= 15, "SUPER LATE", Y537)</f>
        <v>ON TIME</v>
      </c>
      <c r="AA537" s="105" t="str">
        <f>IF(WFTracker[[#This Row],[Pre RM Opening Time]]&lt;WFTracker[[#This Row],[Old vs New Order Lead Time WF dead line]], "LATE BY ENG", "ON TIME BY ENG")</f>
        <v>ON TIME BY ENG</v>
      </c>
      <c r="AB537" s="105"/>
      <c r="AC537" s="15" t="str">
        <f>IF(WFTracker[[#This Row],[Competion Date Content]] = FALSE, "C", "I")</f>
        <v>C</v>
      </c>
      <c r="AD5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537" s="31" t="str">
        <f ca="1">IF(WFTracker[[#This Row],[Impact Time Post RM]]&gt;0, "IMPACTED", "NOT IMPACTED")</f>
        <v>NOT IMPACTED</v>
      </c>
      <c r="AF537" s="15"/>
      <c r="AG537" s="42"/>
      <c r="AH537" s="14" t="str">
        <f>IF(WFTracker[[#This Row],[Status]]="C", "Closed", IF(WFTracker[[#This Row],[Status]] = "x", "Cancelled", WFTracker[[#This Row],[Impact Time Post RM]]))</f>
        <v>Closed</v>
      </c>
      <c r="AI537" s="14" t="str">
        <f ca="1">IF(WFTracker[[#This Row],[Impact Time Post RM]]&lt;=0,"ON TIME","LATE")</f>
        <v>ON TIME</v>
      </c>
      <c r="AJ537" s="14" t="s">
        <v>984</v>
      </c>
      <c r="AK537" s="28">
        <v>17</v>
      </c>
      <c r="AL537" s="915">
        <f>IF(WFTracker[[#This Row],[Type]]="MAKE", WFTracker[[#This Row],[Due date]]+Filters!$J$111, WFTracker[[#This Row],[Due date]]+Filters!$J$135)</f>
        <v>45987.415686274508</v>
      </c>
      <c r="AM537" s="102" cm="1">
        <f t="array" ref="AM5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8" spans="1:39" ht="15" customHeight="1">
      <c r="A538" t="str">
        <f>IF(WFTracker[[#This Row],[Order Number]]="SWBD", "QED2", "PZ4")</f>
        <v>PZ4</v>
      </c>
      <c r="B538" s="21" t="s">
        <v>1462</v>
      </c>
      <c r="C538" s="109" t="s">
        <v>1463</v>
      </c>
      <c r="D538" s="23" t="str">
        <f>WFTracker[[#This Row],[Order Number]]  &amp; "-" &amp; WFTracker[[#This Row],[Item]]</f>
        <v>0051275480-000950</v>
      </c>
      <c r="E538" s="109" t="s">
        <v>1050</v>
      </c>
      <c r="F538" s="12">
        <v>46020</v>
      </c>
      <c r="G538" s="27">
        <v>46009</v>
      </c>
      <c r="H538" s="11" t="s">
        <v>110</v>
      </c>
      <c r="I538" s="11"/>
      <c r="J538" s="113" t="s">
        <v>1464</v>
      </c>
      <c r="K538" s="14" t="s">
        <v>1023</v>
      </c>
      <c r="L538" s="15" t="s">
        <v>27</v>
      </c>
      <c r="M538" s="29" t="s">
        <v>1120</v>
      </c>
      <c r="N538" s="57">
        <v>51127</v>
      </c>
      <c r="O538" s="29">
        <f>NETWORKDAYS.INTL(WFTracker[[#This Row],[Start date]],WFTracker[[#This Row],[RM]],1,Holidays!D552:D567)</f>
        <v>32</v>
      </c>
      <c r="P538" s="27">
        <v>45975</v>
      </c>
      <c r="Q538" s="27">
        <v>45982</v>
      </c>
      <c r="R538" s="12">
        <v>46003</v>
      </c>
      <c r="S538" s="27" t="b">
        <f>ISBLANK(WFTracker[[#This Row],[Completion Date]])</f>
        <v>0</v>
      </c>
      <c r="T538" s="27" t="str">
        <f>TEXT(WFTracker[[#This Row],[Start date]],"mmm-yyyy")</f>
        <v>Nov-2025</v>
      </c>
      <c r="U538" s="11">
        <v>10</v>
      </c>
      <c r="V538" s="11">
        <f>NETWORKDAYS.INTL(WFTracker[[#This Row],[Start date]],WFTracker[[#This Row],[Due date]],1,Holidays!D552:D567)</f>
        <v>6</v>
      </c>
      <c r="W5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538" s="30">
        <f ca="1">WFTracker[[#This Row],[Active Time]]-WFTracker[[#This Row],[Completion Days Template]]</f>
        <v>11</v>
      </c>
      <c r="Y538" s="34" t="str">
        <f ca="1" xml:space="preserve"> IF(WFTracker[[#This Row],[Overdue Time '[Expected-Completion']]]&gt;0, "LATE","ON TIME")</f>
        <v>LATE</v>
      </c>
      <c r="Z538" s="34" t="str">
        <f ca="1">IF(WFTracker[[#This Row],[Overdue Time '[Expected-Completion']]] &gt;= 15, "SUPER LATE", Y538)</f>
        <v>LATE</v>
      </c>
      <c r="AA538" s="105" t="str">
        <f>IF(WFTracker[[#This Row],[Pre RM Opening Time]]&lt;WFTracker[[#This Row],[Old vs New Order Lead Time WF dead line]], "LATE BY ENG", "ON TIME BY ENG")</f>
        <v>ON TIME BY ENG</v>
      </c>
      <c r="AB538" s="105"/>
      <c r="AC538" s="15" t="str">
        <f>IF(WFTracker[[#This Row],[Competion Date Content]] = FALSE, "C", "I")</f>
        <v>C</v>
      </c>
      <c r="AD5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538" s="105" t="str">
        <f ca="1">IF(WFTracker[[#This Row],[Impact Time Post RM]]&gt;0, "IMPACTED", "NOT IMPACTED")</f>
        <v>NOT IMPACTED</v>
      </c>
      <c r="AF538" s="15"/>
      <c r="AG538" s="42"/>
      <c r="AH538" s="14" t="str">
        <f>IF(WFTracker[[#This Row],[Status]]="C", "Closed", IF(WFTracker[[#This Row],[Status]] = "x", "Cancelled", WFTracker[[#This Row],[Impact Time Post RM]]))</f>
        <v>Closed</v>
      </c>
      <c r="AI538" s="14" t="str">
        <f ca="1">IF(WFTracker[[#This Row],[Impact Time Post RM]]&lt;=0,"ON TIME","LATE")</f>
        <v>ON TIME</v>
      </c>
      <c r="AJ538" s="14" t="s">
        <v>984</v>
      </c>
      <c r="AK538" s="14">
        <v>18</v>
      </c>
      <c r="AL538" s="915">
        <f>IF(WFTracker[[#This Row],[Type]]="MAKE", WFTracker[[#This Row],[Due date]]+Filters!$J$111, WFTracker[[#This Row],[Due date]]+Filters!$J$135)</f>
        <v>45985.072512647552</v>
      </c>
      <c r="AM538" s="102" cm="1">
        <f t="array" ref="AM5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39" spans="1:39" ht="15" customHeight="1">
      <c r="A539" t="str">
        <f>IF(WFTracker[[#This Row],[Order Number]]="SWBD", "QED2", "PZ4")</f>
        <v>PZ4</v>
      </c>
      <c r="B539" s="21" t="s">
        <v>650</v>
      </c>
      <c r="C539" s="109" t="s">
        <v>867</v>
      </c>
      <c r="D539" s="23" t="str">
        <f>WFTracker[[#This Row],[Order Number]]  &amp; "-" &amp; WFTracker[[#This Row],[Item]]</f>
        <v>0051095105-000410</v>
      </c>
      <c r="E539" s="109" t="s">
        <v>652</v>
      </c>
      <c r="F539" s="27">
        <v>45996</v>
      </c>
      <c r="G539" s="27"/>
      <c r="H539" s="11" t="s">
        <v>80</v>
      </c>
      <c r="I539" s="11" t="s">
        <v>24</v>
      </c>
      <c r="J539" s="113" t="s">
        <v>654</v>
      </c>
      <c r="K539" s="14" t="s">
        <v>1017</v>
      </c>
      <c r="L539" s="15" t="s">
        <v>40</v>
      </c>
      <c r="M539" s="29" t="s">
        <v>1120</v>
      </c>
      <c r="N539" s="57">
        <v>46071</v>
      </c>
      <c r="O539" s="29">
        <f>NETWORKDAYS.INTL(WFTracker[[#This Row],[Start date]],WFTracker[[#This Row],[RM]],1,Holidays!D350:D365)</f>
        <v>15</v>
      </c>
      <c r="P539" s="27">
        <v>45978</v>
      </c>
      <c r="Q539" s="27">
        <v>45986</v>
      </c>
      <c r="R539" s="27">
        <v>45992</v>
      </c>
      <c r="S539" s="27" t="b">
        <f>ISBLANK(WFTracker[[#This Row],[Completion Date]])</f>
        <v>0</v>
      </c>
      <c r="T539" s="27" t="str">
        <f>TEXT(WFTracker[[#This Row],[Start date]],"mmm-yyyy")</f>
        <v>Nov-2025</v>
      </c>
      <c r="U539" s="11">
        <v>10</v>
      </c>
      <c r="V539" s="11">
        <f>NETWORKDAYS.INTL(WFTracker[[#This Row],[Start date]],WFTracker[[#This Row],[Due date]],1,Holidays!D350:D365)</f>
        <v>7</v>
      </c>
      <c r="W5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39" s="30">
        <f ca="1">WFTracker[[#This Row],[Active Time]]-WFTracker[[#This Row],[Completion Days Template]]</f>
        <v>1</v>
      </c>
      <c r="Y539" s="34" t="str">
        <f ca="1" xml:space="preserve"> IF(WFTracker[[#This Row],[Overdue Time '[Expected-Completion']]]&gt;0, "LATE","ON TIME")</f>
        <v>LATE</v>
      </c>
      <c r="Z539" s="34" t="str">
        <f ca="1">IF(WFTracker[[#This Row],[Overdue Time '[Expected-Completion']]] &gt;= 15, "SUPER LATE", Y539)</f>
        <v>LATE</v>
      </c>
      <c r="AA539" s="105" t="str">
        <f>IF(WFTracker[[#This Row],[Pre RM Opening Time]]&lt;WFTracker[[#This Row],[Old vs New Order Lead Time WF dead line]], "LATE BY ENG", "ON TIME BY ENG")</f>
        <v>ON TIME BY ENG</v>
      </c>
      <c r="AB539" s="105"/>
      <c r="AC539" s="15" t="str">
        <f>IF(WFTracker[[#This Row],[Competion Date Content]] = FALSE, "C", "I")</f>
        <v>C</v>
      </c>
      <c r="AD5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39" s="105" t="str">
        <f ca="1">IF(WFTracker[[#This Row],[Impact Time Post RM]]&gt;0, "IMPACTED", "NOT IMPACTED")</f>
        <v>NOT IMPACTED</v>
      </c>
      <c r="AF539" s="15"/>
      <c r="AG539" s="42"/>
      <c r="AH539" s="14" t="str">
        <f>IF(WFTracker[[#This Row],[Status]]="C", "Closed", IF(WFTracker[[#This Row],[Status]] = "x", "Cancelled", WFTracker[[#This Row],[Impact Time Post RM]]))</f>
        <v>Closed</v>
      </c>
      <c r="AI539" s="14" t="str">
        <f ca="1">IF(WFTracker[[#This Row],[Impact Time Post RM]]&lt;=0,"ON TIME","LATE")</f>
        <v>ON TIME</v>
      </c>
      <c r="AJ539" s="14" t="s">
        <v>984</v>
      </c>
      <c r="AK539" s="28">
        <v>17</v>
      </c>
      <c r="AL539" s="915">
        <f>IF(WFTracker[[#This Row],[Type]]="MAKE", WFTracker[[#This Row],[Due date]]+Filters!$J$111, WFTracker[[#This Row],[Due date]]+Filters!$J$135)</f>
        <v>45986.415686274508</v>
      </c>
      <c r="AM539" s="102" cm="1">
        <f t="array" ref="AM5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0" spans="1:39" ht="15" customHeight="1">
      <c r="A540" t="str">
        <f>IF(WFTracker[[#This Row],[Order Number]]="SWBD", "QED2", "PZ4")</f>
        <v>PZ4</v>
      </c>
      <c r="B540" s="21" t="s">
        <v>650</v>
      </c>
      <c r="C540" s="109" t="s">
        <v>867</v>
      </c>
      <c r="D540" s="23" t="str">
        <f>WFTracker[[#This Row],[Order Number]]  &amp; "-" &amp; WFTracker[[#This Row],[Item]]</f>
        <v>0051095105-000410</v>
      </c>
      <c r="E540" s="109" t="s">
        <v>652</v>
      </c>
      <c r="F540" s="27">
        <v>45996</v>
      </c>
      <c r="G540" s="27"/>
      <c r="H540" s="11" t="s">
        <v>80</v>
      </c>
      <c r="I540" s="11" t="s">
        <v>24</v>
      </c>
      <c r="J540" s="113" t="s">
        <v>1465</v>
      </c>
      <c r="K540" s="14" t="s">
        <v>1023</v>
      </c>
      <c r="L540" s="15" t="s">
        <v>40</v>
      </c>
      <c r="M540" s="29" t="s">
        <v>1120</v>
      </c>
      <c r="N540" s="57">
        <v>46071</v>
      </c>
      <c r="O540" s="29">
        <f>NETWORKDAYS.INTL(WFTracker[[#This Row],[Start date]],WFTracker[[#This Row],[RM]],1,Holidays!D351:D366)</f>
        <v>15</v>
      </c>
      <c r="P540" s="27">
        <v>45978</v>
      </c>
      <c r="Q540" s="27">
        <v>45988</v>
      </c>
      <c r="R540" s="27">
        <v>45985</v>
      </c>
      <c r="S540" s="27" t="b">
        <f>ISBLANK(WFTracker[[#This Row],[Completion Date]])</f>
        <v>0</v>
      </c>
      <c r="T540" s="27" t="str">
        <f>TEXT(WFTracker[[#This Row],[Start date]],"mmm-yyyy")</f>
        <v>Nov-2025</v>
      </c>
      <c r="U540" s="11">
        <v>10</v>
      </c>
      <c r="V540" s="11">
        <f>NETWORKDAYS.INTL(WFTracker[[#This Row],[Start date]],WFTracker[[#This Row],[Due date]],1,Holidays!D351:D366)</f>
        <v>9</v>
      </c>
      <c r="W5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40" s="30">
        <f ca="1">WFTracker[[#This Row],[Active Time]]-WFTracker[[#This Row],[Completion Days Template]]</f>
        <v>-6</v>
      </c>
      <c r="Y540" s="34" t="str">
        <f ca="1" xml:space="preserve"> IF(WFTracker[[#This Row],[Overdue Time '[Expected-Completion']]]&gt;0, "LATE","ON TIME")</f>
        <v>ON TIME</v>
      </c>
      <c r="Z540" s="34" t="str">
        <f ca="1">IF(WFTracker[[#This Row],[Overdue Time '[Expected-Completion']]] &gt;= 15, "SUPER LATE", Y540)</f>
        <v>ON TIME</v>
      </c>
      <c r="AA540" s="105" t="str">
        <f>IF(WFTracker[[#This Row],[Pre RM Opening Time]]&lt;WFTracker[[#This Row],[Old vs New Order Lead Time WF dead line]], "LATE BY ENG", "ON TIME BY ENG")</f>
        <v>ON TIME BY ENG</v>
      </c>
      <c r="AB540" s="105"/>
      <c r="AC540" s="15" t="str">
        <f>IF(WFTracker[[#This Row],[Competion Date Content]] = FALSE, "C", "I")</f>
        <v>C</v>
      </c>
      <c r="AD5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40" s="31" t="str">
        <f ca="1">IF(WFTracker[[#This Row],[Impact Time Post RM]]&gt;0, "IMPACTED", "NOT IMPACTED")</f>
        <v>NOT IMPACTED</v>
      </c>
      <c r="AF540" s="15"/>
      <c r="AG540" s="42"/>
      <c r="AH540" s="14" t="str">
        <f>IF(WFTracker[[#This Row],[Status]]="C", "Closed", IF(WFTracker[[#This Row],[Status]] = "x", "Cancelled", WFTracker[[#This Row],[Impact Time Post RM]]))</f>
        <v>Closed</v>
      </c>
      <c r="AI540" s="14" t="str">
        <f ca="1">IF(WFTracker[[#This Row],[Impact Time Post RM]]&lt;=0,"ON TIME","LATE")</f>
        <v>ON TIME</v>
      </c>
      <c r="AJ540" s="14" t="s">
        <v>984</v>
      </c>
      <c r="AK540" s="28">
        <v>17</v>
      </c>
      <c r="AL540" s="915">
        <f>IF(WFTracker[[#This Row],[Type]]="MAKE", WFTracker[[#This Row],[Due date]]+Filters!$J$111, WFTracker[[#This Row],[Due date]]+Filters!$J$135)</f>
        <v>45988.415686274508</v>
      </c>
      <c r="AM540" s="102" cm="1">
        <f t="array" ref="AM5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1" spans="1:39" ht="15" customHeight="1">
      <c r="A541" t="str">
        <f>IF(WFTracker[[#This Row],[Order Number]]="SWBD", "QED2", "PZ4")</f>
        <v>PZ4</v>
      </c>
      <c r="B541" s="21" t="s">
        <v>650</v>
      </c>
      <c r="C541" s="109" t="s">
        <v>867</v>
      </c>
      <c r="D541" s="23" t="str">
        <f>WFTracker[[#This Row],[Order Number]]  &amp; "-" &amp; WFTracker[[#This Row],[Item]]</f>
        <v>0051095105-000410</v>
      </c>
      <c r="E541" s="109" t="s">
        <v>652</v>
      </c>
      <c r="F541" s="27">
        <v>45996</v>
      </c>
      <c r="G541" s="27"/>
      <c r="H541" s="11" t="s">
        <v>80</v>
      </c>
      <c r="I541" s="11" t="s">
        <v>24</v>
      </c>
      <c r="J541" s="113" t="s">
        <v>1466</v>
      </c>
      <c r="K541" s="14" t="s">
        <v>1023</v>
      </c>
      <c r="L541" s="15" t="s">
        <v>40</v>
      </c>
      <c r="M541" s="29" t="s">
        <v>1120</v>
      </c>
      <c r="N541" s="57">
        <v>46071</v>
      </c>
      <c r="O541" s="29">
        <f>NETWORKDAYS.INTL(WFTracker[[#This Row],[Start date]],WFTracker[[#This Row],[RM]],1,Holidays!D352:D367)</f>
        <v>15</v>
      </c>
      <c r="P541" s="27">
        <v>45978</v>
      </c>
      <c r="Q541" s="27">
        <v>45988</v>
      </c>
      <c r="R541" s="27">
        <v>45987</v>
      </c>
      <c r="S541" s="27" t="b">
        <f>ISBLANK(WFTracker[[#This Row],[Completion Date]])</f>
        <v>0</v>
      </c>
      <c r="T541" s="27" t="str">
        <f>TEXT(WFTracker[[#This Row],[Start date]],"mmm-yyyy")</f>
        <v>Nov-2025</v>
      </c>
      <c r="U541" s="11">
        <v>10</v>
      </c>
      <c r="V541" s="11">
        <f>NETWORKDAYS.INTL(WFTracker[[#This Row],[Start date]],WFTracker[[#This Row],[Due date]],1,Holidays!D352:D367)</f>
        <v>9</v>
      </c>
      <c r="W5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41" s="30">
        <f ca="1">WFTracker[[#This Row],[Active Time]]-WFTracker[[#This Row],[Completion Days Template]]</f>
        <v>-4</v>
      </c>
      <c r="Y541" s="34" t="str">
        <f ca="1" xml:space="preserve"> IF(WFTracker[[#This Row],[Overdue Time '[Expected-Completion']]]&gt;0, "LATE","ON TIME")</f>
        <v>ON TIME</v>
      </c>
      <c r="Z541" s="34" t="str">
        <f ca="1">IF(WFTracker[[#This Row],[Overdue Time '[Expected-Completion']]] &gt;= 15, "SUPER LATE", Y541)</f>
        <v>ON TIME</v>
      </c>
      <c r="AA541" s="105" t="str">
        <f>IF(WFTracker[[#This Row],[Pre RM Opening Time]]&lt;WFTracker[[#This Row],[Old vs New Order Lead Time WF dead line]], "LATE BY ENG", "ON TIME BY ENG")</f>
        <v>ON TIME BY ENG</v>
      </c>
      <c r="AB541" s="105"/>
      <c r="AC541" s="15" t="str">
        <f>IF(WFTracker[[#This Row],[Competion Date Content]] = FALSE, "C", "I")</f>
        <v>C</v>
      </c>
      <c r="AD5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541" s="31" t="str">
        <f ca="1">IF(WFTracker[[#This Row],[Impact Time Post RM]]&gt;0, "IMPACTED", "NOT IMPACTED")</f>
        <v>NOT IMPACTED</v>
      </c>
      <c r="AF541" s="15"/>
      <c r="AG541" s="42"/>
      <c r="AH541" s="14" t="str">
        <f>IF(WFTracker[[#This Row],[Status]]="C", "Closed", IF(WFTracker[[#This Row],[Status]] = "x", "Cancelled", WFTracker[[#This Row],[Impact Time Post RM]]))</f>
        <v>Closed</v>
      </c>
      <c r="AI541" s="14" t="str">
        <f ca="1">IF(WFTracker[[#This Row],[Impact Time Post RM]]&lt;=0,"ON TIME","LATE")</f>
        <v>ON TIME</v>
      </c>
      <c r="AJ541" s="14" t="s">
        <v>984</v>
      </c>
      <c r="AK541" s="28">
        <v>17</v>
      </c>
      <c r="AL541" s="915">
        <f>IF(WFTracker[[#This Row],[Type]]="MAKE", WFTracker[[#This Row],[Due date]]+Filters!$J$111, WFTracker[[#This Row],[Due date]]+Filters!$J$135)</f>
        <v>45988.415686274508</v>
      </c>
      <c r="AM541" s="102" cm="1">
        <f t="array" ref="AM5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2" spans="1:39" ht="15" customHeight="1">
      <c r="A542" t="str">
        <f>IF(WFTracker[[#This Row],[Order Number]]="SWBD", "QED2", "PZ4")</f>
        <v>PZ4</v>
      </c>
      <c r="B542" s="21" t="s">
        <v>706</v>
      </c>
      <c r="C542" s="109" t="s">
        <v>1467</v>
      </c>
      <c r="D542" s="23" t="str">
        <f>WFTracker[[#This Row],[Order Number]]  &amp; "-" &amp; WFTracker[[#This Row],[Item]]</f>
        <v>0051129914-000750&amp;760</v>
      </c>
      <c r="E542" s="109" t="s">
        <v>1058</v>
      </c>
      <c r="F542" s="27">
        <v>46020</v>
      </c>
      <c r="G542" s="27">
        <v>46009</v>
      </c>
      <c r="H542" s="11" t="s">
        <v>709</v>
      </c>
      <c r="I542" s="11" t="s">
        <v>1132</v>
      </c>
      <c r="J542" s="113" t="s">
        <v>1468</v>
      </c>
      <c r="K542" s="14" t="s">
        <v>1023</v>
      </c>
      <c r="L542" s="15" t="s">
        <v>27</v>
      </c>
      <c r="M542" s="29" t="s">
        <v>1120</v>
      </c>
      <c r="N542" s="57">
        <v>46014</v>
      </c>
      <c r="O542" s="29">
        <f>NETWORKDAYS.INTL(WFTracker[[#This Row],[Start date]],WFTracker[[#This Row],[RM]],1,Holidays!D540:D555)</f>
        <v>31</v>
      </c>
      <c r="P542" s="27">
        <v>45978</v>
      </c>
      <c r="Q542" s="27">
        <v>45985</v>
      </c>
      <c r="R542" s="12">
        <v>45999</v>
      </c>
      <c r="S542" s="27" t="b">
        <f>ISBLANK(WFTracker[[#This Row],[Completion Date]])</f>
        <v>0</v>
      </c>
      <c r="T542" s="27" t="str">
        <f>TEXT(WFTracker[[#This Row],[Start date]],"mmm-yyyy")</f>
        <v>Nov-2025</v>
      </c>
      <c r="U542" s="11">
        <v>10</v>
      </c>
      <c r="V542" s="11">
        <f>NETWORKDAYS.INTL(WFTracker[[#This Row],[Start date]],WFTracker[[#This Row],[Due date]],1,Holidays!D540:D555)</f>
        <v>6</v>
      </c>
      <c r="W5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542" s="30">
        <f ca="1">WFTracker[[#This Row],[Active Time]]-WFTracker[[#This Row],[Completion Days Template]]</f>
        <v>7</v>
      </c>
      <c r="Y542" s="34" t="str">
        <f ca="1" xml:space="preserve"> IF(WFTracker[[#This Row],[Overdue Time '[Expected-Completion']]]&gt;0, "LATE","ON TIME")</f>
        <v>LATE</v>
      </c>
      <c r="Z542" s="34" t="str">
        <f ca="1">IF(WFTracker[[#This Row],[Overdue Time '[Expected-Completion']]] &gt;= 15, "SUPER LATE", Y542)</f>
        <v>LATE</v>
      </c>
      <c r="AA542" s="105" t="str">
        <f>IF(WFTracker[[#This Row],[Pre RM Opening Time]]&lt;WFTracker[[#This Row],[Old vs New Order Lead Time WF dead line]], "LATE BY ENG", "ON TIME BY ENG")</f>
        <v>ON TIME BY ENG</v>
      </c>
      <c r="AB542" s="105"/>
      <c r="AC542" s="15" t="str">
        <f>IF(WFTracker[[#This Row],[Competion Date Content]] = FALSE, "C", "I")</f>
        <v>C</v>
      </c>
      <c r="AD5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542" s="105" t="str">
        <f ca="1">IF(WFTracker[[#This Row],[Impact Time Post RM]]&gt;0, "IMPACTED", "NOT IMPACTED")</f>
        <v>NOT IMPACTED</v>
      </c>
      <c r="AF542" s="15"/>
      <c r="AG542" s="42"/>
      <c r="AH542" s="14" t="str">
        <f>IF(WFTracker[[#This Row],[Status]]="C", "Closed", IF(WFTracker[[#This Row],[Status]] = "x", "Cancelled", WFTracker[[#This Row],[Impact Time Post RM]]))</f>
        <v>Closed</v>
      </c>
      <c r="AI542" s="14" t="str">
        <f ca="1">IF(WFTracker[[#This Row],[Impact Time Post RM]]&lt;=0,"ON TIME","LATE")</f>
        <v>ON TIME</v>
      </c>
      <c r="AJ542" s="14" t="s">
        <v>984</v>
      </c>
      <c r="AK542" s="14">
        <v>18</v>
      </c>
      <c r="AL542" s="915">
        <f>IF(WFTracker[[#This Row],[Type]]="MAKE", WFTracker[[#This Row],[Due date]]+Filters!$J$111, WFTracker[[#This Row],[Due date]]+Filters!$J$135)</f>
        <v>45988.072512647552</v>
      </c>
      <c r="AM542" s="102" cm="1">
        <f t="array" ref="AM5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3" spans="1:39" ht="15" customHeight="1">
      <c r="A543" t="str">
        <f>IF(WFTracker[[#This Row],[Order Number]]="SWBD", "QED2", "PZ4")</f>
        <v>PZ4</v>
      </c>
      <c r="B543" s="21" t="s">
        <v>706</v>
      </c>
      <c r="C543" s="109" t="s">
        <v>1467</v>
      </c>
      <c r="D543" s="23" t="str">
        <f>WFTracker[[#This Row],[Order Number]]  &amp; "-" &amp; WFTracker[[#This Row],[Item]]</f>
        <v>0051129914-000750&amp;760</v>
      </c>
      <c r="E543" s="109" t="s">
        <v>1058</v>
      </c>
      <c r="F543" s="27">
        <v>46020</v>
      </c>
      <c r="G543" s="27">
        <v>46009</v>
      </c>
      <c r="H543" s="11" t="s">
        <v>709</v>
      </c>
      <c r="I543" s="11" t="s">
        <v>1132</v>
      </c>
      <c r="J543" s="113" t="s">
        <v>1469</v>
      </c>
      <c r="K543" s="14" t="s">
        <v>1023</v>
      </c>
      <c r="L543" s="15" t="s">
        <v>27</v>
      </c>
      <c r="M543" s="29" t="s">
        <v>1120</v>
      </c>
      <c r="N543" s="57">
        <v>46014</v>
      </c>
      <c r="O543" s="29">
        <f>NETWORKDAYS.INTL(WFTracker[[#This Row],[Start date]],WFTracker[[#This Row],[RM]],1,Holidays!D541:D556)</f>
        <v>31</v>
      </c>
      <c r="P543" s="27">
        <v>45978</v>
      </c>
      <c r="Q543" s="27">
        <v>45985</v>
      </c>
      <c r="R543" s="12">
        <v>45999</v>
      </c>
      <c r="S543" s="27" t="b">
        <f>ISBLANK(WFTracker[[#This Row],[Completion Date]])</f>
        <v>0</v>
      </c>
      <c r="T543" s="27" t="str">
        <f>TEXT(WFTracker[[#This Row],[Start date]],"mmm-yyyy")</f>
        <v>Nov-2025</v>
      </c>
      <c r="U543" s="11">
        <v>10</v>
      </c>
      <c r="V543" s="11">
        <f>NETWORKDAYS.INTL(WFTracker[[#This Row],[Start date]],WFTracker[[#This Row],[Due date]],1,Holidays!D541:D556)</f>
        <v>6</v>
      </c>
      <c r="W5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543" s="30">
        <f ca="1">WFTracker[[#This Row],[Active Time]]-WFTracker[[#This Row],[Completion Days Template]]</f>
        <v>7</v>
      </c>
      <c r="Y543" s="34" t="str">
        <f ca="1" xml:space="preserve"> IF(WFTracker[[#This Row],[Overdue Time '[Expected-Completion']]]&gt;0, "LATE","ON TIME")</f>
        <v>LATE</v>
      </c>
      <c r="Z543" s="34" t="str">
        <f ca="1">IF(WFTracker[[#This Row],[Overdue Time '[Expected-Completion']]] &gt;= 15, "SUPER LATE", Y543)</f>
        <v>LATE</v>
      </c>
      <c r="AA543" s="105" t="str">
        <f>IF(WFTracker[[#This Row],[Pre RM Opening Time]]&lt;WFTracker[[#This Row],[Old vs New Order Lead Time WF dead line]], "LATE BY ENG", "ON TIME BY ENG")</f>
        <v>ON TIME BY ENG</v>
      </c>
      <c r="AB543" s="105"/>
      <c r="AC543" s="15" t="str">
        <f>IF(WFTracker[[#This Row],[Competion Date Content]] = FALSE, "C", "I")</f>
        <v>C</v>
      </c>
      <c r="AD5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543" s="105" t="str">
        <f ca="1">IF(WFTracker[[#This Row],[Impact Time Post RM]]&gt;0, "IMPACTED", "NOT IMPACTED")</f>
        <v>NOT IMPACTED</v>
      </c>
      <c r="AF543" s="15"/>
      <c r="AG543" s="42"/>
      <c r="AH543" s="14" t="str">
        <f>IF(WFTracker[[#This Row],[Status]]="C", "Closed", IF(WFTracker[[#This Row],[Status]] = "x", "Cancelled", WFTracker[[#This Row],[Impact Time Post RM]]))</f>
        <v>Closed</v>
      </c>
      <c r="AI543" s="14" t="str">
        <f ca="1">IF(WFTracker[[#This Row],[Impact Time Post RM]]&lt;=0,"ON TIME","LATE")</f>
        <v>ON TIME</v>
      </c>
      <c r="AJ543" s="14" t="s">
        <v>984</v>
      </c>
      <c r="AK543" s="14">
        <v>18</v>
      </c>
      <c r="AL543" s="915">
        <f>IF(WFTracker[[#This Row],[Type]]="MAKE", WFTracker[[#This Row],[Due date]]+Filters!$J$111, WFTracker[[#This Row],[Due date]]+Filters!$J$135)</f>
        <v>45988.072512647552</v>
      </c>
      <c r="AM543" s="102" cm="1">
        <f t="array" ref="AM5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4" spans="1:39" ht="15" customHeight="1">
      <c r="A544" t="str">
        <f>IF(WFTracker[[#This Row],[Order Number]]="SWBD", "QED2", "PZ4")</f>
        <v>PZ4</v>
      </c>
      <c r="B544" s="21" t="s">
        <v>706</v>
      </c>
      <c r="C544" s="109" t="s">
        <v>1467</v>
      </c>
      <c r="D544" s="23" t="str">
        <f>WFTracker[[#This Row],[Order Number]]  &amp; "-" &amp; WFTracker[[#This Row],[Item]]</f>
        <v>0051129914-000750&amp;760</v>
      </c>
      <c r="E544" s="109" t="s">
        <v>1058</v>
      </c>
      <c r="F544" s="27">
        <v>46020</v>
      </c>
      <c r="G544" s="27">
        <v>46009</v>
      </c>
      <c r="H544" s="11" t="s">
        <v>709</v>
      </c>
      <c r="I544" s="11" t="s">
        <v>1132</v>
      </c>
      <c r="J544" s="113" t="s">
        <v>1470</v>
      </c>
      <c r="K544" s="14" t="s">
        <v>1023</v>
      </c>
      <c r="L544" s="15" t="s">
        <v>27</v>
      </c>
      <c r="M544" s="29" t="s">
        <v>1120</v>
      </c>
      <c r="N544" s="57">
        <v>46014</v>
      </c>
      <c r="O544" s="29">
        <f>NETWORKDAYS.INTL(WFTracker[[#This Row],[Start date]],WFTracker[[#This Row],[RM]],1,Holidays!D542:D557)</f>
        <v>31</v>
      </c>
      <c r="P544" s="27">
        <v>45978</v>
      </c>
      <c r="Q544" s="27">
        <v>45985</v>
      </c>
      <c r="R544" s="12">
        <v>46002</v>
      </c>
      <c r="S544" s="27" t="b">
        <f>ISBLANK(WFTracker[[#This Row],[Completion Date]])</f>
        <v>0</v>
      </c>
      <c r="T544" s="27" t="str">
        <f>TEXT(WFTracker[[#This Row],[Start date]],"mmm-yyyy")</f>
        <v>Nov-2025</v>
      </c>
      <c r="U544" s="11">
        <v>10</v>
      </c>
      <c r="V544" s="11">
        <f>NETWORKDAYS.INTL(WFTracker[[#This Row],[Start date]],WFTracker[[#This Row],[Due date]],1,Holidays!D542:D557)</f>
        <v>6</v>
      </c>
      <c r="W5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544" s="30">
        <f ca="1">WFTracker[[#This Row],[Active Time]]-WFTracker[[#This Row],[Completion Days Template]]</f>
        <v>10</v>
      </c>
      <c r="Y544" s="34" t="str">
        <f ca="1" xml:space="preserve"> IF(WFTracker[[#This Row],[Overdue Time '[Expected-Completion']]]&gt;0, "LATE","ON TIME")</f>
        <v>LATE</v>
      </c>
      <c r="Z544" s="34" t="str">
        <f ca="1">IF(WFTracker[[#This Row],[Overdue Time '[Expected-Completion']]] &gt;= 15, "SUPER LATE", Y544)</f>
        <v>LATE</v>
      </c>
      <c r="AA544" s="105" t="str">
        <f>IF(WFTracker[[#This Row],[Pre RM Opening Time]]&lt;WFTracker[[#This Row],[Old vs New Order Lead Time WF dead line]], "LATE BY ENG", "ON TIME BY ENG")</f>
        <v>ON TIME BY ENG</v>
      </c>
      <c r="AB544" s="105"/>
      <c r="AC544" s="15" t="str">
        <f>IF(WFTracker[[#This Row],[Competion Date Content]] = FALSE, "C", "I")</f>
        <v>C</v>
      </c>
      <c r="AD5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44" s="105" t="str">
        <f ca="1">IF(WFTracker[[#This Row],[Impact Time Post RM]]&gt;0, "IMPACTED", "NOT IMPACTED")</f>
        <v>NOT IMPACTED</v>
      </c>
      <c r="AF544" s="15"/>
      <c r="AG544" s="42"/>
      <c r="AH544" s="14" t="str">
        <f>IF(WFTracker[[#This Row],[Status]]="C", "Closed", IF(WFTracker[[#This Row],[Status]] = "x", "Cancelled", WFTracker[[#This Row],[Impact Time Post RM]]))</f>
        <v>Closed</v>
      </c>
      <c r="AI544" s="14" t="str">
        <f ca="1">IF(WFTracker[[#This Row],[Impact Time Post RM]]&lt;=0,"ON TIME","LATE")</f>
        <v>ON TIME</v>
      </c>
      <c r="AJ544" s="14" t="s">
        <v>984</v>
      </c>
      <c r="AK544" s="14">
        <v>18</v>
      </c>
      <c r="AL544" s="915">
        <f>IF(WFTracker[[#This Row],[Type]]="MAKE", WFTracker[[#This Row],[Due date]]+Filters!$J$111, WFTracker[[#This Row],[Due date]]+Filters!$J$135)</f>
        <v>45988.072512647552</v>
      </c>
      <c r="AM544" s="102" cm="1">
        <f t="array" ref="AM5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5" spans="1:39" ht="15" customHeight="1">
      <c r="A545" t="str">
        <f>IF(WFTracker[[#This Row],[Order Number]]="SWBD", "QED2", "PZ4")</f>
        <v>PZ4</v>
      </c>
      <c r="B545" s="21" t="s">
        <v>706</v>
      </c>
      <c r="C545" s="21" t="s">
        <v>1467</v>
      </c>
      <c r="D545" s="23" t="str">
        <f>WFTracker[[#This Row],[Order Number]]  &amp; "-" &amp; WFTracker[[#This Row],[Item]]</f>
        <v>0051129914-000750&amp;760</v>
      </c>
      <c r="E545" s="23" t="s">
        <v>1058</v>
      </c>
      <c r="F545" s="12">
        <v>46020</v>
      </c>
      <c r="G545" s="12">
        <v>46009</v>
      </c>
      <c r="H545" s="11" t="s">
        <v>709</v>
      </c>
      <c r="I545" s="11" t="s">
        <v>1132</v>
      </c>
      <c r="J545" s="55" t="s">
        <v>1471</v>
      </c>
      <c r="K545" s="14" t="s">
        <v>1023</v>
      </c>
      <c r="L545" s="15" t="s">
        <v>40</v>
      </c>
      <c r="M545" s="29" t="s">
        <v>1120</v>
      </c>
      <c r="N545" s="57">
        <v>46014</v>
      </c>
      <c r="O545" s="15">
        <f>NETWORKDAYS.INTL(WFTracker[[#This Row],[Start date]],WFTracker[[#This Row],[RM]],1,Holidays!D543:D558)</f>
        <v>31</v>
      </c>
      <c r="P545" s="12">
        <v>45978</v>
      </c>
      <c r="Q545" s="12">
        <v>45988</v>
      </c>
      <c r="R545" s="12">
        <v>45999</v>
      </c>
      <c r="S545" s="12" t="b">
        <f>ISBLANK(WFTracker[[#This Row],[Completion Date]])</f>
        <v>0</v>
      </c>
      <c r="T545" s="12" t="str">
        <f>TEXT(WFTracker[[#This Row],[Start date]],"mmm-yyyy")</f>
        <v>Nov-2025</v>
      </c>
      <c r="U545" s="11">
        <v>10</v>
      </c>
      <c r="V545" s="11">
        <f>NETWORKDAYS.INTL(WFTracker[[#This Row],[Start date]],WFTracker[[#This Row],[Due date]],1,Holidays!D543:D558)</f>
        <v>9</v>
      </c>
      <c r="W5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545" s="24">
        <f ca="1">WFTracker[[#This Row],[Active Time]]-WFTracker[[#This Row],[Completion Days Template]]</f>
        <v>4</v>
      </c>
      <c r="Y545" s="16" t="str">
        <f ca="1" xml:space="preserve"> IF(WFTracker[[#This Row],[Overdue Time '[Expected-Completion']]]&gt;0, "LATE","ON TIME")</f>
        <v>LATE</v>
      </c>
      <c r="Z545" s="16" t="str">
        <f ca="1">IF(WFTracker[[#This Row],[Overdue Time '[Expected-Completion']]] &gt;= 15, "SUPER LATE", Y545)</f>
        <v>LATE</v>
      </c>
      <c r="AA545" s="37" t="str">
        <f>IF(WFTracker[[#This Row],[Pre RM Opening Time]]&lt;WFTracker[[#This Row],[Old vs New Order Lead Time WF dead line]], "LATE BY ENG", "ON TIME BY ENG")</f>
        <v>ON TIME BY ENG</v>
      </c>
      <c r="AB545" s="37"/>
      <c r="AC545" s="15" t="str">
        <f>IF(WFTracker[[#This Row],[Competion Date Content]] = FALSE, "C", "I")</f>
        <v>C</v>
      </c>
      <c r="AD5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545" s="37" t="str">
        <f ca="1">IF(WFTracker[[#This Row],[Impact Time Post RM]]&gt;0, "IMPACTED", "NOT IMPACTED")</f>
        <v>NOT IMPACTED</v>
      </c>
      <c r="AF545" s="15"/>
      <c r="AG545" s="18"/>
      <c r="AH545" s="14" t="str">
        <f>IF(WFTracker[[#This Row],[Status]]="C", "Closed", IF(WFTracker[[#This Row],[Status]] = "x", "Cancelled", WFTracker[[#This Row],[Impact Time Post RM]]))</f>
        <v>Closed</v>
      </c>
      <c r="AI545" s="14" t="str">
        <f ca="1">IF(WFTracker[[#This Row],[Impact Time Post RM]]&lt;=0,"ON TIME","LATE")</f>
        <v>ON TIME</v>
      </c>
      <c r="AJ545" s="14" t="s">
        <v>984</v>
      </c>
      <c r="AK545" s="14">
        <v>17</v>
      </c>
      <c r="AL545" s="915">
        <f>IF(WFTracker[[#This Row],[Type]]="MAKE", WFTracker[[#This Row],[Due date]]+Filters!$J$111, WFTracker[[#This Row],[Due date]]+Filters!$J$135)</f>
        <v>45988.415686274508</v>
      </c>
      <c r="AM545" s="102" cm="1">
        <f t="array" ref="AM5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6" spans="1:39" ht="15" customHeight="1">
      <c r="A546" t="str">
        <f>IF(WFTracker[[#This Row],[Order Number]]="SWBD", "QED2", "PZ4")</f>
        <v>PZ4</v>
      </c>
      <c r="B546" s="21" t="s">
        <v>650</v>
      </c>
      <c r="C546" s="26" t="s">
        <v>656</v>
      </c>
      <c r="D546" s="23" t="str">
        <f>WFTracker[[#This Row],[Order Number]]  &amp; "-" &amp; WFTracker[[#This Row],[Item]]</f>
        <v>0051095105-000400</v>
      </c>
      <c r="E546" s="23" t="s">
        <v>652</v>
      </c>
      <c r="F546" s="12">
        <v>45996</v>
      </c>
      <c r="G546" s="12">
        <v>45989</v>
      </c>
      <c r="H546" s="11" t="s">
        <v>80</v>
      </c>
      <c r="I546" s="11" t="s">
        <v>186</v>
      </c>
      <c r="J546" s="55" t="s">
        <v>655</v>
      </c>
      <c r="K546" s="14" t="s">
        <v>1017</v>
      </c>
      <c r="L546" s="15" t="s">
        <v>27</v>
      </c>
      <c r="M546" s="29" t="s">
        <v>1120</v>
      </c>
      <c r="N546" s="57">
        <v>46098</v>
      </c>
      <c r="O546" s="15">
        <f>NETWORKDAYS.INTL(WFTracker[[#This Row],[Start date]],WFTracker[[#This Row],[RM]],1,Holidays!D353:D368)</f>
        <v>14</v>
      </c>
      <c r="P546" s="12">
        <v>45979</v>
      </c>
      <c r="Q546" s="12">
        <v>45987</v>
      </c>
      <c r="R546" s="12">
        <v>45992</v>
      </c>
      <c r="S546" s="12" t="b">
        <f>ISBLANK(WFTracker[[#This Row],[Completion Date]])</f>
        <v>0</v>
      </c>
      <c r="T546" s="12" t="str">
        <f>TEXT(WFTracker[[#This Row],[Start date]],"mmm-yyyy")</f>
        <v>Nov-2025</v>
      </c>
      <c r="U546" s="11">
        <v>10</v>
      </c>
      <c r="V546" s="11">
        <f>NETWORKDAYS.INTL(WFTracker[[#This Row],[Start date]],WFTracker[[#This Row],[Due date]],1,Holidays!D353:D368)</f>
        <v>7</v>
      </c>
      <c r="W5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46" s="24">
        <f ca="1">WFTracker[[#This Row],[Active Time]]-WFTracker[[#This Row],[Completion Days Template]]</f>
        <v>1</v>
      </c>
      <c r="Y546" s="16" t="str">
        <f ca="1" xml:space="preserve"> IF(WFTracker[[#This Row],[Overdue Time '[Expected-Completion']]]&gt;0, "LATE","ON TIME")</f>
        <v>LATE</v>
      </c>
      <c r="Z546" s="16" t="str">
        <f ca="1">IF(WFTracker[[#This Row],[Overdue Time '[Expected-Completion']]] &gt;= 15, "SUPER LATE", Y546)</f>
        <v>LATE</v>
      </c>
      <c r="AA546" s="37" t="str">
        <f>IF(WFTracker[[#This Row],[Pre RM Opening Time]]&lt;WFTracker[[#This Row],[Old vs New Order Lead Time WF dead line]], "LATE BY ENG", "ON TIME BY ENG")</f>
        <v>ON TIME BY ENG</v>
      </c>
      <c r="AB546" s="37"/>
      <c r="AC546" s="15" t="str">
        <f>IF(WFTracker[[#This Row],[Competion Date Content]] = FALSE, "C", "i")</f>
        <v>C</v>
      </c>
      <c r="AD5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46" s="37" t="str">
        <f ca="1">IF(WFTracker[[#This Row],[Impact Time Post RM]]&gt;0, "IMPACTED", "NOT IMPACTED")</f>
        <v>NOT IMPACTED</v>
      </c>
      <c r="AF546" s="15"/>
      <c r="AG546" s="18"/>
      <c r="AH546" s="14" t="str">
        <f>IF(WFTracker[[#This Row],[Status]]="C", "Closed", IF(WFTracker[[#This Row],[Status]] = "x", "Cancelled", WFTracker[[#This Row],[Impact Time Post RM]]))</f>
        <v>Closed</v>
      </c>
      <c r="AI546" s="14" t="str">
        <f ca="1">IF(WFTracker[[#This Row],[Impact Time Post RM]]&lt;=0,"ON TIME","LATE")</f>
        <v>ON TIME</v>
      </c>
      <c r="AJ546" s="14" t="s">
        <v>984</v>
      </c>
      <c r="AK546" s="14">
        <v>18</v>
      </c>
      <c r="AL546" s="915">
        <f>IF(WFTracker[[#This Row],[Type]]="MAKE", WFTracker[[#This Row],[Due date]]+Filters!$J$111, WFTracker[[#This Row],[Due date]]+Filters!$J$135)</f>
        <v>45990.072512647552</v>
      </c>
      <c r="AM546" s="102" cm="1">
        <f t="array" ref="AM5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7" spans="1:39" ht="15" customHeight="1">
      <c r="A547" t="str">
        <f>IF(WFTracker[[#This Row],[Order Number]]="SWBD", "QED2", "PZ4")</f>
        <v>PZ4</v>
      </c>
      <c r="B547" s="21" t="s">
        <v>1472</v>
      </c>
      <c r="C547" s="26" t="s">
        <v>219</v>
      </c>
      <c r="D547" s="23" t="str">
        <f>WFTracker[[#This Row],[Order Number]]  &amp; "-" &amp; WFTracker[[#This Row],[Item]]</f>
        <v>0011981626-000120</v>
      </c>
      <c r="E547" s="23" t="s">
        <v>700</v>
      </c>
      <c r="F547" s="12">
        <v>46028</v>
      </c>
      <c r="G547" s="12">
        <v>46028</v>
      </c>
      <c r="H547" s="11" t="s">
        <v>156</v>
      </c>
      <c r="I547" s="11" t="s">
        <v>260</v>
      </c>
      <c r="J547" s="113" t="s">
        <v>1473</v>
      </c>
      <c r="K547" s="14" t="s">
        <v>1023</v>
      </c>
      <c r="L547" s="15" t="s">
        <v>27</v>
      </c>
      <c r="M547" s="29" t="s">
        <v>1123</v>
      </c>
      <c r="N547" s="57">
        <v>46077</v>
      </c>
      <c r="O547" s="15">
        <f>NETWORKDAYS.INTL(WFTracker[[#This Row],[Start date]],WFTracker[[#This Row],[RM]],1,Holidays!D573:D588)</f>
        <v>36</v>
      </c>
      <c r="P547" s="12">
        <v>45979</v>
      </c>
      <c r="Q547" s="12">
        <v>45987</v>
      </c>
      <c r="R547" s="12">
        <v>46009</v>
      </c>
      <c r="S547" s="12" t="b">
        <f>ISBLANK(WFTracker[[#This Row],[Completion Date]])</f>
        <v>0</v>
      </c>
      <c r="T547" s="12" t="str">
        <f>TEXT(WFTracker[[#This Row],[Start date]],"mmm-yyyy")</f>
        <v>Nov-2025</v>
      </c>
      <c r="U547" s="11">
        <v>10</v>
      </c>
      <c r="V547" s="11">
        <f>NETWORKDAYS.INTL(WFTracker[[#This Row],[Start date]],WFTracker[[#This Row],[Due date]],1,Holidays!D573:D588)</f>
        <v>7</v>
      </c>
      <c r="W5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20</v>
      </c>
      <c r="X547" s="24">
        <f ca="1">WFTracker[[#This Row],[Active Time]]-WFTracker[[#This Row],[Completion Days Template]]</f>
        <v>13</v>
      </c>
      <c r="Y547" s="16" t="str">
        <f ca="1" xml:space="preserve"> IF(WFTracker[[#This Row],[Overdue Time '[Expected-Completion']]]&gt;0, "LATE","ON TIME")</f>
        <v>LATE</v>
      </c>
      <c r="Z547" s="16" t="str">
        <f ca="1">IF(WFTracker[[#This Row],[Overdue Time '[Expected-Completion']]] &gt;= 15, "SUPER LATE", Y547)</f>
        <v>LATE</v>
      </c>
      <c r="AA547" s="37" t="str">
        <f>IF(WFTracker[[#This Row],[Pre RM Opening Time]]&lt;WFTracker[[#This Row],[Old vs New Order Lead Time WF dead line]], "LATE BY ENG", "ON TIME BY ENG")</f>
        <v>ON TIME BY ENG</v>
      </c>
      <c r="AB547" s="37"/>
      <c r="AC547" s="15" t="str">
        <f>IF(WFTracker[[#This Row],[Competion Date Content]] = FALSE, "C", "i")</f>
        <v>C</v>
      </c>
      <c r="AD5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47" s="37" t="str">
        <f ca="1">IF(WFTracker[[#This Row],[Impact Time Post RM]]&gt;0, "IMPACTED", "NOT IMPACTED")</f>
        <v>NOT IMPACTED</v>
      </c>
      <c r="AF547" s="15"/>
      <c r="AG547" s="18"/>
      <c r="AH547" s="14" t="str">
        <f>IF(WFTracker[[#This Row],[Status]]="C", "Closed", IF(WFTracker[[#This Row],[Status]] = "x", "Cancelled", WFTracker[[#This Row],[Impact Time Post RM]]))</f>
        <v>Closed</v>
      </c>
      <c r="AI547" s="14" t="str">
        <f ca="1">IF(WFTracker[[#This Row],[Impact Time Post RM]]&lt;=0,"ON TIME","LATE")</f>
        <v>ON TIME</v>
      </c>
      <c r="AJ547" s="14" t="s">
        <v>984</v>
      </c>
      <c r="AK547" s="14">
        <v>18</v>
      </c>
      <c r="AL547" s="915">
        <f>IF(WFTracker[[#This Row],[Type]]="MAKE", WFTracker[[#This Row],[Due date]]+Filters!$J$111, WFTracker[[#This Row],[Due date]]+Filters!$J$135)</f>
        <v>45990.072512647552</v>
      </c>
      <c r="AM547" s="102" cm="1">
        <f t="array" ref="AM5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8" spans="1:39" ht="15" customHeight="1">
      <c r="A548" t="str">
        <f>IF(WFTracker[[#This Row],[Order Number]]="SWBD", "QED2", "PZ4")</f>
        <v>PZ4</v>
      </c>
      <c r="B548" s="21" t="s">
        <v>1472</v>
      </c>
      <c r="C548" s="26" t="s">
        <v>219</v>
      </c>
      <c r="D548" s="23" t="str">
        <f>WFTracker[[#This Row],[Order Number]]  &amp; "-" &amp; WFTracker[[#This Row],[Item]]</f>
        <v>0011981626-000120</v>
      </c>
      <c r="E548" s="23" t="s">
        <v>700</v>
      </c>
      <c r="F548" s="12">
        <v>46028</v>
      </c>
      <c r="G548" s="12">
        <v>46028</v>
      </c>
      <c r="H548" s="11" t="s">
        <v>156</v>
      </c>
      <c r="I548" s="11" t="s">
        <v>260</v>
      </c>
      <c r="J548" s="55" t="s">
        <v>1474</v>
      </c>
      <c r="K548" s="14" t="s">
        <v>1023</v>
      </c>
      <c r="L548" s="15" t="s">
        <v>27</v>
      </c>
      <c r="M548" s="29" t="s">
        <v>1123</v>
      </c>
      <c r="N548" s="57">
        <v>46077</v>
      </c>
      <c r="O548" s="15">
        <f>NETWORKDAYS.INTL(WFTracker[[#This Row],[Start date]],WFTracker[[#This Row],[RM]],1,Holidays!D574:D589)</f>
        <v>36</v>
      </c>
      <c r="P548" s="12">
        <v>45979</v>
      </c>
      <c r="Q548" s="12">
        <v>45987</v>
      </c>
      <c r="R548" s="12">
        <v>46008</v>
      </c>
      <c r="S548" s="12" t="b">
        <f>ISBLANK(WFTracker[[#This Row],[Completion Date]])</f>
        <v>0</v>
      </c>
      <c r="T548" s="12" t="str">
        <f>TEXT(WFTracker[[#This Row],[Start date]],"mmm-yyyy")</f>
        <v>Nov-2025</v>
      </c>
      <c r="U548" s="11">
        <v>10</v>
      </c>
      <c r="V548" s="11">
        <f>NETWORKDAYS.INTL(WFTracker[[#This Row],[Start date]],WFTracker[[#This Row],[Due date]],1,Holidays!D574:D589)</f>
        <v>7</v>
      </c>
      <c r="W5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548" s="24">
        <f ca="1">WFTracker[[#This Row],[Active Time]]-WFTracker[[#This Row],[Completion Days Template]]</f>
        <v>12</v>
      </c>
      <c r="Y548" s="16" t="str">
        <f ca="1" xml:space="preserve"> IF(WFTracker[[#This Row],[Overdue Time '[Expected-Completion']]]&gt;0, "LATE","ON TIME")</f>
        <v>LATE</v>
      </c>
      <c r="Z548" s="16" t="str">
        <f ca="1">IF(WFTracker[[#This Row],[Overdue Time '[Expected-Completion']]] &gt;= 15, "SUPER LATE", Y548)</f>
        <v>LATE</v>
      </c>
      <c r="AA548" s="37" t="str">
        <f>IF(WFTracker[[#This Row],[Pre RM Opening Time]]&lt;WFTracker[[#This Row],[Old vs New Order Lead Time WF dead line]], "LATE BY ENG", "ON TIME BY ENG")</f>
        <v>ON TIME BY ENG</v>
      </c>
      <c r="AB548" s="37"/>
      <c r="AC548" s="15" t="str">
        <f>IF(WFTracker[[#This Row],[Competion Date Content]] = FALSE, "C", "i")</f>
        <v>C</v>
      </c>
      <c r="AD5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548" s="37" t="str">
        <f ca="1">IF(WFTracker[[#This Row],[Impact Time Post RM]]&gt;0, "IMPACTED", "NOT IMPACTED")</f>
        <v>NOT IMPACTED</v>
      </c>
      <c r="AF548" s="15"/>
      <c r="AG548" s="18"/>
      <c r="AH548" s="14" t="str">
        <f>IF(WFTracker[[#This Row],[Status]]="C", "Closed", IF(WFTracker[[#This Row],[Status]] = "x", "Cancelled", WFTracker[[#This Row],[Impact Time Post RM]]))</f>
        <v>Closed</v>
      </c>
      <c r="AI548" s="14" t="str">
        <f ca="1">IF(WFTracker[[#This Row],[Impact Time Post RM]]&lt;=0,"ON TIME","LATE")</f>
        <v>ON TIME</v>
      </c>
      <c r="AJ548" s="14" t="s">
        <v>984</v>
      </c>
      <c r="AK548" s="14">
        <v>18</v>
      </c>
      <c r="AL548" s="915">
        <f>IF(WFTracker[[#This Row],[Type]]="MAKE", WFTracker[[#This Row],[Due date]]+Filters!$J$111, WFTracker[[#This Row],[Due date]]+Filters!$J$135)</f>
        <v>45990.072512647552</v>
      </c>
      <c r="AM548" s="102" cm="1">
        <f t="array" ref="AM54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49" spans="1:39" ht="15" customHeight="1">
      <c r="A549" t="str">
        <f>IF(WFTracker[[#This Row],[Order Number]]="SWBD", "QED2", "PZ4")</f>
        <v>PZ4</v>
      </c>
      <c r="B549" s="21" t="s">
        <v>1472</v>
      </c>
      <c r="C549" s="26" t="s">
        <v>219</v>
      </c>
      <c r="D549" s="23" t="str">
        <f>WFTracker[[#This Row],[Order Number]]  &amp; "-" &amp; WFTracker[[#This Row],[Item]]</f>
        <v>0011981626-000120</v>
      </c>
      <c r="E549" s="23" t="s">
        <v>700</v>
      </c>
      <c r="F549" s="12">
        <v>46028</v>
      </c>
      <c r="G549" s="12">
        <v>46028</v>
      </c>
      <c r="H549" s="11" t="s">
        <v>156</v>
      </c>
      <c r="I549" s="11" t="s">
        <v>260</v>
      </c>
      <c r="J549" s="55" t="s">
        <v>1475</v>
      </c>
      <c r="K549" s="14" t="s">
        <v>1023</v>
      </c>
      <c r="L549" s="15" t="s">
        <v>27</v>
      </c>
      <c r="M549" s="29" t="s">
        <v>1123</v>
      </c>
      <c r="N549" s="57">
        <v>46077</v>
      </c>
      <c r="O549" s="15">
        <f>NETWORKDAYS.INTL(WFTracker[[#This Row],[Start date]],WFTracker[[#This Row],[RM]],1,Holidays!D575:D590)</f>
        <v>36</v>
      </c>
      <c r="P549" s="12">
        <v>45979</v>
      </c>
      <c r="Q549" s="12">
        <v>46017</v>
      </c>
      <c r="R549" s="12">
        <v>46008</v>
      </c>
      <c r="S549" s="12" t="b">
        <f>ISBLANK(WFTracker[[#This Row],[Completion Date]])</f>
        <v>0</v>
      </c>
      <c r="T549" s="12" t="str">
        <f>TEXT(WFTracker[[#This Row],[Start date]],"mmm-yyyy")</f>
        <v>Nov-2025</v>
      </c>
      <c r="U549" s="11">
        <v>10</v>
      </c>
      <c r="V549" s="11">
        <f>NETWORKDAYS.INTL(WFTracker[[#This Row],[Start date]],WFTracker[[#This Row],[Due date]],1,Holidays!D575:D590)</f>
        <v>29</v>
      </c>
      <c r="W5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549" s="24">
        <f ca="1">WFTracker[[#This Row],[Active Time]]-WFTracker[[#This Row],[Completion Days Template]]</f>
        <v>-10</v>
      </c>
      <c r="Y549" s="16" t="str">
        <f ca="1" xml:space="preserve"> IF(WFTracker[[#This Row],[Overdue Time '[Expected-Completion']]]&gt;0, "LATE","ON TIME")</f>
        <v>ON TIME</v>
      </c>
      <c r="Z549" s="16" t="str">
        <f ca="1">IF(WFTracker[[#This Row],[Overdue Time '[Expected-Completion']]] &gt;= 15, "SUPER LATE", Y549)</f>
        <v>ON TIME</v>
      </c>
      <c r="AA549" s="37" t="str">
        <f>IF(WFTracker[[#This Row],[Pre RM Opening Time]]&lt;WFTracker[[#This Row],[Old vs New Order Lead Time WF dead line]], "LATE BY ENG", "ON TIME BY ENG")</f>
        <v>ON TIME BY ENG</v>
      </c>
      <c r="AB549" s="37"/>
      <c r="AC549" s="15" t="str">
        <f>IF(WFTracker[[#This Row],[Competion Date Content]] = FALSE, "C", "i")</f>
        <v>C</v>
      </c>
      <c r="AD5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549" s="37" t="str">
        <f ca="1">IF(WFTracker[[#This Row],[Impact Time Post RM]]&gt;0, "IMPACTED", "NOT IMPACTED")</f>
        <v>NOT IMPACTED</v>
      </c>
      <c r="AF549" s="15"/>
      <c r="AG549" s="18"/>
      <c r="AH549" s="14" t="str">
        <f>IF(WFTracker[[#This Row],[Status]]="C", "Closed", IF(WFTracker[[#This Row],[Status]] = "x", "Cancelled", WFTracker[[#This Row],[Impact Time Post RM]]))</f>
        <v>Closed</v>
      </c>
      <c r="AI549" s="14" t="str">
        <f ca="1">IF(WFTracker[[#This Row],[Impact Time Post RM]]&lt;=0,"ON TIME","LATE")</f>
        <v>ON TIME</v>
      </c>
      <c r="AJ549" s="14" t="s">
        <v>984</v>
      </c>
      <c r="AK549" s="14">
        <v>18</v>
      </c>
      <c r="AL549" s="915">
        <f>IF(WFTracker[[#This Row],[Type]]="MAKE", WFTracker[[#This Row],[Due date]]+Filters!$J$111, WFTracker[[#This Row],[Due date]]+Filters!$J$135)</f>
        <v>46020.072512647552</v>
      </c>
      <c r="AM549" s="102" cm="1">
        <f t="array" ref="AM54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0" spans="1:39" ht="15" customHeight="1">
      <c r="A550" t="str">
        <f>IF(WFTracker[[#This Row],[Order Number]]="SWBD", "QED2", "PZ4")</f>
        <v>PZ4</v>
      </c>
      <c r="B550" s="21" t="s">
        <v>1476</v>
      </c>
      <c r="C550" s="26" t="s">
        <v>609</v>
      </c>
      <c r="D550" s="23" t="str">
        <f>WFTracker[[#This Row],[Order Number]]  &amp; "-" &amp; WFTracker[[#This Row],[Item]]</f>
        <v>0050202444-000260</v>
      </c>
      <c r="E550" s="23" t="s">
        <v>1477</v>
      </c>
      <c r="F550" s="12">
        <v>45638</v>
      </c>
      <c r="G550" s="12"/>
      <c r="H550" s="11" t="s">
        <v>709</v>
      </c>
      <c r="I550" s="11" t="s">
        <v>37</v>
      </c>
      <c r="J550" s="55" t="s">
        <v>1478</v>
      </c>
      <c r="K550" s="14" t="s">
        <v>1023</v>
      </c>
      <c r="L550" s="15" t="s">
        <v>40</v>
      </c>
      <c r="M550" s="29" t="s">
        <v>1120</v>
      </c>
      <c r="N550" s="57">
        <v>45741</v>
      </c>
      <c r="O550" s="15">
        <f>NETWORKDAYS.INTL(WFTracker[[#This Row],[Start date]],WFTracker[[#This Row],[RM]],1,Holidays!D4:D19)</f>
        <v>-234</v>
      </c>
      <c r="P550" s="12">
        <v>45980</v>
      </c>
      <c r="Q550" s="12">
        <v>45992</v>
      </c>
      <c r="R550" s="12">
        <v>45987</v>
      </c>
      <c r="S550" s="12" t="b">
        <f>ISBLANK(WFTracker[[#This Row],[Completion Date]])</f>
        <v>0</v>
      </c>
      <c r="T550" s="12" t="str">
        <f>TEXT(WFTracker[[#This Row],[Start date]],"mmm-yyyy")</f>
        <v>Nov-2025</v>
      </c>
      <c r="U550" s="11">
        <v>10</v>
      </c>
      <c r="V550" s="11">
        <f>NETWORKDAYS.INTL(WFTracker[[#This Row],[Start date]],WFTracker[[#This Row],[Due date]],1,Holidays!D4:D19)</f>
        <v>7</v>
      </c>
      <c r="W5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50" s="24">
        <f ca="1">WFTracker[[#This Row],[Active Time]]-WFTracker[[#This Row],[Completion Days Template]]</f>
        <v>-3</v>
      </c>
      <c r="Y550" s="16" t="str">
        <f ca="1" xml:space="preserve"> IF(WFTracker[[#This Row],[Overdue Time '[Expected-Completion']]]&gt;0, "LATE","ON TIME")</f>
        <v>ON TIME</v>
      </c>
      <c r="Z550" s="16" t="str">
        <f ca="1">IF(WFTracker[[#This Row],[Overdue Time '[Expected-Completion']]] &gt;= 15, "SUPER LATE", Y550)</f>
        <v>ON TIME</v>
      </c>
      <c r="AA550" s="37" t="str">
        <f>IF(WFTracker[[#This Row],[Pre RM Opening Time]]&lt;WFTracker[[#This Row],[Old vs New Order Lead Time WF dead line]], "LATE BY ENG", "ON TIME BY ENG")</f>
        <v>LATE BY ENG</v>
      </c>
      <c r="AB550" s="37"/>
      <c r="AC550" s="15" t="str">
        <f>IF(WFTracker[[#This Row],[Competion Date Content]] = FALSE, "C", "I")</f>
        <v>C</v>
      </c>
      <c r="AD5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238</v>
      </c>
      <c r="AE550" s="25" t="str">
        <f ca="1">IF(WFTracker[[#This Row],[Impact Time Post RM]]&gt;0, "IMPACTED", "NOT IMPACTED")</f>
        <v>IMPACTED</v>
      </c>
      <c r="AF550" s="15"/>
      <c r="AG550" s="18"/>
      <c r="AH550" s="14" t="str">
        <f>IF(WFTracker[[#This Row],[Status]]="C", "Closed", IF(WFTracker[[#This Row],[Status]] = "x", "Cancelled", WFTracker[[#This Row],[Impact Time Post RM]]))</f>
        <v>Closed</v>
      </c>
      <c r="AI550" s="14" t="str">
        <f ca="1">IF(WFTracker[[#This Row],[Impact Time Post RM]]&lt;=0,"ON TIME","LATE")</f>
        <v>LATE</v>
      </c>
      <c r="AJ550" s="14" t="s">
        <v>984</v>
      </c>
      <c r="AK550" s="14">
        <v>17</v>
      </c>
      <c r="AL550" s="915">
        <f>IF(WFTracker[[#This Row],[Type]]="MAKE", WFTracker[[#This Row],[Due date]]+Filters!$J$111, WFTracker[[#This Row],[Due date]]+Filters!$J$135)</f>
        <v>45992.415686274508</v>
      </c>
      <c r="AM550" s="102" cm="1">
        <f t="array" ref="AM55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1" spans="1:39" ht="15" customHeight="1">
      <c r="A551" t="str">
        <f>IF(WFTracker[[#This Row],[Order Number]]="SWBD", "QED2", "PZ4")</f>
        <v>PZ4</v>
      </c>
      <c r="B551" s="21" t="s">
        <v>423</v>
      </c>
      <c r="C551" s="26" t="s">
        <v>286</v>
      </c>
      <c r="D551" s="23" t="str">
        <f>WFTracker[[#This Row],[Order Number]]  &amp; "-" &amp; WFTracker[[#This Row],[Item]]</f>
        <v>0051027340-000100</v>
      </c>
      <c r="E551" s="23" t="s">
        <v>1479</v>
      </c>
      <c r="F551" s="12">
        <v>45898</v>
      </c>
      <c r="G551" s="12"/>
      <c r="H551" s="11" t="s">
        <v>36</v>
      </c>
      <c r="I551" s="11" t="s">
        <v>238</v>
      </c>
      <c r="J551" s="55" t="s">
        <v>1480</v>
      </c>
      <c r="K551" s="14" t="s">
        <v>1023</v>
      </c>
      <c r="L551" s="15" t="s">
        <v>1481</v>
      </c>
      <c r="M551" s="29" t="s">
        <v>1120</v>
      </c>
      <c r="N551" s="57">
        <v>46002</v>
      </c>
      <c r="O551" s="15">
        <f>NETWORKDAYS.INTL(WFTracker[[#This Row],[Start date]],WFTracker[[#This Row],[RM]],1,Holidays!D5:D20)</f>
        <v>-55</v>
      </c>
      <c r="P551" s="12">
        <v>45980</v>
      </c>
      <c r="Q551" s="12">
        <v>45992</v>
      </c>
      <c r="R551" s="12">
        <v>45987</v>
      </c>
      <c r="S551" s="12" t="b">
        <f>ISBLANK(WFTracker[[#This Row],[Completion Date]])</f>
        <v>0</v>
      </c>
      <c r="T551" s="12" t="str">
        <f>TEXT(WFTracker[[#This Row],[Start date]],"mmm-yyyy")</f>
        <v>Nov-2025</v>
      </c>
      <c r="U551" s="11">
        <v>10</v>
      </c>
      <c r="V551" s="11">
        <f>NETWORKDAYS.INTL(WFTracker[[#This Row],[Start date]],WFTracker[[#This Row],[Due date]],1,Holidays!D5:D20)</f>
        <v>7</v>
      </c>
      <c r="W5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51" s="24">
        <f ca="1">WFTracker[[#This Row],[Active Time]]-WFTracker[[#This Row],[Completion Days Template]]</f>
        <v>-3</v>
      </c>
      <c r="Y551" s="16" t="str">
        <f ca="1" xml:space="preserve"> IF(WFTracker[[#This Row],[Overdue Time '[Expected-Completion']]]&gt;0, "LATE","ON TIME")</f>
        <v>ON TIME</v>
      </c>
      <c r="Z551" s="16" t="str">
        <f ca="1">IF(WFTracker[[#This Row],[Overdue Time '[Expected-Completion']]] &gt;= 15, "SUPER LATE", Y551)</f>
        <v>ON TIME</v>
      </c>
      <c r="AA551" s="37" t="str">
        <f>IF(WFTracker[[#This Row],[Pre RM Opening Time]]&lt;WFTracker[[#This Row],[Old vs New Order Lead Time WF dead line]], "LATE BY ENG", "ON TIME BY ENG")</f>
        <v>LATE BY ENG</v>
      </c>
      <c r="AB551" s="37"/>
      <c r="AC551" s="15" t="str">
        <f>IF(WFTracker[[#This Row],[Competion Date Content]] = FALSE, "C", "i")</f>
        <v>C</v>
      </c>
      <c r="AD5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59</v>
      </c>
      <c r="AE551" s="25" t="str">
        <f ca="1">IF(WFTracker[[#This Row],[Impact Time Post RM]]&gt;0, "IMPACTED", "NOT IMPACTED")</f>
        <v>IMPACTED</v>
      </c>
      <c r="AF551" s="15"/>
      <c r="AG551" s="18"/>
      <c r="AH551" s="14" t="str">
        <f>IF(WFTracker[[#This Row],[Status]]="C", "Closed", IF(WFTracker[[#This Row],[Status]] = "x", "Cancelled", WFTracker[[#This Row],[Impact Time Post RM]]))</f>
        <v>Closed</v>
      </c>
      <c r="AI551" s="14" t="str">
        <f ca="1">IF(WFTracker[[#This Row],[Impact Time Post RM]]&lt;=0,"ON TIME","LATE")</f>
        <v>LATE</v>
      </c>
      <c r="AJ551" s="14" t="s">
        <v>984</v>
      </c>
      <c r="AK551" s="14">
        <v>17</v>
      </c>
      <c r="AL551" s="915">
        <f>IF(WFTracker[[#This Row],[Type]]="MAKE", WFTracker[[#This Row],[Due date]]+Filters!$J$111, WFTracker[[#This Row],[Due date]]+Filters!$J$135)</f>
        <v>45992.415686274508</v>
      </c>
      <c r="AM551" s="102" cm="1">
        <f t="array" ref="AM55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2" spans="1:39" ht="15" customHeight="1">
      <c r="A552" t="str">
        <f>IF(WFTracker[[#This Row],[Order Number]]="SWBD", "QED2", "PZ4")</f>
        <v>PZ4</v>
      </c>
      <c r="B552" s="21" t="s">
        <v>650</v>
      </c>
      <c r="C552" s="26" t="s">
        <v>656</v>
      </c>
      <c r="D552" s="23" t="str">
        <f>WFTracker[[#This Row],[Order Number]]  &amp; "-" &amp; WFTracker[[#This Row],[Item]]</f>
        <v>0051095105-000400</v>
      </c>
      <c r="E552" s="23" t="s">
        <v>652</v>
      </c>
      <c r="F552" s="12">
        <v>46000</v>
      </c>
      <c r="G552" s="12"/>
      <c r="H552" s="11" t="s">
        <v>80</v>
      </c>
      <c r="I552" s="11" t="s">
        <v>186</v>
      </c>
      <c r="J552" s="55" t="s">
        <v>657</v>
      </c>
      <c r="K552" s="14" t="s">
        <v>1017</v>
      </c>
      <c r="L552" s="15" t="s">
        <v>27</v>
      </c>
      <c r="M552" s="29" t="s">
        <v>1120</v>
      </c>
      <c r="N552" s="57">
        <v>46098</v>
      </c>
      <c r="O552" s="15">
        <f>NETWORKDAYS.INTL(WFTracker[[#This Row],[Start date]],WFTracker[[#This Row],[RM]],1,Holidays!D379:D394)</f>
        <v>15</v>
      </c>
      <c r="P552" s="12">
        <v>45980</v>
      </c>
      <c r="Q552" s="12">
        <v>45987</v>
      </c>
      <c r="R552" s="12">
        <v>46017</v>
      </c>
      <c r="S552" s="12" t="b">
        <f>ISBLANK(WFTracker[[#This Row],[Completion Date]])</f>
        <v>0</v>
      </c>
      <c r="T552" s="12" t="str">
        <f>TEXT(WFTracker[[#This Row],[Start date]],"mmm-yyyy")</f>
        <v>Nov-2025</v>
      </c>
      <c r="U552" s="11">
        <v>10</v>
      </c>
      <c r="V552" s="11">
        <f>NETWORKDAYS.INTL(WFTracker[[#This Row],[Start date]],WFTracker[[#This Row],[Due date]],1,Holidays!D379:D394)</f>
        <v>6</v>
      </c>
      <c r="W5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23</v>
      </c>
      <c r="X552" s="24">
        <f ca="1">WFTracker[[#This Row],[Active Time]]-WFTracker[[#This Row],[Completion Days Template]]</f>
        <v>17</v>
      </c>
      <c r="Y552" s="16" t="str">
        <f ca="1" xml:space="preserve"> IF(WFTracker[[#This Row],[Overdue Time '[Expected-Completion']]]&gt;0, "LATE","ON TIME")</f>
        <v>LATE</v>
      </c>
      <c r="Z552" s="16" t="str">
        <f ca="1">IF(WFTracker[[#This Row],[Overdue Time '[Expected-Completion']]] &gt;= 15, "SUPER LATE", Y552)</f>
        <v>SUPER LATE</v>
      </c>
      <c r="AA552" s="37" t="str">
        <f>IF(WFTracker[[#This Row],[Pre RM Opening Time]]&lt;WFTracker[[#This Row],[Old vs New Order Lead Time WF dead line]], "LATE BY ENG", "ON TIME BY ENG")</f>
        <v>ON TIME BY ENG</v>
      </c>
      <c r="AB552" s="37"/>
      <c r="AC552" s="15" t="str">
        <f>IF(WFTracker[[#This Row],[Competion Date Content]] = FALSE, "C", "i")</f>
        <v>C</v>
      </c>
      <c r="AD5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552" s="37" t="str">
        <f ca="1">IF(WFTracker[[#This Row],[Impact Time Post RM]]&gt;0, "IMPACTED", "NOT IMPACTED")</f>
        <v>IMPACTED</v>
      </c>
      <c r="AF552" s="15"/>
      <c r="AG552" s="18"/>
      <c r="AH552" s="14" t="str">
        <f>IF(WFTracker[[#This Row],[Status]]="C", "Closed", IF(WFTracker[[#This Row],[Status]] = "x", "Cancelled", WFTracker[[#This Row],[Impact Time Post RM]]))</f>
        <v>Closed</v>
      </c>
      <c r="AI552" s="14" t="str">
        <f ca="1">IF(WFTracker[[#This Row],[Impact Time Post RM]]&lt;=0,"ON TIME","LATE")</f>
        <v>LATE</v>
      </c>
      <c r="AJ552" s="14" t="s">
        <v>984</v>
      </c>
      <c r="AK552" s="14">
        <v>18</v>
      </c>
      <c r="AL552" s="915">
        <f>IF(WFTracker[[#This Row],[Type]]="MAKE", WFTracker[[#This Row],[Due date]]+Filters!$J$111, WFTracker[[#This Row],[Due date]]+Filters!$J$135)</f>
        <v>45990.072512647552</v>
      </c>
      <c r="AM552" s="102" cm="1">
        <f t="array" ref="AM5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3" spans="1:39" ht="15" customHeight="1">
      <c r="A553" t="str">
        <f>IF(WFTracker[[#This Row],[Order Number]]="SWBD", "QED2", "PZ4")</f>
        <v>QED2</v>
      </c>
      <c r="B553" s="120" t="s">
        <v>1239</v>
      </c>
      <c r="C553" s="26" t="s">
        <v>1482</v>
      </c>
      <c r="D553" s="23" t="str">
        <f>WFTracker[[#This Row],[Order Number]]  &amp; "-" &amp; WFTracker[[#This Row],[Item]]</f>
        <v>SWBD-META</v>
      </c>
      <c r="E553" s="23" t="s">
        <v>1055</v>
      </c>
      <c r="F553" s="12">
        <v>46006</v>
      </c>
      <c r="G553" s="12">
        <v>46006</v>
      </c>
      <c r="H553" s="11" t="s">
        <v>947</v>
      </c>
      <c r="I553" s="11" t="s">
        <v>1132</v>
      </c>
      <c r="J553" s="55" t="s">
        <v>1483</v>
      </c>
      <c r="K553" s="14" t="s">
        <v>1023</v>
      </c>
      <c r="L553" s="15" t="s">
        <v>40</v>
      </c>
      <c r="M553" s="29" t="s">
        <v>1120</v>
      </c>
      <c r="N553" s="57">
        <v>46006</v>
      </c>
      <c r="O553" s="15">
        <f>NETWORKDAYS.INTL(WFTracker[[#This Row],[Start date]],WFTracker[[#This Row],[RM]],1,Holidays!D443:D458)</f>
        <v>19</v>
      </c>
      <c r="P553" s="12">
        <v>45980</v>
      </c>
      <c r="Q553" s="12">
        <v>45992</v>
      </c>
      <c r="R553" s="12">
        <v>46000</v>
      </c>
      <c r="S553" s="12" t="b">
        <f>ISBLANK(WFTracker[[#This Row],[Completion Date]])</f>
        <v>0</v>
      </c>
      <c r="T553" s="12" t="str">
        <f>TEXT(WFTracker[[#This Row],[Start date]],"mmm-yyyy")</f>
        <v>Nov-2025</v>
      </c>
      <c r="U553" s="11">
        <v>10</v>
      </c>
      <c r="V553" s="11">
        <f>NETWORKDAYS.INTL(WFTracker[[#This Row],[Start date]],WFTracker[[#This Row],[Due date]],1,Holidays!D443:D458)</f>
        <v>9</v>
      </c>
      <c r="W5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553" s="24">
        <f ca="1">WFTracker[[#This Row],[Active Time]]-WFTracker[[#This Row],[Completion Days Template]]</f>
        <v>4</v>
      </c>
      <c r="Y553" s="16" t="str">
        <f ca="1" xml:space="preserve"> IF(WFTracker[[#This Row],[Overdue Time '[Expected-Completion']]]&gt;0, "LATE","ON TIME")</f>
        <v>LATE</v>
      </c>
      <c r="Z553" s="16" t="str">
        <f ca="1">IF(WFTracker[[#This Row],[Overdue Time '[Expected-Completion']]] &gt;= 15, "SUPER LATE", Y553)</f>
        <v>LATE</v>
      </c>
      <c r="AA553" s="37" t="str">
        <f>IF(WFTracker[[#This Row],[Pre RM Opening Time]]&lt;WFTracker[[#This Row],[Old vs New Order Lead Time WF dead line]], "LATE BY ENG", "ON TIME BY ENG")</f>
        <v>ON TIME BY ENG</v>
      </c>
      <c r="AB553" s="37"/>
      <c r="AC553" s="15" t="str">
        <f>IF(WFTracker[[#This Row],[Competion Date Content]] = FALSE, "C", "I")</f>
        <v>C</v>
      </c>
      <c r="AD5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53" s="37" t="str">
        <f ca="1">IF(WFTracker[[#This Row],[Impact Time Post RM]]&gt;0, "IMPACTED", "NOT IMPACTED")</f>
        <v>NOT IMPACTED</v>
      </c>
      <c r="AF553" s="15"/>
      <c r="AG553" s="18"/>
      <c r="AH553" s="14" t="str">
        <f>IF(WFTracker[[#This Row],[Status]]="C", "Closed", IF(WFTracker[[#This Row],[Status]] = "x", "Cancelled", WFTracker[[#This Row],[Impact Time Post RM]]))</f>
        <v>Closed</v>
      </c>
      <c r="AI553" s="14" t="str">
        <f ca="1">IF(WFTracker[[#This Row],[Impact Time Post RM]]&lt;=0,"ON TIME","LATE")</f>
        <v>ON TIME</v>
      </c>
      <c r="AJ553" s="14" t="s">
        <v>984</v>
      </c>
      <c r="AK553" s="14">
        <v>17</v>
      </c>
      <c r="AL553" s="915">
        <f>IF(WFTracker[[#This Row],[Type]]="MAKE", WFTracker[[#This Row],[Due date]]+Filters!$J$111, WFTracker[[#This Row],[Due date]]+Filters!$J$135)</f>
        <v>45992.415686274508</v>
      </c>
      <c r="AM553" s="102" cm="1">
        <f t="array" ref="AM5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4" spans="1:39" ht="15" customHeight="1">
      <c r="A554" t="str">
        <f>IF(WFTracker[[#This Row],[Order Number]]="SWBD", "QED2", "PZ4")</f>
        <v>PZ4</v>
      </c>
      <c r="B554" s="120" t="s">
        <v>658</v>
      </c>
      <c r="C554" s="21" t="s">
        <v>135</v>
      </c>
      <c r="D554" s="23" t="str">
        <f>WFTracker[[#This Row],[Order Number]]  &amp; "-" &amp; WFTracker[[#This Row],[Item]]</f>
        <v>0051647770-000010</v>
      </c>
      <c r="E554" s="23" t="s">
        <v>1048</v>
      </c>
      <c r="F554" s="12">
        <v>46029</v>
      </c>
      <c r="G554" s="12"/>
      <c r="H554" s="11" t="s">
        <v>104</v>
      </c>
      <c r="I554" s="11" t="s">
        <v>593</v>
      </c>
      <c r="J554" s="55" t="s">
        <v>663</v>
      </c>
      <c r="K554" s="14" t="s">
        <v>1023</v>
      </c>
      <c r="L554" s="15" t="s">
        <v>27</v>
      </c>
      <c r="M554" s="29" t="s">
        <v>1120</v>
      </c>
      <c r="N554" s="57">
        <v>46064</v>
      </c>
      <c r="O554" s="15">
        <f>NETWORKDAYS.INTL(WFTracker[[#This Row],[Start date]],WFTracker[[#This Row],[RM]],1,Holidays!D576:D591)</f>
        <v>36</v>
      </c>
      <c r="P554" s="12">
        <v>45980</v>
      </c>
      <c r="Q554" s="12">
        <v>45988</v>
      </c>
      <c r="R554" s="12">
        <v>45993</v>
      </c>
      <c r="S554" s="12" t="b">
        <f>ISBLANK(WFTracker[[#This Row],[Completion Date]])</f>
        <v>0</v>
      </c>
      <c r="T554" s="12" t="str">
        <f>TEXT(WFTracker[[#This Row],[Start date]],"mmm-yyyy")</f>
        <v>Nov-2025</v>
      </c>
      <c r="U554" s="11">
        <v>10</v>
      </c>
      <c r="V554" s="11">
        <f>NETWORKDAYS.INTL(WFTracker[[#This Row],[Start date]],WFTracker[[#This Row],[Due date]],1,Holidays!D576:D591)</f>
        <v>7</v>
      </c>
      <c r="W5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54" s="24">
        <f ca="1">WFTracker[[#This Row],[Active Time]]-WFTracker[[#This Row],[Completion Days Template]]</f>
        <v>1</v>
      </c>
      <c r="Y554" s="16" t="str">
        <f ca="1" xml:space="preserve"> IF(WFTracker[[#This Row],[Overdue Time '[Expected-Completion']]]&gt;0, "LATE","ON TIME")</f>
        <v>LATE</v>
      </c>
      <c r="Z554" s="16" t="str">
        <f ca="1">IF(WFTracker[[#This Row],[Overdue Time '[Expected-Completion']]] &gt;= 15, "SUPER LATE", Y554)</f>
        <v>LATE</v>
      </c>
      <c r="AA554" s="37" t="str">
        <f>IF(WFTracker[[#This Row],[Pre RM Opening Time]]&lt;WFTracker[[#This Row],[Old vs New Order Lead Time WF dead line]], "LATE BY ENG", "ON TIME BY ENG")</f>
        <v>ON TIME BY ENG</v>
      </c>
      <c r="AB554" s="37"/>
      <c r="AC554" s="15" t="str">
        <f>IF(WFTracker[[#This Row],[Competion Date Content]] = FALSE, "C", "I")</f>
        <v>C</v>
      </c>
      <c r="AD5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-23</v>
      </c>
      <c r="AE554" s="37" t="str">
        <f ca="1">IF(WFTracker[[#This Row],[Impact Time Post RM]]&gt;0, "IMPACTED", "NOT IMPACTED")</f>
        <v>NOT IMPACTED</v>
      </c>
      <c r="AF554" s="15"/>
      <c r="AG554" s="18"/>
      <c r="AH554" s="14" t="str">
        <f>IF(WFTracker[[#This Row],[Status]]="C", "Closed", IF(WFTracker[[#This Row],[Status]] = "x", "Cancelled", WFTracker[[#This Row],[Impact Time Post RM]]))</f>
        <v>Closed</v>
      </c>
      <c r="AI554" s="14" t="str">
        <f ca="1">IF(WFTracker[[#This Row],[Impact Time Post RM]]&lt;=0,"ON TIME","LATE")</f>
        <v>ON TIME</v>
      </c>
      <c r="AJ554" s="14" t="s">
        <v>984</v>
      </c>
      <c r="AK554" s="14">
        <v>18</v>
      </c>
      <c r="AL554" s="915">
        <f>IF(WFTracker[[#This Row],[Type]]="MAKE", WFTracker[[#This Row],[Due date]]+Filters!$J$111, WFTracker[[#This Row],[Due date]]+Filters!$J$135)</f>
        <v>45991.072512647552</v>
      </c>
      <c r="AM554" s="102" cm="1">
        <f t="array" ref="AM5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5" spans="1:39" ht="15" customHeight="1">
      <c r="A555" t="str">
        <f>IF(WFTracker[[#This Row],[Order Number]]="SWBD", "QED2", "PZ4")</f>
        <v>PZ4</v>
      </c>
      <c r="B555" s="120" t="s">
        <v>658</v>
      </c>
      <c r="C555" s="26" t="s">
        <v>135</v>
      </c>
      <c r="D555" s="23" t="str">
        <f>WFTracker[[#This Row],[Order Number]]  &amp; "-" &amp; WFTracker[[#This Row],[Item]]</f>
        <v>0051647770-000010</v>
      </c>
      <c r="E555" s="23" t="s">
        <v>1048</v>
      </c>
      <c r="F555" s="12">
        <v>46029</v>
      </c>
      <c r="G555" s="12">
        <v>45993</v>
      </c>
      <c r="H555" s="11" t="s">
        <v>104</v>
      </c>
      <c r="I555" s="11" t="s">
        <v>593</v>
      </c>
      <c r="J555" s="55" t="s">
        <v>661</v>
      </c>
      <c r="K555" s="14" t="s">
        <v>1023</v>
      </c>
      <c r="L555" s="15" t="s">
        <v>27</v>
      </c>
      <c r="M555" s="29" t="s">
        <v>1120</v>
      </c>
      <c r="N555" s="57">
        <v>46064</v>
      </c>
      <c r="O555" s="15">
        <f>NETWORKDAYS.INTL(WFTracker[[#This Row],[Start date]],WFTracker[[#This Row],[RM]],1,Holidays!D577:D592)</f>
        <v>36</v>
      </c>
      <c r="P555" s="12">
        <v>45980</v>
      </c>
      <c r="Q555" s="12">
        <v>45988</v>
      </c>
      <c r="R555" s="12">
        <v>45996</v>
      </c>
      <c r="S555" s="12" t="b">
        <f>ISBLANK(WFTracker[[#This Row],[Completion Date]])</f>
        <v>0</v>
      </c>
      <c r="T555" s="12" t="str">
        <f>TEXT(WFTracker[[#This Row],[Start date]],"mmm-yyyy")</f>
        <v>Nov-2025</v>
      </c>
      <c r="U555" s="11">
        <v>10</v>
      </c>
      <c r="V555" s="11">
        <f>NETWORKDAYS.INTL(WFTracker[[#This Row],[Start date]],WFTracker[[#This Row],[Due date]],1,Holidays!D577:D592)</f>
        <v>7</v>
      </c>
      <c r="W5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555" s="24">
        <f ca="1">WFTracker[[#This Row],[Active Time]]-WFTracker[[#This Row],[Completion Days Template]]</f>
        <v>4</v>
      </c>
      <c r="Y555" s="16" t="str">
        <f ca="1" xml:space="preserve"> IF(WFTracker[[#This Row],[Overdue Time '[Expected-Completion']]]&gt;0, "LATE","ON TIME")</f>
        <v>LATE</v>
      </c>
      <c r="Z555" s="16" t="str">
        <f ca="1">IF(WFTracker[[#This Row],[Overdue Time '[Expected-Completion']]] &gt;= 15, "SUPER LATE", Y555)</f>
        <v>LATE</v>
      </c>
      <c r="AA555" s="37" t="str">
        <f>IF(WFTracker[[#This Row],[Pre RM Opening Time]]&lt;WFTracker[[#This Row],[Old vs New Order Lead Time WF dead line]], "LATE BY ENG", "ON TIME BY ENG")</f>
        <v>ON TIME BY ENG</v>
      </c>
      <c r="AB555" s="37"/>
      <c r="AC555" s="15" t="str">
        <f>IF(WFTracker[[#This Row],[Competion Date Content]] = FALSE, "C", "I")</f>
        <v>C</v>
      </c>
      <c r="AD5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555" s="37" t="str">
        <f ca="1">IF(WFTracker[[#This Row],[Impact Time Post RM]]&gt;0, "IMPACTED", "NOT IMPACTED")</f>
        <v>NOT IMPACTED</v>
      </c>
      <c r="AF555" s="15"/>
      <c r="AG555" s="18"/>
      <c r="AH555" s="14" t="str">
        <f>IF(WFTracker[[#This Row],[Status]]="C", "Closed", IF(WFTracker[[#This Row],[Status]] = "x", "Cancelled", WFTracker[[#This Row],[Impact Time Post RM]]))</f>
        <v>Closed</v>
      </c>
      <c r="AI555" s="14" t="str">
        <f ca="1">IF(WFTracker[[#This Row],[Impact Time Post RM]]&lt;=0,"ON TIME","LATE")</f>
        <v>ON TIME</v>
      </c>
      <c r="AJ555" s="14" t="s">
        <v>984</v>
      </c>
      <c r="AK555" s="14">
        <v>18</v>
      </c>
      <c r="AL555" s="915">
        <f>IF(WFTracker[[#This Row],[Type]]="MAKE", WFTracker[[#This Row],[Due date]]+Filters!$J$111, WFTracker[[#This Row],[Due date]]+Filters!$J$135)</f>
        <v>45991.072512647552</v>
      </c>
      <c r="AM555" s="102" cm="1">
        <f t="array" ref="AM55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6" spans="1:39" ht="15" customHeight="1">
      <c r="A556" t="str">
        <f>IF(WFTracker[[#This Row],[Order Number]]="SWBD", "QED2", "PZ4")</f>
        <v>PZ4</v>
      </c>
      <c r="B556" s="120" t="s">
        <v>658</v>
      </c>
      <c r="C556" s="21" t="s">
        <v>135</v>
      </c>
      <c r="D556" s="23" t="str">
        <f>WFTracker[[#This Row],[Order Number]]  &amp; "-" &amp; WFTracker[[#This Row],[Item]]</f>
        <v>0051647770-000010</v>
      </c>
      <c r="E556" s="23" t="s">
        <v>1048</v>
      </c>
      <c r="F556" s="12">
        <v>46029</v>
      </c>
      <c r="G556" s="12">
        <v>45993</v>
      </c>
      <c r="H556" s="11" t="s">
        <v>104</v>
      </c>
      <c r="I556" s="11" t="s">
        <v>593</v>
      </c>
      <c r="J556" s="113" t="s">
        <v>662</v>
      </c>
      <c r="K556" s="14" t="s">
        <v>1023</v>
      </c>
      <c r="L556" s="15" t="s">
        <v>40</v>
      </c>
      <c r="M556" s="29" t="s">
        <v>1120</v>
      </c>
      <c r="N556" s="57">
        <v>46064</v>
      </c>
      <c r="O556" s="15">
        <f>NETWORKDAYS.INTL(WFTracker[[#This Row],[Start date]],WFTracker[[#This Row],[RM]],1,Holidays!D578:D593)</f>
        <v>36</v>
      </c>
      <c r="P556" s="12">
        <v>45980</v>
      </c>
      <c r="Q556" s="12">
        <v>45992</v>
      </c>
      <c r="R556" s="12">
        <v>45995</v>
      </c>
      <c r="S556" s="12" t="b">
        <f>ISBLANK(WFTracker[[#This Row],[Completion Date]])</f>
        <v>0</v>
      </c>
      <c r="T556" s="12" t="str">
        <f>TEXT(WFTracker[[#This Row],[Start date]],"mmm-yyyy")</f>
        <v>Nov-2025</v>
      </c>
      <c r="U556" s="11">
        <v>10</v>
      </c>
      <c r="V556" s="11">
        <f>NETWORKDAYS.INTL(WFTracker[[#This Row],[Start date]],WFTracker[[#This Row],[Due date]],1,Holidays!D578:D593)</f>
        <v>9</v>
      </c>
      <c r="W5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556" s="24">
        <f ca="1">WFTracker[[#This Row],[Active Time]]-WFTracker[[#This Row],[Completion Days Template]]</f>
        <v>1</v>
      </c>
      <c r="Y556" s="16" t="str">
        <f ca="1" xml:space="preserve"> IF(WFTracker[[#This Row],[Overdue Time '[Expected-Completion']]]&gt;0, "LATE","ON TIME")</f>
        <v>LATE</v>
      </c>
      <c r="Z556" s="16" t="str">
        <f ca="1">IF(WFTracker[[#This Row],[Overdue Time '[Expected-Completion']]] &gt;= 15, "SUPER LATE", Y556)</f>
        <v>LATE</v>
      </c>
      <c r="AA556" s="37" t="str">
        <f>IF(WFTracker[[#This Row],[Pre RM Opening Time]]&lt;WFTracker[[#This Row],[Old vs New Order Lead Time WF dead line]], "LATE BY ENG", "ON TIME BY ENG")</f>
        <v>ON TIME BY ENG</v>
      </c>
      <c r="AB556" s="37"/>
      <c r="AC556" s="15" t="str">
        <f>IF(WFTracker[[#This Row],[Competion Date Content]] = FALSE, "C", "I")</f>
        <v>C</v>
      </c>
      <c r="AD5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556" s="37" t="str">
        <f ca="1">IF(WFTracker[[#This Row],[Impact Time Post RM]]&gt;0, "IMPACTED", "NOT IMPACTED")</f>
        <v>NOT IMPACTED</v>
      </c>
      <c r="AF556" s="15"/>
      <c r="AG556" s="18"/>
      <c r="AH556" s="14" t="str">
        <f>IF(WFTracker[[#This Row],[Status]]="C", "Closed", IF(WFTracker[[#This Row],[Status]] = "x", "Cancelled", WFTracker[[#This Row],[Impact Time Post RM]]))</f>
        <v>Closed</v>
      </c>
      <c r="AI556" s="14" t="str">
        <f ca="1">IF(WFTracker[[#This Row],[Impact Time Post RM]]&lt;=0,"ON TIME","LATE")</f>
        <v>ON TIME</v>
      </c>
      <c r="AJ556" s="14" t="s">
        <v>984</v>
      </c>
      <c r="AK556" s="14">
        <v>17</v>
      </c>
      <c r="AL556" s="915">
        <f>IF(WFTracker[[#This Row],[Type]]="MAKE", WFTracker[[#This Row],[Due date]]+Filters!$J$111, WFTracker[[#This Row],[Due date]]+Filters!$J$135)</f>
        <v>45992.415686274508</v>
      </c>
      <c r="AM556" s="102" cm="1">
        <f t="array" ref="AM5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7" spans="1:39" ht="15" customHeight="1">
      <c r="A557" t="str">
        <f>IF(WFTracker[[#This Row],[Order Number]]="SWBD", "QED2", "PZ4")</f>
        <v>PZ4</v>
      </c>
      <c r="B557" s="21" t="s">
        <v>714</v>
      </c>
      <c r="C557" s="26" t="s">
        <v>1463</v>
      </c>
      <c r="D557" s="23" t="str">
        <f>WFTracker[[#This Row],[Order Number]]  &amp; "-" &amp; WFTracker[[#This Row],[Item]]</f>
        <v>0050927776-000950</v>
      </c>
      <c r="E557" s="23" t="s">
        <v>716</v>
      </c>
      <c r="F557" s="27">
        <v>46014</v>
      </c>
      <c r="G557" s="27">
        <v>46009</v>
      </c>
      <c r="H557" s="11" t="s">
        <v>237</v>
      </c>
      <c r="I557" s="11" t="s">
        <v>264</v>
      </c>
      <c r="J557" s="113" t="s">
        <v>1484</v>
      </c>
      <c r="K557" s="14" t="s">
        <v>1023</v>
      </c>
      <c r="L557" s="15" t="s">
        <v>27</v>
      </c>
      <c r="M557" s="29" t="s">
        <v>1120</v>
      </c>
      <c r="N557" s="57">
        <v>46287</v>
      </c>
      <c r="O557" s="15">
        <f>NETWORKDAYS.INTL(WFTracker[[#This Row],[Start date]],WFTracker[[#This Row],[RM]],1,Holidays!D506:D521)</f>
        <v>24</v>
      </c>
      <c r="P557" s="12">
        <v>45981</v>
      </c>
      <c r="Q557" s="12">
        <v>45989</v>
      </c>
      <c r="R557" s="12">
        <v>46008</v>
      </c>
      <c r="S557" s="12" t="b">
        <f>ISBLANK(WFTracker[[#This Row],[Completion Date]])</f>
        <v>0</v>
      </c>
      <c r="T557" s="12" t="str">
        <f>TEXT(WFTracker[[#This Row],[Start date]],"mmm-yyyy")</f>
        <v>Nov-2025</v>
      </c>
      <c r="U557" s="11">
        <v>10</v>
      </c>
      <c r="V557" s="11">
        <f>NETWORKDAYS.INTL(WFTracker[[#This Row],[Start date]],WFTracker[[#This Row],[Due date]],1,Holidays!D506:D521)</f>
        <v>7</v>
      </c>
      <c r="W5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18</v>
      </c>
      <c r="X557" s="24">
        <f ca="1">WFTracker[[#This Row],[Active Time]]-WFTracker[[#This Row],[Completion Days Template]]</f>
        <v>11</v>
      </c>
      <c r="Y557" s="16" t="str">
        <f ca="1" xml:space="preserve"> IF(WFTracker[[#This Row],[Overdue Time '[Expected-Completion']]]&gt;0, "LATE","ON TIME")</f>
        <v>LATE</v>
      </c>
      <c r="Z557" s="16" t="str">
        <f ca="1">IF(WFTracker[[#This Row],[Overdue Time '[Expected-Completion']]] &gt;= 15, "SUPER LATE", Y557)</f>
        <v>LATE</v>
      </c>
      <c r="AA557" s="37" t="str">
        <f>IF(WFTracker[[#This Row],[Pre RM Opening Time]]&lt;WFTracker[[#This Row],[Old vs New Order Lead Time WF dead line]], "LATE BY ENG", "ON TIME BY ENG")</f>
        <v>ON TIME BY ENG</v>
      </c>
      <c r="AB557" s="37"/>
      <c r="AC557" s="15" t="str">
        <f>IF(WFTracker[[#This Row],[Competion Date Content]] = FALSE, "C", "I")</f>
        <v>C</v>
      </c>
      <c r="AD5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57" s="37" t="str">
        <f ca="1">IF(WFTracker[[#This Row],[Impact Time Post RM]]&gt;0, "IMPACTED", "NOT IMPACTED")</f>
        <v>NOT IMPACTED</v>
      </c>
      <c r="AF557" s="15"/>
      <c r="AG557" s="18"/>
      <c r="AH557" s="14" t="str">
        <f>IF(WFTracker[[#This Row],[Status]]="C", "Closed", IF(WFTracker[[#This Row],[Status]] = "x", "Cancelled", WFTracker[[#This Row],[Impact Time Post RM]]))</f>
        <v>Closed</v>
      </c>
      <c r="AI557" s="14" t="str">
        <f ca="1">IF(WFTracker[[#This Row],[Impact Time Post RM]]&lt;=0,"ON TIME","LATE")</f>
        <v>ON TIME</v>
      </c>
      <c r="AJ557" s="14" t="s">
        <v>984</v>
      </c>
      <c r="AK557" s="14">
        <v>18</v>
      </c>
      <c r="AL557" s="915">
        <f>IF(WFTracker[[#This Row],[Type]]="MAKE", WFTracker[[#This Row],[Due date]]+Filters!$J$111, WFTracker[[#This Row],[Due date]]+Filters!$J$135)</f>
        <v>45992.072512647552</v>
      </c>
      <c r="AM557" s="102" cm="1">
        <f t="array" ref="AM55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8" spans="1:39" ht="15" customHeight="1">
      <c r="A558" t="str">
        <f>IF(WFTracker[[#This Row],[Order Number]]="SWBD", "QED2", "PZ4")</f>
        <v>PZ4</v>
      </c>
      <c r="B558" s="120" t="s">
        <v>714</v>
      </c>
      <c r="C558" s="26" t="s">
        <v>1463</v>
      </c>
      <c r="D558" s="23" t="str">
        <f>WFTracker[[#This Row],[Order Number]]  &amp; "-" &amp; WFTracker[[#This Row],[Item]]</f>
        <v>0050927776-000950</v>
      </c>
      <c r="E558" s="23" t="s">
        <v>716</v>
      </c>
      <c r="F558" s="12">
        <v>46014</v>
      </c>
      <c r="G558" s="12">
        <v>46009</v>
      </c>
      <c r="H558" s="11" t="s">
        <v>237</v>
      </c>
      <c r="I558" s="11" t="s">
        <v>264</v>
      </c>
      <c r="J558" s="55" t="s">
        <v>1485</v>
      </c>
      <c r="K558" s="14" t="s">
        <v>1023</v>
      </c>
      <c r="L558" s="15" t="s">
        <v>40</v>
      </c>
      <c r="M558" s="29" t="s">
        <v>1120</v>
      </c>
      <c r="N558" s="57">
        <v>46287</v>
      </c>
      <c r="O558" s="15">
        <f>NETWORKDAYS.INTL(WFTracker[[#This Row],[Start date]],WFTracker[[#This Row],[RM]],1,Holidays!D507:D522)</f>
        <v>24</v>
      </c>
      <c r="P558" s="12">
        <v>45981</v>
      </c>
      <c r="Q558" s="12">
        <v>45993</v>
      </c>
      <c r="R558" s="12">
        <v>46002</v>
      </c>
      <c r="S558" s="12" t="b">
        <f>ISBLANK(WFTracker[[#This Row],[Completion Date]])</f>
        <v>0</v>
      </c>
      <c r="T558" s="12" t="str">
        <f>TEXT(WFTracker[[#This Row],[Start date]],"mmm-yyyy")</f>
        <v>Nov-2025</v>
      </c>
      <c r="U558" s="11">
        <v>10</v>
      </c>
      <c r="V558" s="11">
        <f>NETWORKDAYS.INTL(WFTracker[[#This Row],[Start date]],WFTracker[[#This Row],[Due date]],1,Holidays!D507:D522)</f>
        <v>9</v>
      </c>
      <c r="W5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558" s="24">
        <f ca="1">WFTracker[[#This Row],[Active Time]]-WFTracker[[#This Row],[Completion Days Template]]</f>
        <v>6</v>
      </c>
      <c r="Y558" s="16" t="str">
        <f ca="1" xml:space="preserve"> IF(WFTracker[[#This Row],[Overdue Time '[Expected-Completion']]]&gt;0, "LATE","ON TIME")</f>
        <v>LATE</v>
      </c>
      <c r="Z558" s="16" t="str">
        <f ca="1">IF(WFTracker[[#This Row],[Overdue Time '[Expected-Completion']]] &gt;= 15, "SUPER LATE", Y558)</f>
        <v>LATE</v>
      </c>
      <c r="AA558" s="37" t="str">
        <f>IF(WFTracker[[#This Row],[Pre RM Opening Time]]&lt;WFTracker[[#This Row],[Old vs New Order Lead Time WF dead line]], "LATE BY ENG", "ON TIME BY ENG")</f>
        <v>ON TIME BY ENG</v>
      </c>
      <c r="AB558" s="37"/>
      <c r="AC558" s="15" t="str">
        <f>IF(WFTracker[[#This Row],[Competion Date Content]] = FALSE, "C", "I")</f>
        <v>C</v>
      </c>
      <c r="AD5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558" s="37" t="str">
        <f ca="1">IF(WFTracker[[#This Row],[Impact Time Post RM]]&gt;0, "IMPACTED", "NOT IMPACTED")</f>
        <v>NOT IMPACTED</v>
      </c>
      <c r="AF558" s="15"/>
      <c r="AG558" s="18"/>
      <c r="AH558" s="14" t="str">
        <f>IF(WFTracker[[#This Row],[Status]]="C", "Closed", IF(WFTracker[[#This Row],[Status]] = "x", "Cancelled", WFTracker[[#This Row],[Impact Time Post RM]]))</f>
        <v>Closed</v>
      </c>
      <c r="AI558" s="14" t="str">
        <f ca="1">IF(WFTracker[[#This Row],[Impact Time Post RM]]&lt;=0,"ON TIME","LATE")</f>
        <v>ON TIME</v>
      </c>
      <c r="AJ558" s="14" t="s">
        <v>984</v>
      </c>
      <c r="AK558" s="14">
        <v>17</v>
      </c>
      <c r="AL558" s="915">
        <f>IF(WFTracker[[#This Row],[Type]]="MAKE", WFTracker[[#This Row],[Due date]]+Filters!$J$111, WFTracker[[#This Row],[Due date]]+Filters!$J$135)</f>
        <v>45993.415686274508</v>
      </c>
      <c r="AM558" s="102" cm="1">
        <f t="array" ref="AM5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59" spans="1:39" ht="15" customHeight="1">
      <c r="A559" t="str">
        <f>IF(WFTracker[[#This Row],[Order Number]]="SWBD", "QED2", "PZ4")</f>
        <v>PZ4</v>
      </c>
      <c r="B559" s="120" t="s">
        <v>658</v>
      </c>
      <c r="C559" s="26" t="s">
        <v>135</v>
      </c>
      <c r="D559" s="23" t="str">
        <f>WFTracker[[#This Row],[Order Number]]  &amp; "-" &amp; WFTracker[[#This Row],[Item]]</f>
        <v>0051647770-000010</v>
      </c>
      <c r="E559" s="23" t="s">
        <v>1048</v>
      </c>
      <c r="F559" s="12">
        <v>46029</v>
      </c>
      <c r="G559" s="12"/>
      <c r="H559" s="11" t="s">
        <v>104</v>
      </c>
      <c r="I559" s="11" t="s">
        <v>593</v>
      </c>
      <c r="J559" s="113" t="s">
        <v>660</v>
      </c>
      <c r="K559" s="14" t="s">
        <v>1023</v>
      </c>
      <c r="L559" s="15" t="s">
        <v>27</v>
      </c>
      <c r="M559" s="29" t="s">
        <v>1120</v>
      </c>
      <c r="N559" s="57">
        <v>46064</v>
      </c>
      <c r="O559" s="15">
        <f>NETWORKDAYS.INTL(WFTracker[[#This Row],[Start date]],WFTracker[[#This Row],[RM]],1,Holidays!D567:D582)</f>
        <v>35</v>
      </c>
      <c r="P559" s="12">
        <v>45981</v>
      </c>
      <c r="Q559" s="12">
        <v>45989</v>
      </c>
      <c r="R559" s="12">
        <v>45987</v>
      </c>
      <c r="S559" s="12" t="b">
        <f>ISBLANK(WFTracker[[#This Row],[Completion Date]])</f>
        <v>0</v>
      </c>
      <c r="T559" s="12" t="str">
        <f>TEXT(WFTracker[[#This Row],[Start date]],"mmm-yyyy")</f>
        <v>Nov-2025</v>
      </c>
      <c r="U559" s="11">
        <v>10</v>
      </c>
      <c r="V559" s="11">
        <f>NETWORKDAYS.INTL(WFTracker[[#This Row],[Start date]],WFTracker[[#This Row],[Due date]],1,Holidays!D567:D582)</f>
        <v>7</v>
      </c>
      <c r="W5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59" s="24">
        <f ca="1">WFTracker[[#This Row],[Active Time]]-WFTracker[[#This Row],[Completion Days Template]]</f>
        <v>-3</v>
      </c>
      <c r="Y559" s="16" t="str">
        <f ca="1" xml:space="preserve"> IF(WFTracker[[#This Row],[Overdue Time '[Expected-Completion']]]&gt;0, "LATE","ON TIME")</f>
        <v>ON TIME</v>
      </c>
      <c r="Z559" s="16" t="str">
        <f ca="1">IF(WFTracker[[#This Row],[Overdue Time '[Expected-Completion']]] &gt;= 15, "SUPER LATE", Y559)</f>
        <v>ON TIME</v>
      </c>
      <c r="AA559" s="37" t="str">
        <f>IF(WFTracker[[#This Row],[Pre RM Opening Time]]&lt;WFTracker[[#This Row],[Old vs New Order Lead Time WF dead line]], "LATE BY ENG", "ON TIME BY ENG")</f>
        <v>ON TIME BY ENG</v>
      </c>
      <c r="AB559" s="37"/>
      <c r="AC559" s="15" t="str">
        <f>IF(WFTracker[[#This Row],[Competion Date Content]] = FALSE, "C", "I")</f>
        <v>C</v>
      </c>
      <c r="AD5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559" s="37" t="str">
        <f ca="1">IF(WFTracker[[#This Row],[Impact Time Post RM]]&gt;0, "IMPACTED", "NOT IMPACTED")</f>
        <v>NOT IMPACTED</v>
      </c>
      <c r="AF559" s="15"/>
      <c r="AG559" s="18"/>
      <c r="AH559" s="14" t="str">
        <f>IF(WFTracker[[#This Row],[Status]]="C", "Closed", IF(WFTracker[[#This Row],[Status]] = "x", "Cancelled", WFTracker[[#This Row],[Impact Time Post RM]]))</f>
        <v>Closed</v>
      </c>
      <c r="AI559" s="14" t="str">
        <f ca="1">IF(WFTracker[[#This Row],[Impact Time Post RM]]&lt;=0,"ON TIME","LATE")</f>
        <v>ON TIME</v>
      </c>
      <c r="AJ559" s="14" t="s">
        <v>984</v>
      </c>
      <c r="AK559" s="14">
        <v>18</v>
      </c>
      <c r="AL559" s="915">
        <f>IF(WFTracker[[#This Row],[Type]]="MAKE", WFTracker[[#This Row],[Due date]]+Filters!$J$111, WFTracker[[#This Row],[Due date]]+Filters!$J$135)</f>
        <v>45992.072512647552</v>
      </c>
      <c r="AM559" s="102" cm="1">
        <f t="array" ref="AM5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0" spans="1:39" ht="15" customHeight="1">
      <c r="A560" t="str">
        <f>IF(WFTracker[[#This Row],[Order Number]]="SWBD", "QED2", "PZ4")</f>
        <v>PZ4</v>
      </c>
      <c r="B560" s="21" t="s">
        <v>658</v>
      </c>
      <c r="C560" s="26" t="s">
        <v>135</v>
      </c>
      <c r="D560" s="23" t="str">
        <f>WFTracker[[#This Row],[Order Number]]  &amp; "-" &amp; WFTracker[[#This Row],[Item]]</f>
        <v>0051647770-000010</v>
      </c>
      <c r="E560" s="23" t="s">
        <v>1048</v>
      </c>
      <c r="F560" s="12">
        <v>46029</v>
      </c>
      <c r="G560" s="12">
        <v>45993</v>
      </c>
      <c r="H560" s="11" t="s">
        <v>104</v>
      </c>
      <c r="I560" s="11" t="s">
        <v>593</v>
      </c>
      <c r="J560" s="113" t="s">
        <v>1486</v>
      </c>
      <c r="K560" s="14" t="s">
        <v>1017</v>
      </c>
      <c r="L560" s="15" t="s">
        <v>27</v>
      </c>
      <c r="M560" s="29" t="s">
        <v>1120</v>
      </c>
      <c r="N560" s="57">
        <v>45699</v>
      </c>
      <c r="O560" s="15">
        <f>NETWORKDAYS.INTL(WFTracker[[#This Row],[Start date]],WFTracker[[#This Row],[RM]],1,Holidays!D563:D578)</f>
        <v>34</v>
      </c>
      <c r="P560" s="12">
        <v>45982</v>
      </c>
      <c r="Q560" s="12">
        <v>45989</v>
      </c>
      <c r="R560" s="12">
        <v>46002</v>
      </c>
      <c r="S560" s="12" t="b">
        <f>ISBLANK(WFTracker[[#This Row],[Completion Date]])</f>
        <v>0</v>
      </c>
      <c r="T560" s="12" t="str">
        <f>TEXT(WFTracker[[#This Row],[Start date]],"mmm-yyyy")</f>
        <v>Nov-2025</v>
      </c>
      <c r="U560" s="11">
        <v>10</v>
      </c>
      <c r="V560" s="11">
        <f>NETWORKDAYS.INTL(WFTracker[[#This Row],[Start date]],WFTracker[[#This Row],[Due date]],1,Holidays!D563:D578)</f>
        <v>6</v>
      </c>
      <c r="W5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560" s="24">
        <f ca="1">WFTracker[[#This Row],[Active Time]]-WFTracker[[#This Row],[Completion Days Template]]</f>
        <v>9</v>
      </c>
      <c r="Y560" s="16" t="str">
        <f ca="1" xml:space="preserve"> IF(WFTracker[[#This Row],[Overdue Time '[Expected-Completion']]]&gt;0, "LATE","ON TIME")</f>
        <v>LATE</v>
      </c>
      <c r="Z560" s="16" t="str">
        <f ca="1">IF(WFTracker[[#This Row],[Overdue Time '[Expected-Completion']]] &gt;= 15, "SUPER LATE", Y560)</f>
        <v>LATE</v>
      </c>
      <c r="AA560" s="37" t="str">
        <f>IF(WFTracker[[#This Row],[Pre RM Opening Time]]&lt;WFTracker[[#This Row],[Old vs New Order Lead Time WF dead line]], "LATE BY ENG", "ON TIME BY ENG")</f>
        <v>ON TIME BY ENG</v>
      </c>
      <c r="AB560" s="37"/>
      <c r="AC560" s="15" t="str">
        <f>IF(WFTracker[[#This Row],[Competion Date Content]] = FALSE, "C", "I")</f>
        <v>C</v>
      </c>
      <c r="AD5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560" s="37" t="str">
        <f ca="1">IF(WFTracker[[#This Row],[Impact Time Post RM]]&gt;0, "IMPACTED", "NOT IMPACTED")</f>
        <v>NOT IMPACTED</v>
      </c>
      <c r="AF560" s="15"/>
      <c r="AG560" s="18"/>
      <c r="AH560" s="14" t="str">
        <f>IF(WFTracker[[#This Row],[Status]]="C", "Closed", IF(WFTracker[[#This Row],[Status]] = "x", "Cancelled", WFTracker[[#This Row],[Impact Time Post RM]]))</f>
        <v>Closed</v>
      </c>
      <c r="AI560" s="14" t="str">
        <f ca="1">IF(WFTracker[[#This Row],[Impact Time Post RM]]&lt;=0,"ON TIME","LATE")</f>
        <v>ON TIME</v>
      </c>
      <c r="AJ560" s="14" t="s">
        <v>984</v>
      </c>
      <c r="AK560" s="14">
        <v>18</v>
      </c>
      <c r="AL560" s="915">
        <f>IF(WFTracker[[#This Row],[Type]]="MAKE", WFTracker[[#This Row],[Due date]]+Filters!$J$111, WFTracker[[#This Row],[Due date]]+Filters!$J$135)</f>
        <v>45992.072512647552</v>
      </c>
      <c r="AM560" s="102" cm="1">
        <f t="array" ref="AM5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1" spans="1:39" ht="15" customHeight="1">
      <c r="A561" t="str">
        <f>IF(WFTracker[[#This Row],[Order Number]]="SWBD", "QED2", "PZ4")</f>
        <v>PZ4</v>
      </c>
      <c r="B561" s="21" t="s">
        <v>706</v>
      </c>
      <c r="C561" s="26" t="s">
        <v>1467</v>
      </c>
      <c r="D561" s="23" t="str">
        <f>WFTracker[[#This Row],[Order Number]]  &amp; "-" &amp; WFTracker[[#This Row],[Item]]</f>
        <v>0051129914-000750&amp;760</v>
      </c>
      <c r="E561" s="23" t="s">
        <v>1058</v>
      </c>
      <c r="F561" s="12">
        <v>46020</v>
      </c>
      <c r="G561" s="12">
        <v>46009</v>
      </c>
      <c r="H561" s="11" t="s">
        <v>709</v>
      </c>
      <c r="I561" s="11" t="s">
        <v>1132</v>
      </c>
      <c r="J561" s="113" t="s">
        <v>1487</v>
      </c>
      <c r="K561" s="14" t="s">
        <v>1023</v>
      </c>
      <c r="L561" s="15" t="s">
        <v>27</v>
      </c>
      <c r="M561" s="29" t="s">
        <v>1120</v>
      </c>
      <c r="N561" s="57">
        <v>46098</v>
      </c>
      <c r="O561" s="15">
        <f>NETWORKDAYS.INTL(WFTracker[[#This Row],[Start date]],WFTracker[[#This Row],[RM]],1,Holidays!D510:D525)</f>
        <v>27</v>
      </c>
      <c r="P561" s="12">
        <v>45982</v>
      </c>
      <c r="Q561" s="12">
        <v>45989</v>
      </c>
      <c r="R561" s="12">
        <v>46013</v>
      </c>
      <c r="S561" s="12" t="b">
        <f>ISBLANK(WFTracker[[#This Row],[Completion Date]])</f>
        <v>0</v>
      </c>
      <c r="T561" s="12" t="str">
        <f>TEXT(WFTracker[[#This Row],[Start date]],"mmm-yyyy")</f>
        <v>Nov-2025</v>
      </c>
      <c r="U561" s="11">
        <v>10</v>
      </c>
      <c r="V561" s="11">
        <f>NETWORKDAYS.INTL(WFTracker[[#This Row],[Start date]],WFTracker[[#This Row],[Due date]],1,Holidays!D510:D525)</f>
        <v>6</v>
      </c>
      <c r="W5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21</v>
      </c>
      <c r="X561" s="24">
        <f ca="1">WFTracker[[#This Row],[Active Time]]-WFTracker[[#This Row],[Completion Days Template]]</f>
        <v>15</v>
      </c>
      <c r="Y561" s="16" t="str">
        <f ca="1" xml:space="preserve"> IF(WFTracker[[#This Row],[Overdue Time '[Expected-Completion']]]&gt;0, "LATE","ON TIME")</f>
        <v>LATE</v>
      </c>
      <c r="Z561" s="16" t="str">
        <f ca="1">IF(WFTracker[[#This Row],[Overdue Time '[Expected-Completion']]] &gt;= 15, "SUPER LATE", Y561)</f>
        <v>SUPER LATE</v>
      </c>
      <c r="AA561" s="37" t="str">
        <f>IF(WFTracker[[#This Row],[Pre RM Opening Time]]&lt;WFTracker[[#This Row],[Old vs New Order Lead Time WF dead line]], "LATE BY ENG", "ON TIME BY ENG")</f>
        <v>ON TIME BY ENG</v>
      </c>
      <c r="AB561" s="37"/>
      <c r="AC561" s="15" t="s">
        <v>29</v>
      </c>
      <c r="AD5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61" s="37" t="str">
        <f ca="1">IF(WFTracker[[#This Row],[Impact Time Post RM]]&gt;0, "IMPACTED", "NOT IMPACTED")</f>
        <v>NOT IMPACTED</v>
      </c>
      <c r="AF561" s="15"/>
      <c r="AG561" s="18"/>
      <c r="AH561" s="14" t="str">
        <f>IF(WFTracker[[#This Row],[Status]]="C", "Closed", IF(WFTracker[[#This Row],[Status]] = "x", "Cancelled", WFTracker[[#This Row],[Impact Time Post RM]]))</f>
        <v>Closed</v>
      </c>
      <c r="AI561" s="14" t="str">
        <f ca="1">IF(WFTracker[[#This Row],[Impact Time Post RM]]&lt;=0,"ON TIME","LATE")</f>
        <v>ON TIME</v>
      </c>
      <c r="AJ561" s="14" t="s">
        <v>984</v>
      </c>
      <c r="AK561" s="14">
        <v>18</v>
      </c>
      <c r="AL561" s="915">
        <f>IF(WFTracker[[#This Row],[Type]]="MAKE", WFTracker[[#This Row],[Due date]]+Filters!$J$111, WFTracker[[#This Row],[Due date]]+Filters!$J$135)</f>
        <v>45992.072512647552</v>
      </c>
      <c r="AM561" s="102" cm="1">
        <f t="array" ref="AM5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2" spans="1:39" ht="15" customHeight="1">
      <c r="A562" t="str">
        <f>IF(WFTracker[[#This Row],[Order Number]]="SWBD", "QED2", "PZ4")</f>
        <v>PZ4</v>
      </c>
      <c r="B562" s="21" t="s">
        <v>706</v>
      </c>
      <c r="C562" s="26" t="s">
        <v>1467</v>
      </c>
      <c r="D562" s="23" t="str">
        <f>WFTracker[[#This Row],[Order Number]]  &amp; "-" &amp; WFTracker[[#This Row],[Item]]</f>
        <v>0051129914-000750&amp;760</v>
      </c>
      <c r="E562" s="23" t="s">
        <v>1058</v>
      </c>
      <c r="F562" s="12">
        <v>46020</v>
      </c>
      <c r="G562" s="12">
        <v>46009</v>
      </c>
      <c r="H562" s="11" t="s">
        <v>709</v>
      </c>
      <c r="I562" s="11" t="s">
        <v>1132</v>
      </c>
      <c r="J562" s="55" t="s">
        <v>1488</v>
      </c>
      <c r="K562" s="14" t="s">
        <v>1023</v>
      </c>
      <c r="L562" s="15" t="s">
        <v>40</v>
      </c>
      <c r="M562" s="29" t="s">
        <v>1120</v>
      </c>
      <c r="N562" s="57">
        <v>45698</v>
      </c>
      <c r="O562" s="15">
        <f>NETWORKDAYS.INTL(WFTracker[[#This Row],[Start date]],WFTracker[[#This Row],[RM]],1,Holidays!D511:D526)</f>
        <v>27</v>
      </c>
      <c r="P562" s="12">
        <v>45982</v>
      </c>
      <c r="Q562" s="12">
        <v>45994</v>
      </c>
      <c r="R562" s="12">
        <v>46010</v>
      </c>
      <c r="S562" s="12" t="b">
        <f>ISBLANK(WFTracker[[#This Row],[Completion Date]])</f>
        <v>0</v>
      </c>
      <c r="T562" s="12" t="str">
        <f>TEXT(WFTracker[[#This Row],[Start date]],"mmm-yyyy")</f>
        <v>Nov-2025</v>
      </c>
      <c r="U562" s="11">
        <v>10</v>
      </c>
      <c r="V562" s="11">
        <f>NETWORKDAYS.INTL(WFTracker[[#This Row],[Start date]],WFTracker[[#This Row],[Due date]],1,Holidays!D511:D526)</f>
        <v>9</v>
      </c>
      <c r="W5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20</v>
      </c>
      <c r="X562" s="24">
        <f ca="1">WFTracker[[#This Row],[Active Time]]-WFTracker[[#This Row],[Completion Days Template]]</f>
        <v>11</v>
      </c>
      <c r="Y562" s="16" t="str">
        <f ca="1" xml:space="preserve"> IF(WFTracker[[#This Row],[Overdue Time '[Expected-Completion']]]&gt;0, "LATE","ON TIME")</f>
        <v>LATE</v>
      </c>
      <c r="Z562" s="16" t="str">
        <f ca="1">IF(WFTracker[[#This Row],[Overdue Time '[Expected-Completion']]] &gt;= 15, "SUPER LATE", Y562)</f>
        <v>LATE</v>
      </c>
      <c r="AA562" s="37" t="str">
        <f>IF(WFTracker[[#This Row],[Pre RM Opening Time]]&lt;WFTracker[[#This Row],[Old vs New Order Lead Time WF dead line]], "LATE BY ENG", "ON TIME BY ENG")</f>
        <v>ON TIME BY ENG</v>
      </c>
      <c r="AB562" s="37"/>
      <c r="AC562" s="15" t="s">
        <v>29</v>
      </c>
      <c r="AD5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62" s="37" t="str">
        <f ca="1">IF(WFTracker[[#This Row],[Impact Time Post RM]]&gt;0, "IMPACTED", "NOT IMPACTED")</f>
        <v>NOT IMPACTED</v>
      </c>
      <c r="AF562" s="15"/>
      <c r="AG562" s="18"/>
      <c r="AH562" s="14" t="str">
        <f>IF(WFTracker[[#This Row],[Status]]="C", "Closed", IF(WFTracker[[#This Row],[Status]] = "x", "Cancelled", WFTracker[[#This Row],[Impact Time Post RM]]))</f>
        <v>Closed</v>
      </c>
      <c r="AI562" s="14" t="str">
        <f ca="1">IF(WFTracker[[#This Row],[Impact Time Post RM]]&lt;=0,"ON TIME","LATE")</f>
        <v>ON TIME</v>
      </c>
      <c r="AJ562" s="14" t="s">
        <v>984</v>
      </c>
      <c r="AK562" s="14">
        <v>17</v>
      </c>
      <c r="AL562" s="915">
        <f>IF(WFTracker[[#This Row],[Type]]="MAKE", WFTracker[[#This Row],[Due date]]+Filters!$J$111, WFTracker[[#This Row],[Due date]]+Filters!$J$135)</f>
        <v>45994.415686274508</v>
      </c>
      <c r="AM562" s="102" cm="1">
        <f t="array" ref="AM5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3" spans="1:39" ht="15" customHeight="1">
      <c r="A563" t="str">
        <f>IF(WFTracker[[#This Row],[Order Number]]="SWBD", "QED2", "PZ4")</f>
        <v>PZ4</v>
      </c>
      <c r="B563" s="121" t="s">
        <v>667</v>
      </c>
      <c r="C563" s="26" t="s">
        <v>385</v>
      </c>
      <c r="D563" s="23" t="str">
        <f>WFTracker[[#This Row],[Order Number]]  &amp; "-" &amp; WFTracker[[#This Row],[Item]]</f>
        <v>0051024393-000310</v>
      </c>
      <c r="E563" s="23" t="s">
        <v>668</v>
      </c>
      <c r="F563" s="12">
        <v>46013</v>
      </c>
      <c r="G563" s="12">
        <v>46006</v>
      </c>
      <c r="H563" s="11" t="s">
        <v>216</v>
      </c>
      <c r="I563" s="11" t="s">
        <v>259</v>
      </c>
      <c r="J563" s="55" t="s">
        <v>669</v>
      </c>
      <c r="K563" s="14" t="s">
        <v>1017</v>
      </c>
      <c r="L563" s="15" t="s">
        <v>27</v>
      </c>
      <c r="M563" s="29" t="s">
        <v>1123</v>
      </c>
      <c r="N563" s="57">
        <v>46097</v>
      </c>
      <c r="O563" s="15">
        <f>NETWORKDAYS.INTL(WFTracker[[#This Row],[Start date]],WFTracker[[#This Row],[RM]],1,Holidays!D487:D502)</f>
        <v>21</v>
      </c>
      <c r="P563" s="12">
        <v>45984</v>
      </c>
      <c r="Q563" s="12">
        <v>45993</v>
      </c>
      <c r="R563" s="12">
        <v>45996</v>
      </c>
      <c r="S563" s="12" t="b">
        <f>ISBLANK(WFTracker[[#This Row],[Completion Date]])</f>
        <v>0</v>
      </c>
      <c r="T563" s="12" t="str">
        <f>TEXT(WFTracker[[#This Row],[Start date]],"mmm-yyyy")</f>
        <v>Nov-2025</v>
      </c>
      <c r="U563" s="11">
        <v>10</v>
      </c>
      <c r="V563" s="11">
        <f>NETWORKDAYS.INTL(WFTracker[[#This Row],[Start date]],WFTracker[[#This Row],[Due date]],1,Holidays!D487:D502)</f>
        <v>7</v>
      </c>
      <c r="W5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563" s="24">
        <f ca="1">WFTracker[[#This Row],[Active Time]]-WFTracker[[#This Row],[Completion Days Template]]</f>
        <v>3</v>
      </c>
      <c r="Y563" s="16" t="str">
        <f ca="1" xml:space="preserve"> IF(WFTracker[[#This Row],[Overdue Time '[Expected-Completion']]]&gt;0, "LATE","ON TIME")</f>
        <v>LATE</v>
      </c>
      <c r="Z563" s="16" t="str">
        <f ca="1">IF(WFTracker[[#This Row],[Overdue Time '[Expected-Completion']]] &gt;= 15, "SUPER LATE", Y563)</f>
        <v>LATE</v>
      </c>
      <c r="AA563" s="37" t="str">
        <f>IF(WFTracker[[#This Row],[Pre RM Opening Time]]&lt;WFTracker[[#This Row],[Old vs New Order Lead Time WF dead line]], "LATE BY ENG", "ON TIME BY ENG")</f>
        <v>ON TIME BY ENG</v>
      </c>
      <c r="AB563" s="37"/>
      <c r="AC563" s="15" t="str">
        <f>IF(WFTracker[[#This Row],[Competion Date Content]] = FALSE, "C", "I")</f>
        <v>C</v>
      </c>
      <c r="AD5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63" s="37" t="str">
        <f ca="1">IF(WFTracker[[#This Row],[Impact Time Post RM]]&gt;0, "IMPACTED", "NOT IMPACTED")</f>
        <v>NOT IMPACTED</v>
      </c>
      <c r="AF563" s="15"/>
      <c r="AG563" s="18"/>
      <c r="AH563" s="14" t="str">
        <f>IF(WFTracker[[#This Row],[Status]]="C", "Closed", IF(WFTracker[[#This Row],[Status]] = "x", "Cancelled", WFTracker[[#This Row],[Impact Time Post RM]]))</f>
        <v>Closed</v>
      </c>
      <c r="AI563" s="14" t="str">
        <f ca="1">IF(WFTracker[[#This Row],[Impact Time Post RM]]&lt;=0,"ON TIME","LATE")</f>
        <v>ON TIME</v>
      </c>
      <c r="AJ563" s="14" t="s">
        <v>984</v>
      </c>
      <c r="AK563" s="14">
        <v>18</v>
      </c>
      <c r="AL563" s="915">
        <f>IF(WFTracker[[#This Row],[Type]]="MAKE", WFTracker[[#This Row],[Due date]]+Filters!$J$111, WFTracker[[#This Row],[Due date]]+Filters!$J$135)</f>
        <v>45996.072512647552</v>
      </c>
      <c r="AM563" s="102" cm="1">
        <f t="array" ref="AM5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4" spans="1:39" ht="15" customHeight="1">
      <c r="A564" t="str">
        <f>IF(WFTracker[[#This Row],[Order Number]]="SWBD", "QED2", "PZ4")</f>
        <v>PZ4</v>
      </c>
      <c r="B564" s="121" t="s">
        <v>673</v>
      </c>
      <c r="C564" s="26" t="s">
        <v>674</v>
      </c>
      <c r="D564" s="23" t="str">
        <f>WFTracker[[#This Row],[Order Number]]  &amp; "-" &amp; WFTracker[[#This Row],[Item]]</f>
        <v>0051611250-003280</v>
      </c>
      <c r="E564" s="23" t="s">
        <v>675</v>
      </c>
      <c r="F564" s="12">
        <v>45996</v>
      </c>
      <c r="G564" s="12">
        <v>45993</v>
      </c>
      <c r="H564" s="11" t="s">
        <v>676</v>
      </c>
      <c r="I564" s="11" t="s">
        <v>241</v>
      </c>
      <c r="J564" s="113" t="s">
        <v>1489</v>
      </c>
      <c r="K564" s="14" t="s">
        <v>1017</v>
      </c>
      <c r="L564" s="15" t="s">
        <v>27</v>
      </c>
      <c r="M564" s="29" t="s">
        <v>1120</v>
      </c>
      <c r="N564" s="57">
        <v>46100</v>
      </c>
      <c r="O564" s="15">
        <f>NETWORKDAYS.INTL(WFTracker[[#This Row],[Start date]],WFTracker[[#This Row],[RM]],1,Holidays!D241:D256)</f>
        <v>10</v>
      </c>
      <c r="P564" s="12">
        <v>45985</v>
      </c>
      <c r="Q564" s="12">
        <v>45995</v>
      </c>
      <c r="R564" s="12">
        <v>45996</v>
      </c>
      <c r="S564" s="12" t="b">
        <f>ISBLANK(WFTracker[[#This Row],[Completion Date]])</f>
        <v>0</v>
      </c>
      <c r="T564" s="12" t="str">
        <f>TEXT(WFTracker[[#This Row],[Start date]],"mmm-yyyy")</f>
        <v>Nov-2025</v>
      </c>
      <c r="U564" s="11">
        <v>10</v>
      </c>
      <c r="V564" s="11">
        <f>NETWORKDAYS.INTL(WFTracker[[#This Row],[Start date]],WFTracker[[#This Row],[Due date]],1,Holidays!D241:D256)</f>
        <v>9</v>
      </c>
      <c r="W5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564" s="24">
        <f ca="1">WFTracker[[#This Row],[Active Time]]-WFTracker[[#This Row],[Completion Days Template]]</f>
        <v>1</v>
      </c>
      <c r="Y564" s="16" t="str">
        <f ca="1" xml:space="preserve"> IF(WFTracker[[#This Row],[Overdue Time '[Expected-Completion']]]&gt;0, "LATE","ON TIME")</f>
        <v>LATE</v>
      </c>
      <c r="Z564" s="16" t="str">
        <f ca="1">IF(WFTracker[[#This Row],[Overdue Time '[Expected-Completion']]] &gt;= 15, "SUPER LATE", Y564)</f>
        <v>LATE</v>
      </c>
      <c r="AA564" s="37" t="str">
        <f>IF(WFTracker[[#This Row],[Pre RM Opening Time]]&lt;WFTracker[[#This Row],[Old vs New Order Lead Time WF dead line]], "LATE BY ENG", "ON TIME BY ENG")</f>
        <v>ON TIME BY ENG</v>
      </c>
      <c r="AB564" s="37"/>
      <c r="AC564" s="15" t="str">
        <f>IF(WFTracker[[#This Row],[Competion Date Content]] = FALSE, "C", "I")</f>
        <v>C</v>
      </c>
      <c r="AD5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564" s="37" t="str">
        <f ca="1">IF(WFTracker[[#This Row],[Impact Time Post RM]]&gt;0, "IMPACTED", "NOT IMPACTED")</f>
        <v>IMPACTED</v>
      </c>
      <c r="AF564" s="15"/>
      <c r="AG564" s="18"/>
      <c r="AH564" s="14" t="str">
        <f>IF(WFTracker[[#This Row],[Status]]="C", "Closed", IF(WFTracker[[#This Row],[Status]] = "x", "Cancelled", WFTracker[[#This Row],[Impact Time Post RM]]))</f>
        <v>Closed</v>
      </c>
      <c r="AI564" s="14" t="str">
        <f ca="1">IF(WFTracker[[#This Row],[Impact Time Post RM]]&lt;=0,"ON TIME","LATE")</f>
        <v>LATE</v>
      </c>
      <c r="AJ564" s="14" t="s">
        <v>984</v>
      </c>
      <c r="AK564" s="14">
        <v>18</v>
      </c>
      <c r="AL564" s="915">
        <f>IF(WFTracker[[#This Row],[Type]]="MAKE", WFTracker[[#This Row],[Due date]]+Filters!$J$111, WFTracker[[#This Row],[Due date]]+Filters!$J$135)</f>
        <v>45998.072512647552</v>
      </c>
      <c r="AM564" s="102" cm="1">
        <f t="array" ref="AM5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5" spans="1:39" ht="15" customHeight="1">
      <c r="A565" t="str">
        <f>IF(WFTracker[[#This Row],[Order Number]]="SWBD", "QED2", "PZ4")</f>
        <v>PZ4</v>
      </c>
      <c r="B565" s="121" t="s">
        <v>673</v>
      </c>
      <c r="C565" s="26" t="s">
        <v>674</v>
      </c>
      <c r="D565" s="23" t="str">
        <f>WFTracker[[#This Row],[Order Number]]  &amp; "-" &amp; WFTracker[[#This Row],[Item]]</f>
        <v>0051611250-003280</v>
      </c>
      <c r="E565" s="23" t="s">
        <v>675</v>
      </c>
      <c r="F565" s="12">
        <v>45996</v>
      </c>
      <c r="G565" s="12">
        <v>45993</v>
      </c>
      <c r="H565" s="11" t="s">
        <v>676</v>
      </c>
      <c r="I565" s="11" t="s">
        <v>241</v>
      </c>
      <c r="J565" s="55" t="s">
        <v>685</v>
      </c>
      <c r="K565" s="14" t="s">
        <v>1017</v>
      </c>
      <c r="L565" s="15" t="s">
        <v>40</v>
      </c>
      <c r="M565" s="29" t="s">
        <v>1120</v>
      </c>
      <c r="N565" s="57">
        <v>46100</v>
      </c>
      <c r="O565" s="15">
        <f>NETWORKDAYS.INTL(WFTracker[[#This Row],[Start date]],WFTracker[[#This Row],[RM]],1,Holidays!D242:D257)</f>
        <v>10</v>
      </c>
      <c r="P565" s="12">
        <v>45985</v>
      </c>
      <c r="Q565" s="12">
        <v>45999</v>
      </c>
      <c r="R565" s="12">
        <v>45996</v>
      </c>
      <c r="S565" s="12" t="b">
        <f>ISBLANK(WFTracker[[#This Row],[Completion Date]])</f>
        <v>0</v>
      </c>
      <c r="T565" s="12" t="str">
        <f>TEXT(WFTracker[[#This Row],[Start date]],"mmm-yyyy")</f>
        <v>Nov-2025</v>
      </c>
      <c r="U565" s="11">
        <v>10</v>
      </c>
      <c r="V565" s="11">
        <f>NETWORKDAYS.INTL(WFTracker[[#This Row],[Start date]],WFTracker[[#This Row],[Due date]],1,Holidays!D242:D257)</f>
        <v>11</v>
      </c>
      <c r="W5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565" s="24">
        <f ca="1">WFTracker[[#This Row],[Active Time]]-WFTracker[[#This Row],[Completion Days Template]]</f>
        <v>-1</v>
      </c>
      <c r="Y565" s="16" t="str">
        <f ca="1" xml:space="preserve"> IF(WFTracker[[#This Row],[Overdue Time '[Expected-Completion']]]&gt;0, "LATE","ON TIME")</f>
        <v>ON TIME</v>
      </c>
      <c r="Z565" s="16" t="str">
        <f ca="1">IF(WFTracker[[#This Row],[Overdue Time '[Expected-Completion']]] &gt;= 15, "SUPER LATE", Y565)</f>
        <v>ON TIME</v>
      </c>
      <c r="AA565" s="37" t="str">
        <f>IF(WFTracker[[#This Row],[Pre RM Opening Time]]&lt;WFTracker[[#This Row],[Old vs New Order Lead Time WF dead line]], "LATE BY ENG", "ON TIME BY ENG")</f>
        <v>ON TIME BY ENG</v>
      </c>
      <c r="AB565" s="37"/>
      <c r="AC565" s="15" t="str">
        <f>IF(WFTracker[[#This Row],[Competion Date Content]] = FALSE, "C", "I")</f>
        <v>C</v>
      </c>
      <c r="AD5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565" s="25" t="str">
        <f ca="1">IF(WFTracker[[#This Row],[Impact Time Post RM]]&gt;0, "IMPACTED", "NOT IMPACTED")</f>
        <v>IMPACTED</v>
      </c>
      <c r="AF565" s="15"/>
      <c r="AG565" s="18"/>
      <c r="AH565" s="14" t="str">
        <f>IF(WFTracker[[#This Row],[Status]]="C", "Closed", IF(WFTracker[[#This Row],[Status]] = "x", "Cancelled", WFTracker[[#This Row],[Impact Time Post RM]]))</f>
        <v>Closed</v>
      </c>
      <c r="AI565" s="14" t="str">
        <f ca="1">IF(WFTracker[[#This Row],[Impact Time Post RM]]&lt;=0,"ON TIME","LATE")</f>
        <v>LATE</v>
      </c>
      <c r="AJ565" s="14" t="s">
        <v>984</v>
      </c>
      <c r="AK565" s="14">
        <v>17</v>
      </c>
      <c r="AL565" s="915">
        <f>IF(WFTracker[[#This Row],[Type]]="MAKE", WFTracker[[#This Row],[Due date]]+Filters!$J$111, WFTracker[[#This Row],[Due date]]+Filters!$J$135)</f>
        <v>45999.415686274508</v>
      </c>
      <c r="AM565" s="102" cm="1">
        <f t="array" ref="AM5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6" spans="1:39" ht="15" customHeight="1">
      <c r="A566" t="str">
        <f>IF(WFTracker[[#This Row],[Order Number]]="SWBD", "QED2", "PZ4")</f>
        <v>PZ4</v>
      </c>
      <c r="B566" s="121" t="s">
        <v>650</v>
      </c>
      <c r="C566" s="26" t="s">
        <v>867</v>
      </c>
      <c r="D566" s="23" t="str">
        <f>WFTracker[[#This Row],[Order Number]]  &amp; "-" &amp; WFTracker[[#This Row],[Item]]</f>
        <v>0051095105-000410</v>
      </c>
      <c r="E566" s="23" t="s">
        <v>652</v>
      </c>
      <c r="F566" s="12">
        <v>45996</v>
      </c>
      <c r="G566" s="12"/>
      <c r="H566" s="11" t="s">
        <v>80</v>
      </c>
      <c r="I566" s="11" t="s">
        <v>24</v>
      </c>
      <c r="J566" s="113" t="s">
        <v>1490</v>
      </c>
      <c r="K566" s="14" t="s">
        <v>1023</v>
      </c>
      <c r="L566" s="15" t="s">
        <v>27</v>
      </c>
      <c r="M566" s="29" t="s">
        <v>1120</v>
      </c>
      <c r="N566" s="57">
        <v>46071</v>
      </c>
      <c r="O566" s="15">
        <f>NETWORKDAYS.INTL(WFTracker[[#This Row],[Start date]],WFTracker[[#This Row],[RM]],1,Holidays!D243:D258)</f>
        <v>10</v>
      </c>
      <c r="P566" s="12">
        <v>45985</v>
      </c>
      <c r="Q566" s="12">
        <v>46015</v>
      </c>
      <c r="R566" s="12"/>
      <c r="S566" s="12" t="b">
        <f>ISBLANK(WFTracker[[#This Row],[Completion Date]])</f>
        <v>1</v>
      </c>
      <c r="T566" s="12" t="str">
        <f>TEXT(WFTracker[[#This Row],[Start date]],"mmm-yyyy")</f>
        <v>Nov-2025</v>
      </c>
      <c r="U566" s="11">
        <v>10</v>
      </c>
      <c r="V566" s="11">
        <f>NETWORKDAYS.INTL(WFTracker[[#This Row],[Start date]],WFTracker[[#This Row],[Due date]],1,Holidays!D243:D258)</f>
        <v>23</v>
      </c>
      <c r="W5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80</v>
      </c>
      <c r="X566" s="24">
        <f ca="1">WFTracker[[#This Row],[Active Time]]-WFTracker[[#This Row],[Completion Days Template]]</f>
        <v>57</v>
      </c>
      <c r="Y566" s="16" t="str">
        <f ca="1" xml:space="preserve"> IF(WFTracker[[#This Row],[Overdue Time '[Expected-Completion']]]&gt;0, "LATE","ON TIME")</f>
        <v>LATE</v>
      </c>
      <c r="Z566" s="16" t="str">
        <f ca="1">IF(WFTracker[[#This Row],[Overdue Time '[Expected-Completion']]] &gt;= 15, "SUPER LATE", Y566)</f>
        <v>SUPER LATE</v>
      </c>
      <c r="AA566" s="37" t="str">
        <f>IF(WFTracker[[#This Row],[Pre RM Opening Time]]&lt;WFTracker[[#This Row],[Old vs New Order Lead Time WF dead line]], "LATE BY ENG", "ON TIME BY ENG")</f>
        <v>ON TIME BY ENG</v>
      </c>
      <c r="AB566" s="37"/>
      <c r="AC566" s="15" t="s">
        <v>1011</v>
      </c>
      <c r="AD5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71</v>
      </c>
      <c r="AE566" s="37" t="str">
        <f ca="1">IF(WFTracker[[#This Row],[Impact Time Post RM]]&gt;0, "IMPACTED", "NOT IMPACTED")</f>
        <v>IMPACTED</v>
      </c>
      <c r="AF566" s="15"/>
      <c r="AG566" s="18"/>
      <c r="AH566" s="14" t="str">
        <f>IF(WFTracker[[#This Row],[Status]]="C", "Closed", IF(WFTracker[[#This Row],[Status]] = "x", "Cancelled", WFTracker[[#This Row],[Impact Time Post RM]]))</f>
        <v>Cancelled</v>
      </c>
      <c r="AI566" s="14" t="str">
        <f ca="1">IF(WFTracker[[#This Row],[Impact Time Post RM]]&lt;=0,"ON TIME","LATE")</f>
        <v>LATE</v>
      </c>
      <c r="AJ566" s="14" t="s">
        <v>984</v>
      </c>
      <c r="AK566" s="14">
        <v>0</v>
      </c>
      <c r="AL566" s="915">
        <f>IF(WFTracker[[#This Row],[Type]]="MAKE", WFTracker[[#This Row],[Due date]]+Filters!$J$111, WFTracker[[#This Row],[Due date]]+Filters!$J$135)</f>
        <v>46018.072512647552</v>
      </c>
      <c r="AM566" s="102" cm="1">
        <f t="array" ref="AM566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67" spans="1:39" ht="15" customHeight="1">
      <c r="A567" t="str">
        <f>IF(WFTracker[[#This Row],[Order Number]]="SWBD", "QED2", "PZ4")</f>
        <v>PZ4</v>
      </c>
      <c r="B567" s="121" t="s">
        <v>667</v>
      </c>
      <c r="C567" s="23" t="s">
        <v>385</v>
      </c>
      <c r="D567" s="23" t="str">
        <f>WFTracker[[#This Row],[Order Number]]  &amp; "-" &amp; WFTracker[[#This Row],[Item]]</f>
        <v>0051024393-000310</v>
      </c>
      <c r="E567" s="23" t="s">
        <v>668</v>
      </c>
      <c r="F567" s="12">
        <v>46013</v>
      </c>
      <c r="G567" s="12"/>
      <c r="H567" s="11" t="s">
        <v>259</v>
      </c>
      <c r="I567" t="s">
        <v>216</v>
      </c>
      <c r="J567" s="122" t="s">
        <v>1491</v>
      </c>
      <c r="K567" s="14" t="s">
        <v>1023</v>
      </c>
      <c r="L567" s="15" t="s">
        <v>40</v>
      </c>
      <c r="M567" s="29" t="s">
        <v>1123</v>
      </c>
      <c r="N567" s="57">
        <v>46097</v>
      </c>
      <c r="O567" s="15">
        <f>NETWORKDAYS.INTL(WFTracker[[#This Row],[Start date]],WFTracker[[#This Row],[RM]],1,Holidays!D488:D503)</f>
        <v>21</v>
      </c>
      <c r="P567" s="12">
        <v>45985</v>
      </c>
      <c r="Q567" s="12">
        <v>46000</v>
      </c>
      <c r="R567" s="12">
        <v>45986</v>
      </c>
      <c r="S567" s="12" t="b">
        <f>ISBLANK(WFTracker[[#This Row],[Completion Date]])</f>
        <v>0</v>
      </c>
      <c r="T567" s="12" t="str">
        <f>TEXT(WFTracker[[#This Row],[Start date]],"mmm-yyyy")</f>
        <v>Nov-2025</v>
      </c>
      <c r="U567" s="11">
        <v>10</v>
      </c>
      <c r="V567" s="11">
        <f>NETWORKDAYS.INTL(WFTracker[[#This Row],[Start date]],WFTracker[[#This Row],[Due date]],1,Holidays!D488:D503)</f>
        <v>12</v>
      </c>
      <c r="W5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67" s="24">
        <f ca="1">WFTracker[[#This Row],[Active Time]]-WFTracker[[#This Row],[Completion Days Template]]</f>
        <v>-10</v>
      </c>
      <c r="Y567" s="16" t="str">
        <f ca="1" xml:space="preserve"> IF(WFTracker[[#This Row],[Overdue Time '[Expected-Completion']]]&gt;0, "LATE","ON TIME")</f>
        <v>ON TIME</v>
      </c>
      <c r="Z567" s="16" t="str">
        <f ca="1">IF(WFTracker[[#This Row],[Overdue Time '[Expected-Completion']]] &gt;= 15, "SUPER LATE", Y567)</f>
        <v>ON TIME</v>
      </c>
      <c r="AA567" s="37" t="str">
        <f>IF(WFTracker[[#This Row],[Pre RM Opening Time]]&lt;WFTracker[[#This Row],[Old vs New Order Lead Time WF dead line]], "LATE BY ENG", "ON TIME BY ENG")</f>
        <v>ON TIME BY ENG</v>
      </c>
      <c r="AB567" s="37"/>
      <c r="AC567" s="15" t="s">
        <v>46</v>
      </c>
      <c r="AD5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-19</v>
      </c>
      <c r="AE567" s="25" t="str">
        <f ca="1">IF(WFTracker[[#This Row],[Impact Time Post RM]]&gt;0, "IMPACTED", "NOT IMPACTED")</f>
        <v>NOT IMPACTED</v>
      </c>
      <c r="AF567" s="15"/>
      <c r="AG567" s="18"/>
      <c r="AH567" s="14" t="str">
        <f>IF(WFTracker[[#This Row],[Status]]="C", "Closed", IF(WFTracker[[#This Row],[Status]] = "x", "Cancelled", WFTracker[[#This Row],[Impact Time Post RM]]))</f>
        <v>Cancelled</v>
      </c>
      <c r="AI567" s="14" t="str">
        <f ca="1">IF(WFTracker[[#This Row],[Impact Time Post RM]]&lt;=0,"ON TIME","LATE")</f>
        <v>ON TIME</v>
      </c>
      <c r="AJ567" s="14" t="s">
        <v>984</v>
      </c>
      <c r="AK567" s="14">
        <v>0</v>
      </c>
      <c r="AL567" s="915">
        <f>IF(WFTracker[[#This Row],[Type]]="MAKE", WFTracker[[#This Row],[Due date]]+Filters!$J$111, WFTracker[[#This Row],[Due date]]+Filters!$J$135)</f>
        <v>46000.415686274508</v>
      </c>
      <c r="AM567" s="102" cm="1">
        <f t="array" ref="AM567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68" spans="1:39" ht="15" customHeight="1">
      <c r="A568" t="str">
        <f>IF(WFTracker[[#This Row],[Order Number]]="SWBD", "QED2", "PZ4")</f>
        <v>PZ4</v>
      </c>
      <c r="B568" s="121" t="s">
        <v>673</v>
      </c>
      <c r="C568" s="23" t="s">
        <v>674</v>
      </c>
      <c r="D568" s="23" t="str">
        <f>WFTracker[[#This Row],[Order Number]]  &amp; "-" &amp; WFTracker[[#This Row],[Item]]</f>
        <v>0051611250-003280</v>
      </c>
      <c r="E568" s="23" t="s">
        <v>675</v>
      </c>
      <c r="F568" s="12">
        <v>45996</v>
      </c>
      <c r="G568" s="12">
        <v>45993</v>
      </c>
      <c r="H568" s="11" t="s">
        <v>676</v>
      </c>
      <c r="I568" t="s">
        <v>241</v>
      </c>
      <c r="J568" s="122" t="s">
        <v>677</v>
      </c>
      <c r="K568" s="14" t="s">
        <v>1017</v>
      </c>
      <c r="L568" s="15" t="s">
        <v>27</v>
      </c>
      <c r="M568" s="29" t="s">
        <v>1120</v>
      </c>
      <c r="N568" s="57">
        <v>46100</v>
      </c>
      <c r="O568" s="15">
        <f>NETWORKDAYS.INTL(WFTracker[[#This Row],[Start date]],WFTracker[[#This Row],[RM]],1,Holidays!D203:D218)</f>
        <v>9</v>
      </c>
      <c r="P568" s="12">
        <v>45986</v>
      </c>
      <c r="Q568" s="12">
        <v>45995</v>
      </c>
      <c r="R568" s="12">
        <v>45996</v>
      </c>
      <c r="S568" s="12" t="b">
        <f>ISBLANK(WFTracker[[#This Row],[Completion Date]])</f>
        <v>0</v>
      </c>
      <c r="T568" s="12" t="str">
        <f>TEXT(WFTracker[[#This Row],[Start date]],"mmm-yyyy")</f>
        <v>Nov-2025</v>
      </c>
      <c r="U568" s="11">
        <v>10</v>
      </c>
      <c r="V568" s="11">
        <f>NETWORKDAYS.INTL(WFTracker[[#This Row],[Start date]],WFTracker[[#This Row],[Due date]],1,Holidays!D203:D218)</f>
        <v>8</v>
      </c>
      <c r="W5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68" s="24">
        <f ca="1">WFTracker[[#This Row],[Active Time]]-WFTracker[[#This Row],[Completion Days Template]]</f>
        <v>1</v>
      </c>
      <c r="Y568" s="16" t="str">
        <f ca="1" xml:space="preserve"> IF(WFTracker[[#This Row],[Overdue Time '[Expected-Completion']]]&gt;0, "LATE","ON TIME")</f>
        <v>LATE</v>
      </c>
      <c r="Z568" s="16" t="str">
        <f ca="1">IF(WFTracker[[#This Row],[Overdue Time '[Expected-Completion']]] &gt;= 15, "SUPER LATE", Y568)</f>
        <v>LATE</v>
      </c>
      <c r="AA568" s="37" t="str">
        <f>IF(WFTracker[[#This Row],[Pre RM Opening Time]]&lt;WFTracker[[#This Row],[Old vs New Order Lead Time WF dead line]], "LATE BY ENG", "ON TIME BY ENG")</f>
        <v>LATE BY ENG</v>
      </c>
      <c r="AB568" s="37"/>
      <c r="AC568" s="15" t="str">
        <f>IF(WFTracker[[#This Row],[Competion Date Content]] = FALSE, "C", "I")</f>
        <v>C</v>
      </c>
      <c r="AD5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568" s="37" t="str">
        <f ca="1">IF(WFTracker[[#This Row],[Impact Time Post RM]]&gt;0, "IMPACTED", "NOT IMPACTED")</f>
        <v>IMPACTED</v>
      </c>
      <c r="AF568" s="15"/>
      <c r="AG568" s="18"/>
      <c r="AH568" s="14" t="str">
        <f>IF(WFTracker[[#This Row],[Status]]="C", "Closed", IF(WFTracker[[#This Row],[Status]] = "x", "Cancelled", WFTracker[[#This Row],[Impact Time Post RM]]))</f>
        <v>Closed</v>
      </c>
      <c r="AI568" s="14" t="str">
        <f ca="1">IF(WFTracker[[#This Row],[Impact Time Post RM]]&lt;=0,"ON TIME","LATE")</f>
        <v>LATE</v>
      </c>
      <c r="AJ568" s="14" t="s">
        <v>984</v>
      </c>
      <c r="AK568" s="14">
        <v>18</v>
      </c>
      <c r="AL568" s="915">
        <f>IF(WFTracker[[#This Row],[Type]]="MAKE", WFTracker[[#This Row],[Due date]]+Filters!$J$111, WFTracker[[#This Row],[Due date]]+Filters!$J$135)</f>
        <v>45998.072512647552</v>
      </c>
      <c r="AM568" s="102" cm="1">
        <f t="array" ref="AM5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69" spans="1:39" ht="15" customHeight="1">
      <c r="A569" t="str">
        <f>IF(WFTracker[[#This Row],[Order Number]]="SWBD", "QED2", "PZ4")</f>
        <v>PZ4</v>
      </c>
      <c r="B569" s="121" t="s">
        <v>673</v>
      </c>
      <c r="C569" s="26" t="s">
        <v>674</v>
      </c>
      <c r="D569" s="23" t="str">
        <f>WFTracker[[#This Row],[Order Number]]  &amp; "-" &amp; WFTracker[[#This Row],[Item]]</f>
        <v>0051611250-003280</v>
      </c>
      <c r="E569" s="23" t="s">
        <v>675</v>
      </c>
      <c r="F569" s="12">
        <v>45996</v>
      </c>
      <c r="G569" s="12">
        <v>45993</v>
      </c>
      <c r="H569" s="11" t="s">
        <v>676</v>
      </c>
      <c r="I569" s="11" t="s">
        <v>241</v>
      </c>
      <c r="J569" s="55" t="s">
        <v>678</v>
      </c>
      <c r="K569" s="14" t="s">
        <v>1017</v>
      </c>
      <c r="L569" s="15" t="s">
        <v>27</v>
      </c>
      <c r="M569" s="29" t="s">
        <v>1120</v>
      </c>
      <c r="N569" s="57">
        <v>46100</v>
      </c>
      <c r="O569" s="15">
        <f>NETWORKDAYS.INTL(WFTracker[[#This Row],[Start date]],WFTracker[[#This Row],[RM]],1,Holidays!D204:D219)</f>
        <v>9</v>
      </c>
      <c r="P569" s="12">
        <v>45986</v>
      </c>
      <c r="Q569" s="12">
        <v>45995</v>
      </c>
      <c r="R569" s="12">
        <v>45995</v>
      </c>
      <c r="S569" s="12" t="b">
        <f>ISBLANK(WFTracker[[#This Row],[Completion Date]])</f>
        <v>0</v>
      </c>
      <c r="T569" s="12" t="str">
        <f>TEXT(WFTracker[[#This Row],[Start date]],"mmm-yyyy")</f>
        <v>Nov-2025</v>
      </c>
      <c r="U569" s="11">
        <v>10</v>
      </c>
      <c r="V569" s="11">
        <f>NETWORKDAYS.INTL(WFTracker[[#This Row],[Start date]],WFTracker[[#This Row],[Due date]],1,Holidays!D204:D219)</f>
        <v>8</v>
      </c>
      <c r="W5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69" s="24">
        <f ca="1">WFTracker[[#This Row],[Active Time]]-WFTracker[[#This Row],[Completion Days Template]]</f>
        <v>0</v>
      </c>
      <c r="Y569" s="16" t="str">
        <f ca="1" xml:space="preserve"> IF(WFTracker[[#This Row],[Overdue Time '[Expected-Completion']]]&gt;0, "LATE","ON TIME")</f>
        <v>ON TIME</v>
      </c>
      <c r="Z569" s="16" t="str">
        <f ca="1">IF(WFTracker[[#This Row],[Overdue Time '[Expected-Completion']]] &gt;= 15, "SUPER LATE", Y569)</f>
        <v>ON TIME</v>
      </c>
      <c r="AA569" s="37" t="str">
        <f>IF(WFTracker[[#This Row],[Pre RM Opening Time]]&lt;WFTracker[[#This Row],[Old vs New Order Lead Time WF dead line]], "LATE BY ENG", "ON TIME BY ENG")</f>
        <v>LATE BY ENG</v>
      </c>
      <c r="AB569" s="37"/>
      <c r="AC569" s="15" t="str">
        <f>IF(WFTracker[[#This Row],[Competion Date Content]] = FALSE, "C", "I")</f>
        <v>C</v>
      </c>
      <c r="AD5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569" s="37" t="str">
        <f ca="1">IF(WFTracker[[#This Row],[Impact Time Post RM]]&gt;0, "IMPACTED", "NOT IMPACTED")</f>
        <v>NOT IMPACTED</v>
      </c>
      <c r="AF569" s="15"/>
      <c r="AG569" s="18"/>
      <c r="AH569" s="14" t="str">
        <f>IF(WFTracker[[#This Row],[Status]]="C", "Closed", IF(WFTracker[[#This Row],[Status]] = "x", "Cancelled", WFTracker[[#This Row],[Impact Time Post RM]]))</f>
        <v>Closed</v>
      </c>
      <c r="AI569" s="14" t="str">
        <f ca="1">IF(WFTracker[[#This Row],[Impact Time Post RM]]&lt;=0,"ON TIME","LATE")</f>
        <v>ON TIME</v>
      </c>
      <c r="AJ569" s="14" t="s">
        <v>984</v>
      </c>
      <c r="AK569" s="14">
        <v>18</v>
      </c>
      <c r="AL569" s="915">
        <f>IF(WFTracker[[#This Row],[Type]]="MAKE", WFTracker[[#This Row],[Due date]]+Filters!$J$111, WFTracker[[#This Row],[Due date]]+Filters!$J$135)</f>
        <v>45998.072512647552</v>
      </c>
      <c r="AM569" s="102" cm="1">
        <f t="array" ref="AM5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0" spans="1:39" ht="15" customHeight="1">
      <c r="A570" t="str">
        <f>IF(WFTracker[[#This Row],[Order Number]]="SWBD", "QED2", "PZ4")</f>
        <v>PZ4</v>
      </c>
      <c r="B570" s="121" t="s">
        <v>673</v>
      </c>
      <c r="C570" s="26" t="s">
        <v>674</v>
      </c>
      <c r="D570" s="23" t="str">
        <f>WFTracker[[#This Row],[Order Number]]  &amp; "-" &amp; WFTracker[[#This Row],[Item]]</f>
        <v>0051611250-003280</v>
      </c>
      <c r="E570" s="23" t="s">
        <v>675</v>
      </c>
      <c r="F570" s="12">
        <v>45996</v>
      </c>
      <c r="G570" s="12"/>
      <c r="H570" s="11" t="s">
        <v>676</v>
      </c>
      <c r="I570" s="11" t="s">
        <v>241</v>
      </c>
      <c r="J570" s="113" t="s">
        <v>679</v>
      </c>
      <c r="K570" s="14" t="s">
        <v>1023</v>
      </c>
      <c r="L570" s="15" t="s">
        <v>27</v>
      </c>
      <c r="M570" s="29" t="s">
        <v>1120</v>
      </c>
      <c r="N570" s="57">
        <v>46090</v>
      </c>
      <c r="O570" s="15">
        <f>NETWORKDAYS.INTL(WFTracker[[#This Row],[Start date]],WFTracker[[#This Row],[RM]],1,Holidays!D205:D220)</f>
        <v>9</v>
      </c>
      <c r="P570" s="12">
        <v>45986</v>
      </c>
      <c r="Q570" s="12">
        <v>45995</v>
      </c>
      <c r="R570" s="12">
        <v>45992</v>
      </c>
      <c r="S570" s="12" t="b">
        <f>ISBLANK(WFTracker[[#This Row],[Completion Date]])</f>
        <v>0</v>
      </c>
      <c r="T570" s="12" t="str">
        <f>TEXT(WFTracker[[#This Row],[Start date]],"mmm-yyyy")</f>
        <v>Nov-2025</v>
      </c>
      <c r="U570" s="11">
        <v>10</v>
      </c>
      <c r="V570" s="11">
        <f>NETWORKDAYS.INTL(WFTracker[[#This Row],[Start date]],WFTracker[[#This Row],[Due date]],1,Holidays!D205:D220)</f>
        <v>8</v>
      </c>
      <c r="W5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70" s="24">
        <f ca="1">WFTracker[[#This Row],[Active Time]]-WFTracker[[#This Row],[Completion Days Template]]</f>
        <v>-3</v>
      </c>
      <c r="Y570" s="16" t="str">
        <f ca="1" xml:space="preserve"> IF(WFTracker[[#This Row],[Overdue Time '[Expected-Completion']]]&gt;0, "LATE","ON TIME")</f>
        <v>ON TIME</v>
      </c>
      <c r="Z570" s="16" t="str">
        <f ca="1">IF(WFTracker[[#This Row],[Overdue Time '[Expected-Completion']]] &gt;= 15, "SUPER LATE", Y570)</f>
        <v>ON TIME</v>
      </c>
      <c r="AA570" s="37" t="str">
        <f>IF(WFTracker[[#This Row],[Pre RM Opening Time]]&lt;WFTracker[[#This Row],[Old vs New Order Lead Time WF dead line]], "LATE BY ENG", "ON TIME BY ENG")</f>
        <v>LATE BY ENG</v>
      </c>
      <c r="AB570" s="37"/>
      <c r="AC570" s="15" t="s">
        <v>1011</v>
      </c>
      <c r="AD5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70" s="37" t="str">
        <f ca="1">IF(WFTracker[[#This Row],[Impact Time Post RM]]&gt;0, "IMPACTED", "NOT IMPACTED")</f>
        <v>NOT IMPACTED</v>
      </c>
      <c r="AF570" s="15"/>
      <c r="AG570" s="18" t="s">
        <v>1492</v>
      </c>
      <c r="AH570" s="14" t="str">
        <f>IF(WFTracker[[#This Row],[Status]]="C", "Closed", IF(WFTracker[[#This Row],[Status]] = "x", "Cancelled", WFTracker[[#This Row],[Impact Time Post RM]]))</f>
        <v>Cancelled</v>
      </c>
      <c r="AI570" s="14" t="str">
        <f ca="1">IF(WFTracker[[#This Row],[Impact Time Post RM]]&lt;=0,"ON TIME","LATE")</f>
        <v>ON TIME</v>
      </c>
      <c r="AJ570" s="14" t="s">
        <v>984</v>
      </c>
      <c r="AK570" s="14">
        <v>1</v>
      </c>
      <c r="AL570" s="915">
        <f>IF(WFTracker[[#This Row],[Type]]="MAKE", WFTracker[[#This Row],[Due date]]+Filters!$J$111, WFTracker[[#This Row],[Due date]]+Filters!$J$135)</f>
        <v>45998.072512647552</v>
      </c>
      <c r="AM570" s="102" cm="1">
        <f t="array" ref="AM570">_xlfn.IFS(WFTracker[[#This Row],[Type]]="BUY", WFTracker[[#This Row],[Task Number]]/17,
     WFTracker[[#This Row],[Type]]="MAKE", WFTracker[[#This Row],[Task Number]]/18,
     WFTracker[[#This Row],[Type]]="CNG-BOM", WFTracker[[#This Row],[Task Number]]/11)</f>
        <v>5.5555555555555552E-2</v>
      </c>
    </row>
    <row r="571" spans="1:39" ht="15" customHeight="1">
      <c r="A571" t="str">
        <f>IF(WFTracker[[#This Row],[Order Number]]="SWBD", "QED2", "PZ4")</f>
        <v>PZ4</v>
      </c>
      <c r="B571" s="21" t="s">
        <v>667</v>
      </c>
      <c r="C571" s="23" t="s">
        <v>385</v>
      </c>
      <c r="D571" s="23" t="str">
        <f>WFTracker[[#This Row],[Order Number]]  &amp; "-" &amp; WFTracker[[#This Row],[Item]]</f>
        <v>0051024393-000310</v>
      </c>
      <c r="E571" s="23" t="s">
        <v>668</v>
      </c>
      <c r="F571" s="12">
        <v>46013</v>
      </c>
      <c r="G571" s="12">
        <v>46006</v>
      </c>
      <c r="H571" s="11" t="s">
        <v>259</v>
      </c>
      <c r="I571" t="s">
        <v>216</v>
      </c>
      <c r="J571" s="122" t="s">
        <v>672</v>
      </c>
      <c r="K571" s="14" t="s">
        <v>1493</v>
      </c>
      <c r="L571" s="15" t="s">
        <v>27</v>
      </c>
      <c r="M571" s="29" t="s">
        <v>1123</v>
      </c>
      <c r="N571" s="57">
        <v>46097</v>
      </c>
      <c r="O571" s="15">
        <f>NETWORKDAYS.INTL(WFTracker[[#This Row],[Start date]],WFTracker[[#This Row],[RM]],1,Holidays!D463:D478)</f>
        <v>20</v>
      </c>
      <c r="P571" s="12">
        <v>45986</v>
      </c>
      <c r="Q571" s="12">
        <v>45996</v>
      </c>
      <c r="R571" s="12">
        <v>45996</v>
      </c>
      <c r="S571" s="12" t="b">
        <f>ISBLANK(WFTracker[[#This Row],[Completion Date]])</f>
        <v>0</v>
      </c>
      <c r="T571" s="12" t="str">
        <f>TEXT(WFTracker[[#This Row],[Start date]],"mmm-yyyy")</f>
        <v>Nov-2025</v>
      </c>
      <c r="U571" s="11">
        <v>10</v>
      </c>
      <c r="V571" s="11">
        <f>NETWORKDAYS.INTL(WFTracker[[#This Row],[Start date]],WFTracker[[#This Row],[Due date]],1,Holidays!D463:D478)</f>
        <v>9</v>
      </c>
      <c r="W5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71" s="24">
        <f ca="1">WFTracker[[#This Row],[Active Time]]-WFTracker[[#This Row],[Completion Days Template]]</f>
        <v>0</v>
      </c>
      <c r="Y571" s="16" t="str">
        <f ca="1" xml:space="preserve"> IF(WFTracker[[#This Row],[Overdue Time '[Expected-Completion']]]&gt;0, "LATE","ON TIME")</f>
        <v>ON TIME</v>
      </c>
      <c r="Z571" s="16" t="str">
        <f ca="1">IF(WFTracker[[#This Row],[Overdue Time '[Expected-Completion']]] &gt;= 15, "SUPER LATE", Y571)</f>
        <v>ON TIME</v>
      </c>
      <c r="AA571" s="37" t="str">
        <f>IF(WFTracker[[#This Row],[Pre RM Opening Time]]&lt;WFTracker[[#This Row],[Old vs New Order Lead Time WF dead line]], "LATE BY ENG", "ON TIME BY ENG")</f>
        <v>ON TIME BY ENG</v>
      </c>
      <c r="AB571" s="37"/>
      <c r="AC571" s="15" t="str">
        <f>IF(WFTracker[[#This Row],[Competion Date Content]] = FALSE, "C", "i")</f>
        <v>C</v>
      </c>
      <c r="AD5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71" s="37" t="str">
        <f ca="1">IF(WFTracker[[#This Row],[Impact Time Post RM]]&gt;0, "IMPACTED", "NOT IMPACTED")</f>
        <v>NOT IMPACTED</v>
      </c>
      <c r="AF571" s="15"/>
      <c r="AG571" s="18"/>
      <c r="AH571" s="14" t="str">
        <f>IF(WFTracker[[#This Row],[Status]]="C", "Closed", IF(WFTracker[[#This Row],[Status]] = "x", "Cancelled", WFTracker[[#This Row],[Impact Time Post RM]]))</f>
        <v>Closed</v>
      </c>
      <c r="AI571" s="14" t="str">
        <f ca="1">IF(WFTracker[[#This Row],[Impact Time Post RM]]&lt;=0,"ON TIME","LATE")</f>
        <v>ON TIME</v>
      </c>
      <c r="AJ571" s="14" t="s">
        <v>984</v>
      </c>
      <c r="AK571" s="14">
        <v>18</v>
      </c>
      <c r="AL571" s="915">
        <f>IF(WFTracker[[#This Row],[Type]]="MAKE", WFTracker[[#This Row],[Due date]]+Filters!$J$111, WFTracker[[#This Row],[Due date]]+Filters!$J$135)</f>
        <v>45999.072512647552</v>
      </c>
      <c r="AM571" s="102" cm="1">
        <f t="array" ref="AM5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2" spans="1:39" ht="15" customHeight="1">
      <c r="A572" t="str">
        <f>IF(WFTracker[[#This Row],[Order Number]]="SWBD", "QED2", "PZ4")</f>
        <v>PZ4</v>
      </c>
      <c r="B572" s="121" t="s">
        <v>673</v>
      </c>
      <c r="C572" s="26" t="s">
        <v>674</v>
      </c>
      <c r="D572" s="23" t="str">
        <f>WFTracker[[#This Row],[Order Number]]  &amp; "-" &amp; WFTracker[[#This Row],[Item]]</f>
        <v>0051611250-003280</v>
      </c>
      <c r="E572" s="23" t="s">
        <v>675</v>
      </c>
      <c r="F572" s="12">
        <v>45996</v>
      </c>
      <c r="G572" s="12">
        <v>45993</v>
      </c>
      <c r="H572" s="11" t="s">
        <v>676</v>
      </c>
      <c r="I572" s="11" t="s">
        <v>241</v>
      </c>
      <c r="J572" s="113" t="s">
        <v>1494</v>
      </c>
      <c r="K572" s="14" t="s">
        <v>1023</v>
      </c>
      <c r="L572" s="15" t="s">
        <v>40</v>
      </c>
      <c r="M572" s="29" t="s">
        <v>1120</v>
      </c>
      <c r="N572" s="57">
        <v>46100</v>
      </c>
      <c r="O572" s="15">
        <f>NETWORKDAYS.INTL(WFTracker[[#This Row],[Start date]],WFTracker[[#This Row],[RM]],1,Holidays!D180:D195)</f>
        <v>8</v>
      </c>
      <c r="P572" s="12">
        <v>45987</v>
      </c>
      <c r="Q572" s="12">
        <v>45992</v>
      </c>
      <c r="R572" s="12">
        <v>45996</v>
      </c>
      <c r="S572" s="12" t="b">
        <f>ISBLANK(WFTracker[[#This Row],[Completion Date]])</f>
        <v>0</v>
      </c>
      <c r="T572" s="12" t="str">
        <f>TEXT(WFTracker[[#This Row],[Start date]],"mmm-yyyy")</f>
        <v>Nov-2025</v>
      </c>
      <c r="U572" s="11">
        <v>10</v>
      </c>
      <c r="V572" s="11">
        <f>NETWORKDAYS.INTL(WFTracker[[#This Row],[Start date]],WFTracker[[#This Row],[Due date]],1,Holidays!D180:D195)</f>
        <v>4</v>
      </c>
      <c r="W5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72" s="24">
        <f ca="1">WFTracker[[#This Row],[Active Time]]-WFTracker[[#This Row],[Completion Days Template]]</f>
        <v>4</v>
      </c>
      <c r="Y572" s="16" t="str">
        <f ca="1" xml:space="preserve"> IF(WFTracker[[#This Row],[Overdue Time '[Expected-Completion']]]&gt;0, "LATE","ON TIME")</f>
        <v>LATE</v>
      </c>
      <c r="Z572" s="16" t="str">
        <f ca="1">IF(WFTracker[[#This Row],[Overdue Time '[Expected-Completion']]] &gt;= 15, "SUPER LATE", Y572)</f>
        <v>LATE</v>
      </c>
      <c r="AA572" s="37" t="str">
        <f>IF(WFTracker[[#This Row],[Pre RM Opening Time]]&lt;WFTracker[[#This Row],[Old vs New Order Lead Time WF dead line]], "LATE BY ENG", "ON TIME BY ENG")</f>
        <v>LATE BY ENG</v>
      </c>
      <c r="AB572" s="37"/>
      <c r="AC572" s="15" t="str">
        <f>IF(WFTracker[[#This Row],[Competion Date Content]] = FALSE, "C", "i")</f>
        <v>C</v>
      </c>
      <c r="AD5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572" s="37" t="str">
        <f ca="1">IF(WFTracker[[#This Row],[Impact Time Post RM]]&gt;0, "IMPACTED", "NOT IMPACTED")</f>
        <v>IMPACTED</v>
      </c>
      <c r="AF572" s="15"/>
      <c r="AG572" s="18"/>
      <c r="AH572" s="14" t="str">
        <f>IF(WFTracker[[#This Row],[Status]]="C", "Closed", IF(WFTracker[[#This Row],[Status]] = "x", "Cancelled", WFTracker[[#This Row],[Impact Time Post RM]]))</f>
        <v>Closed</v>
      </c>
      <c r="AI572" s="14" t="str">
        <f ca="1">IF(WFTracker[[#This Row],[Impact Time Post RM]]&lt;=0,"ON TIME","LATE")</f>
        <v>LATE</v>
      </c>
      <c r="AJ572" s="14" t="s">
        <v>984</v>
      </c>
      <c r="AK572" s="14">
        <v>17</v>
      </c>
      <c r="AL572" s="915">
        <f>IF(WFTracker[[#This Row],[Type]]="MAKE", WFTracker[[#This Row],[Due date]]+Filters!$J$111, WFTracker[[#This Row],[Due date]]+Filters!$J$135)</f>
        <v>45992.415686274508</v>
      </c>
      <c r="AM572" s="102" cm="1">
        <f t="array" ref="AM5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3" spans="1:39" ht="15" customHeight="1">
      <c r="A573" t="str">
        <f>IF(WFTracker[[#This Row],[Order Number]]="SWBD", "QED2", "PZ4")</f>
        <v>PZ4</v>
      </c>
      <c r="B573" s="121" t="s">
        <v>673</v>
      </c>
      <c r="C573" s="26" t="s">
        <v>674</v>
      </c>
      <c r="D573" s="23" t="str">
        <f>WFTracker[[#This Row],[Order Number]]  &amp; "-" &amp; WFTracker[[#This Row],[Item]]</f>
        <v>0051611250-003280</v>
      </c>
      <c r="E573" s="23" t="s">
        <v>675</v>
      </c>
      <c r="F573" s="12">
        <v>45996</v>
      </c>
      <c r="G573" s="12">
        <v>45993</v>
      </c>
      <c r="H573" s="11" t="s">
        <v>676</v>
      </c>
      <c r="I573" s="11" t="s">
        <v>241</v>
      </c>
      <c r="J573" s="909" t="s">
        <v>680</v>
      </c>
      <c r="K573" s="14" t="s">
        <v>1023</v>
      </c>
      <c r="L573" s="15" t="s">
        <v>27</v>
      </c>
      <c r="M573" s="29" t="s">
        <v>1120</v>
      </c>
      <c r="N573" s="57">
        <v>46100</v>
      </c>
      <c r="O573" s="15">
        <f>NETWORKDAYS.INTL(WFTracker[[#This Row],[Start date]],WFTracker[[#This Row],[RM]],1,Holidays!D181:D196)</f>
        <v>8</v>
      </c>
      <c r="P573" s="12">
        <v>45987</v>
      </c>
      <c r="Q573" s="12">
        <v>45999</v>
      </c>
      <c r="R573" s="12">
        <v>45995</v>
      </c>
      <c r="S573" s="12" t="b">
        <f>ISBLANK(WFTracker[[#This Row],[Completion Date]])</f>
        <v>0</v>
      </c>
      <c r="T573" s="12" t="str">
        <f>TEXT(WFTracker[[#This Row],[Start date]],"mmm-yyyy")</f>
        <v>Nov-2025</v>
      </c>
      <c r="U573" s="11">
        <v>10</v>
      </c>
      <c r="V573" s="11">
        <f>NETWORKDAYS.INTL(WFTracker[[#This Row],[Start date]],WFTracker[[#This Row],[Due date]],1,Holidays!D181:D196)</f>
        <v>9</v>
      </c>
      <c r="W5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573" s="24">
        <f ca="1">WFTracker[[#This Row],[Active Time]]-WFTracker[[#This Row],[Completion Days Template]]</f>
        <v>-2</v>
      </c>
      <c r="Y573" s="16" t="str">
        <f ca="1" xml:space="preserve"> IF(WFTracker[[#This Row],[Overdue Time '[Expected-Completion']]]&gt;0, "LATE","ON TIME")</f>
        <v>ON TIME</v>
      </c>
      <c r="Z573" s="16" t="str">
        <f ca="1">IF(WFTracker[[#This Row],[Overdue Time '[Expected-Completion']]] &gt;= 15, "SUPER LATE", Y573)</f>
        <v>ON TIME</v>
      </c>
      <c r="AA573" s="37" t="str">
        <f>IF(WFTracker[[#This Row],[Pre RM Opening Time]]&lt;WFTracker[[#This Row],[Old vs New Order Lead Time WF dead line]], "LATE BY ENG", "ON TIME BY ENG")</f>
        <v>LATE BY ENG</v>
      </c>
      <c r="AB573" s="37"/>
      <c r="AC573" s="15" t="str">
        <f>IF(WFTracker[[#This Row],[Competion Date Content]] = FALSE, "C", "i")</f>
        <v>C</v>
      </c>
      <c r="AD5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573" s="37" t="str">
        <f ca="1">IF(WFTracker[[#This Row],[Impact Time Post RM]]&gt;0, "IMPACTED", "NOT IMPACTED")</f>
        <v>NOT IMPACTED</v>
      </c>
      <c r="AF573" s="15"/>
      <c r="AG573" s="18"/>
      <c r="AH573" s="14" t="str">
        <f>IF(WFTracker[[#This Row],[Status]]="C", "Closed", IF(WFTracker[[#This Row],[Status]] = "x", "Cancelled", WFTracker[[#This Row],[Impact Time Post RM]]))</f>
        <v>Closed</v>
      </c>
      <c r="AI573" s="14" t="str">
        <f ca="1">IF(WFTracker[[#This Row],[Impact Time Post RM]]&lt;=0,"ON TIME","LATE")</f>
        <v>ON TIME</v>
      </c>
      <c r="AJ573" s="14" t="s">
        <v>984</v>
      </c>
      <c r="AK573" s="14">
        <v>18</v>
      </c>
      <c r="AL573" s="915">
        <f>IF(WFTracker[[#This Row],[Type]]="MAKE", WFTracker[[#This Row],[Due date]]+Filters!$J$111, WFTracker[[#This Row],[Due date]]+Filters!$J$135)</f>
        <v>46002.072512647552</v>
      </c>
      <c r="AM573" s="102" cm="1">
        <f t="array" ref="AM5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4" spans="1:39" ht="15" customHeight="1">
      <c r="A574" t="str">
        <f>IF(WFTracker[[#This Row],[Order Number]]="SWBD", "QED2", "PZ4")</f>
        <v>PZ4</v>
      </c>
      <c r="B574" s="21" t="s">
        <v>436</v>
      </c>
      <c r="C574" s="23" t="s">
        <v>165</v>
      </c>
      <c r="D574" s="23" t="str">
        <f>WFTracker[[#This Row],[Order Number]]  &amp; "-" &amp; WFTracker[[#This Row],[Item]]</f>
        <v>0051436816-000030</v>
      </c>
      <c r="E574" s="23" t="s">
        <v>437</v>
      </c>
      <c r="F574" s="41">
        <v>46017</v>
      </c>
      <c r="G574" s="12">
        <v>46010</v>
      </c>
      <c r="H574" s="11" t="s">
        <v>113</v>
      </c>
      <c r="I574" t="s">
        <v>37</v>
      </c>
      <c r="J574" s="55" t="s">
        <v>694</v>
      </c>
      <c r="K574" s="14" t="s">
        <v>1023</v>
      </c>
      <c r="L574" s="15" t="s">
        <v>27</v>
      </c>
      <c r="M574" s="29" t="s">
        <v>438</v>
      </c>
      <c r="N574" s="57">
        <v>46077</v>
      </c>
      <c r="O574" s="15">
        <f>NETWORKDAYS.INTL(WFTracker[[#This Row],[Start date]],WFTracker[[#This Row],[RM]],1,Holidays!D464:D479)</f>
        <v>22</v>
      </c>
      <c r="P574" s="12">
        <v>45988</v>
      </c>
      <c r="Q574" s="12">
        <v>45999</v>
      </c>
      <c r="R574" s="12">
        <v>46001</v>
      </c>
      <c r="S574" s="12" t="b">
        <f>ISBLANK(WFTracker[[#This Row],[Completion Date]])</f>
        <v>0</v>
      </c>
      <c r="T574" s="12" t="str">
        <f>TEXT(WFTracker[[#This Row],[Start date]],"mmm-yyyy")</f>
        <v>Nov-2025</v>
      </c>
      <c r="U574" s="11">
        <v>10</v>
      </c>
      <c r="V574" s="11">
        <f>NETWORKDAYS.INTL(WFTracker[[#This Row],[Start date]],WFTracker[[#This Row],[Due date]],1,Holidays!D464:D479)</f>
        <v>8</v>
      </c>
      <c r="W5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574" s="24">
        <f ca="1">WFTracker[[#This Row],[Active Time]]-WFTracker[[#This Row],[Completion Days Template]]</f>
        <v>2</v>
      </c>
      <c r="Y574" s="16" t="str">
        <f ca="1" xml:space="preserve"> IF(WFTracker[[#This Row],[Overdue Time '[Expected-Completion']]]&gt;0, "LATE","ON TIME")</f>
        <v>LATE</v>
      </c>
      <c r="Z574" s="16" t="str">
        <f ca="1">IF(WFTracker[[#This Row],[Overdue Time '[Expected-Completion']]] &gt;= 15, "SUPER LATE", Y574)</f>
        <v>LATE</v>
      </c>
      <c r="AA574" s="37" t="str">
        <f>IF(WFTracker[[#This Row],[Pre RM Opening Time]]&lt;WFTracker[[#This Row],[Old vs New Order Lead Time WF dead line]], "LATE BY ENG", "ON TIME BY ENG")</f>
        <v>ON TIME BY ENG</v>
      </c>
      <c r="AB574" s="37"/>
      <c r="AC574" s="15" t="str">
        <f>IF(WFTracker[[#This Row],[Competion Date Content]] = FALSE, "C", "i")</f>
        <v>C</v>
      </c>
      <c r="AD5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74" s="37" t="str">
        <f ca="1">IF(WFTracker[[#This Row],[Impact Time Post RM]]&gt;0, "IMPACTED", "NOT IMPACTED")</f>
        <v>NOT IMPACTED</v>
      </c>
      <c r="AF574" s="15"/>
      <c r="AG574" s="18"/>
      <c r="AH574" s="14" t="str">
        <f>IF(WFTracker[[#This Row],[Status]]="C", "Closed", IF(WFTracker[[#This Row],[Status]] = "x", "Cancelled", WFTracker[[#This Row],[Impact Time Post RM]]))</f>
        <v>Closed</v>
      </c>
      <c r="AI574" s="14" t="str">
        <f ca="1">IF(WFTracker[[#This Row],[Impact Time Post RM]]&lt;=0,"ON TIME","LATE")</f>
        <v>ON TIME</v>
      </c>
      <c r="AJ574" s="14" t="s">
        <v>984</v>
      </c>
      <c r="AK574" s="14">
        <v>18</v>
      </c>
      <c r="AL574" s="915">
        <f>IF(WFTracker[[#This Row],[Type]]="MAKE", WFTracker[[#This Row],[Due date]]+Filters!$J$111, WFTracker[[#This Row],[Due date]]+Filters!$J$135)</f>
        <v>46002.072512647552</v>
      </c>
      <c r="AM574" s="102" cm="1">
        <f t="array" ref="AM5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5" spans="1:39" ht="15" customHeight="1">
      <c r="A575" t="str">
        <f>IF(WFTracker[[#This Row],[Order Number]]="SWBD", "QED2", "PZ4")</f>
        <v>PZ4</v>
      </c>
      <c r="B575" s="21" t="s">
        <v>436</v>
      </c>
      <c r="C575" s="26" t="s">
        <v>165</v>
      </c>
      <c r="D575" s="23" t="str">
        <f>WFTracker[[#This Row],[Order Number]]  &amp; "-" &amp; WFTracker[[#This Row],[Item]]</f>
        <v>0051436816-000030</v>
      </c>
      <c r="E575" s="23" t="s">
        <v>437</v>
      </c>
      <c r="F575" s="41">
        <v>46017</v>
      </c>
      <c r="G575" s="12">
        <v>46010</v>
      </c>
      <c r="H575" s="11" t="s">
        <v>113</v>
      </c>
      <c r="I575" s="11" t="s">
        <v>37</v>
      </c>
      <c r="J575" s="55" t="s">
        <v>695</v>
      </c>
      <c r="K575" s="14" t="s">
        <v>1023</v>
      </c>
      <c r="L575" s="15" t="s">
        <v>27</v>
      </c>
      <c r="M575" s="29" t="s">
        <v>438</v>
      </c>
      <c r="N575" s="57">
        <v>46077</v>
      </c>
      <c r="O575" s="15">
        <f>NETWORKDAYS.INTL(WFTracker[[#This Row],[Start date]],WFTracker[[#This Row],[RM]],1,Holidays!D444:D459)</f>
        <v>21</v>
      </c>
      <c r="P575" s="12">
        <v>45989</v>
      </c>
      <c r="Q575" s="12">
        <v>45999</v>
      </c>
      <c r="R575" s="12">
        <v>46001</v>
      </c>
      <c r="S575" s="12" t="b">
        <f>ISBLANK(WFTracker[[#This Row],[Completion Date]])</f>
        <v>0</v>
      </c>
      <c r="T575" s="12" t="str">
        <f>TEXT(WFTracker[[#This Row],[Start date]],"mmm-yyyy")</f>
        <v>Nov-2025</v>
      </c>
      <c r="U575" s="11">
        <v>10</v>
      </c>
      <c r="V575" s="11">
        <f>NETWORKDAYS.INTL(WFTracker[[#This Row],[Start date]],WFTracker[[#This Row],[Due date]],1,Holidays!D444:D459)</f>
        <v>7</v>
      </c>
      <c r="W5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75" s="24">
        <f ca="1">WFTracker[[#This Row],[Active Time]]-WFTracker[[#This Row],[Completion Days Template]]</f>
        <v>2</v>
      </c>
      <c r="Y575" s="16" t="str">
        <f ca="1" xml:space="preserve"> IF(WFTracker[[#This Row],[Overdue Time '[Expected-Completion']]]&gt;0, "LATE","ON TIME")</f>
        <v>LATE</v>
      </c>
      <c r="Z575" s="16" t="str">
        <f ca="1">IF(WFTracker[[#This Row],[Overdue Time '[Expected-Completion']]] &gt;= 15, "SUPER LATE", Y575)</f>
        <v>LATE</v>
      </c>
      <c r="AA575" s="37" t="str">
        <f>IF(WFTracker[[#This Row],[Pre RM Opening Time]]&lt;WFTracker[[#This Row],[Old vs New Order Lead Time WF dead line]], "LATE BY ENG", "ON TIME BY ENG")</f>
        <v>ON TIME BY ENG</v>
      </c>
      <c r="AB575" s="37"/>
      <c r="AC575" s="15" t="str">
        <f>IF(WFTracker[[#This Row],[Competion Date Content]] = FALSE, "C", "i")</f>
        <v>C</v>
      </c>
      <c r="AD5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575" s="37" t="str">
        <f ca="1">IF(WFTracker[[#This Row],[Impact Time Post RM]]&gt;0, "IMPACTED", "NOT IMPACTED")</f>
        <v>NOT IMPACTED</v>
      </c>
      <c r="AF575" s="15"/>
      <c r="AG575" s="18"/>
      <c r="AH575" s="14" t="str">
        <f>IF(WFTracker[[#This Row],[Status]]="C", "Closed", IF(WFTracker[[#This Row],[Status]] = "x", "Cancelled", WFTracker[[#This Row],[Impact Time Post RM]]))</f>
        <v>Closed</v>
      </c>
      <c r="AI575" s="14" t="str">
        <f ca="1">IF(WFTracker[[#This Row],[Impact Time Post RM]]&lt;=0,"ON TIME","LATE")</f>
        <v>ON TIME</v>
      </c>
      <c r="AJ575" s="14" t="s">
        <v>984</v>
      </c>
      <c r="AK575" s="14">
        <v>18</v>
      </c>
      <c r="AL575" s="915">
        <f>IF(WFTracker[[#This Row],[Type]]="MAKE", WFTracker[[#This Row],[Due date]]+Filters!$J$111, WFTracker[[#This Row],[Due date]]+Filters!$J$135)</f>
        <v>46002.072512647552</v>
      </c>
      <c r="AM575" s="102" cm="1">
        <f t="array" ref="AM5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6" spans="1:39" ht="15" customHeight="1">
      <c r="A576" t="str">
        <f>IF(WFTracker[[#This Row],[Order Number]]="SWBD", "QED2", "PZ4")</f>
        <v>PZ4</v>
      </c>
      <c r="B576" s="21" t="s">
        <v>1434</v>
      </c>
      <c r="C576" s="23" t="s">
        <v>1495</v>
      </c>
      <c r="D576" s="11" t="str">
        <f>WFTracker[[#This Row],[Order Number]]  &amp; "-" &amp; WFTracker[[#This Row],[Item]]</f>
        <v>SPECIAL-KOMAX</v>
      </c>
      <c r="E576" s="23" t="s">
        <v>1056</v>
      </c>
      <c r="F576" s="12">
        <v>46000</v>
      </c>
      <c r="G576" s="12">
        <v>46000</v>
      </c>
      <c r="H576" s="11" t="s">
        <v>709</v>
      </c>
      <c r="I576" t="s">
        <v>984</v>
      </c>
      <c r="J576" s="122" t="s">
        <v>1496</v>
      </c>
      <c r="K576" s="14" t="s">
        <v>1023</v>
      </c>
      <c r="L576" s="15" t="s">
        <v>27</v>
      </c>
      <c r="M576" s="29" t="s">
        <v>984</v>
      </c>
      <c r="N576" s="57">
        <v>46000</v>
      </c>
      <c r="O576" s="15">
        <f>NETWORKDAYS.INTL(WFTracker[[#This Row],[Start date]],WFTracker[[#This Row],[RM]],1,Holidays!D147:D162)</f>
        <v>7</v>
      </c>
      <c r="P576" s="12">
        <v>45992</v>
      </c>
      <c r="Q576" s="12">
        <v>46001</v>
      </c>
      <c r="R576" s="12">
        <v>46028</v>
      </c>
      <c r="S576" s="12" t="b">
        <f>ISBLANK(WFTracker[[#This Row],[Completion Date]])</f>
        <v>0</v>
      </c>
      <c r="T576" s="12" t="str">
        <f>TEXT(WFTracker[[#This Row],[Start date]],"mmm-yyyy")</f>
        <v>Dec-2025</v>
      </c>
      <c r="U576" s="11">
        <v>10</v>
      </c>
      <c r="V576" s="11">
        <f>NETWORKDAYS.INTL(WFTracker[[#This Row],[Start date]],WFTracker[[#This Row],[Due date]],1,Holidays!D147:D162)</f>
        <v>8</v>
      </c>
      <c r="W5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23</v>
      </c>
      <c r="X576" s="24">
        <f ca="1">WFTracker[[#This Row],[Active Time]]-WFTracker[[#This Row],[Completion Days Template]]</f>
        <v>15</v>
      </c>
      <c r="Y576" s="16" t="str">
        <f ca="1" xml:space="preserve"> IF(WFTracker[[#This Row],[Overdue Time '[Expected-Completion']]]&gt;0, "LATE","ON TIME")</f>
        <v>LATE</v>
      </c>
      <c r="Z576" s="16" t="str">
        <f ca="1">IF(WFTracker[[#This Row],[Overdue Time '[Expected-Completion']]] &gt;= 15, "SUPER LATE", Y576)</f>
        <v>SUPER LATE</v>
      </c>
      <c r="AA576" s="37" t="str">
        <f>IF(WFTracker[[#This Row],[Pre RM Opening Time]]&lt;WFTracker[[#This Row],[Old vs New Order Lead Time WF dead line]], "LATE BY ENG", "ON TIME BY ENG")</f>
        <v>LATE BY ENG</v>
      </c>
      <c r="AB576" s="37"/>
      <c r="AC576" s="15" t="str">
        <f>IF(WFTracker[[#This Row],[Competion Date Content]] = FALSE, "C", "i")</f>
        <v>C</v>
      </c>
      <c r="AD5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17</v>
      </c>
      <c r="AE576" s="37" t="str">
        <f ca="1">IF(WFTracker[[#This Row],[Impact Time Post RM]]&gt;0, "IMPACTED", "NOT IMPACTED")</f>
        <v>IMPACTED</v>
      </c>
      <c r="AF576" s="15"/>
      <c r="AG576" s="18"/>
      <c r="AH576" s="14" t="str">
        <f>IF(WFTracker[[#This Row],[Status]]="C", "Closed", IF(WFTracker[[#This Row],[Status]] = "x", "Cancelled", WFTracker[[#This Row],[Impact Time Post RM]]))</f>
        <v>Closed</v>
      </c>
      <c r="AI576" s="14" t="str">
        <f ca="1">IF(WFTracker[[#This Row],[Impact Time Post RM]]&lt;=0,"ON TIME","LATE")</f>
        <v>LATE</v>
      </c>
      <c r="AJ576" s="14" t="s">
        <v>984</v>
      </c>
      <c r="AK576" s="14">
        <v>18</v>
      </c>
      <c r="AL576" s="915">
        <f>IF(WFTracker[[#This Row],[Type]]="MAKE", WFTracker[[#This Row],[Due date]]+Filters!$J$111, WFTracker[[#This Row],[Due date]]+Filters!$J$135)</f>
        <v>46004.072512647552</v>
      </c>
      <c r="AM576" s="102" cm="1">
        <f t="array" ref="AM5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7" spans="1:39" ht="15" customHeight="1">
      <c r="A577" t="str">
        <f>IF(WFTracker[[#This Row],[Order Number]]="SWBD", "QED2", "PZ4")</f>
        <v>PZ4</v>
      </c>
      <c r="B577" s="121" t="s">
        <v>673</v>
      </c>
      <c r="C577" s="26" t="s">
        <v>674</v>
      </c>
      <c r="D577" s="23" t="str">
        <f>WFTracker[[#This Row],[Order Number]]  &amp; "-" &amp; WFTracker[[#This Row],[Item]]</f>
        <v>0051611250-003280</v>
      </c>
      <c r="E577" s="23" t="s">
        <v>675</v>
      </c>
      <c r="F577" s="12">
        <v>45996</v>
      </c>
      <c r="G577" s="12">
        <v>45993</v>
      </c>
      <c r="H577" s="11" t="s">
        <v>676</v>
      </c>
      <c r="I577" s="11" t="s">
        <v>241</v>
      </c>
      <c r="J577" s="909" t="s">
        <v>1497</v>
      </c>
      <c r="K577" s="14" t="s">
        <v>1023</v>
      </c>
      <c r="L577" s="15" t="s">
        <v>40</v>
      </c>
      <c r="M577" s="29" t="s">
        <v>1120</v>
      </c>
      <c r="N577" s="57">
        <v>46100</v>
      </c>
      <c r="O577" s="15">
        <f>NETWORKDAYS.INTL(WFTracker[[#This Row],[Start date]],WFTracker[[#This Row],[RM]],1,Holidays!D101:D116)</f>
        <v>5</v>
      </c>
      <c r="P577" s="12">
        <v>45992</v>
      </c>
      <c r="Q577" s="12">
        <v>45999</v>
      </c>
      <c r="R577" s="12">
        <v>45996</v>
      </c>
      <c r="S577" s="12" t="b">
        <f>ISBLANK(WFTracker[[#This Row],[Completion Date]])</f>
        <v>0</v>
      </c>
      <c r="T577" s="12" t="str">
        <f>TEXT(WFTracker[[#This Row],[Start date]],"mmm-yyyy")</f>
        <v>Dec-2025</v>
      </c>
      <c r="U577" s="11">
        <v>10</v>
      </c>
      <c r="V577" s="11">
        <f>NETWORKDAYS.INTL(WFTracker[[#This Row],[Start date]],WFTracker[[#This Row],[Due date]],1,Holidays!D101:D116)</f>
        <v>6</v>
      </c>
      <c r="W5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77" s="24">
        <f ca="1">WFTracker[[#This Row],[Active Time]]-WFTracker[[#This Row],[Completion Days Template]]</f>
        <v>-1</v>
      </c>
      <c r="Y577" s="16" t="str">
        <f ca="1" xml:space="preserve"> IF(WFTracker[[#This Row],[Overdue Time '[Expected-Completion']]]&gt;0, "LATE","ON TIME")</f>
        <v>ON TIME</v>
      </c>
      <c r="Z577" s="16" t="str">
        <f ca="1">IF(WFTracker[[#This Row],[Overdue Time '[Expected-Completion']]] &gt;= 15, "SUPER LATE", Y577)</f>
        <v>ON TIME</v>
      </c>
      <c r="AA577" s="37" t="str">
        <f>IF(WFTracker[[#This Row],[Pre RM Opening Time]]&lt;WFTracker[[#This Row],[Old vs New Order Lead Time WF dead line]], "LATE BY ENG", "ON TIME BY ENG")</f>
        <v>LATE BY ENG</v>
      </c>
      <c r="AB577" s="37"/>
      <c r="AC577" s="15" t="str">
        <f>IF(WFTracker[[#This Row],[Competion Date Content]] = FALSE, "C", "i")</f>
        <v>C</v>
      </c>
      <c r="AD5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577" s="25" t="str">
        <f ca="1">IF(WFTracker[[#This Row],[Impact Time Post RM]]&gt;0, "IMPACTED", "NOT IMPACTED")</f>
        <v>IMPACTED</v>
      </c>
      <c r="AF577" s="15"/>
      <c r="AG577" s="18"/>
      <c r="AH577" s="14" t="str">
        <f>IF(WFTracker[[#This Row],[Status]]="C", "Closed", IF(WFTracker[[#This Row],[Status]] = "x", "Cancelled", WFTracker[[#This Row],[Impact Time Post RM]]))</f>
        <v>Closed</v>
      </c>
      <c r="AI577" s="14" t="str">
        <f ca="1">IF(WFTracker[[#This Row],[Impact Time Post RM]]&lt;=0,"ON TIME","LATE")</f>
        <v>LATE</v>
      </c>
      <c r="AJ577" s="14" t="s">
        <v>984</v>
      </c>
      <c r="AK577" s="14">
        <v>17</v>
      </c>
      <c r="AL577" s="915">
        <f>IF(WFTracker[[#This Row],[Type]]="MAKE", WFTracker[[#This Row],[Due date]]+Filters!$J$111, WFTracker[[#This Row],[Due date]]+Filters!$J$135)</f>
        <v>45999.415686274508</v>
      </c>
      <c r="AM577" s="102" cm="1">
        <f t="array" ref="AM5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8" spans="1:39" ht="15" customHeight="1">
      <c r="A578" t="str">
        <f>IF(WFTracker[[#This Row],[Order Number]]="SWBD", "QED2", "PZ4")</f>
        <v>PZ4</v>
      </c>
      <c r="B578" s="21" t="s">
        <v>418</v>
      </c>
      <c r="C578" s="23" t="s">
        <v>1218</v>
      </c>
      <c r="D578" s="23" t="s">
        <v>1498</v>
      </c>
      <c r="E578" s="23" t="s">
        <v>419</v>
      </c>
      <c r="F578" s="12">
        <v>45985</v>
      </c>
      <c r="G578" s="12"/>
      <c r="H578" t="s">
        <v>99</v>
      </c>
      <c r="I578" t="s">
        <v>24</v>
      </c>
      <c r="J578" s="909" t="s">
        <v>1499</v>
      </c>
      <c r="K578" s="14" t="s">
        <v>1023</v>
      </c>
      <c r="L578" s="15" t="s">
        <v>40</v>
      </c>
      <c r="M578" s="29" t="s">
        <v>1120</v>
      </c>
      <c r="N578" s="57">
        <v>46026</v>
      </c>
      <c r="O578" s="29">
        <f>NETWORKDAYS.INTL(WFTracker[[#This Row],[Start date]],WFTracker[[#This Row],[RM]],1,Holidays!D33:D46)</f>
        <v>-7</v>
      </c>
      <c r="P578" s="27">
        <v>45993</v>
      </c>
      <c r="Q578" s="27">
        <v>46003</v>
      </c>
      <c r="R578" s="27">
        <v>45999</v>
      </c>
      <c r="S578" s="27" t="b">
        <f>ISBLANK(WFTracker[[#This Row],[Completion Date]])</f>
        <v>0</v>
      </c>
      <c r="T578" s="27" t="str">
        <f>TEXT(WFTracker[[#This Row],[Start date]],"mmm-yyyy")</f>
        <v>Dec-2025</v>
      </c>
      <c r="U578" s="11">
        <v>10</v>
      </c>
      <c r="V578" s="11">
        <f>NETWORKDAYS.INTL(WFTracker[[#This Row],[Start date]],WFTracker[[#This Row],[Due date]],1,Holidays!D33:D46)</f>
        <v>9</v>
      </c>
      <c r="W5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78" s="30">
        <f ca="1">WFTracker[[#This Row],[Active Time]]-WFTracker[[#This Row],[Completion Days Template]]</f>
        <v>-4</v>
      </c>
      <c r="Y578" s="34" t="str">
        <f ca="1" xml:space="preserve"> IF(WFTracker[[#This Row],[Overdue Time '[Expected-Completion']]]&gt;0, "LATE","ON TIME")</f>
        <v>ON TIME</v>
      </c>
      <c r="Z578" s="34" t="str">
        <f ca="1">IF(WFTracker[[#This Row],[Overdue Time '[Expected-Completion']]] &gt;= 15, "SUPER LATE", Y578)</f>
        <v>ON TIME</v>
      </c>
      <c r="AA578" s="105" t="str">
        <f>IF(WFTracker[[#This Row],[Pre RM Opening Time]]&lt;WFTracker[[#This Row],[Old vs New Order Lead Time WF dead line]], "LATE BY ENG", "ON TIME BY ENG")</f>
        <v>LATE BY ENG</v>
      </c>
      <c r="AB578" s="105" t="s">
        <v>1500</v>
      </c>
      <c r="AC578" s="15" t="str">
        <f>IF(WFTracker[[#This Row],[Competion Date Content]] = FALSE, "C", "i")</f>
        <v>C</v>
      </c>
      <c r="AD5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578" s="25" t="str">
        <f ca="1">IF(WFTracker[[#This Row],[Impact Time Post RM]]&gt;0, "IMPACTED", "NOT IMPACTED")</f>
        <v>IMPACTED</v>
      </c>
      <c r="AF578" s="15"/>
      <c r="AG578" s="42"/>
      <c r="AH578" s="14" t="str">
        <f>IF(WFTracker[[#This Row],[Status]]="C", "Closed", IF(WFTracker[[#This Row],[Status]] = "x", "Cancelled", WFTracker[[#This Row],[Impact Time Post RM]]))</f>
        <v>Closed</v>
      </c>
      <c r="AI578" s="14" t="str">
        <f ca="1">IF(WFTracker[[#This Row],[Impact Time Post RM]]&lt;=0,"ON TIME","LATE")</f>
        <v>LATE</v>
      </c>
      <c r="AJ578" s="14" t="s">
        <v>984</v>
      </c>
      <c r="AK578" s="28">
        <v>17</v>
      </c>
      <c r="AL578" s="915">
        <f>IF(WFTracker[[#This Row],[Type]]="MAKE", WFTracker[[#This Row],[Due date]]+Filters!$J$111, WFTracker[[#This Row],[Due date]]+Filters!$J$135)</f>
        <v>46003.415686274508</v>
      </c>
      <c r="AM578" s="102" cm="1">
        <f t="array" ref="AM57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79" spans="1:39" ht="15" customHeight="1">
      <c r="A579" t="str">
        <f>IF(WFTracker[[#This Row],[Order Number]]="SWBD", "QED2", "PZ4")</f>
        <v>PZ4</v>
      </c>
      <c r="B579" s="21" t="s">
        <v>667</v>
      </c>
      <c r="C579" s="26" t="s">
        <v>385</v>
      </c>
      <c r="D579" s="23" t="str">
        <f>WFTracker[[#This Row],[Order Number]]  &amp; "-" &amp; WFTracker[[#This Row],[Item]]</f>
        <v>0051024393-000310</v>
      </c>
      <c r="E579" s="23" t="s">
        <v>668</v>
      </c>
      <c r="F579" s="12">
        <v>46013</v>
      </c>
      <c r="G579" s="12">
        <v>46006</v>
      </c>
      <c r="H579" s="11" t="s">
        <v>259</v>
      </c>
      <c r="I579" s="11" t="s">
        <v>216</v>
      </c>
      <c r="J579" s="122" t="s">
        <v>1501</v>
      </c>
      <c r="K579" s="14" t="s">
        <v>1017</v>
      </c>
      <c r="L579" s="15" t="s">
        <v>27</v>
      </c>
      <c r="M579" s="29" t="s">
        <v>1123</v>
      </c>
      <c r="N579" s="57">
        <v>46090</v>
      </c>
      <c r="O579" s="15">
        <f>NETWORKDAYS.INTL(WFTracker[[#This Row],[Start date]],WFTracker[[#This Row],[RM]],1,Holidays!D354:D369)</f>
        <v>15</v>
      </c>
      <c r="P579" s="12">
        <v>45993</v>
      </c>
      <c r="Q579" s="12">
        <v>46001</v>
      </c>
      <c r="R579" s="12">
        <v>45994</v>
      </c>
      <c r="S579" s="12" t="b">
        <f>ISBLANK(WFTracker[[#This Row],[Completion Date]])</f>
        <v>0</v>
      </c>
      <c r="T579" s="12" t="str">
        <f>TEXT(WFTracker[[#This Row],[Start date]],"mmm-yyyy")</f>
        <v>Dec-2025</v>
      </c>
      <c r="U579" s="11">
        <v>10</v>
      </c>
      <c r="V579" s="11">
        <f>NETWORKDAYS.INTL(WFTracker[[#This Row],[Start date]],WFTracker[[#This Row],[Due date]],1,Holidays!D354:D369)</f>
        <v>7</v>
      </c>
      <c r="W5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79" s="24">
        <f ca="1">WFTracker[[#This Row],[Active Time]]-WFTracker[[#This Row],[Completion Days Template]]</f>
        <v>-5</v>
      </c>
      <c r="Y579" s="16" t="str">
        <f ca="1" xml:space="preserve"> IF(WFTracker[[#This Row],[Overdue Time '[Expected-Completion']]]&gt;0, "LATE","ON TIME")</f>
        <v>ON TIME</v>
      </c>
      <c r="Z579" s="16" t="str">
        <f ca="1">IF(WFTracker[[#This Row],[Overdue Time '[Expected-Completion']]] &gt;= 15, "SUPER LATE", Y579)</f>
        <v>ON TIME</v>
      </c>
      <c r="AA579" s="37" t="str">
        <f>IF(WFTracker[[#This Row],[Pre RM Opening Time]]&lt;WFTracker[[#This Row],[Old vs New Order Lead Time WF dead line]], "LATE BY ENG", "ON TIME BY ENG")</f>
        <v>ON TIME BY ENG</v>
      </c>
      <c r="AB579" s="37"/>
      <c r="AC579" s="15" t="s">
        <v>46</v>
      </c>
      <c r="AD5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579" s="37" t="str">
        <f ca="1">IF(WFTracker[[#This Row],[Impact Time Post RM]]&gt;0, "IMPACTED", "NOT IMPACTED")</f>
        <v>NOT IMPACTED</v>
      </c>
      <c r="AF579" s="15"/>
      <c r="AG579" s="18"/>
      <c r="AH579" s="14" t="str">
        <f>IF(WFTracker[[#This Row],[Status]]="C", "Closed", IF(WFTracker[[#This Row],[Status]] = "x", "Cancelled", WFTracker[[#This Row],[Impact Time Post RM]]))</f>
        <v>Cancelled</v>
      </c>
      <c r="AI579" s="14" t="str">
        <f ca="1">IF(WFTracker[[#This Row],[Impact Time Post RM]]&lt;=0,"ON TIME","LATE")</f>
        <v>ON TIME</v>
      </c>
      <c r="AJ579" s="14" t="s">
        <v>984</v>
      </c>
      <c r="AK579" s="14">
        <v>0</v>
      </c>
      <c r="AL579" s="915">
        <f>IF(WFTracker[[#This Row],[Type]]="MAKE", WFTracker[[#This Row],[Due date]]+Filters!$J$111, WFTracker[[#This Row],[Due date]]+Filters!$J$135)</f>
        <v>46004.072512647552</v>
      </c>
      <c r="AM579" s="102" cm="1">
        <f t="array" ref="AM579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80" spans="1:39" ht="15" customHeight="1">
      <c r="A580" t="str">
        <f>IF(WFTracker[[#This Row],[Order Number]]="SWBD", "QED2", "PZ4")</f>
        <v>PZ4</v>
      </c>
      <c r="B580" s="21" t="s">
        <v>436</v>
      </c>
      <c r="C580" s="26" t="s">
        <v>165</v>
      </c>
      <c r="D580" s="23" t="str">
        <f>WFTracker[[#This Row],[Order Number]]  &amp; "-" &amp; WFTracker[[#This Row],[Item]]</f>
        <v>0051436816-000030</v>
      </c>
      <c r="E580" s="23" t="s">
        <v>437</v>
      </c>
      <c r="F580" s="41">
        <v>46017</v>
      </c>
      <c r="G580" s="12">
        <v>46010</v>
      </c>
      <c r="H580" s="11" t="s">
        <v>113</v>
      </c>
      <c r="I580" s="11" t="s">
        <v>37</v>
      </c>
      <c r="J580" s="122" t="s">
        <v>693</v>
      </c>
      <c r="K580" s="14" t="s">
        <v>1017</v>
      </c>
      <c r="L580" s="15" t="s">
        <v>27</v>
      </c>
      <c r="M580" s="29" t="s">
        <v>438</v>
      </c>
      <c r="N580" s="57">
        <v>46098</v>
      </c>
      <c r="O580" s="15">
        <f>NETWORKDAYS.INTL(WFTracker[[#This Row],[Start date]],WFTracker[[#This Row],[RM]],1,Holidays!D394:D409)</f>
        <v>19</v>
      </c>
      <c r="P580" s="12">
        <v>45993</v>
      </c>
      <c r="Q580" s="12">
        <v>46000</v>
      </c>
      <c r="R580" s="12">
        <v>46000</v>
      </c>
      <c r="S580" s="12" t="b">
        <f>ISBLANK(WFTracker[[#This Row],[Completion Date]])</f>
        <v>0</v>
      </c>
      <c r="T580" s="12" t="str">
        <f>TEXT(WFTracker[[#This Row],[Start date]],"mmm-yyyy")</f>
        <v>Dec-2025</v>
      </c>
      <c r="U580" s="11">
        <v>10</v>
      </c>
      <c r="V580" s="11">
        <f>NETWORKDAYS.INTL(WFTracker[[#This Row],[Start date]],WFTracker[[#This Row],[Due date]],1,Holidays!D394:D409)</f>
        <v>6</v>
      </c>
      <c r="W5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580" s="24">
        <f ca="1">WFTracker[[#This Row],[Active Time]]-WFTracker[[#This Row],[Completion Days Template]]</f>
        <v>0</v>
      </c>
      <c r="Y580" s="16" t="str">
        <f ca="1" xml:space="preserve"> IF(WFTracker[[#This Row],[Overdue Time '[Expected-Completion']]]&gt;0, "LATE","ON TIME")</f>
        <v>ON TIME</v>
      </c>
      <c r="Z580" s="16" t="str">
        <f ca="1">IF(WFTracker[[#This Row],[Overdue Time '[Expected-Completion']]] &gt;= 15, "SUPER LATE", Y580)</f>
        <v>ON TIME</v>
      </c>
      <c r="AA580" s="37" t="str">
        <f>IF(WFTracker[[#This Row],[Pre RM Opening Time]]&lt;WFTracker[[#This Row],[Old vs New Order Lead Time WF dead line]], "LATE BY ENG", "ON TIME BY ENG")</f>
        <v>ON TIME BY ENG</v>
      </c>
      <c r="AB580" s="37"/>
      <c r="AC580" s="15" t="str">
        <f>IF(WFTracker[[#This Row],[Competion Date Content]] = FALSE, "C", "i")</f>
        <v>C</v>
      </c>
      <c r="AD5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80" s="37" t="str">
        <f ca="1">IF(WFTracker[[#This Row],[Impact Time Post RM]]&gt;0, "IMPACTED", "NOT IMPACTED")</f>
        <v>NOT IMPACTED</v>
      </c>
      <c r="AF580" s="15"/>
      <c r="AG580" s="18"/>
      <c r="AH580" s="14" t="str">
        <f>IF(WFTracker[[#This Row],[Status]]="C", "Closed", IF(WFTracker[[#This Row],[Status]] = "x", "Cancelled", WFTracker[[#This Row],[Impact Time Post RM]]))</f>
        <v>Closed</v>
      </c>
      <c r="AI580" s="14" t="str">
        <f ca="1">IF(WFTracker[[#This Row],[Impact Time Post RM]]&lt;=0,"ON TIME","LATE")</f>
        <v>ON TIME</v>
      </c>
      <c r="AJ580" s="14" t="s">
        <v>984</v>
      </c>
      <c r="AK580" s="14">
        <v>18</v>
      </c>
      <c r="AL580" s="915">
        <f>IF(WFTracker[[#This Row],[Type]]="MAKE", WFTracker[[#This Row],[Due date]]+Filters!$J$111, WFTracker[[#This Row],[Due date]]+Filters!$J$135)</f>
        <v>46003.072512647552</v>
      </c>
      <c r="AM580" s="102" cm="1">
        <f t="array" ref="AM5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1" spans="1:39" ht="15" customHeight="1">
      <c r="A581" t="str">
        <f>IF(WFTracker[[#This Row],[Order Number]]="SWBD", "QED2", "PZ4")</f>
        <v>PZ4</v>
      </c>
      <c r="B581" s="21" t="s">
        <v>436</v>
      </c>
      <c r="C581" s="23" t="s">
        <v>165</v>
      </c>
      <c r="D581" s="23" t="s">
        <v>1502</v>
      </c>
      <c r="E581" s="23" t="s">
        <v>437</v>
      </c>
      <c r="F581" s="41">
        <v>46017</v>
      </c>
      <c r="G581" s="12">
        <v>46010</v>
      </c>
      <c r="H581" s="11" t="s">
        <v>113</v>
      </c>
      <c r="I581" t="s">
        <v>37</v>
      </c>
      <c r="J581" s="55" t="s">
        <v>1503</v>
      </c>
      <c r="K581" s="14" t="s">
        <v>1023</v>
      </c>
      <c r="L581" s="15" t="s">
        <v>40</v>
      </c>
      <c r="M581" s="29" t="s">
        <v>438</v>
      </c>
      <c r="N581" s="57">
        <v>46091</v>
      </c>
      <c r="O581" s="15">
        <f>NETWORKDAYS.INTL(WFTracker[[#This Row],[Start date]],WFTracker[[#This Row],[RM]],1,Holidays!D395:D410)</f>
        <v>19</v>
      </c>
      <c r="P581" s="12">
        <v>45993</v>
      </c>
      <c r="Q581" s="12">
        <v>46003</v>
      </c>
      <c r="R581" s="12">
        <v>46009</v>
      </c>
      <c r="S581" s="12" t="b">
        <f>ISBLANK(WFTracker[[#This Row],[Completion Date]])</f>
        <v>0</v>
      </c>
      <c r="T581" s="12" t="str">
        <f>TEXT(WFTracker[[#This Row],[Start date]],"mmm-yyyy")</f>
        <v>Dec-2025</v>
      </c>
      <c r="U581" s="11">
        <v>10</v>
      </c>
      <c r="V581" s="11">
        <f>NETWORKDAYS.INTL(WFTracker[[#This Row],[Start date]],WFTracker[[#This Row],[Due date]],1,Holidays!D395:D410)</f>
        <v>9</v>
      </c>
      <c r="W5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581" s="24">
        <f ca="1">WFTracker[[#This Row],[Active Time]]-WFTracker[[#This Row],[Completion Days Template]]</f>
        <v>3</v>
      </c>
      <c r="Y581" s="16" t="str">
        <f ca="1" xml:space="preserve"> IF(WFTracker[[#This Row],[Overdue Time '[Expected-Completion']]]&gt;0, "LATE","ON TIME")</f>
        <v>LATE</v>
      </c>
      <c r="Z581" s="16" t="str">
        <f ca="1">IF(WFTracker[[#This Row],[Overdue Time '[Expected-Completion']]] &gt;= 15, "SUPER LATE", Y581)</f>
        <v>LATE</v>
      </c>
      <c r="AA581" s="37" t="str">
        <f>IF(WFTracker[[#This Row],[Pre RM Opening Time]]&lt;WFTracker[[#This Row],[Old vs New Order Lead Time WF dead line]], "LATE BY ENG", "ON TIME BY ENG")</f>
        <v>ON TIME BY ENG</v>
      </c>
      <c r="AB581" s="37"/>
      <c r="AC581" s="15" t="str">
        <f>IF(WFTracker[[#This Row],[Competion Date Content]] = FALSE, "C", "i")</f>
        <v>C</v>
      </c>
      <c r="AD5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81" s="37" t="str">
        <f ca="1">IF(WFTracker[[#This Row],[Impact Time Post RM]]&gt;0, "IMPACTED", "NOT IMPACTED")</f>
        <v>NOT IMPACTED</v>
      </c>
      <c r="AF581" s="15"/>
      <c r="AG581" s="18"/>
      <c r="AH581" s="14" t="str">
        <f>IF(WFTracker[[#This Row],[Status]]="C", "Closed", IF(WFTracker[[#This Row],[Status]] = "x", "Cancelled", WFTracker[[#This Row],[Impact Time Post RM]]))</f>
        <v>Closed</v>
      </c>
      <c r="AI581" s="14" t="str">
        <f ca="1">IF(WFTracker[[#This Row],[Impact Time Post RM]]&lt;=0,"ON TIME","LATE")</f>
        <v>ON TIME</v>
      </c>
      <c r="AJ581" s="14" t="s">
        <v>984</v>
      </c>
      <c r="AK581" s="14">
        <v>17</v>
      </c>
      <c r="AL581" s="915">
        <f>IF(WFTracker[[#This Row],[Type]]="MAKE", WFTracker[[#This Row],[Due date]]+Filters!$J$111, WFTracker[[#This Row],[Due date]]+Filters!$J$135)</f>
        <v>46003.415686274508</v>
      </c>
      <c r="AM581" s="102" cm="1">
        <f t="array" ref="AM5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2" spans="1:39" ht="15" customHeight="1">
      <c r="A582" t="str">
        <f>IF(WFTracker[[#This Row],[Order Number]]="SWBD", "QED2", "PZ4")</f>
        <v>PZ4</v>
      </c>
      <c r="B582" s="21" t="s">
        <v>1504</v>
      </c>
      <c r="C582" s="26" t="s">
        <v>867</v>
      </c>
      <c r="D582" s="23" t="str">
        <f>WFTracker[[#This Row],[Order Number]]  &amp; "-" &amp; WFTracker[[#This Row],[Item]]</f>
        <v xml:space="preserve">
0051095105-000410</v>
      </c>
      <c r="E582" s="23" t="s">
        <v>652</v>
      </c>
      <c r="F582" s="12">
        <v>45996</v>
      </c>
      <c r="G582" s="12">
        <v>45989</v>
      </c>
      <c r="H582" s="11" t="s">
        <v>80</v>
      </c>
      <c r="I582" s="11" t="s">
        <v>24</v>
      </c>
      <c r="J582" s="55" t="s">
        <v>1505</v>
      </c>
      <c r="K582" s="14" t="s">
        <v>1023</v>
      </c>
      <c r="L582" s="15" t="s">
        <v>40</v>
      </c>
      <c r="M582" s="29" t="s">
        <v>1120</v>
      </c>
      <c r="N582" s="57">
        <v>46098</v>
      </c>
      <c r="O582" s="15">
        <f>NETWORKDAYS.INTL(WFTracker[[#This Row],[Start date]],WFTracker[[#This Row],[RM]],1,Holidays!D79:D94)</f>
        <v>3</v>
      </c>
      <c r="P582" s="12">
        <v>45994</v>
      </c>
      <c r="Q582" s="12">
        <v>46006</v>
      </c>
      <c r="R582" s="12">
        <v>46000</v>
      </c>
      <c r="S582" s="12" t="b">
        <f>ISBLANK(WFTracker[[#This Row],[Completion Date]])</f>
        <v>0</v>
      </c>
      <c r="T582" s="12" t="str">
        <f>TEXT(WFTracker[[#This Row],[Start date]],"mmm-yyyy")</f>
        <v>Dec-2025</v>
      </c>
      <c r="U582" s="11">
        <v>10</v>
      </c>
      <c r="V582" s="11">
        <f>NETWORKDAYS.INTL(WFTracker[[#This Row],[Start date]],WFTracker[[#This Row],[Due date]],1,Holidays!D79:D94)</f>
        <v>9</v>
      </c>
      <c r="W5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582" s="24">
        <f ca="1">WFTracker[[#This Row],[Active Time]]-WFTracker[[#This Row],[Completion Days Template]]</f>
        <v>-4</v>
      </c>
      <c r="Y582" s="16" t="str">
        <f ca="1" xml:space="preserve"> IF(WFTracker[[#This Row],[Overdue Time '[Expected-Completion']]]&gt;0, "LATE","ON TIME")</f>
        <v>ON TIME</v>
      </c>
      <c r="Z582" s="16" t="str">
        <f ca="1">IF(WFTracker[[#This Row],[Overdue Time '[Expected-Completion']]] &gt;= 15, "SUPER LATE", Y582)</f>
        <v>ON TIME</v>
      </c>
      <c r="AA582" s="37" t="str">
        <f>IF(WFTracker[[#This Row],[Pre RM Opening Time]]&lt;WFTracker[[#This Row],[Old vs New Order Lead Time WF dead line]], "LATE BY ENG", "ON TIME BY ENG")</f>
        <v>LATE BY ENG</v>
      </c>
      <c r="AB582" s="37"/>
      <c r="AC582" s="15" t="str">
        <f>IF(WFTracker[[#This Row],[Competion Date Content]] = FALSE, "C", "i")</f>
        <v>C</v>
      </c>
      <c r="AD5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582" s="25" t="str">
        <f ca="1">IF(WFTracker[[#This Row],[Impact Time Post RM]]&gt;0, "IMPACTED", "NOT IMPACTED")</f>
        <v>IMPACTED</v>
      </c>
      <c r="AF582" s="15"/>
      <c r="AG582" s="18"/>
      <c r="AH582" s="14" t="str">
        <f>IF(WFTracker[[#This Row],[Status]]="C", "Closed", IF(WFTracker[[#This Row],[Status]] = "x", "Cancelled", WFTracker[[#This Row],[Impact Time Post RM]]))</f>
        <v>Closed</v>
      </c>
      <c r="AI582" s="14" t="str">
        <f ca="1">IF(WFTracker[[#This Row],[Impact Time Post RM]]&lt;=0,"ON TIME","LATE")</f>
        <v>LATE</v>
      </c>
      <c r="AJ582" s="14" t="s">
        <v>984</v>
      </c>
      <c r="AK582" s="14">
        <v>17</v>
      </c>
      <c r="AL582" s="915">
        <f>IF(WFTracker[[#This Row],[Type]]="MAKE", WFTracker[[#This Row],[Due date]]+Filters!$J$111, WFTracker[[#This Row],[Due date]]+Filters!$J$135)</f>
        <v>46006.415686274508</v>
      </c>
      <c r="AM582" s="102" cm="1">
        <f t="array" ref="AM5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3" spans="1:39" ht="15" customHeight="1">
      <c r="A583" t="str">
        <f>IF(WFTracker[[#This Row],[Order Number]]="SWBD", "QED2", "PZ4")</f>
        <v>PZ4</v>
      </c>
      <c r="B583" s="21" t="s">
        <v>1506</v>
      </c>
      <c r="C583" s="26" t="s">
        <v>97</v>
      </c>
      <c r="D583" s="23" t="str">
        <f>WFTracker[[#This Row],[Order Number]]  &amp; "-" &amp; WFTracker[[#This Row],[Item]]</f>
        <v xml:space="preserve">
0051436816-000130</v>
      </c>
      <c r="E583" s="23" t="s">
        <v>437</v>
      </c>
      <c r="F583" s="41">
        <v>46017</v>
      </c>
      <c r="G583" s="12">
        <v>46010</v>
      </c>
      <c r="H583" s="11" t="s">
        <v>113</v>
      </c>
      <c r="I583" s="11" t="s">
        <v>37</v>
      </c>
      <c r="J583" s="55" t="s">
        <v>696</v>
      </c>
      <c r="K583" s="14" t="s">
        <v>1023</v>
      </c>
      <c r="L583" s="15" t="s">
        <v>27</v>
      </c>
      <c r="M583" s="29" t="s">
        <v>438</v>
      </c>
      <c r="N583" s="57">
        <v>46139</v>
      </c>
      <c r="O583" s="15">
        <f>NETWORKDAYS.INTL(WFTracker[[#This Row],[Start date]],WFTracker[[#This Row],[RM]],1,Holidays!D380:D395)</f>
        <v>18</v>
      </c>
      <c r="P583" s="12">
        <v>45994</v>
      </c>
      <c r="Q583" s="12">
        <v>46002</v>
      </c>
      <c r="R583" s="12">
        <v>46009</v>
      </c>
      <c r="S583" s="12" t="b">
        <f>ISBLANK(WFTracker[[#This Row],[Completion Date]])</f>
        <v>0</v>
      </c>
      <c r="T583" s="12" t="str">
        <f>TEXT(WFTracker[[#This Row],[Start date]],"mmm-yyyy")</f>
        <v>Dec-2025</v>
      </c>
      <c r="U583" s="11">
        <v>10</v>
      </c>
      <c r="V583" s="11">
        <f>NETWORKDAYS.INTL(WFTracker[[#This Row],[Start date]],WFTracker[[#This Row],[Due date]],1,Holidays!D380:D395)</f>
        <v>7</v>
      </c>
      <c r="W5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583" s="24">
        <f ca="1">WFTracker[[#This Row],[Active Time]]-WFTracker[[#This Row],[Completion Days Template]]</f>
        <v>4</v>
      </c>
      <c r="Y583" s="16" t="str">
        <f ca="1" xml:space="preserve"> IF(WFTracker[[#This Row],[Overdue Time '[Expected-Completion']]]&gt;0, "LATE","ON TIME")</f>
        <v>LATE</v>
      </c>
      <c r="Z583" s="16" t="str">
        <f ca="1">IF(WFTracker[[#This Row],[Overdue Time '[Expected-Completion']]] &gt;= 15, "SUPER LATE", Y583)</f>
        <v>LATE</v>
      </c>
      <c r="AA583" s="37" t="str">
        <f>IF(WFTracker[[#This Row],[Pre RM Opening Time]]&lt;WFTracker[[#This Row],[Old vs New Order Lead Time WF dead line]], "LATE BY ENG", "ON TIME BY ENG")</f>
        <v>ON TIME BY ENG</v>
      </c>
      <c r="AB583" s="37"/>
      <c r="AC583" s="15" t="str">
        <f>IF(WFTracker[[#This Row],[Competion Date Content]] = FALSE, "C", "i")</f>
        <v>C</v>
      </c>
      <c r="AD5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83" s="37" t="str">
        <f ca="1">IF(WFTracker[[#This Row],[Impact Time Post RM]]&gt;0, "IMPACTED", "NOT IMPACTED")</f>
        <v>NOT IMPACTED</v>
      </c>
      <c r="AF583" s="15"/>
      <c r="AG583" s="18"/>
      <c r="AH583" s="14" t="str">
        <f>IF(WFTracker[[#This Row],[Status]]="C", "Closed", IF(WFTracker[[#This Row],[Status]] = "x", "Cancelled", WFTracker[[#This Row],[Impact Time Post RM]]))</f>
        <v>Closed</v>
      </c>
      <c r="AI583" s="14" t="str">
        <f ca="1">IF(WFTracker[[#This Row],[Impact Time Post RM]]&lt;=0,"ON TIME","LATE")</f>
        <v>ON TIME</v>
      </c>
      <c r="AJ583" s="14" t="s">
        <v>984</v>
      </c>
      <c r="AK583" s="14">
        <v>18</v>
      </c>
      <c r="AL583" s="915">
        <f>IF(WFTracker[[#This Row],[Type]]="MAKE", WFTracker[[#This Row],[Due date]]+Filters!$J$111, WFTracker[[#This Row],[Due date]]+Filters!$J$135)</f>
        <v>46005.072512647552</v>
      </c>
      <c r="AM583" s="102" cm="1">
        <f t="array" ref="AM5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4" spans="1:39" ht="15" customHeight="1">
      <c r="A584" t="str">
        <f>IF(WFTracker[[#This Row],[Order Number]]="SWBD", "QED2", "PZ4")</f>
        <v>PZ4</v>
      </c>
      <c r="B584" s="21" t="s">
        <v>436</v>
      </c>
      <c r="C584" s="26" t="s">
        <v>97</v>
      </c>
      <c r="D584" s="23" t="str">
        <f>WFTracker[[#This Row],[Order Number]]  &amp; "-" &amp; WFTracker[[#This Row],[Item]]</f>
        <v>0051436816-000130</v>
      </c>
      <c r="E584" s="23" t="s">
        <v>437</v>
      </c>
      <c r="F584" s="41">
        <v>46017</v>
      </c>
      <c r="G584" s="12">
        <v>46010</v>
      </c>
      <c r="H584" s="11" t="s">
        <v>113</v>
      </c>
      <c r="I584" s="11" t="s">
        <v>37</v>
      </c>
      <c r="J584" s="55" t="s">
        <v>1507</v>
      </c>
      <c r="K584" s="14" t="s">
        <v>1023</v>
      </c>
      <c r="L584" s="15" t="s">
        <v>40</v>
      </c>
      <c r="M584" s="29" t="s">
        <v>438</v>
      </c>
      <c r="N584" s="57">
        <v>46139</v>
      </c>
      <c r="O584" s="15">
        <f>NETWORKDAYS.INTL(WFTracker[[#This Row],[Start date]],WFTracker[[#This Row],[RM]],1,Holidays!D381:D396)</f>
        <v>18</v>
      </c>
      <c r="P584" s="12">
        <v>45994</v>
      </c>
      <c r="Q584" s="12">
        <v>46006</v>
      </c>
      <c r="R584" s="12">
        <v>46002</v>
      </c>
      <c r="S584" s="12" t="b">
        <f>ISBLANK(WFTracker[[#This Row],[Completion Date]])</f>
        <v>0</v>
      </c>
      <c r="T584" s="12" t="str">
        <f>TEXT(WFTracker[[#This Row],[Start date]],"mmm-yyyy")</f>
        <v>Dec-2025</v>
      </c>
      <c r="U584" s="11">
        <v>10</v>
      </c>
      <c r="V584" s="11">
        <f>NETWORKDAYS.INTL(WFTracker[[#This Row],[Start date]],WFTracker[[#This Row],[Due date]],1,Holidays!D381:D396)</f>
        <v>9</v>
      </c>
      <c r="W5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584" s="24">
        <f ca="1">WFTracker[[#This Row],[Active Time]]-WFTracker[[#This Row],[Completion Days Template]]</f>
        <v>-2</v>
      </c>
      <c r="Y584" s="16" t="str">
        <f ca="1" xml:space="preserve"> IF(WFTracker[[#This Row],[Overdue Time '[Expected-Completion']]]&gt;0, "LATE","ON TIME")</f>
        <v>ON TIME</v>
      </c>
      <c r="Z584" s="16" t="str">
        <f ca="1">IF(WFTracker[[#This Row],[Overdue Time '[Expected-Completion']]] &gt;= 15, "SUPER LATE", Y584)</f>
        <v>ON TIME</v>
      </c>
      <c r="AA584" s="37" t="str">
        <f>IF(WFTracker[[#This Row],[Pre RM Opening Time]]&lt;WFTracker[[#This Row],[Old vs New Order Lead Time WF dead line]], "LATE BY ENG", "ON TIME BY ENG")</f>
        <v>ON TIME BY ENG</v>
      </c>
      <c r="AB584" s="37"/>
      <c r="AC584" s="15" t="str">
        <f>IF(WFTracker[[#This Row],[Competion Date Content]] = FALSE, "C", "i")</f>
        <v>C</v>
      </c>
      <c r="AD5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584" s="25" t="str">
        <f ca="1">IF(WFTracker[[#This Row],[Impact Time Post RM]]&gt;0, "IMPACTED", "NOT IMPACTED")</f>
        <v>NOT IMPACTED</v>
      </c>
      <c r="AF584" s="15"/>
      <c r="AG584" s="18"/>
      <c r="AH584" s="14" t="str">
        <f>IF(WFTracker[[#This Row],[Status]]="C", "Closed", IF(WFTracker[[#This Row],[Status]] = "x", "Cancelled", WFTracker[[#This Row],[Impact Time Post RM]]))</f>
        <v>Closed</v>
      </c>
      <c r="AI584" s="14" t="str">
        <f ca="1">IF(WFTracker[[#This Row],[Impact Time Post RM]]&lt;=0,"ON TIME","LATE")</f>
        <v>ON TIME</v>
      </c>
      <c r="AJ584" s="14" t="s">
        <v>984</v>
      </c>
      <c r="AK584" s="14">
        <v>17</v>
      </c>
      <c r="AL584" s="915">
        <f>IF(WFTracker[[#This Row],[Type]]="MAKE", WFTracker[[#This Row],[Due date]]+Filters!$J$111, WFTracker[[#This Row],[Due date]]+Filters!$J$135)</f>
        <v>46006.415686274508</v>
      </c>
      <c r="AM584" s="102" cm="1">
        <f t="array" ref="AM5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5" spans="1:39" ht="15" customHeight="1">
      <c r="A585" t="str">
        <f>IF(WFTracker[[#This Row],[Order Number]]="SWBD", "QED2", "PZ4")</f>
        <v>PZ4</v>
      </c>
      <c r="B585" s="120" t="s">
        <v>730</v>
      </c>
      <c r="C585" s="26" t="s">
        <v>135</v>
      </c>
      <c r="D585" s="11" t="str">
        <f>WFTracker[[#This Row],[Order Number]]  &amp; "-" &amp; WFTracker[[#This Row],[Item]]</f>
        <v>0051620541-000010</v>
      </c>
      <c r="E585" s="23" t="s">
        <v>1025</v>
      </c>
      <c r="F585" s="12">
        <v>46038</v>
      </c>
      <c r="G585" s="12"/>
      <c r="H585" s="11" t="s">
        <v>252</v>
      </c>
      <c r="I585" s="11"/>
      <c r="J585" s="55" t="s">
        <v>1508</v>
      </c>
      <c r="K585" s="14" t="s">
        <v>1023</v>
      </c>
      <c r="L585" s="15" t="s">
        <v>1481</v>
      </c>
      <c r="M585" s="29" t="s">
        <v>1120</v>
      </c>
      <c r="N585" s="57">
        <v>46125</v>
      </c>
      <c r="O585" s="15">
        <f>NETWORKDAYS.INTL(WFTracker[[#This Row],[Start date]],WFTracker[[#This Row],[RM]],1,Holidays!D553:D568)</f>
        <v>33</v>
      </c>
      <c r="P585" s="12">
        <v>45994</v>
      </c>
      <c r="Q585" s="12">
        <v>46006</v>
      </c>
      <c r="R585" s="12">
        <v>45995</v>
      </c>
      <c r="S585" s="12" t="b">
        <f>ISBLANK(WFTracker[[#This Row],[Completion Date]])</f>
        <v>0</v>
      </c>
      <c r="T585" s="12" t="str">
        <f>TEXT(WFTracker[[#This Row],[Start date]],"mmm-yyyy")</f>
        <v>Dec-2025</v>
      </c>
      <c r="U585" s="11">
        <v>10</v>
      </c>
      <c r="V585" s="11">
        <f>NETWORKDAYS.INTL(WFTracker[[#This Row],[Start date]],WFTracker[[#This Row],[Due date]],1,Holidays!D553:D568)</f>
        <v>9</v>
      </c>
      <c r="W5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585" s="24">
        <f ca="1">WFTracker[[#This Row],[Active Time]]-WFTracker[[#This Row],[Completion Days Template]]</f>
        <v>-7</v>
      </c>
      <c r="Y585" s="16" t="str">
        <f ca="1" xml:space="preserve"> IF(WFTracker[[#This Row],[Overdue Time '[Expected-Completion']]]&gt;0, "LATE","ON TIME")</f>
        <v>ON TIME</v>
      </c>
      <c r="Z585" s="16" t="str">
        <f ca="1">IF(WFTracker[[#This Row],[Overdue Time '[Expected-Completion']]] &gt;= 15, "SUPER LATE", Y585)</f>
        <v>ON TIME</v>
      </c>
      <c r="AA585" s="37" t="str">
        <f>IF(WFTracker[[#This Row],[Pre RM Opening Time]]&lt;WFTracker[[#This Row],[Old vs New Order Lead Time WF dead line]], "LATE BY ENG", "ON TIME BY ENG")</f>
        <v>ON TIME BY ENG</v>
      </c>
      <c r="AB585" s="37"/>
      <c r="AC585" s="15" t="s">
        <v>1011</v>
      </c>
      <c r="AD5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585" s="37" t="str">
        <f ca="1">IF(WFTracker[[#This Row],[Impact Time Post RM]]&gt;0, "IMPACTED", "NOT IMPACTED")</f>
        <v>NOT IMPACTED</v>
      </c>
      <c r="AF585" s="15"/>
      <c r="AG585" s="18"/>
      <c r="AH585" s="14" t="str">
        <f>IF(WFTracker[[#This Row],[Status]]="C", "Closed", IF(WFTracker[[#This Row],[Status]] = "x", "Cancelled", WFTracker[[#This Row],[Impact Time Post RM]]))</f>
        <v>Cancelled</v>
      </c>
      <c r="AI585" s="14" t="str">
        <f ca="1">IF(WFTracker[[#This Row],[Impact Time Post RM]]&lt;=0,"ON TIME","LATE")</f>
        <v>ON TIME</v>
      </c>
      <c r="AJ585" s="14" t="s">
        <v>984</v>
      </c>
      <c r="AK585" s="14">
        <v>0</v>
      </c>
      <c r="AL585" s="915">
        <f>IF(WFTracker[[#This Row],[Type]]="MAKE", WFTracker[[#This Row],[Due date]]+Filters!$J$111, WFTracker[[#This Row],[Due date]]+Filters!$J$135)</f>
        <v>46006.415686274508</v>
      </c>
      <c r="AM585" s="102" cm="1">
        <f t="array" ref="AM585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586" spans="1:39" ht="15" customHeight="1">
      <c r="A586" t="str">
        <f>IF(WFTracker[[#This Row],[Order Number]]="SWBD", "QED2", "PZ4")</f>
        <v>PZ4</v>
      </c>
      <c r="B586" s="21" t="s">
        <v>730</v>
      </c>
      <c r="C586" s="109" t="s">
        <v>135</v>
      </c>
      <c r="D586" s="23" t="str">
        <f>WFTracker[[#This Row],[Order Number]]  &amp; "-" &amp; WFTracker[[#This Row],[Item]]</f>
        <v>0051620541-000010</v>
      </c>
      <c r="E586" s="23" t="s">
        <v>1025</v>
      </c>
      <c r="F586" s="12">
        <v>46038</v>
      </c>
      <c r="G586" s="27">
        <v>46031</v>
      </c>
      <c r="H586" t="s">
        <v>252</v>
      </c>
      <c r="J586" s="55" t="s">
        <v>1509</v>
      </c>
      <c r="K586" s="28" t="s">
        <v>1023</v>
      </c>
      <c r="L586" s="15" t="s">
        <v>27</v>
      </c>
      <c r="M586" s="29" t="s">
        <v>1120</v>
      </c>
      <c r="N586" s="57">
        <v>46128</v>
      </c>
      <c r="O586" s="29">
        <f>NETWORKDAYS.INTL(WFTracker[[#This Row],[Start date]],WFTracker[[#This Row],[RM]],1,Holidays!D544:D559)</f>
        <v>32</v>
      </c>
      <c r="P586" s="27">
        <v>45995</v>
      </c>
      <c r="Q586" s="27">
        <v>46002</v>
      </c>
      <c r="R586" s="27">
        <v>46017</v>
      </c>
      <c r="S586" s="27" t="b">
        <f>ISBLANK(WFTracker[[#This Row],[Completion Date]])</f>
        <v>0</v>
      </c>
      <c r="T586" s="27" t="str">
        <f>TEXT(WFTracker[[#This Row],[Start date]],"mmm-yyyy")</f>
        <v>Dec-2025</v>
      </c>
      <c r="U586" s="11">
        <v>10</v>
      </c>
      <c r="V586" s="11">
        <f>NETWORKDAYS.INTL(WFTracker[[#This Row],[Start date]],WFTracker[[#This Row],[Due date]],1,Holidays!D544:D559)</f>
        <v>6</v>
      </c>
      <c r="W5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586" s="30">
        <f ca="1">WFTracker[[#This Row],[Active Time]]-WFTracker[[#This Row],[Completion Days Template]]</f>
        <v>8</v>
      </c>
      <c r="Y586" s="34" t="str">
        <f ca="1" xml:space="preserve"> IF(WFTracker[[#This Row],[Overdue Time '[Expected-Completion']]]&gt;0, "LATE","ON TIME")</f>
        <v>LATE</v>
      </c>
      <c r="Z586" s="34" t="str">
        <f ca="1">IF(WFTracker[[#This Row],[Overdue Time '[Expected-Completion']]] &gt;= 15, "SUPER LATE", Y586)</f>
        <v>LATE</v>
      </c>
      <c r="AA586" s="105" t="str">
        <f>IF(WFTracker[[#This Row],[Pre RM Opening Time]]&lt;WFTracker[[#This Row],[Old vs New Order Lead Time WF dead line]], "LATE BY ENG", "ON TIME BY ENG")</f>
        <v>ON TIME BY ENG</v>
      </c>
      <c r="AB586" s="105"/>
      <c r="AC586" s="15" t="str">
        <f>IF(WFTracker[[#This Row],[Competion Date Content]] = FALSE, "C", "I")</f>
        <v>C</v>
      </c>
      <c r="AD5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-15</v>
      </c>
      <c r="AE586" s="105" t="str">
        <f ca="1">IF(WFTracker[[#This Row],[Impact Time Post RM]]&gt;0, "IMPACTED", "NOT IMPACTED")</f>
        <v>NOT IMPACTED</v>
      </c>
      <c r="AF586" s="15"/>
      <c r="AG586" s="42"/>
      <c r="AH586" s="14" t="str">
        <f>IF(WFTracker[[#This Row],[Status]]="C", "Closed", IF(WFTracker[[#This Row],[Status]] = "x", "Cancelled", WFTracker[[#This Row],[Impact Time Post RM]]))</f>
        <v>Closed</v>
      </c>
      <c r="AI586" s="14" t="str">
        <f ca="1">IF(WFTracker[[#This Row],[Impact Time Post RM]]&lt;=0,"ON TIME","LATE")</f>
        <v>ON TIME</v>
      </c>
      <c r="AJ586" s="14" t="s">
        <v>984</v>
      </c>
      <c r="AK586" s="14">
        <v>18</v>
      </c>
      <c r="AL586" s="915">
        <f>IF(WFTracker[[#This Row],[Type]]="MAKE", WFTracker[[#This Row],[Due date]]+Filters!$J$111, WFTracker[[#This Row],[Due date]]+Filters!$J$135)</f>
        <v>46005.072512647552</v>
      </c>
      <c r="AM586" s="102" cm="1">
        <f t="array" ref="AM5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7" spans="1:39" ht="15" customHeight="1">
      <c r="A587" t="str">
        <f>IF(WFTracker[[#This Row],[Order Number]]="SWBD", "QED2", "PZ4")</f>
        <v>QED2</v>
      </c>
      <c r="B587" s="120" t="s">
        <v>1239</v>
      </c>
      <c r="C587" s="109" t="s">
        <v>1482</v>
      </c>
      <c r="D587" s="23" t="str">
        <f>WFTracker[[#This Row],[Order Number]]  &amp; "-" &amp; WFTracker[[#This Row],[Item]]</f>
        <v>SWBD-META</v>
      </c>
      <c r="E587" s="11" t="s">
        <v>1428</v>
      </c>
      <c r="F587" s="12">
        <v>46006</v>
      </c>
      <c r="G587" s="12">
        <v>46009</v>
      </c>
      <c r="H587" s="11" t="s">
        <v>947</v>
      </c>
      <c r="I587" s="11" t="s">
        <v>1132</v>
      </c>
      <c r="J587" s="122" t="s">
        <v>1510</v>
      </c>
      <c r="K587" s="14" t="s">
        <v>1017</v>
      </c>
      <c r="L587" s="15" t="s">
        <v>40</v>
      </c>
      <c r="M587" s="29" t="s">
        <v>1120</v>
      </c>
      <c r="N587" s="57">
        <v>46009</v>
      </c>
      <c r="O587" s="15">
        <f>NETWORKDAYS.INTL(WFTracker[[#This Row],[Start date]],WFTracker[[#This Row],[RM]],1,Holidays!D148:D163)</f>
        <v>8</v>
      </c>
      <c r="P587" s="12">
        <v>45995</v>
      </c>
      <c r="Q587" s="12">
        <v>45999</v>
      </c>
      <c r="R587" s="12">
        <v>46000</v>
      </c>
      <c r="S587" s="12" t="b">
        <f>ISBLANK(WFTracker[[#This Row],[Completion Date]])</f>
        <v>0</v>
      </c>
      <c r="T587" s="12" t="str">
        <f>TEXT(WFTracker[[#This Row],[Start date]],"mmm-yyyy")</f>
        <v>Dec-2025</v>
      </c>
      <c r="U587" s="11">
        <v>5</v>
      </c>
      <c r="V587" s="11">
        <f>NETWORKDAYS.INTL(WFTracker[[#This Row],[Start date]],WFTracker[[#This Row],[Due date]],1,Holidays!D148:D163)</f>
        <v>3</v>
      </c>
      <c r="W5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87" s="24">
        <f ca="1">WFTracker[[#This Row],[Active Time]]-WFTracker[[#This Row],[Completion Days Template]]</f>
        <v>1</v>
      </c>
      <c r="Y587" s="16" t="str">
        <f ca="1" xml:space="preserve"> IF(WFTracker[[#This Row],[Overdue Time '[Expected-Completion']]]&gt;0, "LATE","ON TIME")</f>
        <v>LATE</v>
      </c>
      <c r="Z587" s="16" t="str">
        <f ca="1">IF(WFTracker[[#This Row],[Overdue Time '[Expected-Completion']]] &gt;= 15, "SUPER LATE", Y587)</f>
        <v>LATE</v>
      </c>
      <c r="AA587" s="37" t="str">
        <f>IF(WFTracker[[#This Row],[Pre RM Opening Time]]&lt;WFTracker[[#This Row],[Old vs New Order Lead Time WF dead line]], "LATE BY ENG", "ON TIME BY ENG")</f>
        <v>ON TIME BY ENG</v>
      </c>
      <c r="AB587" s="37"/>
      <c r="AC587" s="15" t="str">
        <f>IF(WFTracker[[#This Row],[Competion Date Content]] = FALSE, "C", "i")</f>
        <v>C</v>
      </c>
      <c r="AD5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87" s="37" t="str">
        <f ca="1">IF(WFTracker[[#This Row],[Impact Time Post RM]]&gt;0, "IMPACTED", "NOT IMPACTED")</f>
        <v>NOT IMPACTED</v>
      </c>
      <c r="AF587" s="15"/>
      <c r="AG587" s="18"/>
      <c r="AH587" s="14" t="str">
        <f>IF(WFTracker[[#This Row],[Status]]="C", "Closed", IF(WFTracker[[#This Row],[Status]] = "x", "Cancelled", WFTracker[[#This Row],[Impact Time Post RM]]))</f>
        <v>Closed</v>
      </c>
      <c r="AI587" s="14" t="str">
        <f ca="1">IF(WFTracker[[#This Row],[Impact Time Post RM]]&lt;=0,"ON TIME","LATE")</f>
        <v>ON TIME</v>
      </c>
      <c r="AJ587" s="14" t="s">
        <v>984</v>
      </c>
      <c r="AK587" s="14">
        <v>9</v>
      </c>
      <c r="AL587" s="915">
        <f>IF(WFTracker[[#This Row],[Type]]="MAKE", WFTracker[[#This Row],[Due date]]+Filters!$J$111, WFTracker[[#This Row],[Due date]]+Filters!$J$135)</f>
        <v>45999.415686274508</v>
      </c>
      <c r="AM587" s="102" cm="1">
        <f t="array" ref="AM587">_xlfn.IFS(WFTracker[[#This Row],[Type]]="BUY", WFTracker[[#This Row],[Task Number]]/17,
     WFTracker[[#This Row],[Type]]="MAKE", WFTracker[[#This Row],[Task Number]]/18,
     WFTracker[[#This Row],[Type]]="CNG-BOM", WFTracker[[#This Row],[Task Number]]/11)</f>
        <v>0.52941176470588236</v>
      </c>
    </row>
    <row r="588" spans="1:39" ht="15" customHeight="1">
      <c r="A588" t="str">
        <f>IF(WFTracker[[#This Row],[Order Number]]="SWBD", "QED2", "PZ4")</f>
        <v>QED2</v>
      </c>
      <c r="B588" s="120" t="s">
        <v>1239</v>
      </c>
      <c r="C588" s="26" t="s">
        <v>1482</v>
      </c>
      <c r="D588" s="23" t="str">
        <f>WFTracker[[#This Row],[Order Number]]  &amp; "-" &amp; WFTracker[[#This Row],[Item]]</f>
        <v>SWBD-META</v>
      </c>
      <c r="E588" s="11" t="s">
        <v>1428</v>
      </c>
      <c r="F588" s="12">
        <v>46006</v>
      </c>
      <c r="G588" s="12">
        <v>46006</v>
      </c>
      <c r="H588" s="11" t="s">
        <v>947</v>
      </c>
      <c r="I588" s="11" t="s">
        <v>1132</v>
      </c>
      <c r="J588" s="122" t="s">
        <v>1511</v>
      </c>
      <c r="K588" s="14" t="s">
        <v>1017</v>
      </c>
      <c r="L588" s="15" t="s">
        <v>27</v>
      </c>
      <c r="M588" s="29" t="s">
        <v>1120</v>
      </c>
      <c r="N588" s="57">
        <v>46009</v>
      </c>
      <c r="O588" s="15">
        <f>NETWORKDAYS.INTL(WFTracker[[#This Row],[Start date]],WFTracker[[#This Row],[RM]],1,Holidays!D149:D164)</f>
        <v>8</v>
      </c>
      <c r="P588" s="12">
        <v>45995</v>
      </c>
      <c r="Q588" s="12">
        <v>46006</v>
      </c>
      <c r="R588" s="12">
        <v>45999</v>
      </c>
      <c r="S588" s="12" t="b">
        <f>ISBLANK(WFTracker[[#This Row],[Completion Date]])</f>
        <v>0</v>
      </c>
      <c r="T588" s="12" t="str">
        <f>TEXT(WFTracker[[#This Row],[Start date]],"mmm-yyyy")</f>
        <v>Dec-2025</v>
      </c>
      <c r="U588" s="11">
        <v>5</v>
      </c>
      <c r="V588" s="11">
        <f>NETWORKDAYS.INTL(WFTracker[[#This Row],[Start date]],WFTracker[[#This Row],[Due date]],1,Holidays!D149:D164)</f>
        <v>8</v>
      </c>
      <c r="W5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588" s="24">
        <f ca="1">WFTracker[[#This Row],[Active Time]]-WFTracker[[#This Row],[Completion Days Template]]</f>
        <v>-5</v>
      </c>
      <c r="Y588" s="16" t="str">
        <f ca="1" xml:space="preserve"> IF(WFTracker[[#This Row],[Overdue Time '[Expected-Completion']]]&gt;0, "LATE","ON TIME")</f>
        <v>ON TIME</v>
      </c>
      <c r="Z588" s="16" t="str">
        <f ca="1">IF(WFTracker[[#This Row],[Overdue Time '[Expected-Completion']]] &gt;= 15, "SUPER LATE", Y588)</f>
        <v>ON TIME</v>
      </c>
      <c r="AA588" s="37" t="str">
        <f>IF(WFTracker[[#This Row],[Pre RM Opening Time]]&lt;WFTracker[[#This Row],[Old vs New Order Lead Time WF dead line]], "LATE BY ENG", "ON TIME BY ENG")</f>
        <v>ON TIME BY ENG</v>
      </c>
      <c r="AB588" s="37"/>
      <c r="AC588" s="15" t="str">
        <f>IF(WFTracker[[#This Row],[Competion Date Content]] = FALSE, "C", "i")</f>
        <v>C</v>
      </c>
      <c r="AD5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88" s="37" t="str">
        <f ca="1">IF(WFTracker[[#This Row],[Impact Time Post RM]]&gt;0, "IMPACTED", "NOT IMPACTED")</f>
        <v>NOT IMPACTED</v>
      </c>
      <c r="AF588" s="15"/>
      <c r="AG588" s="18"/>
      <c r="AH588" s="14" t="str">
        <f>IF(WFTracker[[#This Row],[Status]]="C", "Closed", IF(WFTracker[[#This Row],[Status]] = "x", "Cancelled", WFTracker[[#This Row],[Impact Time Post RM]]))</f>
        <v>Closed</v>
      </c>
      <c r="AI588" s="14" t="str">
        <f ca="1">IF(WFTracker[[#This Row],[Impact Time Post RM]]&lt;=0,"ON TIME","LATE")</f>
        <v>ON TIME</v>
      </c>
      <c r="AJ588" s="14" t="s">
        <v>984</v>
      </c>
      <c r="AK588" s="14">
        <v>18</v>
      </c>
      <c r="AL588" s="915">
        <f>IF(WFTracker[[#This Row],[Type]]="MAKE", WFTracker[[#This Row],[Due date]]+Filters!$J$111, WFTracker[[#This Row],[Due date]]+Filters!$J$135)</f>
        <v>46009.072512647552</v>
      </c>
      <c r="AM588" s="102" cm="1">
        <f t="array" ref="AM5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89" spans="1:39" ht="15" customHeight="1">
      <c r="A589" t="str">
        <f>IF(WFTracker[[#This Row],[Order Number]]="SWBD", "QED2", "PZ4")</f>
        <v>PZ4</v>
      </c>
      <c r="B589" s="21" t="s">
        <v>667</v>
      </c>
      <c r="C589" s="26" t="s">
        <v>385</v>
      </c>
      <c r="D589" s="11" t="str">
        <f>WFTracker[[#This Row],[Order Number]]  &amp; "-" &amp; WFTracker[[#This Row],[Item]]</f>
        <v>0051024393-000310</v>
      </c>
      <c r="E589" s="23" t="s">
        <v>668</v>
      </c>
      <c r="F589" s="12">
        <v>46013</v>
      </c>
      <c r="G589" s="12">
        <v>46006</v>
      </c>
      <c r="H589" s="11" t="s">
        <v>259</v>
      </c>
      <c r="I589" s="11" t="s">
        <v>216</v>
      </c>
      <c r="J589" s="55" t="s">
        <v>671</v>
      </c>
      <c r="K589" s="14" t="s">
        <v>1023</v>
      </c>
      <c r="L589" s="15" t="s">
        <v>27</v>
      </c>
      <c r="M589" s="29" t="s">
        <v>1123</v>
      </c>
      <c r="N589" s="57">
        <v>46083</v>
      </c>
      <c r="O589" s="15">
        <f>NETWORKDAYS.INTL(WFTracker[[#This Row],[Start date]],WFTracker[[#This Row],[RM]],1,Holidays!D303:D318)</f>
        <v>13</v>
      </c>
      <c r="P589" s="12">
        <v>45995</v>
      </c>
      <c r="Q589" s="12">
        <v>46002</v>
      </c>
      <c r="R589" s="12">
        <v>46008</v>
      </c>
      <c r="S589" s="12" t="b">
        <f>ISBLANK(WFTracker[[#This Row],[Completion Date]])</f>
        <v>0</v>
      </c>
      <c r="T589" s="12" t="str">
        <f>TEXT(WFTracker[[#This Row],[Start date]],"mmm-yyyy")</f>
        <v>Dec-2025</v>
      </c>
      <c r="U589" s="11">
        <v>10</v>
      </c>
      <c r="V589" s="11">
        <f>NETWORKDAYS.INTL(WFTracker[[#This Row],[Start date]],WFTracker[[#This Row],[Due date]],1,Holidays!D303:D318)</f>
        <v>6</v>
      </c>
      <c r="W5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89" s="24">
        <f ca="1">WFTracker[[#This Row],[Active Time]]-WFTracker[[#This Row],[Completion Days Template]]</f>
        <v>3</v>
      </c>
      <c r="Y589" s="16" t="str">
        <f ca="1" xml:space="preserve"> IF(WFTracker[[#This Row],[Overdue Time '[Expected-Completion']]]&gt;0, "LATE","ON TIME")</f>
        <v>LATE</v>
      </c>
      <c r="Z589" s="16" t="str">
        <f ca="1">IF(WFTracker[[#This Row],[Overdue Time '[Expected-Completion']]] &gt;= 15, "SUPER LATE", Y589)</f>
        <v>LATE</v>
      </c>
      <c r="AA589" s="37" t="str">
        <f>IF(WFTracker[[#This Row],[Pre RM Opening Time]]&lt;WFTracker[[#This Row],[Old vs New Order Lead Time WF dead line]], "LATE BY ENG", "ON TIME BY ENG")</f>
        <v>ON TIME BY ENG</v>
      </c>
      <c r="AB589" s="37"/>
      <c r="AC589" s="15" t="str">
        <f>IF(WFTracker[[#This Row],[Competion Date Content]] = FALSE, "C", "i")</f>
        <v>C</v>
      </c>
      <c r="AD5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589" s="37" t="str">
        <f ca="1">IF(WFTracker[[#This Row],[Impact Time Post RM]]&gt;0, "IMPACTED", "NOT IMPACTED")</f>
        <v>NOT IMPACTED</v>
      </c>
      <c r="AF589" s="15"/>
      <c r="AG589" s="18"/>
      <c r="AH589" s="14" t="str">
        <f>IF(WFTracker[[#This Row],[Status]]="C", "Closed", IF(WFTracker[[#This Row],[Status]] = "x", "Cancelled", WFTracker[[#This Row],[Impact Time Post RM]]))</f>
        <v>Closed</v>
      </c>
      <c r="AI589" s="14" t="str">
        <f ca="1">IF(WFTracker[[#This Row],[Impact Time Post RM]]&lt;=0,"ON TIME","LATE")</f>
        <v>ON TIME</v>
      </c>
      <c r="AJ589" s="14" t="s">
        <v>984</v>
      </c>
      <c r="AK589" s="14">
        <v>18</v>
      </c>
      <c r="AL589" s="915">
        <f>IF(WFTracker[[#This Row],[Type]]="MAKE", WFTracker[[#This Row],[Due date]]+Filters!$J$111, WFTracker[[#This Row],[Due date]]+Filters!$J$135)</f>
        <v>46005.072512647552</v>
      </c>
      <c r="AM589" s="102" cm="1">
        <f t="array" ref="AM5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0" spans="1:39" ht="15" customHeight="1">
      <c r="A590" t="str">
        <f>IF(WFTracker[[#This Row],[Order Number]]="SWBD", "QED2", "PZ4")</f>
        <v>PZ4</v>
      </c>
      <c r="B590" s="21" t="s">
        <v>436</v>
      </c>
      <c r="C590" s="26" t="s">
        <v>293</v>
      </c>
      <c r="D590" s="11" t="str">
        <f>WFTracker[[#This Row],[Order Number]]  &amp; "-" &amp; WFTracker[[#This Row],[Item]]</f>
        <v>0051436816-000080</v>
      </c>
      <c r="E590" s="23" t="s">
        <v>437</v>
      </c>
      <c r="F590" s="12">
        <v>46020</v>
      </c>
      <c r="G590" s="12">
        <v>46013</v>
      </c>
      <c r="H590" s="11" t="s">
        <v>104</v>
      </c>
      <c r="I590" s="11" t="s">
        <v>593</v>
      </c>
      <c r="J590" s="55" t="s">
        <v>697</v>
      </c>
      <c r="K590" s="14" t="s">
        <v>1023</v>
      </c>
      <c r="L590" s="15" t="s">
        <v>27</v>
      </c>
      <c r="M590" s="29" t="s">
        <v>438</v>
      </c>
      <c r="N590" s="57">
        <v>46092</v>
      </c>
      <c r="O590" s="15">
        <f>NETWORKDAYS.INTL(WFTracker[[#This Row],[Start date]],WFTracker[[#This Row],[RM]],1,Holidays!D355:D370)</f>
        <v>17</v>
      </c>
      <c r="P590" s="12">
        <v>45996</v>
      </c>
      <c r="Q590" s="12">
        <v>46003</v>
      </c>
      <c r="R590" s="12">
        <v>46008</v>
      </c>
      <c r="S590" s="12" t="b">
        <f>ISBLANK(WFTracker[[#This Row],[Completion Date]])</f>
        <v>0</v>
      </c>
      <c r="T590" s="12" t="str">
        <f>TEXT(WFTracker[[#This Row],[Start date]],"mmm-yyyy")</f>
        <v>Dec-2025</v>
      </c>
      <c r="U590" s="11">
        <v>10</v>
      </c>
      <c r="V590" s="11">
        <f>NETWORKDAYS.INTL(WFTracker[[#This Row],[Start date]],WFTracker[[#This Row],[Due date]],1,Holidays!D355:D370)</f>
        <v>6</v>
      </c>
      <c r="W5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90" s="24">
        <f ca="1">WFTracker[[#This Row],[Active Time]]-WFTracker[[#This Row],[Completion Days Template]]</f>
        <v>2</v>
      </c>
      <c r="Y590" s="16" t="str">
        <f ca="1" xml:space="preserve"> IF(WFTracker[[#This Row],[Overdue Time '[Expected-Completion']]]&gt;0, "LATE","ON TIME")</f>
        <v>LATE</v>
      </c>
      <c r="Z590" s="16" t="str">
        <f ca="1">IF(WFTracker[[#This Row],[Overdue Time '[Expected-Completion']]] &gt;= 15, "SUPER LATE", Y590)</f>
        <v>LATE</v>
      </c>
      <c r="AA590" s="37" t="str">
        <f>IF(WFTracker[[#This Row],[Pre RM Opening Time]]&lt;WFTracker[[#This Row],[Old vs New Order Lead Time WF dead line]], "LATE BY ENG", "ON TIME BY ENG")</f>
        <v>ON TIME BY ENG</v>
      </c>
      <c r="AB590" s="37"/>
      <c r="AC590" s="15" t="str">
        <f>IF(WFTracker[[#This Row],[Competion Date Content]] = FALSE, "C", "I")</f>
        <v>C</v>
      </c>
      <c r="AD5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590" s="37" t="str">
        <f ca="1">IF(WFTracker[[#This Row],[Impact Time Post RM]]&gt;0, "IMPACTED", "NOT IMPACTED")</f>
        <v>NOT IMPACTED</v>
      </c>
      <c r="AF590" s="15"/>
      <c r="AG590" s="18"/>
      <c r="AH590" s="14" t="str">
        <f>IF(WFTracker[[#This Row],[Status]]="C", "Closed", IF(WFTracker[[#This Row],[Status]] = "x", "Cancelled", WFTracker[[#This Row],[Impact Time Post RM]]))</f>
        <v>Closed</v>
      </c>
      <c r="AI590" s="14" t="str">
        <f ca="1">IF(WFTracker[[#This Row],[Impact Time Post RM]]&lt;=0,"ON TIME","LATE")</f>
        <v>ON TIME</v>
      </c>
      <c r="AJ590" s="14" t="s">
        <v>984</v>
      </c>
      <c r="AK590" s="14">
        <v>18</v>
      </c>
      <c r="AL590" s="915">
        <f>IF(WFTracker[[#This Row],[Type]]="MAKE", WFTracker[[#This Row],[Due date]]+Filters!$J$111, WFTracker[[#This Row],[Due date]]+Filters!$J$135)</f>
        <v>46006.072512647552</v>
      </c>
      <c r="AM590" s="102" cm="1">
        <f t="array" ref="AM5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1" spans="1:39" ht="15" customHeight="1">
      <c r="A591" t="str">
        <f>IF(WFTracker[[#This Row],[Order Number]]="SWBD", "QED2", "PZ4")</f>
        <v>PZ4</v>
      </c>
      <c r="B591" s="21" t="s">
        <v>1506</v>
      </c>
      <c r="C591" s="26" t="s">
        <v>165</v>
      </c>
      <c r="D591" s="23" t="str">
        <f>WFTracker[[#This Row],[Order Number]]  &amp; "-" &amp; WFTracker[[#This Row],[Item]]</f>
        <v xml:space="preserve">
0051436816-000030</v>
      </c>
      <c r="E591" s="23" t="s">
        <v>437</v>
      </c>
      <c r="F591" s="41">
        <v>46017</v>
      </c>
      <c r="G591" s="12">
        <v>46010</v>
      </c>
      <c r="H591" s="11" t="s">
        <v>113</v>
      </c>
      <c r="I591" s="11" t="s">
        <v>37</v>
      </c>
      <c r="J591" s="55" t="s">
        <v>1512</v>
      </c>
      <c r="K591" s="14" t="s">
        <v>1023</v>
      </c>
      <c r="L591" s="15" t="s">
        <v>40</v>
      </c>
      <c r="M591" s="29" t="s">
        <v>438</v>
      </c>
      <c r="N591" s="57">
        <v>46098</v>
      </c>
      <c r="O591" s="15">
        <f>NETWORKDAYS.INTL(WFTracker[[#This Row],[Start date]],WFTracker[[#This Row],[RM]],1,Holidays!D336:D351)</f>
        <v>16</v>
      </c>
      <c r="P591" s="12">
        <v>45996</v>
      </c>
      <c r="Q591" s="12">
        <v>46008</v>
      </c>
      <c r="R591" s="12">
        <v>46009</v>
      </c>
      <c r="S591" s="12" t="b">
        <f>ISBLANK(WFTracker[[#This Row],[Completion Date]])</f>
        <v>0</v>
      </c>
      <c r="T591" s="12" t="str">
        <f>TEXT(WFTracker[[#This Row],[Start date]],"mmm-yyyy")</f>
        <v>Dec-2025</v>
      </c>
      <c r="U591" s="11">
        <v>10</v>
      </c>
      <c r="V591" s="11">
        <f>NETWORKDAYS.INTL(WFTracker[[#This Row],[Start date]],WFTracker[[#This Row],[Due date]],1,Holidays!D336:D351)</f>
        <v>9</v>
      </c>
      <c r="W5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91" s="24">
        <f ca="1">WFTracker[[#This Row],[Active Time]]-WFTracker[[#This Row],[Completion Days Template]]</f>
        <v>0</v>
      </c>
      <c r="Y591" s="16" t="str">
        <f ca="1" xml:space="preserve"> IF(WFTracker[[#This Row],[Overdue Time '[Expected-Completion']]]&gt;0, "LATE","ON TIME")</f>
        <v>ON TIME</v>
      </c>
      <c r="Z591" s="16" t="str">
        <f ca="1">IF(WFTracker[[#This Row],[Overdue Time '[Expected-Completion']]] &gt;= 15, "SUPER LATE", Y591)</f>
        <v>ON TIME</v>
      </c>
      <c r="AA591" s="37" t="str">
        <f>IF(WFTracker[[#This Row],[Pre RM Opening Time]]&lt;WFTracker[[#This Row],[Old vs New Order Lead Time WF dead line]], "LATE BY ENG", "ON TIME BY ENG")</f>
        <v>ON TIME BY ENG</v>
      </c>
      <c r="AB591" s="37"/>
      <c r="AC591" s="15" t="str">
        <f>IF(WFTracker[[#This Row],[Competion Date Content]] = FALSE, "C", "i")</f>
        <v>C</v>
      </c>
      <c r="AD5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591" s="37" t="str">
        <f ca="1">IF(WFTracker[[#This Row],[Impact Time Post RM]]&gt;0, "IMPACTED", "NOT IMPACTED")</f>
        <v>NOT IMPACTED</v>
      </c>
      <c r="AF591" s="15"/>
      <c r="AG591" s="18"/>
      <c r="AH591" s="14" t="str">
        <f>IF(WFTracker[[#This Row],[Status]]="C", "Closed", IF(WFTracker[[#This Row],[Status]] = "x", "Cancelled", WFTracker[[#This Row],[Impact Time Post RM]]))</f>
        <v>Closed</v>
      </c>
      <c r="AI591" s="14" t="str">
        <f ca="1">IF(WFTracker[[#This Row],[Impact Time Post RM]]&lt;=0,"ON TIME","LATE")</f>
        <v>ON TIME</v>
      </c>
      <c r="AJ591" s="14" t="s">
        <v>984</v>
      </c>
      <c r="AK591" s="14">
        <v>17</v>
      </c>
      <c r="AL591" s="915">
        <f>IF(WFTracker[[#This Row],[Type]]="MAKE", WFTracker[[#This Row],[Due date]]+Filters!$J$111, WFTracker[[#This Row],[Due date]]+Filters!$J$135)</f>
        <v>46008.415686274508</v>
      </c>
      <c r="AM591" s="102" cm="1">
        <f t="array" ref="AM5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2" spans="1:39" ht="15" customHeight="1">
      <c r="A592" t="str">
        <f>IF(WFTracker[[#This Row],[Order Number]]="SWBD", "QED2", "PZ4")</f>
        <v>PZ4</v>
      </c>
      <c r="B592" s="21" t="s">
        <v>698</v>
      </c>
      <c r="C592" s="109" t="s">
        <v>880</v>
      </c>
      <c r="D592" s="23" t="str">
        <f>WFTracker[[#This Row],[Order Number]]  &amp; "-" &amp; WFTracker[[#This Row],[Item]]</f>
        <v>0051549615-000430</v>
      </c>
      <c r="E592" s="21" t="s">
        <v>700</v>
      </c>
      <c r="F592" s="12">
        <v>46028</v>
      </c>
      <c r="G592" s="12">
        <v>46174</v>
      </c>
      <c r="H592" s="11" t="s">
        <v>156</v>
      </c>
      <c r="I592" s="11" t="s">
        <v>260</v>
      </c>
      <c r="J592" s="113" t="s">
        <v>701</v>
      </c>
      <c r="K592" s="14" t="s">
        <v>1017</v>
      </c>
      <c r="L592" s="15" t="s">
        <v>27</v>
      </c>
      <c r="M592" s="29" t="s">
        <v>1123</v>
      </c>
      <c r="N592" s="57">
        <v>46077</v>
      </c>
      <c r="O592" s="15">
        <f>NETWORKDAYS.INTL(WFTracker[[#This Row],[Start date]],WFTracker[[#This Row],[RM]],1,Holidays!D421:D436)</f>
        <v>22</v>
      </c>
      <c r="P592" s="12">
        <v>45998</v>
      </c>
      <c r="Q592" s="12">
        <v>46006</v>
      </c>
      <c r="R592" s="12">
        <v>46008</v>
      </c>
      <c r="S592" s="12" t="b">
        <f>ISBLANK(WFTracker[[#This Row],[Completion Date]])</f>
        <v>0</v>
      </c>
      <c r="T592" s="12" t="str">
        <f>TEXT(WFTracker[[#This Row],[Start date]],"mmm-yyyy")</f>
        <v>Dec-2025</v>
      </c>
      <c r="U592" s="11">
        <v>10</v>
      </c>
      <c r="V592" s="11">
        <f>NETWORKDAYS.INTL(WFTracker[[#This Row],[Start date]],WFTracker[[#This Row],[Due date]],1,Holidays!D421:D436)</f>
        <v>6</v>
      </c>
      <c r="W5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592" s="24">
        <f ca="1">WFTracker[[#This Row],[Active Time]]-WFTracker[[#This Row],[Completion Days Template]]</f>
        <v>1</v>
      </c>
      <c r="Y592" s="16" t="str">
        <f ca="1" xml:space="preserve"> IF(WFTracker[[#This Row],[Overdue Time '[Expected-Completion']]]&gt;0, "LATE","ON TIME")</f>
        <v>LATE</v>
      </c>
      <c r="Z592" s="16" t="str">
        <f ca="1">IF(WFTracker[[#This Row],[Overdue Time '[Expected-Completion']]] &gt;= 15, "SUPER LATE", Y592)</f>
        <v>LATE</v>
      </c>
      <c r="AA592" s="37" t="str">
        <f>IF(WFTracker[[#This Row],[Pre RM Opening Time]]&lt;WFTracker[[#This Row],[Old vs New Order Lead Time WF dead line]], "LATE BY ENG", "ON TIME BY ENG")</f>
        <v>ON TIME BY ENG</v>
      </c>
      <c r="AB592" s="37"/>
      <c r="AC592" s="15" t="str">
        <f>IF(WFTracker[[#This Row],[Competion Date Content]] = FALSE, "C", "i")</f>
        <v>C</v>
      </c>
      <c r="AD5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592" s="37" t="str">
        <f ca="1">IF(WFTracker[[#This Row],[Impact Time Post RM]]&gt;0, "IMPACTED", "NOT IMPACTED")</f>
        <v>NOT IMPACTED</v>
      </c>
      <c r="AF592" s="15"/>
      <c r="AG592" s="18"/>
      <c r="AH592" s="14" t="str">
        <f>IF(WFTracker[[#This Row],[Status]]="C", "Closed", IF(WFTracker[[#This Row],[Status]] = "x", "Cancelled", WFTracker[[#This Row],[Impact Time Post RM]]))</f>
        <v>Closed</v>
      </c>
      <c r="AI592" s="14" t="str">
        <f ca="1">IF(WFTracker[[#This Row],[Impact Time Post RM]]&lt;=0,"ON TIME","LATE")</f>
        <v>ON TIME</v>
      </c>
      <c r="AJ592" s="14" t="s">
        <v>984</v>
      </c>
      <c r="AK592" s="14">
        <v>18</v>
      </c>
      <c r="AL592" s="915">
        <f>IF(WFTracker[[#This Row],[Type]]="MAKE", WFTracker[[#This Row],[Due date]]+Filters!$J$111, WFTracker[[#This Row],[Due date]]+Filters!$J$135)</f>
        <v>46009.072512647552</v>
      </c>
      <c r="AM592" s="102" cm="1">
        <f t="array" ref="AM5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3" spans="1:39" ht="15" customHeight="1">
      <c r="A593" t="str">
        <f>IF(WFTracker[[#This Row],[Order Number]]="SWBD", "QED2", "PZ4")</f>
        <v>PZ4</v>
      </c>
      <c r="B593" s="21" t="s">
        <v>698</v>
      </c>
      <c r="C593" s="109" t="s">
        <v>880</v>
      </c>
      <c r="D593" s="23" t="str">
        <f>WFTracker[[#This Row],[Order Number]]  &amp; "-" &amp; WFTracker[[#This Row],[Item]]</f>
        <v>0051549615-000430</v>
      </c>
      <c r="E593" s="21" t="s">
        <v>700</v>
      </c>
      <c r="F593" s="12">
        <v>46028</v>
      </c>
      <c r="G593" s="12">
        <v>46028</v>
      </c>
      <c r="H593" s="11" t="s">
        <v>156</v>
      </c>
      <c r="I593" s="11" t="s">
        <v>260</v>
      </c>
      <c r="J593" s="113" t="s">
        <v>703</v>
      </c>
      <c r="K593" s="14" t="s">
        <v>1017</v>
      </c>
      <c r="L593" s="15" t="s">
        <v>27</v>
      </c>
      <c r="M593" s="29" t="s">
        <v>1120</v>
      </c>
      <c r="N593" s="57">
        <v>46077</v>
      </c>
      <c r="O593" s="15">
        <f>NETWORKDAYS.INTL(WFTracker[[#This Row],[Start date]],WFTracker[[#This Row],[RM]],1,Holidays!D422:D437)</f>
        <v>22</v>
      </c>
      <c r="P593" s="12">
        <v>45998</v>
      </c>
      <c r="Q593" s="12">
        <v>46007</v>
      </c>
      <c r="R593" s="12">
        <v>46004</v>
      </c>
      <c r="S593" s="12" t="b">
        <f>ISBLANK(WFTracker[[#This Row],[Completion Date]])</f>
        <v>0</v>
      </c>
      <c r="T593" s="12" t="str">
        <f>TEXT(WFTracker[[#This Row],[Start date]],"mmm-yyyy")</f>
        <v>Dec-2025</v>
      </c>
      <c r="U593" s="11">
        <v>10</v>
      </c>
      <c r="V593" s="11">
        <f>NETWORKDAYS.INTL(WFTracker[[#This Row],[Start date]],WFTracker[[#This Row],[Due date]],1,Holidays!D422:D437)</f>
        <v>7</v>
      </c>
      <c r="W5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93" s="24">
        <f ca="1">WFTracker[[#This Row],[Active Time]]-WFTracker[[#This Row],[Completion Days Template]]</f>
        <v>-3</v>
      </c>
      <c r="Y593" s="16" t="str">
        <f ca="1" xml:space="preserve"> IF(WFTracker[[#This Row],[Overdue Time '[Expected-Completion']]]&gt;0, "LATE","ON TIME")</f>
        <v>ON TIME</v>
      </c>
      <c r="Z593" s="16" t="str">
        <f ca="1">IF(WFTracker[[#This Row],[Overdue Time '[Expected-Completion']]] &gt;= 15, "SUPER LATE", Y593)</f>
        <v>ON TIME</v>
      </c>
      <c r="AA593" s="37" t="str">
        <f>IF(WFTracker[[#This Row],[Pre RM Opening Time]]&lt;WFTracker[[#This Row],[Old vs New Order Lead Time WF dead line]], "LATE BY ENG", "ON TIME BY ENG")</f>
        <v>ON TIME BY ENG</v>
      </c>
      <c r="AB593" s="37"/>
      <c r="AC593" s="15" t="str">
        <f>IF(WFTracker[[#This Row],[Competion Date Content]] = FALSE, "C", "i")</f>
        <v>C</v>
      </c>
      <c r="AD5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593" s="37" t="str">
        <f ca="1">IF(WFTracker[[#This Row],[Impact Time Post RM]]&gt;0, "IMPACTED", "NOT IMPACTED")</f>
        <v>NOT IMPACTED</v>
      </c>
      <c r="AF593" s="15"/>
      <c r="AG593" s="18"/>
      <c r="AH593" s="14" t="str">
        <f>IF(WFTracker[[#This Row],[Status]]="C", "Closed", IF(WFTracker[[#This Row],[Status]] = "x", "Cancelled", WFTracker[[#This Row],[Impact Time Post RM]]))</f>
        <v>Closed</v>
      </c>
      <c r="AI593" s="14" t="str">
        <f ca="1">IF(WFTracker[[#This Row],[Impact Time Post RM]]&lt;=0,"ON TIME","LATE")</f>
        <v>ON TIME</v>
      </c>
      <c r="AJ593" s="14" t="s">
        <v>984</v>
      </c>
      <c r="AK593" s="14">
        <v>18</v>
      </c>
      <c r="AL593" s="915">
        <f>IF(WFTracker[[#This Row],[Type]]="MAKE", WFTracker[[#This Row],[Due date]]+Filters!$J$111, WFTracker[[#This Row],[Due date]]+Filters!$J$135)</f>
        <v>46010.072512647552</v>
      </c>
      <c r="AM593" s="102" cm="1">
        <f t="array" ref="AM5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4" spans="1:39" ht="15" customHeight="1">
      <c r="A594" t="str">
        <f>IF(WFTracker[[#This Row],[Order Number]]="SWBD", "QED2", "PZ4")</f>
        <v>PZ4</v>
      </c>
      <c r="B594" s="21" t="s">
        <v>271</v>
      </c>
      <c r="C594" s="26" t="s">
        <v>834</v>
      </c>
      <c r="D594" s="23" t="str">
        <f>WFTracker[[#This Row],[Order Number]]  &amp; "-" &amp; WFTracker[[#This Row],[Item]]</f>
        <v>0050988425-001260</v>
      </c>
      <c r="E594" s="23" t="s">
        <v>272</v>
      </c>
      <c r="F594" s="12">
        <v>45944</v>
      </c>
      <c r="G594" s="12"/>
      <c r="H594" s="11" t="s">
        <v>156</v>
      </c>
      <c r="I594" s="11" t="s">
        <v>24</v>
      </c>
      <c r="J594" s="55" t="s">
        <v>1513</v>
      </c>
      <c r="K594" s="14" t="s">
        <v>1023</v>
      </c>
      <c r="L594" s="15" t="s">
        <v>27</v>
      </c>
      <c r="M594" s="29" t="s">
        <v>1120</v>
      </c>
      <c r="N594" s="57">
        <v>46002</v>
      </c>
      <c r="O594" s="15">
        <f>NETWORKDAYS.INTL(WFTracker[[#This Row],[Start date]],WFTracker[[#This Row],[RM]],1,Holidays!D30:D43)</f>
        <v>-40</v>
      </c>
      <c r="P594" s="12">
        <v>45999</v>
      </c>
      <c r="Q594" s="12">
        <v>46008</v>
      </c>
      <c r="R594" s="12">
        <v>46002</v>
      </c>
      <c r="S594" s="12" t="b">
        <f>ISBLANK(WFTracker[[#This Row],[Completion Date]])</f>
        <v>0</v>
      </c>
      <c r="T594" s="12" t="str">
        <f>TEXT(WFTracker[[#This Row],[Start date]],"mmm-yyyy")</f>
        <v>Dec-2025</v>
      </c>
      <c r="U594" s="11">
        <v>10</v>
      </c>
      <c r="V594" s="11">
        <f>NETWORKDAYS.INTL(WFTracker[[#This Row],[Start date]],WFTracker[[#This Row],[Due date]],1,Holidays!D30:D43)</f>
        <v>8</v>
      </c>
      <c r="W5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594" s="24">
        <f ca="1">WFTracker[[#This Row],[Active Time]]-WFTracker[[#This Row],[Completion Days Template]]</f>
        <v>-4</v>
      </c>
      <c r="Y594" s="16" t="str">
        <f ca="1" xml:space="preserve"> IF(WFTracker[[#This Row],[Overdue Time '[Expected-Completion']]]&gt;0, "LATE","ON TIME")</f>
        <v>ON TIME</v>
      </c>
      <c r="Z594" s="16" t="str">
        <f ca="1">IF(WFTracker[[#This Row],[Overdue Time '[Expected-Completion']]] &gt;= 15, "SUPER LATE", Y594)</f>
        <v>ON TIME</v>
      </c>
      <c r="AA594" s="37" t="str">
        <f>IF(WFTracker[[#This Row],[Pre RM Opening Time]]&lt;WFTracker[[#This Row],[Old vs New Order Lead Time WF dead line]], "LATE BY ENG", "ON TIME BY ENG")</f>
        <v>LATE BY ENG</v>
      </c>
      <c r="AB594" s="37"/>
      <c r="AC594" s="15" t="str">
        <f>IF(WFTracker[[#This Row],[Competion Date Content]] = FALSE, "C", "I")</f>
        <v>C</v>
      </c>
      <c r="AD5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39</v>
      </c>
      <c r="AE594" s="37" t="str">
        <f ca="1">IF(WFTracker[[#This Row],[Impact Time Post RM]]&gt;0, "IMPACTED", "NOT IMPACTED")</f>
        <v>IMPACTED</v>
      </c>
      <c r="AF594" s="15"/>
      <c r="AG594" s="18"/>
      <c r="AH594" s="14" t="str">
        <f>IF(WFTracker[[#This Row],[Status]]="C", "Closed", IF(WFTracker[[#This Row],[Status]] = "x", "Cancelled", WFTracker[[#This Row],[Impact Time Post RM]]))</f>
        <v>Closed</v>
      </c>
      <c r="AI594" s="14" t="str">
        <f ca="1">IF(WFTracker[[#This Row],[Impact Time Post RM]]&lt;=0,"ON TIME","LATE")</f>
        <v>LATE</v>
      </c>
      <c r="AJ594" s="14" t="s">
        <v>984</v>
      </c>
      <c r="AK594" s="14">
        <v>18</v>
      </c>
      <c r="AL594" s="915">
        <f>IF(WFTracker[[#This Row],[Type]]="MAKE", WFTracker[[#This Row],[Due date]]+Filters!$J$111, WFTracker[[#This Row],[Due date]]+Filters!$J$135)</f>
        <v>46011.072512647552</v>
      </c>
      <c r="AM594" s="102" cm="1">
        <f t="array" ref="AM59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5" spans="1:39" ht="15" customHeight="1">
      <c r="A595" t="str">
        <f>IF(WFTracker[[#This Row],[Order Number]]="SWBD", "QED2", "PZ4")</f>
        <v>PZ4</v>
      </c>
      <c r="B595" s="21" t="s">
        <v>698</v>
      </c>
      <c r="C595" s="26" t="s">
        <v>880</v>
      </c>
      <c r="D595" s="23" t="str">
        <f>WFTracker[[#This Row],[Order Number]]  &amp; "-" &amp; WFTracker[[#This Row],[Item]]</f>
        <v>0051549615-000430</v>
      </c>
      <c r="E595" s="23" t="s">
        <v>700</v>
      </c>
      <c r="F595" s="12">
        <v>46028</v>
      </c>
      <c r="G595" s="12">
        <v>46028</v>
      </c>
      <c r="H595" s="11" t="s">
        <v>156</v>
      </c>
      <c r="I595" s="11" t="s">
        <v>260</v>
      </c>
      <c r="J595" s="55" t="s">
        <v>704</v>
      </c>
      <c r="K595" s="14" t="s">
        <v>1017</v>
      </c>
      <c r="L595" s="15" t="s">
        <v>27</v>
      </c>
      <c r="M595" s="29" t="s">
        <v>1123</v>
      </c>
      <c r="N595" s="57">
        <v>46077</v>
      </c>
      <c r="O595" s="15">
        <f>NETWORKDAYS.INTL(WFTracker[[#This Row],[Start date]],WFTracker[[#This Row],[RM]],1,Holidays!D423:D438)</f>
        <v>22</v>
      </c>
      <c r="P595" s="12">
        <v>45999</v>
      </c>
      <c r="Q595" s="12">
        <v>46006</v>
      </c>
      <c r="R595" s="12">
        <v>46009</v>
      </c>
      <c r="S595" s="12" t="b">
        <f>ISBLANK(WFTracker[[#This Row],[Completion Date]])</f>
        <v>0</v>
      </c>
      <c r="T595" s="12" t="str">
        <f>TEXT(WFTracker[[#This Row],[Start date]],"mmm-yyyy")</f>
        <v>Dec-2025</v>
      </c>
      <c r="U595" s="11">
        <v>10</v>
      </c>
      <c r="V595" s="11">
        <f>NETWORKDAYS.INTL(WFTracker[[#This Row],[Start date]],WFTracker[[#This Row],[Due date]],1,Holidays!D423:D438)</f>
        <v>6</v>
      </c>
      <c r="W5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95" s="24">
        <f ca="1">WFTracker[[#This Row],[Active Time]]-WFTracker[[#This Row],[Completion Days Template]]</f>
        <v>2</v>
      </c>
      <c r="Y595" s="16" t="str">
        <f ca="1" xml:space="preserve"> IF(WFTracker[[#This Row],[Overdue Time '[Expected-Completion']]]&gt;0, "LATE","ON TIME")</f>
        <v>LATE</v>
      </c>
      <c r="Z595" s="16" t="str">
        <f ca="1">IF(WFTracker[[#This Row],[Overdue Time '[Expected-Completion']]] &gt;= 15, "SUPER LATE", Y595)</f>
        <v>LATE</v>
      </c>
      <c r="AA595" s="37" t="str">
        <f>IF(WFTracker[[#This Row],[Pre RM Opening Time]]&lt;WFTracker[[#This Row],[Old vs New Order Lead Time WF dead line]], "LATE BY ENG", "ON TIME BY ENG")</f>
        <v>ON TIME BY ENG</v>
      </c>
      <c r="AB595" s="37"/>
      <c r="AC595" s="15" t="str">
        <f>IF(WFTracker[[#This Row],[Competion Date Content]] = FALSE, "C", "i")</f>
        <v>C</v>
      </c>
      <c r="AD5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95" s="37" t="str">
        <f ca="1">IF(WFTracker[[#This Row],[Impact Time Post RM]]&gt;0, "IMPACTED", "NOT IMPACTED")</f>
        <v>NOT IMPACTED</v>
      </c>
      <c r="AF595" s="15"/>
      <c r="AG595" s="18"/>
      <c r="AH595" s="14" t="str">
        <f>IF(WFTracker[[#This Row],[Status]]="C", "Closed", IF(WFTracker[[#This Row],[Status]] = "x", "Cancelled", WFTracker[[#This Row],[Impact Time Post RM]]))</f>
        <v>Closed</v>
      </c>
      <c r="AI595" s="14" t="str">
        <f ca="1">IF(WFTracker[[#This Row],[Impact Time Post RM]]&lt;=0,"ON TIME","LATE")</f>
        <v>ON TIME</v>
      </c>
      <c r="AJ595" s="14" t="s">
        <v>984</v>
      </c>
      <c r="AK595" s="14">
        <v>18</v>
      </c>
      <c r="AL595" s="915">
        <f>IF(WFTracker[[#This Row],[Type]]="MAKE", WFTracker[[#This Row],[Due date]]+Filters!$J$111, WFTracker[[#This Row],[Due date]]+Filters!$J$135)</f>
        <v>46009.072512647552</v>
      </c>
      <c r="AM595" s="102" cm="1">
        <f t="array" ref="AM5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6" spans="1:39" ht="15" customHeight="1">
      <c r="A596" t="str">
        <f>IF(WFTracker[[#This Row],[Order Number]]="SWBD", "QED2", "PZ4")</f>
        <v>PZ4</v>
      </c>
      <c r="B596" s="21" t="s">
        <v>698</v>
      </c>
      <c r="C596" s="26" t="s">
        <v>880</v>
      </c>
      <c r="D596" s="23" t="str">
        <f>WFTracker[[#This Row],[Order Number]]  &amp; "-" &amp; WFTracker[[#This Row],[Item]]</f>
        <v>0051549615-000430</v>
      </c>
      <c r="E596" s="23" t="s">
        <v>700</v>
      </c>
      <c r="F596" s="12">
        <v>46028</v>
      </c>
      <c r="G596" s="12">
        <v>46028</v>
      </c>
      <c r="H596" s="11" t="s">
        <v>156</v>
      </c>
      <c r="I596" s="11" t="s">
        <v>260</v>
      </c>
      <c r="J596" s="55" t="s">
        <v>705</v>
      </c>
      <c r="K596" s="14" t="s">
        <v>1017</v>
      </c>
      <c r="L596" s="15" t="s">
        <v>27</v>
      </c>
      <c r="M596" s="29" t="s">
        <v>1123</v>
      </c>
      <c r="N596" s="57">
        <v>46077</v>
      </c>
      <c r="O596" s="15">
        <f>NETWORKDAYS.INTL(WFTracker[[#This Row],[Start date]],WFTracker[[#This Row],[RM]],1,Holidays!D424:D439)</f>
        <v>22</v>
      </c>
      <c r="P596" s="12">
        <v>45999</v>
      </c>
      <c r="Q596" s="12">
        <v>46006</v>
      </c>
      <c r="R596" s="12">
        <v>46009</v>
      </c>
      <c r="S596" s="12" t="b">
        <f>ISBLANK(WFTracker[[#This Row],[Completion Date]])</f>
        <v>0</v>
      </c>
      <c r="T596" s="12" t="str">
        <f>TEXT(WFTracker[[#This Row],[Start date]],"mmm-yyyy")</f>
        <v>Dec-2025</v>
      </c>
      <c r="U596" s="11">
        <v>10</v>
      </c>
      <c r="V596" s="11">
        <f>NETWORKDAYS.INTL(WFTracker[[#This Row],[Start date]],WFTracker[[#This Row],[Due date]],1,Holidays!D424:D439)</f>
        <v>6</v>
      </c>
      <c r="W5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596" s="24">
        <f ca="1">WFTracker[[#This Row],[Active Time]]-WFTracker[[#This Row],[Completion Days Template]]</f>
        <v>2</v>
      </c>
      <c r="Y596" s="16" t="str">
        <f ca="1" xml:space="preserve"> IF(WFTracker[[#This Row],[Overdue Time '[Expected-Completion']]]&gt;0, "LATE","ON TIME")</f>
        <v>LATE</v>
      </c>
      <c r="Z596" s="16" t="str">
        <f ca="1">IF(WFTracker[[#This Row],[Overdue Time '[Expected-Completion']]] &gt;= 15, "SUPER LATE", Y596)</f>
        <v>LATE</v>
      </c>
      <c r="AA596" s="37" t="str">
        <f>IF(WFTracker[[#This Row],[Pre RM Opening Time]]&lt;WFTracker[[#This Row],[Old vs New Order Lead Time WF dead line]], "LATE BY ENG", "ON TIME BY ENG")</f>
        <v>ON TIME BY ENG</v>
      </c>
      <c r="AB596" s="37"/>
      <c r="AC596" s="15" t="str">
        <f>IF(WFTracker[[#This Row],[Competion Date Content]] = FALSE, "C", "i")</f>
        <v>C</v>
      </c>
      <c r="AD5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596" s="37" t="str">
        <f ca="1">IF(WFTracker[[#This Row],[Impact Time Post RM]]&gt;0, "IMPACTED", "NOT IMPACTED")</f>
        <v>NOT IMPACTED</v>
      </c>
      <c r="AF596" s="15"/>
      <c r="AG596" s="18"/>
      <c r="AH596" s="14" t="str">
        <f>IF(WFTracker[[#This Row],[Status]]="C", "Closed", IF(WFTracker[[#This Row],[Status]] = "x", "Cancelled", WFTracker[[#This Row],[Impact Time Post RM]]))</f>
        <v>Closed</v>
      </c>
      <c r="AI596" s="14" t="str">
        <f ca="1">IF(WFTracker[[#This Row],[Impact Time Post RM]]&lt;=0,"ON TIME","LATE")</f>
        <v>ON TIME</v>
      </c>
      <c r="AJ596" s="14" t="s">
        <v>984</v>
      </c>
      <c r="AK596" s="14">
        <v>18</v>
      </c>
      <c r="AL596" s="915">
        <f>IF(WFTracker[[#This Row],[Type]]="MAKE", WFTracker[[#This Row],[Due date]]+Filters!$J$111, WFTracker[[#This Row],[Due date]]+Filters!$J$135)</f>
        <v>46009.072512647552</v>
      </c>
      <c r="AM596" s="102" cm="1">
        <f t="array" ref="AM5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7" spans="1:39" ht="15" customHeight="1">
      <c r="A597" t="str">
        <f>IF(WFTracker[[#This Row],[Order Number]]="SWBD", "QED2", "PZ4")</f>
        <v>PZ4</v>
      </c>
      <c r="B597" s="21" t="s">
        <v>673</v>
      </c>
      <c r="C597" s="26" t="s">
        <v>674</v>
      </c>
      <c r="D597" s="23" t="str">
        <f>WFTracker[[#This Row],[Order Number]]  &amp; "-" &amp; WFTracker[[#This Row],[Item]]</f>
        <v>0051611250-003280</v>
      </c>
      <c r="E597" s="23" t="s">
        <v>675</v>
      </c>
      <c r="F597" s="12">
        <v>45996</v>
      </c>
      <c r="G597" s="12">
        <v>45993</v>
      </c>
      <c r="H597" s="11" t="s">
        <v>676</v>
      </c>
      <c r="I597" s="11" t="s">
        <v>241</v>
      </c>
      <c r="J597" s="55" t="s">
        <v>684</v>
      </c>
      <c r="K597" s="14" t="s">
        <v>1017</v>
      </c>
      <c r="L597" s="15" t="s">
        <v>27</v>
      </c>
      <c r="M597" s="29" t="s">
        <v>1120</v>
      </c>
      <c r="N597" s="57">
        <v>46066</v>
      </c>
      <c r="O597" s="15">
        <f>NETWORKDAYS.INTL(WFTracker[[#This Row],[Start date]],WFTracker[[#This Row],[RM]],1,Holidays!D59:D74)</f>
        <v>-3</v>
      </c>
      <c r="P597" s="12">
        <v>46000</v>
      </c>
      <c r="Q597" s="12">
        <v>46008</v>
      </c>
      <c r="R597" s="12">
        <v>46009</v>
      </c>
      <c r="S597" s="12" t="b">
        <f>ISBLANK(WFTracker[[#This Row],[Completion Date]])</f>
        <v>0</v>
      </c>
      <c r="T597" s="12" t="str">
        <f>TEXT(WFTracker[[#This Row],[Start date]],"mmm-yyyy")</f>
        <v>Dec-2025</v>
      </c>
      <c r="U597" s="11">
        <v>10</v>
      </c>
      <c r="V597" s="11">
        <f>NETWORKDAYS.INTL(WFTracker[[#This Row],[Start date]],WFTracker[[#This Row],[Due date]],1,Holidays!D59:D74)</f>
        <v>7</v>
      </c>
      <c r="W5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597" s="24">
        <f ca="1">WFTracker[[#This Row],[Active Time]]-WFTracker[[#This Row],[Completion Days Template]]</f>
        <v>0</v>
      </c>
      <c r="Y597" s="16" t="str">
        <f ca="1" xml:space="preserve"> IF(WFTracker[[#This Row],[Overdue Time '[Expected-Completion']]]&gt;0, "LATE","ON TIME")</f>
        <v>ON TIME</v>
      </c>
      <c r="Z597" s="16" t="str">
        <f ca="1">IF(WFTracker[[#This Row],[Overdue Time '[Expected-Completion']]] &gt;= 15, "SUPER LATE", Y597)</f>
        <v>ON TIME</v>
      </c>
      <c r="AA597" s="37" t="str">
        <f>IF(WFTracker[[#This Row],[Pre RM Opening Time]]&lt;WFTracker[[#This Row],[Old vs New Order Lead Time WF dead line]], "LATE BY ENG", "ON TIME BY ENG")</f>
        <v>LATE BY ENG</v>
      </c>
      <c r="AB597" s="37"/>
      <c r="AC597" s="15" t="str">
        <f>IF(WFTracker[[#This Row],[Competion Date Content]] = FALSE, "C", "I")</f>
        <v>C</v>
      </c>
      <c r="AD5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597" s="37" t="str">
        <f ca="1">IF(WFTracker[[#This Row],[Impact Time Post RM]]&gt;0, "IMPACTED", "NOT IMPACTED")</f>
        <v>IMPACTED</v>
      </c>
      <c r="AF597" s="15"/>
      <c r="AG597" s="18"/>
      <c r="AH597" s="14" t="str">
        <f>IF(WFTracker[[#This Row],[Status]]="C", "Closed", IF(WFTracker[[#This Row],[Status]] = "x", "Cancelled", WFTracker[[#This Row],[Impact Time Post RM]]))</f>
        <v>Closed</v>
      </c>
      <c r="AI597" s="14" t="str">
        <f ca="1">IF(WFTracker[[#This Row],[Impact Time Post RM]]&lt;=0,"ON TIME","LATE")</f>
        <v>LATE</v>
      </c>
      <c r="AJ597" s="14" t="s">
        <v>984</v>
      </c>
      <c r="AK597" s="14">
        <v>18</v>
      </c>
      <c r="AL597" s="915">
        <f>IF(WFTracker[[#This Row],[Type]]="MAKE", WFTracker[[#This Row],[Due date]]+Filters!$J$111, WFTracker[[#This Row],[Due date]]+Filters!$J$135)</f>
        <v>46011.072512647552</v>
      </c>
      <c r="AM597" s="102" cm="1">
        <f t="array" ref="AM5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8" spans="1:39" ht="15" customHeight="1">
      <c r="A598" t="str">
        <f>IF(WFTracker[[#This Row],[Order Number]]="SWBD", "QED2", "PZ4")</f>
        <v>PZ4</v>
      </c>
      <c r="B598" s="21" t="s">
        <v>673</v>
      </c>
      <c r="C598" s="26" t="s">
        <v>674</v>
      </c>
      <c r="D598" s="23" t="str">
        <f>WFTracker[[#This Row],[Order Number]]  &amp; "-" &amp; WFTracker[[#This Row],[Item]]</f>
        <v>0051611250-003280</v>
      </c>
      <c r="E598" s="23" t="s">
        <v>675</v>
      </c>
      <c r="F598" s="12">
        <v>45996</v>
      </c>
      <c r="G598" s="12">
        <v>45993</v>
      </c>
      <c r="H598" s="11" t="s">
        <v>676</v>
      </c>
      <c r="I598" s="11" t="s">
        <v>241</v>
      </c>
      <c r="J598" s="55" t="s">
        <v>691</v>
      </c>
      <c r="K598" s="14" t="s">
        <v>1017</v>
      </c>
      <c r="L598" s="15" t="s">
        <v>27</v>
      </c>
      <c r="M598" s="29" t="s">
        <v>1120</v>
      </c>
      <c r="N598" s="57">
        <v>46066</v>
      </c>
      <c r="O598" s="15">
        <f>NETWORKDAYS.INTL(WFTracker[[#This Row],[Start date]],WFTracker[[#This Row],[RM]],1,Holidays!D60:D75)</f>
        <v>-3</v>
      </c>
      <c r="P598" s="12">
        <v>46000</v>
      </c>
      <c r="Q598" s="12">
        <v>46008</v>
      </c>
      <c r="R598" s="12">
        <v>46013</v>
      </c>
      <c r="S598" s="12" t="b">
        <f>ISBLANK(WFTracker[[#This Row],[Completion Date]])</f>
        <v>0</v>
      </c>
      <c r="T598" s="12" t="str">
        <f>TEXT(WFTracker[[#This Row],[Start date]],"mmm-yyyy")</f>
        <v>Dec-2025</v>
      </c>
      <c r="U598" s="11">
        <v>10</v>
      </c>
      <c r="V598" s="11">
        <f>NETWORKDAYS.INTL(WFTracker[[#This Row],[Start date]],WFTracker[[#This Row],[Due date]],1,Holidays!D60:D75)</f>
        <v>7</v>
      </c>
      <c r="W5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98" s="24">
        <f ca="1">WFTracker[[#This Row],[Active Time]]-WFTracker[[#This Row],[Completion Days Template]]</f>
        <v>2</v>
      </c>
      <c r="Y598" s="16" t="str">
        <f ca="1" xml:space="preserve"> IF(WFTracker[[#This Row],[Overdue Time '[Expected-Completion']]]&gt;0, "LATE","ON TIME")</f>
        <v>LATE</v>
      </c>
      <c r="Z598" s="16" t="str">
        <f ca="1">IF(WFTracker[[#This Row],[Overdue Time '[Expected-Completion']]] &gt;= 15, "SUPER LATE", Y598)</f>
        <v>LATE</v>
      </c>
      <c r="AA598" s="37" t="str">
        <f>IF(WFTracker[[#This Row],[Pre RM Opening Time]]&lt;WFTracker[[#This Row],[Old vs New Order Lead Time WF dead line]], "LATE BY ENG", "ON TIME BY ENG")</f>
        <v>LATE BY ENG</v>
      </c>
      <c r="AB598" s="37"/>
      <c r="AC598" s="15" t="str">
        <f>IF(WFTracker[[#This Row],[Competion Date Content]] = FALSE, "C", "I")</f>
        <v>C</v>
      </c>
      <c r="AD5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598" s="37" t="str">
        <f ca="1">IF(WFTracker[[#This Row],[Impact Time Post RM]]&gt;0, "IMPACTED", "NOT IMPACTED")</f>
        <v>IMPACTED</v>
      </c>
      <c r="AF598" s="15"/>
      <c r="AG598" s="18"/>
      <c r="AH598" s="14" t="str">
        <f>IF(WFTracker[[#This Row],[Status]]="C", "Closed", IF(WFTracker[[#This Row],[Status]] = "x", "Cancelled", WFTracker[[#This Row],[Impact Time Post RM]]))</f>
        <v>Closed</v>
      </c>
      <c r="AI598" s="14" t="str">
        <f ca="1">IF(WFTracker[[#This Row],[Impact Time Post RM]]&lt;=0,"ON TIME","LATE")</f>
        <v>LATE</v>
      </c>
      <c r="AJ598" s="14" t="s">
        <v>984</v>
      </c>
      <c r="AK598" s="14">
        <v>18</v>
      </c>
      <c r="AL598" s="915">
        <f>IF(WFTracker[[#This Row],[Type]]="MAKE", WFTracker[[#This Row],[Due date]]+Filters!$J$111, WFTracker[[#This Row],[Due date]]+Filters!$J$135)</f>
        <v>46011.072512647552</v>
      </c>
      <c r="AM598" s="102" cm="1">
        <f t="array" ref="AM59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599" spans="1:39" ht="15" customHeight="1">
      <c r="A599" t="str">
        <f>IF(WFTracker[[#This Row],[Order Number]]="SWBD", "QED2", "PZ4")</f>
        <v>PZ4</v>
      </c>
      <c r="B599" s="21" t="s">
        <v>673</v>
      </c>
      <c r="C599" s="26" t="s">
        <v>674</v>
      </c>
      <c r="D599" s="23" t="str">
        <f>WFTracker[[#This Row],[Order Number]]  &amp; "-" &amp; WFTracker[[#This Row],[Item]]</f>
        <v>0051611250-003280</v>
      </c>
      <c r="E599" s="23" t="s">
        <v>675</v>
      </c>
      <c r="F599" s="12">
        <v>45996</v>
      </c>
      <c r="G599" s="12">
        <v>45993</v>
      </c>
      <c r="H599" s="11" t="s">
        <v>676</v>
      </c>
      <c r="I599" s="11" t="s">
        <v>241</v>
      </c>
      <c r="J599" s="55" t="s">
        <v>687</v>
      </c>
      <c r="K599" s="14" t="s">
        <v>1017</v>
      </c>
      <c r="L599" s="15" t="s">
        <v>40</v>
      </c>
      <c r="M599" s="29" t="s">
        <v>1120</v>
      </c>
      <c r="N599" s="57">
        <v>46066</v>
      </c>
      <c r="O599" s="15">
        <f>NETWORKDAYS.INTL(WFTracker[[#This Row],[Start date]],WFTracker[[#This Row],[RM]],1,Holidays!D61:D76)</f>
        <v>-3</v>
      </c>
      <c r="P599" s="12">
        <v>46000</v>
      </c>
      <c r="Q599" s="12">
        <v>46010</v>
      </c>
      <c r="R599" s="12">
        <v>46013</v>
      </c>
      <c r="S599" s="12" t="b">
        <f>ISBLANK(WFTracker[[#This Row],[Completion Date]])</f>
        <v>0</v>
      </c>
      <c r="T599" s="12" t="str">
        <f>TEXT(WFTracker[[#This Row],[Start date]],"mmm-yyyy")</f>
        <v>Dec-2025</v>
      </c>
      <c r="U599" s="11">
        <v>10</v>
      </c>
      <c r="V599" s="11">
        <f>NETWORKDAYS.INTL(WFTracker[[#This Row],[Start date]],WFTracker[[#This Row],[Due date]],1,Holidays!D61:D76)</f>
        <v>9</v>
      </c>
      <c r="W5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599" s="24">
        <f ca="1">WFTracker[[#This Row],[Active Time]]-WFTracker[[#This Row],[Completion Days Template]]</f>
        <v>0</v>
      </c>
      <c r="Y599" s="16" t="str">
        <f ca="1" xml:space="preserve"> IF(WFTracker[[#This Row],[Overdue Time '[Expected-Completion']]]&gt;0, "LATE","ON TIME")</f>
        <v>ON TIME</v>
      </c>
      <c r="Z599" s="16" t="str">
        <f ca="1">IF(WFTracker[[#This Row],[Overdue Time '[Expected-Completion']]] &gt;= 15, "SUPER LATE", Y599)</f>
        <v>ON TIME</v>
      </c>
      <c r="AA599" s="37" t="str">
        <f>IF(WFTracker[[#This Row],[Pre RM Opening Time]]&lt;WFTracker[[#This Row],[Old vs New Order Lead Time WF dead line]], "LATE BY ENG", "ON TIME BY ENG")</f>
        <v>LATE BY ENG</v>
      </c>
      <c r="AB599" s="37"/>
      <c r="AC599" s="15" t="str">
        <f>IF(WFTracker[[#This Row],[Competion Date Content]] = FALSE, "C", "I")</f>
        <v>C</v>
      </c>
      <c r="AD5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599" s="37" t="str">
        <f ca="1">IF(WFTracker[[#This Row],[Impact Time Post RM]]&gt;0, "IMPACTED", "NOT IMPACTED")</f>
        <v>IMPACTED</v>
      </c>
      <c r="AF599" s="15"/>
      <c r="AG599" s="18"/>
      <c r="AH599" s="14" t="str">
        <f>IF(WFTracker[[#This Row],[Status]]="C", "Closed", IF(WFTracker[[#This Row],[Status]] = "x", "Cancelled", WFTracker[[#This Row],[Impact Time Post RM]]))</f>
        <v>Closed</v>
      </c>
      <c r="AI599" s="14" t="str">
        <f ca="1">IF(WFTracker[[#This Row],[Impact Time Post RM]]&lt;=0,"ON TIME","LATE")</f>
        <v>LATE</v>
      </c>
      <c r="AJ599" s="14" t="s">
        <v>984</v>
      </c>
      <c r="AK599" s="14">
        <v>17</v>
      </c>
      <c r="AL599" s="915">
        <f>IF(WFTracker[[#This Row],[Type]]="MAKE", WFTracker[[#This Row],[Due date]]+Filters!$J$111, WFTracker[[#This Row],[Due date]]+Filters!$J$135)</f>
        <v>46010.415686274508</v>
      </c>
      <c r="AM599" s="102" cm="1">
        <f t="array" ref="AM5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0" spans="1:39" ht="15" customHeight="1">
      <c r="A600" t="str">
        <f>IF(WFTracker[[#This Row],[Order Number]]="SWBD", "QED2", "PZ4")</f>
        <v>PZ4</v>
      </c>
      <c r="B600" s="21" t="s">
        <v>667</v>
      </c>
      <c r="C600" s="26" t="s">
        <v>1514</v>
      </c>
      <c r="D600" s="23" t="str">
        <f>WFTracker[[#This Row],[Order Number]]  &amp; "-" &amp; WFTracker[[#This Row],[Item]]</f>
        <v>0051024393-00310</v>
      </c>
      <c r="E600" s="23" t="s">
        <v>668</v>
      </c>
      <c r="F600" s="12">
        <v>46013</v>
      </c>
      <c r="G600" s="12">
        <v>46006</v>
      </c>
      <c r="H600" s="11" t="s">
        <v>259</v>
      </c>
      <c r="I600" s="11" t="s">
        <v>216</v>
      </c>
      <c r="J600" s="113" t="s">
        <v>670</v>
      </c>
      <c r="K600" s="14" t="s">
        <v>1017</v>
      </c>
      <c r="L600" s="15" t="s">
        <v>27</v>
      </c>
      <c r="M600" s="29" t="s">
        <v>1123</v>
      </c>
      <c r="N600" s="57">
        <v>46083</v>
      </c>
      <c r="O600" s="15">
        <f>NETWORKDAYS.INTL(WFTracker[[#This Row],[Start date]],WFTracker[[#This Row],[RM]],1,Holidays!D182:D197)</f>
        <v>9</v>
      </c>
      <c r="P600" s="12">
        <v>46001</v>
      </c>
      <c r="Q600" s="12">
        <v>46008</v>
      </c>
      <c r="R600" s="12">
        <v>46008</v>
      </c>
      <c r="S600" s="12" t="b">
        <f>ISBLANK(WFTracker[[#This Row],[Completion Date]])</f>
        <v>0</v>
      </c>
      <c r="T600" s="12" t="str">
        <f>TEXT(WFTracker[[#This Row],[Start date]],"mmm-yyyy")</f>
        <v>Dec-2025</v>
      </c>
      <c r="U600" s="11">
        <v>10</v>
      </c>
      <c r="V600" s="11">
        <f>NETWORKDAYS.INTL(WFTracker[[#This Row],[Start date]],WFTracker[[#This Row],[Due date]],1,Holidays!D182:D197)</f>
        <v>6</v>
      </c>
      <c r="W6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00" s="24">
        <f ca="1">WFTracker[[#This Row],[Active Time]]-WFTracker[[#This Row],[Completion Days Template]]</f>
        <v>-1</v>
      </c>
      <c r="Y600" s="16" t="str">
        <f ca="1" xml:space="preserve"> IF(WFTracker[[#This Row],[Overdue Time '[Expected-Completion']]]&gt;0, "LATE","ON TIME")</f>
        <v>ON TIME</v>
      </c>
      <c r="Z600" s="16" t="str">
        <f ca="1">IF(WFTracker[[#This Row],[Overdue Time '[Expected-Completion']]] &gt;= 15, "SUPER LATE", Y600)</f>
        <v>ON TIME</v>
      </c>
      <c r="AA600" s="37" t="str">
        <f>IF(WFTracker[[#This Row],[Pre RM Opening Time]]&lt;WFTracker[[#This Row],[Old vs New Order Lead Time WF dead line]], "LATE BY ENG", "ON TIME BY ENG")</f>
        <v>LATE BY ENG</v>
      </c>
      <c r="AB600" s="37"/>
      <c r="AC600" s="15" t="str">
        <f>IF(WFTracker[[#This Row],[Competion Date Content]] = FALSE, "C", "I")</f>
        <v>C</v>
      </c>
      <c r="AD6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00" s="37" t="str">
        <f ca="1">IF(WFTracker[[#This Row],[Impact Time Post RM]]&gt;0, "IMPACTED", "NOT IMPACTED")</f>
        <v>NOT IMPACTED</v>
      </c>
      <c r="AF600" s="15"/>
      <c r="AG600" s="18"/>
      <c r="AH600" s="14" t="str">
        <f>IF(WFTracker[[#This Row],[Status]]="C", "Closed", IF(WFTracker[[#This Row],[Status]] = "x", "Cancelled", WFTracker[[#This Row],[Impact Time Post RM]]))</f>
        <v>Closed</v>
      </c>
      <c r="AI600" s="14" t="str">
        <f ca="1">IF(WFTracker[[#This Row],[Impact Time Post RM]]&lt;=0,"ON TIME","LATE")</f>
        <v>ON TIME</v>
      </c>
      <c r="AJ600" s="14" t="s">
        <v>984</v>
      </c>
      <c r="AK600" s="14">
        <v>18</v>
      </c>
      <c r="AL600" s="915">
        <f>IF(WFTracker[[#This Row],[Type]]="MAKE", WFTracker[[#This Row],[Due date]]+Filters!$J$111, WFTracker[[#This Row],[Due date]]+Filters!$J$135)</f>
        <v>46011.072512647552</v>
      </c>
      <c r="AM600" s="102" cm="1">
        <f t="array" ref="AM6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1" spans="1:39" ht="15" customHeight="1">
      <c r="A601" t="str">
        <f>IF(WFTracker[[#This Row],[Order Number]]="SWBD", "QED2", "PZ4")</f>
        <v>PZ4</v>
      </c>
      <c r="B601" s="21" t="s">
        <v>706</v>
      </c>
      <c r="C601" s="26" t="s">
        <v>1515</v>
      </c>
      <c r="D601" s="23" t="str">
        <f>WFTracker[[#This Row],[Order Number]]  &amp; "-" &amp; WFTracker[[#This Row],[Item]]</f>
        <v>0051129914-000760</v>
      </c>
      <c r="E601" s="23" t="s">
        <v>1058</v>
      </c>
      <c r="F601" s="12">
        <v>46020</v>
      </c>
      <c r="G601" s="862">
        <v>46010</v>
      </c>
      <c r="H601" s="11" t="s">
        <v>709</v>
      </c>
      <c r="I601" s="11" t="s">
        <v>1132</v>
      </c>
      <c r="J601" s="55" t="s">
        <v>712</v>
      </c>
      <c r="K601" s="14" t="s">
        <v>1017</v>
      </c>
      <c r="L601" s="15" t="s">
        <v>27</v>
      </c>
      <c r="M601" s="29" t="s">
        <v>1120</v>
      </c>
      <c r="N601" s="57">
        <v>46084</v>
      </c>
      <c r="O601" s="15">
        <f>NETWORKDAYS.INTL(WFTracker[[#This Row],[Start date]],WFTracker[[#This Row],[RM]],1,Holidays!D276:D291)</f>
        <v>14</v>
      </c>
      <c r="P601" s="12">
        <v>46001</v>
      </c>
      <c r="Q601" s="12">
        <v>46009</v>
      </c>
      <c r="R601" s="12">
        <v>46028</v>
      </c>
      <c r="S601" s="12" t="b">
        <f>ISBLANK(WFTracker[[#This Row],[Completion Date]])</f>
        <v>0</v>
      </c>
      <c r="T601" s="12" t="str">
        <f>TEXT(WFTracker[[#This Row],[Start date]],"mmm-yyyy")</f>
        <v>Dec-2025</v>
      </c>
      <c r="U601" s="11">
        <v>10</v>
      </c>
      <c r="V601" s="11">
        <f>NETWORKDAYS.INTL(WFTracker[[#This Row],[Start date]],WFTracker[[#This Row],[Due date]],1,Holidays!D276:D291)</f>
        <v>7</v>
      </c>
      <c r="W6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601" s="24">
        <f ca="1">WFTracker[[#This Row],[Active Time]]-WFTracker[[#This Row],[Completion Days Template]]</f>
        <v>9</v>
      </c>
      <c r="Y601" s="16" t="str">
        <f ca="1" xml:space="preserve"> IF(WFTracker[[#This Row],[Overdue Time '[Expected-Completion']]]&gt;0, "LATE","ON TIME")</f>
        <v>LATE</v>
      </c>
      <c r="Z601" s="16" t="str">
        <f ca="1">IF(WFTracker[[#This Row],[Overdue Time '[Expected-Completion']]] &gt;= 15, "SUPER LATE", Y601)</f>
        <v>LATE</v>
      </c>
      <c r="AA601" s="37" t="str">
        <f>IF(WFTracker[[#This Row],[Pre RM Opening Time]]&lt;WFTracker[[#This Row],[Old vs New Order Lead Time WF dead line]], "LATE BY ENG", "ON TIME BY ENG")</f>
        <v>ON TIME BY ENG</v>
      </c>
      <c r="AB601" s="37"/>
      <c r="AC601" s="15" t="str">
        <f>IF(WFTracker[[#This Row],[Competion Date Content]] = FALSE, "C", "I")</f>
        <v>C</v>
      </c>
      <c r="AD6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</v>
      </c>
      <c r="AE601" s="37" t="str">
        <f ca="1">IF(WFTracker[[#This Row],[Impact Time Post RM]]&gt;0, "IMPACTED", "NOT IMPACTED")</f>
        <v>IMPACTED</v>
      </c>
      <c r="AF601" s="15"/>
      <c r="AG601" s="18"/>
      <c r="AH601" s="14" t="str">
        <f>IF(WFTracker[[#This Row],[Status]]="C", "Closed", IF(WFTracker[[#This Row],[Status]] = "x", "Cancelled", WFTracker[[#This Row],[Impact Time Post RM]]))</f>
        <v>Closed</v>
      </c>
      <c r="AI601" s="14" t="str">
        <f ca="1">IF(WFTracker[[#This Row],[Impact Time Post RM]]&lt;=0,"ON TIME","LATE")</f>
        <v>LATE</v>
      </c>
      <c r="AJ601" s="14" t="s">
        <v>984</v>
      </c>
      <c r="AK601" s="14">
        <v>18</v>
      </c>
      <c r="AL601" s="915">
        <f>IF(WFTracker[[#This Row],[Type]]="MAKE", WFTracker[[#This Row],[Due date]]+Filters!$J$111, WFTracker[[#This Row],[Due date]]+Filters!$J$135)</f>
        <v>46012.072512647552</v>
      </c>
      <c r="AM601" s="102" cm="1">
        <f t="array" ref="AM6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2" spans="1:39" ht="15" customHeight="1">
      <c r="A602" t="str">
        <f>IF(WFTracker[[#This Row],[Order Number]]="SWBD", "QED2", "PZ4")</f>
        <v>PZ4</v>
      </c>
      <c r="B602" s="21" t="s">
        <v>706</v>
      </c>
      <c r="C602" s="26" t="s">
        <v>1467</v>
      </c>
      <c r="D602" s="23" t="str">
        <f>WFTracker[[#This Row],[Order Number]]  &amp; "-" &amp; WFTracker[[#This Row],[Item]]</f>
        <v>0051129914-000750&amp;760</v>
      </c>
      <c r="E602" s="23" t="s">
        <v>1058</v>
      </c>
      <c r="F602" s="12">
        <v>46020</v>
      </c>
      <c r="G602" s="12">
        <v>46009</v>
      </c>
      <c r="H602" s="11" t="s">
        <v>709</v>
      </c>
      <c r="I602" s="11" t="s">
        <v>1132</v>
      </c>
      <c r="J602" s="55" t="s">
        <v>1516</v>
      </c>
      <c r="K602" s="14" t="s">
        <v>1023</v>
      </c>
      <c r="L602" s="15" t="s">
        <v>1481</v>
      </c>
      <c r="M602" s="29" t="s">
        <v>1120</v>
      </c>
      <c r="N602" s="57">
        <v>46084</v>
      </c>
      <c r="O602" s="15">
        <f>NETWORKDAYS.INTL(WFTracker[[#This Row],[Start date]],WFTracker[[#This Row],[RM]],1,Holidays!D274:D289)</f>
        <v>14</v>
      </c>
      <c r="P602" s="12">
        <v>46001</v>
      </c>
      <c r="Q602" s="12">
        <v>46013</v>
      </c>
      <c r="R602" s="12">
        <v>46014</v>
      </c>
      <c r="S602" s="12" t="b">
        <f>ISBLANK(WFTracker[[#This Row],[Completion Date]])</f>
        <v>0</v>
      </c>
      <c r="T602" s="12" t="str">
        <f>TEXT(WFTracker[[#This Row],[Start date]],"mmm-yyyy")</f>
        <v>Dec-2025</v>
      </c>
      <c r="U602" s="11">
        <v>10</v>
      </c>
      <c r="V602" s="11">
        <f>NETWORKDAYS.INTL(WFTracker[[#This Row],[Start date]],WFTracker[[#This Row],[Due date]],1,Holidays!D274:D289)</f>
        <v>9</v>
      </c>
      <c r="W6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02" s="24">
        <f ca="1">WFTracker[[#This Row],[Active Time]]-WFTracker[[#This Row],[Completion Days Template]]</f>
        <v>0</v>
      </c>
      <c r="Y602" s="16" t="str">
        <f ca="1" xml:space="preserve"> IF(WFTracker[[#This Row],[Overdue Time '[Expected-Completion']]]&gt;0, "LATE","ON TIME")</f>
        <v>ON TIME</v>
      </c>
      <c r="Z602" s="16" t="str">
        <f ca="1">IF(WFTracker[[#This Row],[Overdue Time '[Expected-Completion']]] &gt;= 15, "SUPER LATE", Y602)</f>
        <v>ON TIME</v>
      </c>
      <c r="AA602" s="37" t="str">
        <f>IF(WFTracker[[#This Row],[Pre RM Opening Time]]&lt;WFTracker[[#This Row],[Old vs New Order Lead Time WF dead line]], "LATE BY ENG", "ON TIME BY ENG")</f>
        <v>ON TIME BY ENG</v>
      </c>
      <c r="AB602" s="37"/>
      <c r="AC602" s="15" t="str">
        <f>IF(WFTracker[[#This Row],[Competion Date Content]] = FALSE, "C", "I")</f>
        <v>C</v>
      </c>
      <c r="AD6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602" s="37" t="str">
        <f ca="1">IF(WFTracker[[#This Row],[Impact Time Post RM]]&gt;0, "IMPACTED", "NOT IMPACTED")</f>
        <v>NOT IMPACTED</v>
      </c>
      <c r="AF602" s="15"/>
      <c r="AG602" s="18"/>
      <c r="AH602" s="14" t="str">
        <f>IF(WFTracker[[#This Row],[Status]]="C", "Closed", IF(WFTracker[[#This Row],[Status]] = "x", "Cancelled", WFTracker[[#This Row],[Impact Time Post RM]]))</f>
        <v>Closed</v>
      </c>
      <c r="AI602" s="14" t="str">
        <f ca="1">IF(WFTracker[[#This Row],[Impact Time Post RM]]&lt;=0,"ON TIME","LATE")</f>
        <v>ON TIME</v>
      </c>
      <c r="AJ602" s="14" t="s">
        <v>984</v>
      </c>
      <c r="AK602" s="14">
        <v>17</v>
      </c>
      <c r="AL602" s="915">
        <f>IF(WFTracker[[#This Row],[Type]]="MAKE", WFTracker[[#This Row],[Due date]]+Filters!$J$111, WFTracker[[#This Row],[Due date]]+Filters!$J$135)</f>
        <v>46013.415686274508</v>
      </c>
      <c r="AM602" s="102" cm="1">
        <f t="array" ref="AM6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3" spans="1:39" ht="15" customHeight="1">
      <c r="A603" t="str">
        <f>IF(WFTracker[[#This Row],[Order Number]]="SWBD", "QED2", "PZ4")</f>
        <v>PZ4</v>
      </c>
      <c r="B603" s="21" t="s">
        <v>706</v>
      </c>
      <c r="C603" s="26" t="s">
        <v>1515</v>
      </c>
      <c r="D603" s="23" t="str">
        <f>WFTracker[[#This Row],[Order Number]]  &amp; "-" &amp; WFTracker[[#This Row],[Item]]</f>
        <v>0051129914-000760</v>
      </c>
      <c r="E603" s="23" t="s">
        <v>1058</v>
      </c>
      <c r="F603" s="12">
        <v>46020</v>
      </c>
      <c r="G603" s="12">
        <v>46010</v>
      </c>
      <c r="H603" s="11" t="s">
        <v>709</v>
      </c>
      <c r="I603" s="11" t="s">
        <v>1132</v>
      </c>
      <c r="J603" s="55" t="s">
        <v>713</v>
      </c>
      <c r="K603" s="14" t="s">
        <v>1017</v>
      </c>
      <c r="L603" s="15" t="s">
        <v>1481</v>
      </c>
      <c r="M603" s="29" t="s">
        <v>1120</v>
      </c>
      <c r="N603" s="57">
        <v>46084</v>
      </c>
      <c r="O603" s="15">
        <f>NETWORKDAYS.INTL(WFTracker[[#This Row],[Start date]],WFTracker[[#This Row],[RM]],1,Holidays!D275:D290)</f>
        <v>14</v>
      </c>
      <c r="P603" s="12">
        <v>46001</v>
      </c>
      <c r="Q603" s="12">
        <v>46013</v>
      </c>
      <c r="R603" s="12">
        <v>46013</v>
      </c>
      <c r="S603" s="12" t="b">
        <f>ISBLANK(WFTracker[[#This Row],[Completion Date]])</f>
        <v>0</v>
      </c>
      <c r="T603" s="12" t="str">
        <f>TEXT(WFTracker[[#This Row],[Start date]],"mmm-yyyy")</f>
        <v>Dec-2025</v>
      </c>
      <c r="U603" s="11">
        <v>10</v>
      </c>
      <c r="V603" s="11">
        <f>NETWORKDAYS.INTL(WFTracker[[#This Row],[Start date]],WFTracker[[#This Row],[Due date]],1,Holidays!D275:D290)</f>
        <v>9</v>
      </c>
      <c r="W6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603" s="24">
        <f ca="1">WFTracker[[#This Row],[Active Time]]-WFTracker[[#This Row],[Completion Days Template]]</f>
        <v>-1</v>
      </c>
      <c r="Y603" s="16" t="str">
        <f ca="1" xml:space="preserve"> IF(WFTracker[[#This Row],[Overdue Time '[Expected-Completion']]]&gt;0, "LATE","ON TIME")</f>
        <v>ON TIME</v>
      </c>
      <c r="Z603" s="16" t="str">
        <f ca="1">IF(WFTracker[[#This Row],[Overdue Time '[Expected-Completion']]] &gt;= 15, "SUPER LATE", Y603)</f>
        <v>ON TIME</v>
      </c>
      <c r="AA603" s="37" t="str">
        <f>IF(WFTracker[[#This Row],[Pre RM Opening Time]]&lt;WFTracker[[#This Row],[Old vs New Order Lead Time WF dead line]], "LATE BY ENG", "ON TIME BY ENG")</f>
        <v>ON TIME BY ENG</v>
      </c>
      <c r="AB603" s="37"/>
      <c r="AC603" s="15" t="str">
        <f>IF(WFTracker[[#This Row],[Competion Date Content]] = FALSE, "C", "I")</f>
        <v>C</v>
      </c>
      <c r="AD6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03" s="37" t="str">
        <f ca="1">IF(WFTracker[[#This Row],[Impact Time Post RM]]&gt;0, "IMPACTED", "NOT IMPACTED")</f>
        <v>NOT IMPACTED</v>
      </c>
      <c r="AF603" s="15"/>
      <c r="AG603" s="18"/>
      <c r="AH603" s="14" t="str">
        <f>IF(WFTracker[[#This Row],[Status]]="C", "Closed", IF(WFTracker[[#This Row],[Status]] = "x", "Cancelled", WFTracker[[#This Row],[Impact Time Post RM]]))</f>
        <v>Closed</v>
      </c>
      <c r="AI603" s="14" t="str">
        <f ca="1">IF(WFTracker[[#This Row],[Impact Time Post RM]]&lt;=0,"ON TIME","LATE")</f>
        <v>ON TIME</v>
      </c>
      <c r="AJ603" s="14" t="s">
        <v>984</v>
      </c>
      <c r="AK603" s="14">
        <v>17</v>
      </c>
      <c r="AL603" s="915">
        <f>IF(WFTracker[[#This Row],[Type]]="MAKE", WFTracker[[#This Row],[Due date]]+Filters!$J$111, WFTracker[[#This Row],[Due date]]+Filters!$J$135)</f>
        <v>46013.415686274508</v>
      </c>
      <c r="AM603" s="102" cm="1">
        <f t="array" ref="AM6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4" spans="1:39" ht="15" customHeight="1">
      <c r="A604" t="str">
        <f>IF(WFTracker[[#This Row],[Order Number]]="SWBD", "QED2", "PZ4")</f>
        <v>PZ4</v>
      </c>
      <c r="B604" s="21" t="s">
        <v>714</v>
      </c>
      <c r="C604" s="26" t="s">
        <v>1463</v>
      </c>
      <c r="D604" s="23" t="str">
        <f>WFTracker[[#This Row],[Order Number]]  &amp; "-" &amp; WFTracker[[#This Row],[Item]]</f>
        <v>0050927776-000950</v>
      </c>
      <c r="E604" s="23" t="s">
        <v>716</v>
      </c>
      <c r="F604" s="12">
        <v>46017</v>
      </c>
      <c r="G604" s="12">
        <v>46009</v>
      </c>
      <c r="H604" s="11" t="s">
        <v>237</v>
      </c>
      <c r="I604" s="11" t="s">
        <v>264</v>
      </c>
      <c r="J604" s="55" t="s">
        <v>718</v>
      </c>
      <c r="K604" s="14" t="s">
        <v>1017</v>
      </c>
      <c r="L604" s="15" t="s">
        <v>27</v>
      </c>
      <c r="M604" s="29" t="s">
        <v>1120</v>
      </c>
      <c r="N604" s="57">
        <v>46311</v>
      </c>
      <c r="O604" s="15">
        <f>NETWORKDAYS.INTL(WFTracker[[#This Row],[Start date]],WFTracker[[#This Row],[RM]],1,Holidays!D207:D222)</f>
        <v>13</v>
      </c>
      <c r="P604" s="12">
        <v>46001</v>
      </c>
      <c r="Q604" s="12">
        <v>46008</v>
      </c>
      <c r="R604" s="12">
        <v>46034</v>
      </c>
      <c r="S604" s="12" t="b">
        <f>ISBLANK(WFTracker[[#This Row],[Completion Date]])</f>
        <v>0</v>
      </c>
      <c r="T604" s="12" t="str">
        <f>TEXT(WFTracker[[#This Row],[Start date]],"mmm-yyyy")</f>
        <v>Dec-2025</v>
      </c>
      <c r="U604" s="11">
        <v>10</v>
      </c>
      <c r="V604" s="11">
        <f>NETWORKDAYS.INTL(WFTracker[[#This Row],[Start date]],WFTracker[[#This Row],[Due date]],1,Holidays!D207:D222)</f>
        <v>6</v>
      </c>
      <c r="W6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20</v>
      </c>
      <c r="X604" s="24">
        <f ca="1">WFTracker[[#This Row],[Active Time]]-WFTracker[[#This Row],[Completion Days Template]]</f>
        <v>14</v>
      </c>
      <c r="Y604" s="16" t="str">
        <f ca="1" xml:space="preserve"> IF(WFTracker[[#This Row],[Overdue Time '[Expected-Completion']]]&gt;0, "LATE","ON TIME")</f>
        <v>LATE</v>
      </c>
      <c r="Z604" s="16" t="str">
        <f ca="1">IF(WFTracker[[#This Row],[Overdue Time '[Expected-Completion']]] &gt;= 15, "SUPER LATE", Y604)</f>
        <v>LATE</v>
      </c>
      <c r="AA604" s="37" t="str">
        <f>IF(WFTracker[[#This Row],[Pre RM Opening Time]]&lt;WFTracker[[#This Row],[Old vs New Order Lead Time WF dead line]], "LATE BY ENG", "ON TIME BY ENG")</f>
        <v>ON TIME BY ENG</v>
      </c>
      <c r="AB604" s="37"/>
      <c r="AC604" s="928" t="str" cm="1">
        <f t="array" ref="AC604">_xlfn.IFS(
    WFTracker[[#This Row],[Cancelation Cause]]&lt;&gt;"", "X",
    WFTracker[[#This Row],[Competion Date Content]] = FALSE, "C",
    TRUE, "I"
)</f>
        <v>C</v>
      </c>
      <c r="AD6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04" s="37" t="str">
        <f ca="1">IF(WFTracker[[#This Row],[Impact Time Post RM]]&gt;0, "IMPACTED", "NOT IMPACTED")</f>
        <v>IMPACTED</v>
      </c>
      <c r="AF604" s="15"/>
      <c r="AG604" s="18"/>
      <c r="AH604" s="14" t="str">
        <f>IF(WFTracker[[#This Row],[Status]]="C", "Closed", IF(WFTracker[[#This Row],[Status]] = "x", "Cancelled", WFTracker[[#This Row],[Impact Time Post RM]]))</f>
        <v>Closed</v>
      </c>
      <c r="AI604" s="14" t="str">
        <f ca="1">IF(WFTracker[[#This Row],[Impact Time Post RM]]&lt;=0,"ON TIME","LATE")</f>
        <v>LATE</v>
      </c>
      <c r="AJ604" s="14" t="s">
        <v>984</v>
      </c>
      <c r="AK604" s="14">
        <v>18</v>
      </c>
      <c r="AL604" s="915">
        <f>IF(WFTracker[[#This Row],[Type]]="MAKE", WFTracker[[#This Row],[Due date]]+Filters!$J$111, WFTracker[[#This Row],[Due date]]+Filters!$J$135)</f>
        <v>46011.072512647552</v>
      </c>
      <c r="AM604" s="102" cm="1">
        <f t="array" ref="AM6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5" spans="1:39" ht="15" customHeight="1">
      <c r="A605" t="str">
        <f>IF(WFTracker[[#This Row],[Order Number]]="SWBD", "QED2", "PZ4")</f>
        <v>PZ4</v>
      </c>
      <c r="B605" s="120" t="s">
        <v>447</v>
      </c>
      <c r="C605" s="26" t="s">
        <v>448</v>
      </c>
      <c r="D605" s="11" t="str">
        <f>WFTracker[[#This Row],[Order Number]]  &amp; "-" &amp; WFTracker[[#This Row],[Item]]</f>
        <v>0051536680-000150</v>
      </c>
      <c r="E605" s="23" t="s">
        <v>621</v>
      </c>
      <c r="F605" s="12">
        <v>45922</v>
      </c>
      <c r="G605" s="12">
        <v>45925</v>
      </c>
      <c r="H605" s="11" t="s">
        <v>295</v>
      </c>
      <c r="I605" s="11" t="s">
        <v>216</v>
      </c>
      <c r="J605" s="55" t="s">
        <v>1517</v>
      </c>
      <c r="K605" s="14" t="s">
        <v>1017</v>
      </c>
      <c r="L605" s="15" t="s">
        <v>27</v>
      </c>
      <c r="M605" s="29" t="s">
        <v>1120</v>
      </c>
      <c r="N605" s="57">
        <v>46020</v>
      </c>
      <c r="O605" s="15">
        <f>NETWORKDAYS.INTL(WFTracker[[#This Row],[Start date]],WFTracker[[#This Row],[RM]],1,Holidays!D622:D637)</f>
        <v>-58</v>
      </c>
      <c r="P605" s="12">
        <v>46001</v>
      </c>
      <c r="Q605" s="12">
        <v>46008</v>
      </c>
      <c r="R605" s="12">
        <v>46006</v>
      </c>
      <c r="S605" s="12" t="b">
        <f>ISBLANK(WFTracker[[#This Row],[Completion Date]])</f>
        <v>0</v>
      </c>
      <c r="T605" s="12" t="str">
        <f>TEXT(WFTracker[[#This Row],[Start date]],"mmm-yyyy")</f>
        <v>Dec-2025</v>
      </c>
      <c r="U605" s="11">
        <v>10</v>
      </c>
      <c r="V605" s="11">
        <f>NETWORKDAYS.INTL(WFTracker[[#This Row],[Start date]],WFTracker[[#This Row],[Due date]],1,Holidays!D622:D637)</f>
        <v>6</v>
      </c>
      <c r="W6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05" s="24">
        <f ca="1">WFTracker[[#This Row],[Active Time]]-WFTracker[[#This Row],[Completion Days Template]]</f>
        <v>-3</v>
      </c>
      <c r="Y605" s="16" t="str">
        <f ca="1" xml:space="preserve"> IF(WFTracker[[#This Row],[Overdue Time '[Expected-Completion']]]&gt;0, "LATE","ON TIME")</f>
        <v>ON TIME</v>
      </c>
      <c r="Z605" s="16" t="str">
        <f ca="1">IF(WFTracker[[#This Row],[Overdue Time '[Expected-Completion']]] &gt;= 15, "SUPER LATE", Y605)</f>
        <v>ON TIME</v>
      </c>
      <c r="AA605" s="37" t="str">
        <f>IF(WFTracker[[#This Row],[Pre RM Opening Time]]&lt;WFTracker[[#This Row],[Old vs New Order Lead Time WF dead line]], "LATE BY ENG", "ON TIME BY ENG")</f>
        <v>LATE BY ENG</v>
      </c>
      <c r="AB605" s="37"/>
      <c r="AC605" s="15" t="s">
        <v>29</v>
      </c>
      <c r="AD6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56</v>
      </c>
      <c r="AE605" s="37" t="str">
        <f ca="1">IF(WFTracker[[#This Row],[Impact Time Post RM]]&gt;0, "IMPACTED", "NOT IMPACTED")</f>
        <v>IMPACTED</v>
      </c>
      <c r="AF605" s="15"/>
      <c r="AG605" s="18"/>
      <c r="AH605" s="14" t="str">
        <f>IF(WFTracker[[#This Row],[Status]]="C", "Closed", IF(WFTracker[[#This Row],[Status]] = "x", "Cancelled", WFTracker[[#This Row],[Impact Time Post RM]]))</f>
        <v>Closed</v>
      </c>
      <c r="AI605" s="14" t="str">
        <f ca="1">IF(WFTracker[[#This Row],[Impact Time Post RM]]&lt;=0,"ON TIME","LATE")</f>
        <v>LATE</v>
      </c>
      <c r="AJ605" s="14" t="s">
        <v>984</v>
      </c>
      <c r="AK605" s="14">
        <v>18</v>
      </c>
      <c r="AL605" s="915">
        <f>IF(WFTracker[[#This Row],[Type]]="MAKE", WFTracker[[#This Row],[Due date]]+Filters!$J$111, WFTracker[[#This Row],[Due date]]+Filters!$J$135)</f>
        <v>46011.072512647552</v>
      </c>
      <c r="AM605" s="102" cm="1">
        <f t="array" ref="AM6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6" spans="1:39" ht="15" customHeight="1">
      <c r="A606" t="str">
        <f>IF(WFTracker[[#This Row],[Order Number]]="SWBD", "QED2", "PZ4")</f>
        <v>PZ4</v>
      </c>
      <c r="B606" s="21" t="s">
        <v>714</v>
      </c>
      <c r="C606" s="26" t="s">
        <v>1463</v>
      </c>
      <c r="D606" s="23" t="str">
        <f>WFTracker[[#This Row],[Order Number]]  &amp; "-" &amp; WFTracker[[#This Row],[Item]]</f>
        <v>0050927776-000950</v>
      </c>
      <c r="E606" s="23" t="s">
        <v>716</v>
      </c>
      <c r="F606" s="12">
        <v>46017</v>
      </c>
      <c r="G606" s="12">
        <v>46009</v>
      </c>
      <c r="H606" s="11" t="s">
        <v>237</v>
      </c>
      <c r="I606" s="11" t="s">
        <v>264</v>
      </c>
      <c r="J606" s="55" t="s">
        <v>717</v>
      </c>
      <c r="K606" s="14" t="s">
        <v>1017</v>
      </c>
      <c r="L606" s="15" t="s">
        <v>27</v>
      </c>
      <c r="M606" s="29" t="s">
        <v>1120</v>
      </c>
      <c r="N606" s="57">
        <v>46311</v>
      </c>
      <c r="O606" s="15">
        <f>NETWORKDAYS.INTL(WFTracker[[#This Row],[Start date]],WFTracker[[#This Row],[RM]],1,Holidays!D206:D221)</f>
        <v>13</v>
      </c>
      <c r="P606" s="12">
        <v>46001</v>
      </c>
      <c r="Q606" s="12">
        <v>46008</v>
      </c>
      <c r="R606" s="12">
        <v>46035</v>
      </c>
      <c r="S606" s="12" t="b">
        <f>ISBLANK(WFTracker[[#This Row],[Completion Date]])</f>
        <v>0</v>
      </c>
      <c r="T606" s="12" t="str">
        <f>TEXT(WFTracker[[#This Row],[Start date]],"mmm-yyyy")</f>
        <v>Dec-2025</v>
      </c>
      <c r="U606" s="11">
        <v>10</v>
      </c>
      <c r="V606" s="11">
        <f>NETWORKDAYS.INTL(WFTracker[[#This Row],[Start date]],WFTracker[[#This Row],[Due date]],1,Holidays!D206:D221)</f>
        <v>6</v>
      </c>
      <c r="W6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21</v>
      </c>
      <c r="X606" s="24">
        <f ca="1">WFTracker[[#This Row],[Active Time]]-WFTracker[[#This Row],[Completion Days Template]]</f>
        <v>15</v>
      </c>
      <c r="Y606" s="16" t="str">
        <f ca="1" xml:space="preserve"> IF(WFTracker[[#This Row],[Overdue Time '[Expected-Completion']]]&gt;0, "LATE","ON TIME")</f>
        <v>LATE</v>
      </c>
      <c r="Z606" s="16" t="str">
        <f ca="1">IF(WFTracker[[#This Row],[Overdue Time '[Expected-Completion']]] &gt;= 15, "SUPER LATE", Y606)</f>
        <v>SUPER LATE</v>
      </c>
      <c r="AA606" s="37" t="str">
        <f>IF(WFTracker[[#This Row],[Pre RM Opening Time]]&lt;WFTracker[[#This Row],[Old vs New Order Lead Time WF dead line]], "LATE BY ENG", "ON TIME BY ENG")</f>
        <v>ON TIME BY ENG</v>
      </c>
      <c r="AB606" s="37"/>
      <c r="AC606" s="928" t="str" cm="1">
        <f t="array" ref="AC606">_xlfn.IFS(
    WFTracker[[#This Row],[Cancelation Cause]]&lt;&gt;"", "X",
    WFTracker[[#This Row],[Competion Date Content]] = FALSE, "C",
    TRUE, "I"
)</f>
        <v>C</v>
      </c>
      <c r="AD6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606" s="37" t="str">
        <f ca="1">IF(WFTracker[[#This Row],[Impact Time Post RM]]&gt;0, "IMPACTED", "NOT IMPACTED")</f>
        <v>IMPACTED</v>
      </c>
      <c r="AF606" s="15"/>
      <c r="AG606" s="18"/>
      <c r="AH606" s="14" t="str">
        <f>IF(WFTracker[[#This Row],[Status]]="C", "Closed", IF(WFTracker[[#This Row],[Status]] = "x", "Cancelled", WFTracker[[#This Row],[Impact Time Post RM]]))</f>
        <v>Closed</v>
      </c>
      <c r="AI606" s="14" t="str">
        <f ca="1">IF(WFTracker[[#This Row],[Impact Time Post RM]]&lt;=0,"ON TIME","LATE")</f>
        <v>LATE</v>
      </c>
      <c r="AJ606" s="14" t="s">
        <v>984</v>
      </c>
      <c r="AK606" s="14">
        <v>18</v>
      </c>
      <c r="AL606" s="915">
        <f>IF(WFTracker[[#This Row],[Type]]="MAKE", WFTracker[[#This Row],[Due date]]+Filters!$J$111, WFTracker[[#This Row],[Due date]]+Filters!$J$135)</f>
        <v>46011.072512647552</v>
      </c>
      <c r="AM606" s="102" cm="1">
        <f t="array" ref="AM6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7" spans="1:39" ht="15" customHeight="1">
      <c r="A607" t="str">
        <f>IF(WFTracker[[#This Row],[Order Number]]="SWBD", "QED2", "PZ4")</f>
        <v>PZ4</v>
      </c>
      <c r="B607" s="21" t="s">
        <v>673</v>
      </c>
      <c r="C607" s="21" t="s">
        <v>674</v>
      </c>
      <c r="D607" s="23" t="str">
        <f>WFTracker[[#This Row],[Order Number]]  &amp; "-" &amp; WFTracker[[#This Row],[Item]]</f>
        <v>0051611250-003280</v>
      </c>
      <c r="E607" s="23" t="s">
        <v>675</v>
      </c>
      <c r="F607" s="12">
        <v>45996</v>
      </c>
      <c r="G607" s="862">
        <v>45993</v>
      </c>
      <c r="H607" s="11" t="s">
        <v>676</v>
      </c>
      <c r="I607" s="11" t="s">
        <v>241</v>
      </c>
      <c r="J607" s="55" t="s">
        <v>690</v>
      </c>
      <c r="K607" s="14" t="s">
        <v>1017</v>
      </c>
      <c r="L607" s="15" t="s">
        <v>27</v>
      </c>
      <c r="M607" s="29" t="s">
        <v>1120</v>
      </c>
      <c r="N607" s="57">
        <v>46066</v>
      </c>
      <c r="O607" s="15">
        <f>NETWORKDAYS.INTL(WFTracker[[#This Row],[Start date]],WFTracker[[#This Row],[RM]],1,Holidays!D49:D64)</f>
        <v>-5</v>
      </c>
      <c r="P607" s="12">
        <v>46002</v>
      </c>
      <c r="Q607" s="12">
        <v>46009</v>
      </c>
      <c r="R607" s="12">
        <v>46013</v>
      </c>
      <c r="S607" s="12" t="b">
        <f>ISBLANK(WFTracker[[#This Row],[Completion Date]])</f>
        <v>0</v>
      </c>
      <c r="T607" s="12" t="str">
        <f>TEXT(WFTracker[[#This Row],[Start date]],"mmm-yyyy")</f>
        <v>Dec-2025</v>
      </c>
      <c r="U607" s="11">
        <v>10</v>
      </c>
      <c r="V607" s="11">
        <f>NETWORKDAYS.INTL(WFTracker[[#This Row],[Start date]],WFTracker[[#This Row],[Due date]],1,Holidays!D49:D64)</f>
        <v>6</v>
      </c>
      <c r="W6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07" s="24">
        <f ca="1">WFTracker[[#This Row],[Active Time]]-WFTracker[[#This Row],[Completion Days Template]]</f>
        <v>1</v>
      </c>
      <c r="Y607" s="16" t="str">
        <f ca="1" xml:space="preserve"> IF(WFTracker[[#This Row],[Overdue Time '[Expected-Completion']]]&gt;0, "LATE","ON TIME")</f>
        <v>LATE</v>
      </c>
      <c r="Z607" s="16" t="str">
        <f ca="1">IF(WFTracker[[#This Row],[Overdue Time '[Expected-Completion']]] &gt;= 15, "SUPER LATE", Y607)</f>
        <v>LATE</v>
      </c>
      <c r="AA607" s="37" t="str">
        <f>IF(WFTracker[[#This Row],[Pre RM Opening Time]]&lt;WFTracker[[#This Row],[Old vs New Order Lead Time WF dead line]], "LATE BY ENG", "ON TIME BY ENG")</f>
        <v>LATE BY ENG</v>
      </c>
      <c r="AB607" s="37"/>
      <c r="AC607" s="15" t="str">
        <f>IF(WFTracker[[#This Row],[Competion Date Content]] = FALSE, "C", "I")</f>
        <v>C</v>
      </c>
      <c r="AD6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07" s="37" t="str">
        <f ca="1">IF(WFTracker[[#This Row],[Impact Time Post RM]]&gt;0, "IMPACTED", "NOT IMPACTED")</f>
        <v>IMPACTED</v>
      </c>
      <c r="AF607" s="15"/>
      <c r="AG607" s="18"/>
      <c r="AH607" s="14" t="str">
        <f>IF(WFTracker[[#This Row],[Status]]="C", "Closed", IF(WFTracker[[#This Row],[Status]] = "x", "Cancelled", WFTracker[[#This Row],[Impact Time Post RM]]))</f>
        <v>Closed</v>
      </c>
      <c r="AI607" s="14" t="str">
        <f ca="1">IF(WFTracker[[#This Row],[Impact Time Post RM]]&lt;=0,"ON TIME","LATE")</f>
        <v>LATE</v>
      </c>
      <c r="AJ607" s="14" t="s">
        <v>984</v>
      </c>
      <c r="AK607" s="14">
        <v>18</v>
      </c>
      <c r="AL607" s="915">
        <f>IF(WFTracker[[#This Row],[Type]]="MAKE", WFTracker[[#This Row],[Due date]]+Filters!$J$111, WFTracker[[#This Row],[Due date]]+Filters!$J$135)</f>
        <v>46012.072512647552</v>
      </c>
      <c r="AM607" s="102" cm="1">
        <f t="array" ref="AM60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08" spans="1:39" ht="15" customHeight="1">
      <c r="A608" t="str">
        <f>IF(WFTracker[[#This Row],[Order Number]]="SWBD", "QED2", "PZ4")</f>
        <v>PZ4</v>
      </c>
      <c r="B608" s="21" t="s">
        <v>673</v>
      </c>
      <c r="C608" s="26" t="s">
        <v>674</v>
      </c>
      <c r="D608" s="23" t="str">
        <f>WFTracker[[#This Row],[Order Number]]  &amp; "-" &amp; WFTracker[[#This Row],[Item]]</f>
        <v>0051611250-003280</v>
      </c>
      <c r="E608" s="23" t="s">
        <v>675</v>
      </c>
      <c r="F608" s="12">
        <v>45996</v>
      </c>
      <c r="G608" s="12">
        <v>45993</v>
      </c>
      <c r="H608" s="11" t="s">
        <v>676</v>
      </c>
      <c r="I608" s="11" t="s">
        <v>241</v>
      </c>
      <c r="J608" s="55" t="s">
        <v>1518</v>
      </c>
      <c r="K608" s="14" t="s">
        <v>1017</v>
      </c>
      <c r="L608" s="15" t="s">
        <v>1481</v>
      </c>
      <c r="M608" s="29" t="s">
        <v>1120</v>
      </c>
      <c r="N608" s="57">
        <v>46066</v>
      </c>
      <c r="O608" s="15">
        <f>NETWORKDAYS.INTL(WFTracker[[#This Row],[Start date]],WFTracker[[#This Row],[RM]],1,Holidays!D51:D66)</f>
        <v>-5</v>
      </c>
      <c r="P608" s="12">
        <v>46002</v>
      </c>
      <c r="Q608" s="12">
        <v>46014</v>
      </c>
      <c r="R608" s="12">
        <v>46003</v>
      </c>
      <c r="S608" s="12" t="b">
        <f>ISBLANK(WFTracker[[#This Row],[Completion Date]])</f>
        <v>0</v>
      </c>
      <c r="T608" s="12" t="str">
        <f>TEXT(WFTracker[[#This Row],[Start date]],"mmm-yyyy")</f>
        <v>Dec-2025</v>
      </c>
      <c r="U608" s="11">
        <v>10</v>
      </c>
      <c r="V608" s="11">
        <f>NETWORKDAYS.INTL(WFTracker[[#This Row],[Start date]],WFTracker[[#This Row],[Due date]],1,Holidays!D51:D66)</f>
        <v>9</v>
      </c>
      <c r="W6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</v>
      </c>
      <c r="X608" s="24">
        <f ca="1">WFTracker[[#This Row],[Active Time]]-WFTracker[[#This Row],[Completion Days Template]]</f>
        <v>-8</v>
      </c>
      <c r="Y608" s="16" t="str">
        <f ca="1" xml:space="preserve"> IF(WFTracker[[#This Row],[Overdue Time '[Expected-Completion']]]&gt;0, "LATE","ON TIME")</f>
        <v>ON TIME</v>
      </c>
      <c r="Z608" s="16" t="str">
        <f ca="1">IF(WFTracker[[#This Row],[Overdue Time '[Expected-Completion']]] &gt;= 15, "SUPER LATE", Y608)</f>
        <v>ON TIME</v>
      </c>
      <c r="AA608" s="37" t="str">
        <f>IF(WFTracker[[#This Row],[Pre RM Opening Time]]&lt;WFTracker[[#This Row],[Old vs New Order Lead Time WF dead line]], "LATE BY ENG", "ON TIME BY ENG")</f>
        <v>LATE BY ENG</v>
      </c>
      <c r="AB608" s="37"/>
      <c r="AC608" s="15" t="s">
        <v>1011</v>
      </c>
      <c r="AD6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608" s="25" t="str">
        <f ca="1">IF(WFTracker[[#This Row],[Impact Time Post RM]]&gt;0, "IMPACTED", "NOT IMPACTED")</f>
        <v>IMPACTED</v>
      </c>
      <c r="AF608" s="15"/>
      <c r="AG608" s="18"/>
      <c r="AH608" s="14" t="str">
        <f>IF(WFTracker[[#This Row],[Status]]="C", "Closed", IF(WFTracker[[#This Row],[Status]] = "x", "Cancelled", WFTracker[[#This Row],[Impact Time Post RM]]))</f>
        <v>Cancelled</v>
      </c>
      <c r="AI608" s="14" t="str">
        <f ca="1">IF(WFTracker[[#This Row],[Impact Time Post RM]]&lt;=0,"ON TIME","LATE")</f>
        <v>LATE</v>
      </c>
      <c r="AJ608" s="14" t="s">
        <v>984</v>
      </c>
      <c r="AK608" s="14">
        <v>3</v>
      </c>
      <c r="AL608" s="915">
        <f>IF(WFTracker[[#This Row],[Type]]="MAKE", WFTracker[[#This Row],[Due date]]+Filters!$J$111, WFTracker[[#This Row],[Due date]]+Filters!$J$135)</f>
        <v>46014.415686274508</v>
      </c>
      <c r="AM608" s="102" cm="1">
        <f t="array" ref="AM608">_xlfn.IFS(WFTracker[[#This Row],[Type]]="BUY", WFTracker[[#This Row],[Task Number]]/17,
     WFTracker[[#This Row],[Type]]="MAKE", WFTracker[[#This Row],[Task Number]]/18,
     WFTracker[[#This Row],[Type]]="CNG-BOM", WFTracker[[#This Row],[Task Number]]/11)</f>
        <v>0.17647058823529413</v>
      </c>
    </row>
    <row r="609" spans="1:39" ht="15" customHeight="1">
      <c r="A609" t="str">
        <f>IF(WFTracker[[#This Row],[Order Number]]="SWBD", "QED2", "PZ4")</f>
        <v>PZ4</v>
      </c>
      <c r="B609" s="21" t="s">
        <v>673</v>
      </c>
      <c r="C609" s="26" t="s">
        <v>674</v>
      </c>
      <c r="D609" s="23" t="str">
        <f>WFTracker[[#This Row],[Order Number]]  &amp; "-" &amp; WFTracker[[#This Row],[Item]]</f>
        <v>0051611250-003280</v>
      </c>
      <c r="E609" s="23" t="s">
        <v>675</v>
      </c>
      <c r="F609" s="12">
        <v>45996</v>
      </c>
      <c r="G609" s="12">
        <v>45993</v>
      </c>
      <c r="H609" s="11" t="s">
        <v>676</v>
      </c>
      <c r="I609" s="11" t="s">
        <v>241</v>
      </c>
      <c r="J609" s="55" t="s">
        <v>689</v>
      </c>
      <c r="K609" s="14" t="s">
        <v>1017</v>
      </c>
      <c r="L609" s="15" t="s">
        <v>27</v>
      </c>
      <c r="M609" s="29" t="s">
        <v>1120</v>
      </c>
      <c r="N609" s="57">
        <v>46066</v>
      </c>
      <c r="O609" s="15">
        <f>NETWORKDAYS.INTL(WFTracker[[#This Row],[Start date]],WFTracker[[#This Row],[RM]],1,Holidays!D52:D67)</f>
        <v>-5</v>
      </c>
      <c r="P609" s="12">
        <v>46002</v>
      </c>
      <c r="Q609" s="12">
        <v>46009</v>
      </c>
      <c r="R609" s="12">
        <v>46013</v>
      </c>
      <c r="S609" s="12" t="b">
        <f>ISBLANK(WFTracker[[#This Row],[Completion Date]])</f>
        <v>0</v>
      </c>
      <c r="T609" s="12" t="str">
        <f>TEXT(WFTracker[[#This Row],[Start date]],"mmm-yyyy")</f>
        <v>Dec-2025</v>
      </c>
      <c r="U609" s="11">
        <v>10</v>
      </c>
      <c r="V609" s="11">
        <f>NETWORKDAYS.INTL(WFTracker[[#This Row],[Start date]],WFTracker[[#This Row],[Due date]],1,Holidays!D52:D67)</f>
        <v>6</v>
      </c>
      <c r="W6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09" s="24">
        <f ca="1">WFTracker[[#This Row],[Active Time]]-WFTracker[[#This Row],[Completion Days Template]]</f>
        <v>1</v>
      </c>
      <c r="Y609" s="16" t="str">
        <f ca="1" xml:space="preserve"> IF(WFTracker[[#This Row],[Overdue Time '[Expected-Completion']]]&gt;0, "LATE","ON TIME")</f>
        <v>LATE</v>
      </c>
      <c r="Z609" s="16" t="str">
        <f ca="1">IF(WFTracker[[#This Row],[Overdue Time '[Expected-Completion']]] &gt;= 15, "SUPER LATE", Y609)</f>
        <v>LATE</v>
      </c>
      <c r="AA609" s="37" t="str">
        <f>IF(WFTracker[[#This Row],[Pre RM Opening Time]]&lt;WFTracker[[#This Row],[Old vs New Order Lead Time WF dead line]], "LATE BY ENG", "ON TIME BY ENG")</f>
        <v>LATE BY ENG</v>
      </c>
      <c r="AB609" s="37"/>
      <c r="AC609" s="15" t="str">
        <f>IF(WFTracker[[#This Row],[Competion Date Content]] = FALSE, "C", "I")</f>
        <v>C</v>
      </c>
      <c r="AD6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09" s="37" t="str">
        <f ca="1">IF(WFTracker[[#This Row],[Impact Time Post RM]]&gt;0, "IMPACTED", "NOT IMPACTED")</f>
        <v>IMPACTED</v>
      </c>
      <c r="AF609" s="15"/>
      <c r="AG609" s="18"/>
      <c r="AH609" s="14" t="str">
        <f>IF(WFTracker[[#This Row],[Status]]="C", "Closed", IF(WFTracker[[#This Row],[Status]] = "x", "Cancelled", WFTracker[[#This Row],[Impact Time Post RM]]))</f>
        <v>Closed</v>
      </c>
      <c r="AI609" s="14" t="str">
        <f ca="1">IF(WFTracker[[#This Row],[Impact Time Post RM]]&lt;=0,"ON TIME","LATE")</f>
        <v>LATE</v>
      </c>
      <c r="AJ609" s="14" t="s">
        <v>984</v>
      </c>
      <c r="AK609" s="14">
        <v>18</v>
      </c>
      <c r="AL609" s="915">
        <f>IF(WFTracker[[#This Row],[Type]]="MAKE", WFTracker[[#This Row],[Due date]]+Filters!$J$111, WFTracker[[#This Row],[Due date]]+Filters!$J$135)</f>
        <v>46012.072512647552</v>
      </c>
      <c r="AM609" s="102" cm="1">
        <f t="array" ref="AM6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0" spans="1:39" ht="15" customHeight="1">
      <c r="A610" t="str">
        <f>IF(WFTracker[[#This Row],[Order Number]]="SWBD", "QED2", "PZ4")</f>
        <v>PZ4</v>
      </c>
      <c r="B610" s="21" t="s">
        <v>742</v>
      </c>
      <c r="C610" s="26" t="s">
        <v>286</v>
      </c>
      <c r="D610" s="23" t="str">
        <f>WFTracker[[#This Row],[Order Number]]  &amp; "-" &amp; WFTracker[[#This Row],[Item]]</f>
        <v>0051615853-000100</v>
      </c>
      <c r="E610" s="23" t="s">
        <v>744</v>
      </c>
      <c r="F610" s="12">
        <v>46020</v>
      </c>
      <c r="G610" s="12">
        <v>46020</v>
      </c>
      <c r="H610" s="11" t="s">
        <v>104</v>
      </c>
      <c r="I610" s="11" t="s">
        <v>37</v>
      </c>
      <c r="J610" s="55" t="s">
        <v>746</v>
      </c>
      <c r="K610" s="14" t="s">
        <v>1023</v>
      </c>
      <c r="L610" s="15" t="s">
        <v>27</v>
      </c>
      <c r="M610" s="29" t="s">
        <v>438</v>
      </c>
      <c r="N610" s="57">
        <v>46139</v>
      </c>
      <c r="O610" s="15">
        <f>NETWORKDAYS.INTL(WFTracker[[#This Row],[Start date]],WFTracker[[#This Row],[RM]],1,Holidays!D244:D259)</f>
        <v>13</v>
      </c>
      <c r="P610" s="12">
        <v>46002</v>
      </c>
      <c r="Q610" s="12">
        <v>46009</v>
      </c>
      <c r="R610" s="12">
        <v>46013</v>
      </c>
      <c r="S610" s="12" t="b">
        <f>ISBLANK(WFTracker[[#This Row],[Completion Date]])</f>
        <v>0</v>
      </c>
      <c r="T610" s="12" t="str">
        <f>TEXT(WFTracker[[#This Row],[Start date]],"mmm-yyyy")</f>
        <v>Dec-2025</v>
      </c>
      <c r="U610" s="11">
        <v>10</v>
      </c>
      <c r="V610" s="11">
        <f>NETWORKDAYS.INTL(WFTracker[[#This Row],[Start date]],WFTracker[[#This Row],[Due date]],1,Holidays!D244:D259)</f>
        <v>6</v>
      </c>
      <c r="W6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10" s="24">
        <f ca="1">WFTracker[[#This Row],[Active Time]]-WFTracker[[#This Row],[Completion Days Template]]</f>
        <v>1</v>
      </c>
      <c r="Y610" s="16" t="str">
        <f ca="1" xml:space="preserve"> IF(WFTracker[[#This Row],[Overdue Time '[Expected-Completion']]]&gt;0, "LATE","ON TIME")</f>
        <v>LATE</v>
      </c>
      <c r="Z610" s="16" t="str">
        <f ca="1">IF(WFTracker[[#This Row],[Overdue Time '[Expected-Completion']]] &gt;= 15, "SUPER LATE", Y610)</f>
        <v>LATE</v>
      </c>
      <c r="AA610" s="37" t="str">
        <f>IF(WFTracker[[#This Row],[Pre RM Opening Time]]&lt;WFTracker[[#This Row],[Old vs New Order Lead Time WF dead line]], "LATE BY ENG", "ON TIME BY ENG")</f>
        <v>ON TIME BY ENG</v>
      </c>
      <c r="AB610" s="37"/>
      <c r="AC610" s="15" t="str">
        <f>IF(WFTracker[[#This Row],[Competion Date Content]] = FALSE, "C", "I")</f>
        <v>C</v>
      </c>
      <c r="AD6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10" s="37" t="str">
        <f ca="1">IF(WFTracker[[#This Row],[Impact Time Post RM]]&gt;0, "IMPACTED", "NOT IMPACTED")</f>
        <v>NOT IMPACTED</v>
      </c>
      <c r="AF610" s="15"/>
      <c r="AG610" s="18"/>
      <c r="AH610" s="14" t="str">
        <f>IF(WFTracker[[#This Row],[Status]]="C", "Closed", IF(WFTracker[[#This Row],[Status]] = "x", "Cancelled", WFTracker[[#This Row],[Impact Time Post RM]]))</f>
        <v>Closed</v>
      </c>
      <c r="AI610" s="14" t="str">
        <f ca="1">IF(WFTracker[[#This Row],[Impact Time Post RM]]&lt;=0,"ON TIME","LATE")</f>
        <v>ON TIME</v>
      </c>
      <c r="AJ610" s="14" t="s">
        <v>984</v>
      </c>
      <c r="AK610" s="14">
        <v>18</v>
      </c>
      <c r="AL610" s="915">
        <f>IF(WFTracker[[#This Row],[Type]]="MAKE", WFTracker[[#This Row],[Due date]]+Filters!$J$111, WFTracker[[#This Row],[Due date]]+Filters!$J$135)</f>
        <v>46012.072512647552</v>
      </c>
      <c r="AM610" s="102" cm="1">
        <f t="array" ref="AM6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1" spans="1:39" ht="15" customHeight="1">
      <c r="A611" t="str">
        <f>IF(WFTracker[[#This Row],[Order Number]]="SWBD", "QED2", "PZ4")</f>
        <v>PZ4</v>
      </c>
      <c r="B611" s="21" t="s">
        <v>754</v>
      </c>
      <c r="C611" s="115" t="s">
        <v>1519</v>
      </c>
      <c r="D611" s="23" t="str">
        <f>WFTracker[[#This Row],[Order Number]]  &amp; "-" &amp; WFTracker[[#This Row],[Item]]</f>
        <v>0050829646-001060&amp;001080</v>
      </c>
      <c r="E611" s="23" t="s">
        <v>756</v>
      </c>
      <c r="F611" s="12">
        <v>46044</v>
      </c>
      <c r="G611" s="12">
        <v>46013</v>
      </c>
      <c r="H611" s="11" t="s">
        <v>295</v>
      </c>
      <c r="I611" s="11"/>
      <c r="J611" s="55" t="s">
        <v>1520</v>
      </c>
      <c r="K611" s="14" t="s">
        <v>1023</v>
      </c>
      <c r="L611" s="15" t="s">
        <v>27</v>
      </c>
      <c r="M611" s="29" t="s">
        <v>1120</v>
      </c>
      <c r="N611" s="57">
        <v>46134</v>
      </c>
      <c r="O611" s="15">
        <f>NETWORKDAYS.INTL(WFTracker[[#This Row],[Start date]],WFTracker[[#This Row],[RM]],1,Holidays!D583:D598)</f>
        <v>31</v>
      </c>
      <c r="P611" s="12">
        <v>46002</v>
      </c>
      <c r="Q611" s="12">
        <v>46009</v>
      </c>
      <c r="R611" s="12">
        <v>46012</v>
      </c>
      <c r="S611" s="12" t="b">
        <f>ISBLANK(WFTracker[[#This Row],[Completion Date]])</f>
        <v>0</v>
      </c>
      <c r="T611" s="12" t="str">
        <f>TEXT(WFTracker[[#This Row],[Start date]],"mmm-yyyy")</f>
        <v>Dec-2025</v>
      </c>
      <c r="U611" s="11">
        <v>10</v>
      </c>
      <c r="V611" s="11">
        <f>NETWORKDAYS.INTL(WFTracker[[#This Row],[Start date]],WFTracker[[#This Row],[Due date]],1,Holidays!D583:D598)</f>
        <v>6</v>
      </c>
      <c r="W6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11" s="24">
        <f ca="1">WFTracker[[#This Row],[Active Time]]-WFTracker[[#This Row],[Completion Days Template]]</f>
        <v>0</v>
      </c>
      <c r="Y611" s="16" t="str">
        <f ca="1" xml:space="preserve"> IF(WFTracker[[#This Row],[Overdue Time '[Expected-Completion']]]&gt;0, "LATE","ON TIME")</f>
        <v>ON TIME</v>
      </c>
      <c r="Z611" s="16" t="str">
        <f ca="1">IF(WFTracker[[#This Row],[Overdue Time '[Expected-Completion']]] &gt;= 15, "SUPER LATE", Y611)</f>
        <v>ON TIME</v>
      </c>
      <c r="AA611" s="37" t="str">
        <f>IF(WFTracker[[#This Row],[Pre RM Opening Time]]&lt;WFTracker[[#This Row],[Old vs New Order Lead Time WF dead line]], "LATE BY ENG", "ON TIME BY ENG")</f>
        <v>ON TIME BY ENG</v>
      </c>
      <c r="AB611" s="37"/>
      <c r="AC611" s="15" t="str">
        <f>IF(WFTracker[[#This Row],[Competion Date Content]] = FALSE, "C", "I")</f>
        <v>C</v>
      </c>
      <c r="AD6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-21</v>
      </c>
      <c r="AE611" s="37" t="str">
        <f ca="1">IF(WFTracker[[#This Row],[Impact Time Post RM]]&gt;0, "IMPACTED", "NOT IMPACTED")</f>
        <v>NOT IMPACTED</v>
      </c>
      <c r="AF611" s="15"/>
      <c r="AG611" s="18"/>
      <c r="AH611" s="14" t="str">
        <f>IF(WFTracker[[#This Row],[Status]]="C", "Closed", IF(WFTracker[[#This Row],[Status]] = "x", "Cancelled", WFTracker[[#This Row],[Impact Time Post RM]]))</f>
        <v>Closed</v>
      </c>
      <c r="AI611" s="14" t="str">
        <f ca="1">IF(WFTracker[[#This Row],[Impact Time Post RM]]&lt;=0,"ON TIME","LATE")</f>
        <v>ON TIME</v>
      </c>
      <c r="AJ611" s="14" t="s">
        <v>984</v>
      </c>
      <c r="AK611" s="14">
        <v>18</v>
      </c>
      <c r="AL611" s="915">
        <f>IF(WFTracker[[#This Row],[Type]]="MAKE", WFTracker[[#This Row],[Due date]]+Filters!$J$111, WFTracker[[#This Row],[Due date]]+Filters!$J$135)</f>
        <v>46012.072512647552</v>
      </c>
      <c r="AM611" s="102" cm="1">
        <f t="array" ref="AM6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2" spans="1:39" ht="15" customHeight="1">
      <c r="A612" t="str">
        <f>IF(WFTracker[[#This Row],[Order Number]]="SWBD", "QED2", "PZ4")</f>
        <v>PZ4</v>
      </c>
      <c r="B612" s="120" t="s">
        <v>714</v>
      </c>
      <c r="C612" s="26" t="s">
        <v>1463</v>
      </c>
      <c r="D612" s="11" t="str">
        <f>WFTracker[[#This Row],[Order Number]]  &amp; "-" &amp; WFTracker[[#This Row],[Item]]</f>
        <v>0050927776-000950</v>
      </c>
      <c r="E612" s="23" t="s">
        <v>716</v>
      </c>
      <c r="F612" s="12">
        <v>46014</v>
      </c>
      <c r="G612" s="12">
        <v>46009</v>
      </c>
      <c r="H612" s="11" t="s">
        <v>237</v>
      </c>
      <c r="I612" s="11" t="s">
        <v>264</v>
      </c>
      <c r="J612" s="55" t="s">
        <v>719</v>
      </c>
      <c r="K612" s="14" t="s">
        <v>1017</v>
      </c>
      <c r="L612" s="15" t="s">
        <v>40</v>
      </c>
      <c r="M612" s="29" t="s">
        <v>1120</v>
      </c>
      <c r="N612" s="57">
        <v>46308</v>
      </c>
      <c r="O612" s="15">
        <f>NETWORKDAYS.INTL(WFTracker[[#This Row],[Start date]],WFTracker[[#This Row],[RM]],1,Holidays!D623:D638)</f>
        <v>9</v>
      </c>
      <c r="P612" s="12">
        <v>46002</v>
      </c>
      <c r="Q612" s="12">
        <v>46014</v>
      </c>
      <c r="R612" s="12">
        <v>46008</v>
      </c>
      <c r="S612" s="12" t="b">
        <f>ISBLANK(WFTracker[[#This Row],[Completion Date]])</f>
        <v>0</v>
      </c>
      <c r="T612" s="12" t="str">
        <f>TEXT(WFTracker[[#This Row],[Start date]],"mmm-yyyy")</f>
        <v>Dec-2025</v>
      </c>
      <c r="U612" s="11">
        <v>10</v>
      </c>
      <c r="V612" s="11">
        <f>NETWORKDAYS.INTL(WFTracker[[#This Row],[Start date]],WFTracker[[#This Row],[Due date]],1,Holidays!D623:D638)</f>
        <v>9</v>
      </c>
      <c r="W6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12" s="24">
        <f ca="1">WFTracker[[#This Row],[Active Time]]-WFTracker[[#This Row],[Completion Days Template]]</f>
        <v>-5</v>
      </c>
      <c r="Y612" s="16" t="str">
        <f ca="1" xml:space="preserve"> IF(WFTracker[[#This Row],[Overdue Time '[Expected-Completion']]]&gt;0, "LATE","ON TIME")</f>
        <v>ON TIME</v>
      </c>
      <c r="Z612" s="16" t="str">
        <f ca="1">IF(WFTracker[[#This Row],[Overdue Time '[Expected-Completion']]] &gt;= 15, "SUPER LATE", Y612)</f>
        <v>ON TIME</v>
      </c>
      <c r="AA612" s="37" t="str">
        <f>IF(WFTracker[[#This Row],[Pre RM Opening Time]]&lt;WFTracker[[#This Row],[Old vs New Order Lead Time WF dead line]], "LATE BY ENG", "ON TIME BY ENG")</f>
        <v>LATE BY ENG</v>
      </c>
      <c r="AB612" s="37"/>
      <c r="AC612" s="15" t="s">
        <v>1011</v>
      </c>
      <c r="AD6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612" s="25" t="str">
        <f ca="1">IF(WFTracker[[#This Row],[Impact Time Post RM]]&gt;0, "IMPACTED", "NOT IMPACTED")</f>
        <v>NOT IMPACTED</v>
      </c>
      <c r="AF612" s="15"/>
      <c r="AG612" s="18"/>
      <c r="AH612" s="14" t="str">
        <f>IF(WFTracker[[#This Row],[Status]]="C", "Closed", IF(WFTracker[[#This Row],[Status]] = "x", "Cancelled", WFTracker[[#This Row],[Impact Time Post RM]]))</f>
        <v>Cancelled</v>
      </c>
      <c r="AI612" s="14" t="str">
        <f ca="1">IF(WFTracker[[#This Row],[Impact Time Post RM]]&lt;=0,"ON TIME","LATE")</f>
        <v>ON TIME</v>
      </c>
      <c r="AJ612" s="14" t="s">
        <v>984</v>
      </c>
      <c r="AK612" s="14">
        <v>16</v>
      </c>
      <c r="AL612" s="915">
        <f>IF(WFTracker[[#This Row],[Type]]="MAKE", WFTracker[[#This Row],[Due date]]+Filters!$J$111, WFTracker[[#This Row],[Due date]]+Filters!$J$135)</f>
        <v>46014.415686274508</v>
      </c>
      <c r="AM612" s="102" cm="1">
        <f t="array" ref="AM612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613" spans="1:39" ht="15" customHeight="1">
      <c r="A613" t="str">
        <f>IF(WFTracker[[#This Row],[Order Number]]="SWBD", "QED2", "PZ4")</f>
        <v>PZ4</v>
      </c>
      <c r="B613" s="21" t="s">
        <v>673</v>
      </c>
      <c r="C613" s="26" t="s">
        <v>674</v>
      </c>
      <c r="D613" s="23" t="str">
        <f>WFTracker[[#This Row],[Order Number]]  &amp; "-" &amp; WFTracker[[#This Row],[Item]]</f>
        <v>0051611250-003280</v>
      </c>
      <c r="E613" s="23" t="s">
        <v>675</v>
      </c>
      <c r="F613" s="12">
        <v>45996</v>
      </c>
      <c r="G613" s="12">
        <v>45993</v>
      </c>
      <c r="H613" s="11" t="s">
        <v>676</v>
      </c>
      <c r="I613" s="11" t="s">
        <v>241</v>
      </c>
      <c r="J613" s="55" t="s">
        <v>683</v>
      </c>
      <c r="K613" s="14" t="s">
        <v>1017</v>
      </c>
      <c r="L613" s="15" t="s">
        <v>40</v>
      </c>
      <c r="M613" s="29" t="s">
        <v>1120</v>
      </c>
      <c r="N613" s="57">
        <v>46066</v>
      </c>
      <c r="O613" s="15">
        <f>NETWORKDAYS.INTL(WFTracker[[#This Row],[Start date]],WFTracker[[#This Row],[RM]],1,Holidays!D50:D65)</f>
        <v>-5</v>
      </c>
      <c r="P613" s="12">
        <v>46002</v>
      </c>
      <c r="Q613" s="12">
        <v>46009</v>
      </c>
      <c r="R613" s="12">
        <v>46009</v>
      </c>
      <c r="S613" s="12" t="b">
        <f>ISBLANK(WFTracker[[#This Row],[Completion Date]])</f>
        <v>0</v>
      </c>
      <c r="T613" s="12" t="str">
        <f>TEXT(WFTracker[[#This Row],[Start date]],"mmm-yyyy")</f>
        <v>Dec-2025</v>
      </c>
      <c r="U613" s="11">
        <v>10</v>
      </c>
      <c r="V613" s="11">
        <f>NETWORKDAYS.INTL(WFTracker[[#This Row],[Start date]],WFTracker[[#This Row],[Due date]],1,Holidays!D50:D65)</f>
        <v>6</v>
      </c>
      <c r="W6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13" s="24">
        <f ca="1">WFTracker[[#This Row],[Active Time]]-WFTracker[[#This Row],[Completion Days Template]]</f>
        <v>-1</v>
      </c>
      <c r="Y613" s="16" t="str">
        <f ca="1" xml:space="preserve"> IF(WFTracker[[#This Row],[Overdue Time '[Expected-Completion']]]&gt;0, "LATE","ON TIME")</f>
        <v>ON TIME</v>
      </c>
      <c r="Z613" s="16" t="str">
        <f ca="1">IF(WFTracker[[#This Row],[Overdue Time '[Expected-Completion']]] &gt;= 15, "SUPER LATE", Y613)</f>
        <v>ON TIME</v>
      </c>
      <c r="AA613" s="37" t="str">
        <f>IF(WFTracker[[#This Row],[Pre RM Opening Time]]&lt;WFTracker[[#This Row],[Old vs New Order Lead Time WF dead line]], "LATE BY ENG", "ON TIME BY ENG")</f>
        <v>LATE BY ENG</v>
      </c>
      <c r="AB613" s="37"/>
      <c r="AC613" s="15" t="str">
        <f>IF(WFTracker[[#This Row],[Competion Date Content]] = FALSE, "C", "I")</f>
        <v>C</v>
      </c>
      <c r="AD6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613" s="37" t="str">
        <f ca="1">IF(WFTracker[[#This Row],[Impact Time Post RM]]&gt;0, "IMPACTED", "NOT IMPACTED")</f>
        <v>IMPACTED</v>
      </c>
      <c r="AF613" s="15"/>
      <c r="AG613" s="18"/>
      <c r="AH613" s="14" t="str">
        <f>IF(WFTracker[[#This Row],[Status]]="C", "Closed", IF(WFTracker[[#This Row],[Status]] = "x", "Cancelled", WFTracker[[#This Row],[Impact Time Post RM]]))</f>
        <v>Closed</v>
      </c>
      <c r="AI613" s="14" t="str">
        <f ca="1">IF(WFTracker[[#This Row],[Impact Time Post RM]]&lt;=0,"ON TIME","LATE")</f>
        <v>LATE</v>
      </c>
      <c r="AJ613" s="14" t="s">
        <v>984</v>
      </c>
      <c r="AK613" s="14">
        <v>17</v>
      </c>
      <c r="AL613" s="915">
        <f>IF(WFTracker[[#This Row],[Type]]="MAKE", WFTracker[[#This Row],[Due date]]+Filters!$J$111, WFTracker[[#This Row],[Due date]]+Filters!$J$135)</f>
        <v>46009.415686274508</v>
      </c>
      <c r="AM613" s="102" cm="1">
        <f t="array" ref="AM6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4" spans="1:39" ht="15" customHeight="1">
      <c r="A614" t="str">
        <f>IF(WFTracker[[#This Row],[Order Number]]="SWBD", "QED2", "PZ4")</f>
        <v>PZ4</v>
      </c>
      <c r="B614" s="21" t="s">
        <v>1521</v>
      </c>
      <c r="C614" s="26" t="s">
        <v>286</v>
      </c>
      <c r="D614" s="11" t="str">
        <f>WFTracker[[#This Row],[Order Number]]  &amp; "-" &amp; WFTracker[[#This Row],[Item]]</f>
        <v xml:space="preserve">
0051615853-000100</v>
      </c>
      <c r="E614" s="23" t="s">
        <v>744</v>
      </c>
      <c r="F614" s="12">
        <v>46020</v>
      </c>
      <c r="G614" s="12">
        <v>46020</v>
      </c>
      <c r="H614" s="11" t="s">
        <v>104</v>
      </c>
      <c r="I614" s="11" t="s">
        <v>37</v>
      </c>
      <c r="J614" s="55" t="s">
        <v>748</v>
      </c>
      <c r="K614" s="14" t="s">
        <v>1017</v>
      </c>
      <c r="L614" s="15" t="s">
        <v>27</v>
      </c>
      <c r="M614" s="29" t="s">
        <v>438</v>
      </c>
      <c r="N614" s="57">
        <v>46139</v>
      </c>
      <c r="O614" s="15">
        <f>NETWORKDAYS.INTL(WFTracker[[#This Row],[Start date]],WFTracker[[#This Row],[RM]],1,Holidays!D208:D223)</f>
        <v>12</v>
      </c>
      <c r="P614" s="12">
        <v>46003</v>
      </c>
      <c r="Q614" s="12">
        <v>46010</v>
      </c>
      <c r="R614" s="12">
        <v>46013</v>
      </c>
      <c r="S614" s="12" t="b">
        <f>ISBLANK(WFTracker[[#This Row],[Completion Date]])</f>
        <v>0</v>
      </c>
      <c r="T614" s="12" t="str">
        <f>TEXT(WFTracker[[#This Row],[Start date]],"mmm-yyyy")</f>
        <v>Dec-2025</v>
      </c>
      <c r="U614" s="11">
        <v>10</v>
      </c>
      <c r="V614" s="11">
        <f>NETWORKDAYS.INTL(WFTracker[[#This Row],[Start date]],WFTracker[[#This Row],[Due date]],1,Holidays!D208:D223)</f>
        <v>6</v>
      </c>
      <c r="W6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14" s="24">
        <f ca="1">WFTracker[[#This Row],[Active Time]]-WFTracker[[#This Row],[Completion Days Template]]</f>
        <v>0</v>
      </c>
      <c r="Y614" s="16" t="str">
        <f ca="1" xml:space="preserve"> IF(WFTracker[[#This Row],[Overdue Time '[Expected-Completion']]]&gt;0, "LATE","ON TIME")</f>
        <v>ON TIME</v>
      </c>
      <c r="Z614" s="16" t="str">
        <f ca="1">IF(WFTracker[[#This Row],[Overdue Time '[Expected-Completion']]] &gt;= 15, "SUPER LATE", Y614)</f>
        <v>ON TIME</v>
      </c>
      <c r="AA614" s="37" t="str">
        <f>IF(WFTracker[[#This Row],[Pre RM Opening Time]]&lt;WFTracker[[#This Row],[Old vs New Order Lead Time WF dead line]], "LATE BY ENG", "ON TIME BY ENG")</f>
        <v>ON TIME BY ENG</v>
      </c>
      <c r="AB614" s="37"/>
      <c r="AC614" s="15" t="str">
        <f>IF(WFTracker[[#This Row],[Competion Date Content]] = FALSE, "C", "I")</f>
        <v>C</v>
      </c>
      <c r="AD6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14" s="37" t="str">
        <f ca="1">IF(WFTracker[[#This Row],[Impact Time Post RM]]&gt;0, "IMPACTED", "NOT IMPACTED")</f>
        <v>NOT IMPACTED</v>
      </c>
      <c r="AF614" s="15"/>
      <c r="AG614" s="18"/>
      <c r="AH614" s="14" t="str">
        <f>IF(WFTracker[[#This Row],[Status]]="C", "Closed", IF(WFTracker[[#This Row],[Status]] = "x", "Cancelled", WFTracker[[#This Row],[Impact Time Post RM]]))</f>
        <v>Closed</v>
      </c>
      <c r="AI614" s="14" t="str">
        <f ca="1">IF(WFTracker[[#This Row],[Impact Time Post RM]]&lt;=0,"ON TIME","LATE")</f>
        <v>ON TIME</v>
      </c>
      <c r="AJ614" s="14" t="s">
        <v>984</v>
      </c>
      <c r="AK614" s="14">
        <v>18</v>
      </c>
      <c r="AL614" s="915">
        <f>IF(WFTracker[[#This Row],[Type]]="MAKE", WFTracker[[#This Row],[Due date]]+Filters!$J$111, WFTracker[[#This Row],[Due date]]+Filters!$J$135)</f>
        <v>46013.072512647552</v>
      </c>
      <c r="AM614" s="102" cm="1">
        <f t="array" ref="AM6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5" spans="1:39" ht="15" customHeight="1">
      <c r="A615" t="str">
        <f>IF(WFTracker[[#This Row],[Order Number]]="SWBD", "QED2", "PZ4")</f>
        <v>PZ4</v>
      </c>
      <c r="B615" s="21" t="s">
        <v>418</v>
      </c>
      <c r="C615" s="26" t="s">
        <v>165</v>
      </c>
      <c r="D615" s="11" t="str">
        <f>WFTracker[[#This Row],[Order Number]]  &amp; "-" &amp; WFTracker[[#This Row],[Item]]</f>
        <v>0051139077-000030</v>
      </c>
      <c r="E615" s="23" t="s">
        <v>419</v>
      </c>
      <c r="F615" s="12">
        <v>46006</v>
      </c>
      <c r="G615" s="12"/>
      <c r="H615" s="11" t="s">
        <v>99</v>
      </c>
      <c r="I615" s="869" t="s">
        <v>24</v>
      </c>
      <c r="J615" s="55" t="s">
        <v>1522</v>
      </c>
      <c r="K615" s="14" t="s">
        <v>1023</v>
      </c>
      <c r="L615" s="15" t="s">
        <v>40</v>
      </c>
      <c r="M615" s="29" t="s">
        <v>1120</v>
      </c>
      <c r="N615" s="57">
        <v>46066</v>
      </c>
      <c r="O615" s="15">
        <f>NETWORKDAYS.INTL(WFTracker[[#This Row],[Start date]],WFTracker[[#This Row],[RM]],1,Holidays!D70:D85)</f>
        <v>2</v>
      </c>
      <c r="P615" s="12">
        <v>46003</v>
      </c>
      <c r="Q615" s="12">
        <v>46015</v>
      </c>
      <c r="R615" s="12">
        <v>46027</v>
      </c>
      <c r="S615" s="12" t="b">
        <f>ISBLANK(WFTracker[[#This Row],[Completion Date]])</f>
        <v>0</v>
      </c>
      <c r="T615" s="12" t="str">
        <f>TEXT(WFTracker[[#This Row],[Start date]],"mmm-yyyy")</f>
        <v>Dec-2025</v>
      </c>
      <c r="U615" s="11">
        <v>10</v>
      </c>
      <c r="V615" s="11">
        <f>NETWORKDAYS.INTL(WFTracker[[#This Row],[Start date]],WFTracker[[#This Row],[Due date]],1,Holidays!D70:D85)</f>
        <v>9</v>
      </c>
      <c r="W6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15" s="24">
        <f ca="1">WFTracker[[#This Row],[Active Time]]-WFTracker[[#This Row],[Completion Days Template]]</f>
        <v>4</v>
      </c>
      <c r="Y615" s="16" t="str">
        <f ca="1" xml:space="preserve"> IF(WFTracker[[#This Row],[Overdue Time '[Expected-Completion']]]&gt;0, "LATE","ON TIME")</f>
        <v>LATE</v>
      </c>
      <c r="Z615" s="16" t="str">
        <f ca="1">IF(WFTracker[[#This Row],[Overdue Time '[Expected-Completion']]] &gt;= 15, "SUPER LATE", Y615)</f>
        <v>LATE</v>
      </c>
      <c r="AA615" s="37" t="str">
        <f>IF(WFTracker[[#This Row],[Pre RM Opening Time]]&lt;WFTracker[[#This Row],[Old vs New Order Lead Time WF dead line]], "LATE BY ENG", "ON TIME BY ENG")</f>
        <v>LATE BY ENG</v>
      </c>
      <c r="AB615" s="37"/>
      <c r="AC615" s="928" t="str" cm="1">
        <f t="array" ref="AC615">_xlfn.IFS(
    WFTracker[[#This Row],[Cancelation Cause]]&lt;&gt;"", "X",
    WFTracker[[#This Row],[Competion Date Content]] = FALSE, "C",
    TRUE, "I"
)</f>
        <v>C</v>
      </c>
      <c r="AD6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13</v>
      </c>
      <c r="AE615" s="25" t="str">
        <f ca="1">IF(WFTracker[[#This Row],[Impact Time Post RM]]&gt;0, "IMPACTED", "NOT IMPACTED")</f>
        <v>IMPACTED</v>
      </c>
      <c r="AF615" s="15"/>
      <c r="AG615" s="18"/>
      <c r="AH615" s="14" t="str">
        <f>IF(WFTracker[[#This Row],[Status]]="C", "Closed", IF(WFTracker[[#This Row],[Status]] = "x", "Cancelled", WFTracker[[#This Row],[Impact Time Post RM]]))</f>
        <v>Closed</v>
      </c>
      <c r="AI615" s="14" t="str">
        <f ca="1">IF(WFTracker[[#This Row],[Impact Time Post RM]]&lt;=0,"ON TIME","LATE")</f>
        <v>LATE</v>
      </c>
      <c r="AJ615" s="14" t="s">
        <v>984</v>
      </c>
      <c r="AK615" s="14">
        <v>17</v>
      </c>
      <c r="AL615" s="915">
        <f>IF(WFTracker[[#This Row],[Type]]="MAKE", WFTracker[[#This Row],[Due date]]+Filters!$J$111, WFTracker[[#This Row],[Due date]]+Filters!$J$135)</f>
        <v>46015.415686274508</v>
      </c>
      <c r="AM615" s="102" cm="1">
        <f t="array" ref="AM6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6" spans="1:39" ht="15" customHeight="1">
      <c r="A616" t="str">
        <f>IF(WFTracker[[#This Row],[Order Number]]="SWBD", "QED2", "PZ4")</f>
        <v>PZ4</v>
      </c>
      <c r="B616" s="21" t="s">
        <v>714</v>
      </c>
      <c r="C616" s="26" t="s">
        <v>1463</v>
      </c>
      <c r="D616" s="11" t="str">
        <f>WFTracker[[#This Row],[Order Number]]  &amp; "-" &amp; WFTracker[[#This Row],[Item]]</f>
        <v>0050927776-000950</v>
      </c>
      <c r="E616" s="23" t="s">
        <v>716</v>
      </c>
      <c r="F616" s="12">
        <v>46014</v>
      </c>
      <c r="G616" s="12">
        <v>46009</v>
      </c>
      <c r="H616" s="11" t="s">
        <v>237</v>
      </c>
      <c r="I616" s="11" t="s">
        <v>264</v>
      </c>
      <c r="J616" s="55" t="s">
        <v>721</v>
      </c>
      <c r="K616" s="14" t="s">
        <v>1017</v>
      </c>
      <c r="L616" s="15" t="s">
        <v>27</v>
      </c>
      <c r="M616" s="29" t="s">
        <v>1120</v>
      </c>
      <c r="N616" s="57">
        <v>46308</v>
      </c>
      <c r="O616" s="15">
        <f>NETWORKDAYS.INTL(WFTracker[[#This Row],[Start date]],WFTracker[[#This Row],[RM]],1,Holidays!D151:D166)</f>
        <v>8</v>
      </c>
      <c r="P616" s="12">
        <v>46003</v>
      </c>
      <c r="Q616" s="12">
        <v>46013</v>
      </c>
      <c r="R616" s="12">
        <v>46027</v>
      </c>
      <c r="S616" s="12" t="b">
        <f>ISBLANK(WFTracker[[#This Row],[Completion Date]])</f>
        <v>0</v>
      </c>
      <c r="T616" s="12" t="str">
        <f>TEXT(WFTracker[[#This Row],[Start date]],"mmm-yyyy")</f>
        <v>Dec-2025</v>
      </c>
      <c r="U616" s="11">
        <v>10</v>
      </c>
      <c r="V616" s="11">
        <f>NETWORKDAYS.INTL(WFTracker[[#This Row],[Start date]],WFTracker[[#This Row],[Due date]],1,Holidays!D151:D166)</f>
        <v>7</v>
      </c>
      <c r="W6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16" s="24">
        <f ca="1">WFTracker[[#This Row],[Active Time]]-WFTracker[[#This Row],[Completion Days Template]]</f>
        <v>6</v>
      </c>
      <c r="Y616" s="16" t="str">
        <f ca="1" xml:space="preserve"> IF(WFTracker[[#This Row],[Overdue Time '[Expected-Completion']]]&gt;0, "LATE","ON TIME")</f>
        <v>LATE</v>
      </c>
      <c r="Z616" s="16" t="str">
        <f ca="1">IF(WFTracker[[#This Row],[Overdue Time '[Expected-Completion']]] &gt;= 15, "SUPER LATE", Y616)</f>
        <v>LATE</v>
      </c>
      <c r="AA616" s="37" t="str">
        <f>IF(WFTracker[[#This Row],[Pre RM Opening Time]]&lt;WFTracker[[#This Row],[Old vs New Order Lead Time WF dead line]], "LATE BY ENG", "ON TIME BY ENG")</f>
        <v>LATE BY ENG</v>
      </c>
      <c r="AB616" s="37"/>
      <c r="AC616" s="928" t="str" cm="1">
        <f t="array" ref="AC616">_xlfn.IFS(
    WFTracker[[#This Row],[Cancelation Cause]]&lt;&gt;"", "X",
    WFTracker[[#This Row],[Competion Date Content]] = FALSE, "C",
    TRUE, "I"
)</f>
        <v>C</v>
      </c>
      <c r="AD6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616" s="37" t="str">
        <f ca="1">IF(WFTracker[[#This Row],[Impact Time Post RM]]&gt;0, "IMPACTED", "NOT IMPACTED")</f>
        <v>IMPACTED</v>
      </c>
      <c r="AF616" s="15"/>
      <c r="AG616" s="18"/>
      <c r="AH616" s="14" t="str">
        <f>IF(WFTracker[[#This Row],[Status]]="C", "Closed", IF(WFTracker[[#This Row],[Status]] = "x", "Cancelled", WFTracker[[#This Row],[Impact Time Post RM]]))</f>
        <v>Closed</v>
      </c>
      <c r="AI616" s="14" t="str">
        <f ca="1">IF(WFTracker[[#This Row],[Impact Time Post RM]]&lt;=0,"ON TIME","LATE")</f>
        <v>LATE</v>
      </c>
      <c r="AJ616" s="14" t="s">
        <v>984</v>
      </c>
      <c r="AK616" s="14">
        <v>18</v>
      </c>
      <c r="AL616" s="915">
        <f>IF(WFTracker[[#This Row],[Type]]="MAKE", WFTracker[[#This Row],[Due date]]+Filters!$J$111, WFTracker[[#This Row],[Due date]]+Filters!$J$135)</f>
        <v>46016.072512647552</v>
      </c>
      <c r="AM616" s="102" cm="1">
        <f t="array" ref="AM6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7" spans="1:39" ht="15" customHeight="1">
      <c r="A617" t="str">
        <f>IF(WFTracker[[#This Row],[Order Number]]="SWBD", "QED2", "PZ4")</f>
        <v>PZ4</v>
      </c>
      <c r="B617" s="21" t="s">
        <v>714</v>
      </c>
      <c r="C617" s="26" t="s">
        <v>1463</v>
      </c>
      <c r="D617" s="11" t="str">
        <f>WFTracker[[#This Row],[Order Number]]  &amp; "-" &amp; WFTracker[[#This Row],[Item]]</f>
        <v>0050927776-000950</v>
      </c>
      <c r="E617" s="23" t="s">
        <v>716</v>
      </c>
      <c r="F617" s="12">
        <v>46017</v>
      </c>
      <c r="G617" s="12">
        <v>46009</v>
      </c>
      <c r="H617" s="11" t="s">
        <v>237</v>
      </c>
      <c r="I617" s="11" t="s">
        <v>264</v>
      </c>
      <c r="J617" s="55" t="s">
        <v>720</v>
      </c>
      <c r="K617" s="14" t="s">
        <v>1017</v>
      </c>
      <c r="L617" s="15" t="s">
        <v>27</v>
      </c>
      <c r="M617" s="29" t="s">
        <v>1120</v>
      </c>
      <c r="N617" s="57">
        <v>46308</v>
      </c>
      <c r="O617" s="15">
        <f>NETWORKDAYS.INTL(WFTracker[[#This Row],[Start date]],WFTracker[[#This Row],[RM]],1,Holidays!D150:D165)</f>
        <v>11</v>
      </c>
      <c r="P617" s="12">
        <v>46003</v>
      </c>
      <c r="Q617" s="12">
        <v>46013</v>
      </c>
      <c r="R617" s="12">
        <v>46031</v>
      </c>
      <c r="S617" s="12" t="b">
        <f>ISBLANK(WFTracker[[#This Row],[Completion Date]])</f>
        <v>0</v>
      </c>
      <c r="T617" s="12" t="str">
        <f>TEXT(WFTracker[[#This Row],[Start date]],"mmm-yyyy")</f>
        <v>Dec-2025</v>
      </c>
      <c r="U617" s="11">
        <v>10</v>
      </c>
      <c r="V617" s="11">
        <f>NETWORKDAYS.INTL(WFTracker[[#This Row],[Start date]],WFTracker[[#This Row],[Due date]],1,Holidays!D150:D165)</f>
        <v>7</v>
      </c>
      <c r="W6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617" s="24">
        <f ca="1">WFTracker[[#This Row],[Active Time]]-WFTracker[[#This Row],[Completion Days Template]]</f>
        <v>10</v>
      </c>
      <c r="Y617" s="16" t="str">
        <f ca="1" xml:space="preserve"> IF(WFTracker[[#This Row],[Overdue Time '[Expected-Completion']]]&gt;0, "LATE","ON TIME")</f>
        <v>LATE</v>
      </c>
      <c r="Z617" s="16" t="str">
        <f ca="1">IF(WFTracker[[#This Row],[Overdue Time '[Expected-Completion']]] &gt;= 15, "SUPER LATE", Y617)</f>
        <v>LATE</v>
      </c>
      <c r="AA617" s="37" t="str">
        <f>IF(WFTracker[[#This Row],[Pre RM Opening Time]]&lt;WFTracker[[#This Row],[Old vs New Order Lead Time WF dead line]], "LATE BY ENG", "ON TIME BY ENG")</f>
        <v>ON TIME BY ENG</v>
      </c>
      <c r="AB617" s="37"/>
      <c r="AC617" s="928" t="str" cm="1">
        <f t="array" ref="AC617">_xlfn.IFS(
    WFTracker[[#This Row],[Cancelation Cause]]&lt;&gt;"", "X",
    WFTracker[[#This Row],[Competion Date Content]] = FALSE, "C",
    TRUE, "I"
)</f>
        <v>C</v>
      </c>
      <c r="AD6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617" s="37" t="str">
        <f ca="1">IF(WFTracker[[#This Row],[Impact Time Post RM]]&gt;0, "IMPACTED", "NOT IMPACTED")</f>
        <v>IMPACTED</v>
      </c>
      <c r="AF617" s="15"/>
      <c r="AG617" s="18"/>
      <c r="AH617" s="14" t="str">
        <f>IF(WFTracker[[#This Row],[Status]]="C", "Closed", IF(WFTracker[[#This Row],[Status]] = "x", "Cancelled", WFTracker[[#This Row],[Impact Time Post RM]]))</f>
        <v>Closed</v>
      </c>
      <c r="AI617" s="14" t="str">
        <f ca="1">IF(WFTracker[[#This Row],[Impact Time Post RM]]&lt;=0,"ON TIME","LATE")</f>
        <v>LATE</v>
      </c>
      <c r="AJ617" s="14" t="s">
        <v>984</v>
      </c>
      <c r="AK617" s="14">
        <v>18</v>
      </c>
      <c r="AL617" s="915">
        <f>IF(WFTracker[[#This Row],[Type]]="MAKE", WFTracker[[#This Row],[Due date]]+Filters!$J$111, WFTracker[[#This Row],[Due date]]+Filters!$J$135)</f>
        <v>46016.072512647552</v>
      </c>
      <c r="AM617" s="102" cm="1">
        <f t="array" ref="AM6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8" spans="1:39" ht="15" customHeight="1">
      <c r="A618" t="str">
        <f>IF(WFTracker[[#This Row],[Order Number]]="SWBD", "QED2", "PZ4")</f>
        <v>PZ4</v>
      </c>
      <c r="B618" s="120" t="s">
        <v>742</v>
      </c>
      <c r="C618" s="26" t="s">
        <v>1523</v>
      </c>
      <c r="D618" s="11" t="str">
        <f>WFTracker[[#This Row],[Order Number]]  &amp; "-" &amp; WFTracker[[#This Row],[Item]]</f>
        <v>0051615853-000100 </v>
      </c>
      <c r="E618" s="23" t="s">
        <v>744</v>
      </c>
      <c r="F618" s="12">
        <v>46020</v>
      </c>
      <c r="G618" s="12">
        <v>46020</v>
      </c>
      <c r="H618" s="11" t="s">
        <v>104</v>
      </c>
      <c r="I618" s="11" t="s">
        <v>37</v>
      </c>
      <c r="J618" s="55" t="s">
        <v>747</v>
      </c>
      <c r="K618" s="14" t="s">
        <v>1017</v>
      </c>
      <c r="L618" s="15" t="s">
        <v>27</v>
      </c>
      <c r="M618" s="29" t="s">
        <v>438</v>
      </c>
      <c r="N618" s="57">
        <v>46139</v>
      </c>
      <c r="O618" s="15">
        <f>NETWORKDAYS.INTL(WFTracker[[#This Row],[Start date]],WFTracker[[#This Row],[RM]],1,Holidays!D624:D639)</f>
        <v>11</v>
      </c>
      <c r="P618" s="12">
        <v>46006</v>
      </c>
      <c r="Q618" s="12">
        <v>46013</v>
      </c>
      <c r="R618" s="12">
        <v>46013</v>
      </c>
      <c r="S618" s="12" t="b">
        <f>ISBLANK(WFTracker[[#This Row],[Completion Date]])</f>
        <v>0</v>
      </c>
      <c r="T618" s="12" t="str">
        <f>TEXT(WFTracker[[#This Row],[Start date]],"mmm-yyyy")</f>
        <v>Dec-2025</v>
      </c>
      <c r="U618" s="11">
        <v>10</v>
      </c>
      <c r="V618" s="11">
        <f>NETWORKDAYS.INTL(WFTracker[[#This Row],[Start date]],WFTracker[[#This Row],[Due date]],1,Holidays!D624:D639)</f>
        <v>6</v>
      </c>
      <c r="W6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18" s="24">
        <f ca="1">WFTracker[[#This Row],[Active Time]]-WFTracker[[#This Row],[Completion Days Template]]</f>
        <v>0</v>
      </c>
      <c r="Y618" s="16" t="str">
        <f ca="1" xml:space="preserve"> IF(WFTracker[[#This Row],[Overdue Time '[Expected-Completion']]]&gt;0, "LATE","ON TIME")</f>
        <v>ON TIME</v>
      </c>
      <c r="Z618" s="16" t="str">
        <f ca="1">IF(WFTracker[[#This Row],[Overdue Time '[Expected-Completion']]] &gt;= 15, "SUPER LATE", Y618)</f>
        <v>ON TIME</v>
      </c>
      <c r="AA618" s="37" t="str">
        <f>IF(WFTracker[[#This Row],[Pre RM Opening Time]]&lt;WFTracker[[#This Row],[Old vs New Order Lead Time WF dead line]], "LATE BY ENG", "ON TIME BY ENG")</f>
        <v>ON TIME BY ENG</v>
      </c>
      <c r="AB618" s="37"/>
      <c r="AC618" s="15" t="s">
        <v>29</v>
      </c>
      <c r="AD6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18" s="37" t="str">
        <f ca="1">IF(WFTracker[[#This Row],[Impact Time Post RM]]&gt;0, "IMPACTED", "NOT IMPACTED")</f>
        <v>NOT IMPACTED</v>
      </c>
      <c r="AF618" s="15"/>
      <c r="AG618" s="18"/>
      <c r="AH618" s="14" t="str">
        <f>IF(WFTracker[[#This Row],[Status]]="C", "Closed", IF(WFTracker[[#This Row],[Status]] = "x", "Cancelled", WFTracker[[#This Row],[Impact Time Post RM]]))</f>
        <v>Closed</v>
      </c>
      <c r="AI618" s="14" t="str">
        <f ca="1">IF(WFTracker[[#This Row],[Impact Time Post RM]]&lt;=0,"ON TIME","LATE")</f>
        <v>ON TIME</v>
      </c>
      <c r="AJ618" s="14" t="s">
        <v>984</v>
      </c>
      <c r="AK618" s="14">
        <v>18</v>
      </c>
      <c r="AL618" s="915">
        <f>IF(WFTracker[[#This Row],[Type]]="MAKE", WFTracker[[#This Row],[Due date]]+Filters!$J$111, WFTracker[[#This Row],[Due date]]+Filters!$J$135)</f>
        <v>46016.072512647552</v>
      </c>
      <c r="AM618" s="102" cm="1">
        <f t="array" ref="AM6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19" spans="1:39" ht="15" customHeight="1">
      <c r="A619" t="str">
        <f>IF(WFTracker[[#This Row],[Order Number]]="SWBD", "QED2", "PZ4")</f>
        <v>PZ4</v>
      </c>
      <c r="B619" s="120" t="s">
        <v>714</v>
      </c>
      <c r="C619" s="26" t="s">
        <v>1463</v>
      </c>
      <c r="D619" s="11" t="str">
        <f>WFTracker[[#This Row],[Order Number]]  &amp; "-" &amp; WFTracker[[#This Row],[Item]]</f>
        <v>0050927776-000950</v>
      </c>
      <c r="E619" s="23" t="s">
        <v>716</v>
      </c>
      <c r="F619" s="12">
        <v>46014</v>
      </c>
      <c r="G619" s="12">
        <v>46009</v>
      </c>
      <c r="H619" s="11" t="s">
        <v>237</v>
      </c>
      <c r="I619" s="11" t="s">
        <v>264</v>
      </c>
      <c r="J619" s="55" t="s">
        <v>729</v>
      </c>
      <c r="K619" s="14" t="s">
        <v>1017</v>
      </c>
      <c r="L619" s="15" t="s">
        <v>27</v>
      </c>
      <c r="M619" s="29" t="s">
        <v>1120</v>
      </c>
      <c r="N619" s="57">
        <v>46308</v>
      </c>
      <c r="O619" s="15">
        <f>NETWORKDAYS.INTL(WFTracker[[#This Row],[Start date]],WFTracker[[#This Row],[RM]],1,Holidays!D625:D640)</f>
        <v>7</v>
      </c>
      <c r="P619" s="12">
        <v>46006</v>
      </c>
      <c r="Q619" s="12">
        <v>46014</v>
      </c>
      <c r="R619" s="12">
        <v>46020</v>
      </c>
      <c r="S619" s="12" t="b">
        <f>ISBLANK(WFTracker[[#This Row],[Completion Date]])</f>
        <v>0</v>
      </c>
      <c r="T619" s="12" t="str">
        <f>TEXT(WFTracker[[#This Row],[Start date]],"mmm-yyyy")</f>
        <v>Dec-2025</v>
      </c>
      <c r="U619" s="11">
        <v>10</v>
      </c>
      <c r="V619" s="11">
        <f>NETWORKDAYS.INTL(WFTracker[[#This Row],[Start date]],WFTracker[[#This Row],[Due date]],1,Holidays!D625:D640)</f>
        <v>7</v>
      </c>
      <c r="W6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19" s="24">
        <f ca="1">WFTracker[[#This Row],[Active Time]]-WFTracker[[#This Row],[Completion Days Template]]</f>
        <v>2</v>
      </c>
      <c r="Y619" s="16" t="str">
        <f ca="1" xml:space="preserve"> IF(WFTracker[[#This Row],[Overdue Time '[Expected-Completion']]]&gt;0, "LATE","ON TIME")</f>
        <v>LATE</v>
      </c>
      <c r="Z619" s="16" t="str">
        <f ca="1">IF(WFTracker[[#This Row],[Overdue Time '[Expected-Completion']]] &gt;= 15, "SUPER LATE", Y619)</f>
        <v>LATE</v>
      </c>
      <c r="AA619" s="37" t="str">
        <f>IF(WFTracker[[#This Row],[Pre RM Opening Time]]&lt;WFTracker[[#This Row],[Old vs New Order Lead Time WF dead line]], "LATE BY ENG", "ON TIME BY ENG")</f>
        <v>LATE BY ENG</v>
      </c>
      <c r="AB619" s="37"/>
      <c r="AC619" s="15" t="s">
        <v>29</v>
      </c>
      <c r="AD6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619" s="37" t="str">
        <f ca="1">IF(WFTracker[[#This Row],[Impact Time Post RM]]&gt;0, "IMPACTED", "NOT IMPACTED")</f>
        <v>IMPACTED</v>
      </c>
      <c r="AF619" s="15"/>
      <c r="AG619" s="18"/>
      <c r="AH619" s="14" t="str">
        <f>IF(WFTracker[[#This Row],[Status]]="C", "Closed", IF(WFTracker[[#This Row],[Status]] = "x", "Cancelled", WFTracker[[#This Row],[Impact Time Post RM]]))</f>
        <v>Closed</v>
      </c>
      <c r="AI619" s="14" t="str">
        <f ca="1">IF(WFTracker[[#This Row],[Impact Time Post RM]]&lt;=0,"ON TIME","LATE")</f>
        <v>LATE</v>
      </c>
      <c r="AJ619" s="14" t="s">
        <v>984</v>
      </c>
      <c r="AK619" s="14">
        <v>18</v>
      </c>
      <c r="AL619" s="915">
        <f>IF(WFTracker[[#This Row],[Type]]="MAKE", WFTracker[[#This Row],[Due date]]+Filters!$J$111, WFTracker[[#This Row],[Due date]]+Filters!$J$135)</f>
        <v>46017.072512647552</v>
      </c>
      <c r="AM619" s="102" cm="1">
        <f t="array" ref="AM6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0" spans="1:39" ht="15" customHeight="1">
      <c r="A620" t="str">
        <f>IF(WFTracker[[#This Row],[Order Number]]="SWBD", "QED2", "PZ4")</f>
        <v>PZ4</v>
      </c>
      <c r="B620" s="120" t="s">
        <v>706</v>
      </c>
      <c r="C620" s="26" t="s">
        <v>1467</v>
      </c>
      <c r="D620" s="11" t="str">
        <f>WFTracker[[#This Row],[Order Number]]  &amp; "-" &amp; WFTracker[[#This Row],[Item]]</f>
        <v>0051129914-000750&amp;760</v>
      </c>
      <c r="E620" s="23" t="s">
        <v>1058</v>
      </c>
      <c r="F620" s="12">
        <v>46020</v>
      </c>
      <c r="G620" s="12">
        <v>46009</v>
      </c>
      <c r="H620" s="11" t="s">
        <v>709</v>
      </c>
      <c r="I620" s="11" t="s">
        <v>1132</v>
      </c>
      <c r="J620" s="55" t="s">
        <v>1524</v>
      </c>
      <c r="K620" s="14" t="s">
        <v>1023</v>
      </c>
      <c r="L620" s="15" t="s">
        <v>40</v>
      </c>
      <c r="M620" s="29" t="s">
        <v>1120</v>
      </c>
      <c r="N620" s="57">
        <v>46091</v>
      </c>
      <c r="O620" s="15">
        <f>NETWORKDAYS.INTL(WFTracker[[#This Row],[Start date]],WFTracker[[#This Row],[RM]],1,Holidays!D626:D641)</f>
        <v>11</v>
      </c>
      <c r="P620" s="12">
        <v>46006</v>
      </c>
      <c r="Q620" s="12">
        <v>46020</v>
      </c>
      <c r="R620" s="12">
        <v>46029</v>
      </c>
      <c r="S620" s="12" t="b">
        <f>ISBLANK(WFTracker[[#This Row],[Completion Date]])</f>
        <v>0</v>
      </c>
      <c r="T620" s="12" t="str">
        <f>TEXT(WFTracker[[#This Row],[Start date]],"mmm-yyyy")</f>
        <v>Dec-2025</v>
      </c>
      <c r="U620" s="11">
        <v>10</v>
      </c>
      <c r="V620" s="11">
        <f>NETWORKDAYS.INTL(WFTracker[[#This Row],[Start date]],WFTracker[[#This Row],[Due date]],1,Holidays!D626:D641)</f>
        <v>11</v>
      </c>
      <c r="W6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620" s="24">
        <f ca="1">WFTracker[[#This Row],[Active Time]]-WFTracker[[#This Row],[Completion Days Template]]</f>
        <v>4</v>
      </c>
      <c r="Y620" s="16" t="str">
        <f ca="1" xml:space="preserve"> IF(WFTracker[[#This Row],[Overdue Time '[Expected-Completion']]]&gt;0, "LATE","ON TIME")</f>
        <v>LATE</v>
      </c>
      <c r="Z620" s="16" t="str">
        <f ca="1">IF(WFTracker[[#This Row],[Overdue Time '[Expected-Completion']]] &gt;= 15, "SUPER LATE", Y620)</f>
        <v>LATE</v>
      </c>
      <c r="AA620" s="37" t="str">
        <f>IF(WFTracker[[#This Row],[Pre RM Opening Time]]&lt;WFTracker[[#This Row],[Old vs New Order Lead Time WF dead line]], "LATE BY ENG", "ON TIME BY ENG")</f>
        <v>ON TIME BY ENG</v>
      </c>
      <c r="AB620" s="37"/>
      <c r="AC620" s="928" t="str" cm="1">
        <f t="array" ref="AC620">_xlfn.IFS(
    WFTracker[[#This Row],[Cancelation Cause]]&lt;&gt;"", "X",
    WFTracker[[#This Row],[Competion Date Content]] = FALSE, "C",
    TRUE, "I"
)</f>
        <v>C</v>
      </c>
      <c r="AD6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620" s="25" t="str">
        <f ca="1">IF(WFTracker[[#This Row],[Impact Time Post RM]]&gt;0, "IMPACTED", "NOT IMPACTED")</f>
        <v>IMPACTED</v>
      </c>
      <c r="AF620" s="15"/>
      <c r="AG620" s="18"/>
      <c r="AH620" s="14" t="str">
        <f>IF(WFTracker[[#This Row],[Status]]="C", "Closed", IF(WFTracker[[#This Row],[Status]] = "x", "Cancelled", WFTracker[[#This Row],[Impact Time Post RM]]))</f>
        <v>Closed</v>
      </c>
      <c r="AI620" s="14" t="str">
        <f ca="1">IF(WFTracker[[#This Row],[Impact Time Post RM]]&lt;=0,"ON TIME","LATE")</f>
        <v>LATE</v>
      </c>
      <c r="AJ620" s="14" t="s">
        <v>984</v>
      </c>
      <c r="AK620" s="14">
        <v>17</v>
      </c>
      <c r="AL620" s="915">
        <f>IF(WFTracker[[#This Row],[Type]]="MAKE", WFTracker[[#This Row],[Due date]]+Filters!$J$111, WFTracker[[#This Row],[Due date]]+Filters!$J$135)</f>
        <v>46020.415686274508</v>
      </c>
      <c r="AM620" s="102" cm="1">
        <f t="array" ref="AM6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1" spans="1:39" ht="15" customHeight="1">
      <c r="A621" t="str">
        <f>IF(WFTracker[[#This Row],[Order Number]]="SWBD", "QED2", "PZ4")</f>
        <v>PZ4</v>
      </c>
      <c r="B621" s="120" t="s">
        <v>714</v>
      </c>
      <c r="C621" s="26" t="s">
        <v>1463</v>
      </c>
      <c r="D621" s="11" t="str">
        <f>WFTracker[[#This Row],[Order Number]]  &amp; "-" &amp; WFTracker[[#This Row],[Item]]</f>
        <v>0050927776-000950</v>
      </c>
      <c r="E621" s="23" t="s">
        <v>716</v>
      </c>
      <c r="F621" s="12">
        <v>46014</v>
      </c>
      <c r="G621" s="12">
        <v>46009</v>
      </c>
      <c r="H621" s="11" t="s">
        <v>237</v>
      </c>
      <c r="I621" s="11" t="s">
        <v>264</v>
      </c>
      <c r="J621" s="55" t="s">
        <v>724</v>
      </c>
      <c r="K621" s="14" t="s">
        <v>1017</v>
      </c>
      <c r="L621" s="15" t="s">
        <v>27</v>
      </c>
      <c r="M621" s="29" t="s">
        <v>1120</v>
      </c>
      <c r="N621" s="57">
        <v>46308</v>
      </c>
      <c r="O621" s="15">
        <f>NETWORKDAYS.INTL(WFTracker[[#This Row],[Start date]],WFTracker[[#This Row],[RM]],1,Holidays!D627:D642)</f>
        <v>6</v>
      </c>
      <c r="P621" s="12">
        <v>46007</v>
      </c>
      <c r="Q621" s="12">
        <v>46014</v>
      </c>
      <c r="R621" s="12">
        <v>46027</v>
      </c>
      <c r="S621" s="12" t="b">
        <f>ISBLANK(WFTracker[[#This Row],[Completion Date]])</f>
        <v>0</v>
      </c>
      <c r="T621" s="12" t="str">
        <f>TEXT(WFTracker[[#This Row],[Start date]],"mmm-yyyy")</f>
        <v>Dec-2025</v>
      </c>
      <c r="U621" s="11">
        <v>10</v>
      </c>
      <c r="V621" s="11">
        <f>NETWORKDAYS.INTL(WFTracker[[#This Row],[Start date]],WFTracker[[#This Row],[Due date]],1,Holidays!D627:D642)</f>
        <v>6</v>
      </c>
      <c r="W6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621" s="24">
        <f ca="1">WFTracker[[#This Row],[Active Time]]-WFTracker[[#This Row],[Completion Days Template]]</f>
        <v>6</v>
      </c>
      <c r="Y621" s="16" t="str">
        <f ca="1" xml:space="preserve"> IF(WFTracker[[#This Row],[Overdue Time '[Expected-Completion']]]&gt;0, "LATE","ON TIME")</f>
        <v>LATE</v>
      </c>
      <c r="Z621" s="16" t="str">
        <f ca="1">IF(WFTracker[[#This Row],[Overdue Time '[Expected-Completion']]] &gt;= 15, "SUPER LATE", Y621)</f>
        <v>LATE</v>
      </c>
      <c r="AA621" s="37" t="str">
        <f>IF(WFTracker[[#This Row],[Pre RM Opening Time]]&lt;WFTracker[[#This Row],[Old vs New Order Lead Time WF dead line]], "LATE BY ENG", "ON TIME BY ENG")</f>
        <v>LATE BY ENG</v>
      </c>
      <c r="AB621" s="37"/>
      <c r="AC621" s="928" t="str" cm="1">
        <f t="array" ref="AC621">_xlfn.IFS(
    WFTracker[[#This Row],[Cancelation Cause]]&lt;&gt;"", "X",
    WFTracker[[#This Row],[Competion Date Content]] = FALSE, "C",
    TRUE, "I"
)</f>
        <v>C</v>
      </c>
      <c r="AD6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</v>
      </c>
      <c r="AE621" s="37" t="str">
        <f ca="1">IF(WFTracker[[#This Row],[Impact Time Post RM]]&gt;0, "IMPACTED", "NOT IMPACTED")</f>
        <v>IMPACTED</v>
      </c>
      <c r="AF621" s="15"/>
      <c r="AG621" s="18"/>
      <c r="AH621" s="14" t="str">
        <f>IF(WFTracker[[#This Row],[Status]]="C", "Closed", IF(WFTracker[[#This Row],[Status]] = "x", "Cancelled", WFTracker[[#This Row],[Impact Time Post RM]]))</f>
        <v>Closed</v>
      </c>
      <c r="AI621" s="14" t="str">
        <f ca="1">IF(WFTracker[[#This Row],[Impact Time Post RM]]&lt;=0,"ON TIME","LATE")</f>
        <v>LATE</v>
      </c>
      <c r="AJ621" s="14" t="s">
        <v>984</v>
      </c>
      <c r="AK621" s="14">
        <v>18</v>
      </c>
      <c r="AL621" s="915">
        <f>IF(WFTracker[[#This Row],[Type]]="MAKE", WFTracker[[#This Row],[Due date]]+Filters!$J$111, WFTracker[[#This Row],[Due date]]+Filters!$J$135)</f>
        <v>46017.072512647552</v>
      </c>
      <c r="AM621" s="102" cm="1">
        <f t="array" ref="AM6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2" spans="1:39" ht="15" customHeight="1">
      <c r="A622" t="str">
        <f>IF(WFTracker[[#This Row],[Order Number]]="SWBD", "QED2", "PZ4")</f>
        <v>PZ4</v>
      </c>
      <c r="B622" s="21" t="s">
        <v>714</v>
      </c>
      <c r="C622" s="26" t="s">
        <v>1463</v>
      </c>
      <c r="D622" s="11" t="str">
        <f>WFTracker[[#This Row],[Order Number]]  &amp; "-" &amp; WFTracker[[#This Row],[Item]]</f>
        <v>0050927776-000950</v>
      </c>
      <c r="E622" s="23" t="s">
        <v>716</v>
      </c>
      <c r="F622" s="12">
        <v>46017</v>
      </c>
      <c r="G622" s="12">
        <v>46009</v>
      </c>
      <c r="H622" s="11" t="s">
        <v>237</v>
      </c>
      <c r="I622" s="11" t="s">
        <v>264</v>
      </c>
      <c r="J622" s="55" t="s">
        <v>726</v>
      </c>
      <c r="K622" s="14" t="s">
        <v>1017</v>
      </c>
      <c r="L622" s="15" t="s">
        <v>27</v>
      </c>
      <c r="M622" s="29" t="s">
        <v>1120</v>
      </c>
      <c r="N622" s="57">
        <v>46308</v>
      </c>
      <c r="O622" s="15">
        <f>NETWORKDAYS.INTL(WFTracker[[#This Row],[Start date]],WFTracker[[#This Row],[RM]],1,Holidays!D628:D643)</f>
        <v>9</v>
      </c>
      <c r="P622" s="12">
        <v>46007</v>
      </c>
      <c r="Q622" s="12">
        <v>46014</v>
      </c>
      <c r="R622" s="12">
        <v>46034</v>
      </c>
      <c r="S622" s="12" t="b">
        <f>ISBLANK(WFTracker[[#This Row],[Completion Date]])</f>
        <v>0</v>
      </c>
      <c r="T622" s="12" t="str">
        <f>TEXT(WFTracker[[#This Row],[Start date]],"mmm-yyyy")</f>
        <v>Dec-2025</v>
      </c>
      <c r="U622" s="11">
        <v>10</v>
      </c>
      <c r="V622" s="11">
        <f>NETWORKDAYS.INTL(WFTracker[[#This Row],[Start date]],WFTracker[[#This Row],[Due date]],1,Holidays!D628:D643)</f>
        <v>6</v>
      </c>
      <c r="W6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622" s="24">
        <f ca="1">WFTracker[[#This Row],[Active Time]]-WFTracker[[#This Row],[Completion Days Template]]</f>
        <v>11</v>
      </c>
      <c r="Y622" s="16" t="str">
        <f ca="1" xml:space="preserve"> IF(WFTracker[[#This Row],[Overdue Time '[Expected-Completion']]]&gt;0, "LATE","ON TIME")</f>
        <v>LATE</v>
      </c>
      <c r="Z622" s="16" t="str">
        <f ca="1">IF(WFTracker[[#This Row],[Overdue Time '[Expected-Completion']]] &gt;= 15, "SUPER LATE", Y622)</f>
        <v>LATE</v>
      </c>
      <c r="AA622" s="37" t="str">
        <f>IF(WFTracker[[#This Row],[Pre RM Opening Time]]&lt;WFTracker[[#This Row],[Old vs New Order Lead Time WF dead line]], "LATE BY ENG", "ON TIME BY ENG")</f>
        <v>LATE BY ENG</v>
      </c>
      <c r="AB622" s="37"/>
      <c r="AC622" s="928" t="str" cm="1">
        <f t="array" ref="AC622">_xlfn.IFS(
    WFTracker[[#This Row],[Cancelation Cause]]&lt;&gt;"", "X",
    WFTracker[[#This Row],[Competion Date Content]] = FALSE, "C",
    TRUE, "I"
)</f>
        <v>C</v>
      </c>
      <c r="AD6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22" s="37" t="str">
        <f ca="1">IF(WFTracker[[#This Row],[Impact Time Post RM]]&gt;0, "IMPACTED", "NOT IMPACTED")</f>
        <v>IMPACTED</v>
      </c>
      <c r="AF622" s="15"/>
      <c r="AG622" s="18"/>
      <c r="AH622" s="14" t="str">
        <f>IF(WFTracker[[#This Row],[Status]]="C", "Closed", IF(WFTracker[[#This Row],[Status]] = "x", "Cancelled", WFTracker[[#This Row],[Impact Time Post RM]]))</f>
        <v>Closed</v>
      </c>
      <c r="AI622" s="14" t="str">
        <f ca="1">IF(WFTracker[[#This Row],[Impact Time Post RM]]&lt;=0,"ON TIME","LATE")</f>
        <v>LATE</v>
      </c>
      <c r="AJ622" s="14" t="s">
        <v>984</v>
      </c>
      <c r="AK622" s="14">
        <v>18</v>
      </c>
      <c r="AL622" s="915">
        <f>IF(WFTracker[[#This Row],[Type]]="MAKE", WFTracker[[#This Row],[Due date]]+Filters!$J$111, WFTracker[[#This Row],[Due date]]+Filters!$J$135)</f>
        <v>46017.072512647552</v>
      </c>
      <c r="AM622" s="102" cm="1">
        <f t="array" ref="AM6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3" spans="1:39" ht="15" customHeight="1">
      <c r="A623" t="str">
        <f>IF(WFTracker[[#This Row],[Order Number]]="SWBD", "QED2", "PZ4")</f>
        <v>PZ4</v>
      </c>
      <c r="B623" s="21" t="s">
        <v>1525</v>
      </c>
      <c r="C623" s="26" t="s">
        <v>1526</v>
      </c>
      <c r="D623" s="11" t="str">
        <f>WFTracker[[#This Row],[Order Number]]  &amp; "-" &amp; WFTracker[[#This Row],[Item]]</f>
        <v>0050819993-011010</v>
      </c>
      <c r="E623" s="23" t="s">
        <v>1057</v>
      </c>
      <c r="F623" s="12">
        <v>46038</v>
      </c>
      <c r="G623" s="12">
        <v>46034</v>
      </c>
      <c r="H623" s="11" t="s">
        <v>137</v>
      </c>
      <c r="I623" s="11" t="s">
        <v>24</v>
      </c>
      <c r="J623" s="55" t="s">
        <v>1527</v>
      </c>
      <c r="K623" s="14" t="s">
        <v>1023</v>
      </c>
      <c r="L623" s="15" t="s">
        <v>27</v>
      </c>
      <c r="M623" s="29" t="s">
        <v>1120</v>
      </c>
      <c r="N623" s="57">
        <v>46190</v>
      </c>
      <c r="O623" s="15">
        <f>NETWORKDAYS.INTL(WFTracker[[#This Row],[Start date]],WFTracker[[#This Row],[RM]],1,Holidays!D629:D644)</f>
        <v>24</v>
      </c>
      <c r="P623" s="12">
        <v>46007</v>
      </c>
      <c r="Q623" s="12">
        <v>46015</v>
      </c>
      <c r="R623" s="12">
        <v>46027</v>
      </c>
      <c r="S623" s="12" t="b">
        <f>ISBLANK(WFTracker[[#This Row],[Completion Date]])</f>
        <v>0</v>
      </c>
      <c r="T623" s="12" t="str">
        <f>TEXT(WFTracker[[#This Row],[Start date]],"mmm-yyyy")</f>
        <v>Dec-2025</v>
      </c>
      <c r="U623" s="11">
        <v>10</v>
      </c>
      <c r="V623" s="11">
        <f>NETWORKDAYS.INTL(WFTracker[[#This Row],[Start date]],WFTracker[[#This Row],[Due date]],1,Holidays!D629:D644)</f>
        <v>7</v>
      </c>
      <c r="W6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623" s="24">
        <f ca="1">WFTracker[[#This Row],[Active Time]]-WFTracker[[#This Row],[Completion Days Template]]</f>
        <v>5</v>
      </c>
      <c r="Y623" s="16" t="str">
        <f ca="1" xml:space="preserve"> IF(WFTracker[[#This Row],[Overdue Time '[Expected-Completion']]]&gt;0, "LATE","ON TIME")</f>
        <v>LATE</v>
      </c>
      <c r="Z623" s="16" t="str">
        <f ca="1">IF(WFTracker[[#This Row],[Overdue Time '[Expected-Completion']]] &gt;= 15, "SUPER LATE", Y623)</f>
        <v>LATE</v>
      </c>
      <c r="AA623" s="37" t="str">
        <f>IF(WFTracker[[#This Row],[Pre RM Opening Time]]&lt;WFTracker[[#This Row],[Old vs New Order Lead Time WF dead line]], "LATE BY ENG", "ON TIME BY ENG")</f>
        <v>ON TIME BY ENG</v>
      </c>
      <c r="AB623" s="37"/>
      <c r="AC623" s="928" t="str" cm="1">
        <f t="array" ref="AC623">_xlfn.IFS(
    WFTracker[[#This Row],[Cancelation Cause]]&lt;&gt;"", "X",
    WFTracker[[#This Row],[Competion Date Content]] = FALSE, "C",
    TRUE, "I"
)</f>
        <v>C</v>
      </c>
      <c r="AD6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623" s="37" t="str">
        <f ca="1">IF(WFTracker[[#This Row],[Impact Time Post RM]]&gt;0, "IMPACTED", "NOT IMPACTED")</f>
        <v>NOT IMPACTED</v>
      </c>
      <c r="AF623" s="15"/>
      <c r="AG623" s="18"/>
      <c r="AH623" s="14" t="str">
        <f>IF(WFTracker[[#This Row],[Status]]="C", "Closed", IF(WFTracker[[#This Row],[Status]] = "x", "Cancelled", WFTracker[[#This Row],[Impact Time Post RM]]))</f>
        <v>Closed</v>
      </c>
      <c r="AI623" s="14" t="str">
        <f ca="1">IF(WFTracker[[#This Row],[Impact Time Post RM]]&lt;=0,"ON TIME","LATE")</f>
        <v>ON TIME</v>
      </c>
      <c r="AJ623" s="14" t="s">
        <v>984</v>
      </c>
      <c r="AK623" s="14">
        <v>18</v>
      </c>
      <c r="AL623" s="915">
        <f>IF(WFTracker[[#This Row],[Type]]="MAKE", WFTracker[[#This Row],[Due date]]+Filters!$J$111, WFTracker[[#This Row],[Due date]]+Filters!$J$135)</f>
        <v>46018.072512647552</v>
      </c>
      <c r="AM623" s="102" cm="1">
        <f t="array" ref="AM6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4" spans="1:39" ht="15" customHeight="1">
      <c r="A624" t="str">
        <f>IF(WFTracker[[#This Row],[Order Number]]="SWBD", "QED2", "PZ4")</f>
        <v>PZ4</v>
      </c>
      <c r="B624" s="21" t="s">
        <v>1525</v>
      </c>
      <c r="C624" s="26" t="s">
        <v>1528</v>
      </c>
      <c r="D624" s="11" t="str">
        <f>WFTracker[[#This Row],[Order Number]]  &amp; "-" &amp; WFTracker[[#This Row],[Item]]</f>
        <v>0050819993-011000</v>
      </c>
      <c r="E624" s="23" t="s">
        <v>1057</v>
      </c>
      <c r="F624" s="12">
        <v>46052</v>
      </c>
      <c r="G624" s="12">
        <v>46048</v>
      </c>
      <c r="H624" s="11" t="s">
        <v>1529</v>
      </c>
      <c r="I624" s="11" t="s">
        <v>429</v>
      </c>
      <c r="J624" s="909" t="s">
        <v>1530</v>
      </c>
      <c r="K624" s="14" t="s">
        <v>1017</v>
      </c>
      <c r="L624" s="15" t="s">
        <v>27</v>
      </c>
      <c r="M624" s="29" t="s">
        <v>1120</v>
      </c>
      <c r="N624" s="57">
        <v>46184</v>
      </c>
      <c r="O624" s="15">
        <f>NETWORKDAYS.INTL(WFTracker[[#This Row],[Start date]],WFTracker[[#This Row],[RM]],1,Holidays!D631:D646)</f>
        <v>33</v>
      </c>
      <c r="P624" s="12">
        <v>46008</v>
      </c>
      <c r="Q624" s="12">
        <v>46016</v>
      </c>
      <c r="R624" s="12">
        <v>46020</v>
      </c>
      <c r="S624" s="12" t="b">
        <f>ISBLANK(WFTracker[[#This Row],[Completion Date]])</f>
        <v>0</v>
      </c>
      <c r="T624" s="12" t="str">
        <f>TEXT(WFTracker[[#This Row],[Start date]],"mmm-yyyy")</f>
        <v>Dec-2025</v>
      </c>
      <c r="U624" s="11">
        <v>10</v>
      </c>
      <c r="V624" s="11">
        <f>NETWORKDAYS.INTL(WFTracker[[#This Row],[Start date]],WFTracker[[#This Row],[Due date]],1,Holidays!D631:D646)</f>
        <v>7</v>
      </c>
      <c r="W6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24" s="24">
        <f ca="1">WFTracker[[#This Row],[Active Time]]-WFTracker[[#This Row],[Completion Days Template]]</f>
        <v>0</v>
      </c>
      <c r="Y624" s="16" t="str">
        <f ca="1" xml:space="preserve"> IF(WFTracker[[#This Row],[Overdue Time '[Expected-Completion']]]&gt;0, "LATE","ON TIME")</f>
        <v>ON TIME</v>
      </c>
      <c r="Z624" s="16" t="str">
        <f ca="1">IF(WFTracker[[#This Row],[Overdue Time '[Expected-Completion']]] &gt;= 15, "SUPER LATE", Y624)</f>
        <v>ON TIME</v>
      </c>
      <c r="AA624" s="37" t="str">
        <f>IF(WFTracker[[#This Row],[Pre RM Opening Time]]&lt;WFTracker[[#This Row],[Old vs New Order Lead Time WF dead line]], "LATE BY ENG", "ON TIME BY ENG")</f>
        <v>ON TIME BY ENG</v>
      </c>
      <c r="AB624" s="37"/>
      <c r="AC624" s="15" t="s">
        <v>29</v>
      </c>
      <c r="AD6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624" s="37" t="str">
        <f ca="1">IF(WFTracker[[#This Row],[Impact Time Post RM]]&gt;0, "IMPACTED", "NOT IMPACTED")</f>
        <v>NOT IMPACTED</v>
      </c>
      <c r="AF624" s="15"/>
      <c r="AG624" s="18"/>
      <c r="AH624" s="14" t="str">
        <f>IF(WFTracker[[#This Row],[Status]]="C", "Closed", IF(WFTracker[[#This Row],[Status]] = "x", "Cancelled", WFTracker[[#This Row],[Impact Time Post RM]]))</f>
        <v>Closed</v>
      </c>
      <c r="AI624" s="14" t="str">
        <f ca="1">IF(WFTracker[[#This Row],[Impact Time Post RM]]&lt;=0,"ON TIME","LATE")</f>
        <v>ON TIME</v>
      </c>
      <c r="AJ624" s="14" t="s">
        <v>984</v>
      </c>
      <c r="AK624" s="14">
        <v>18</v>
      </c>
      <c r="AL624" s="915">
        <f>IF(WFTracker[[#This Row],[Type]]="MAKE", WFTracker[[#This Row],[Due date]]+Filters!$J$111, WFTracker[[#This Row],[Due date]]+Filters!$J$135)</f>
        <v>46019.072512647552</v>
      </c>
      <c r="AM624" s="102" cm="1">
        <f t="array" ref="AM6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5" spans="1:39" ht="15" customHeight="1">
      <c r="A625" t="str">
        <f>IF(WFTracker[[#This Row],[Order Number]]="SWBD", "QED2", "PZ4")</f>
        <v>PZ4</v>
      </c>
      <c r="B625" s="21" t="s">
        <v>698</v>
      </c>
      <c r="C625" s="26" t="s">
        <v>880</v>
      </c>
      <c r="D625" s="11" t="str">
        <f>WFTracker[[#This Row],[Order Number]]  &amp; "-" &amp; WFTracker[[#This Row],[Item]]</f>
        <v>0051549615-000430</v>
      </c>
      <c r="E625" s="23" t="s">
        <v>700</v>
      </c>
      <c r="F625" s="12">
        <v>46028</v>
      </c>
      <c r="G625" s="12">
        <v>46028</v>
      </c>
      <c r="H625" s="11" t="s">
        <v>156</v>
      </c>
      <c r="I625" s="899" t="s">
        <v>260</v>
      </c>
      <c r="J625" s="113" t="s">
        <v>1531</v>
      </c>
      <c r="K625" s="14" t="s">
        <v>1023</v>
      </c>
      <c r="L625" s="15" t="s">
        <v>40</v>
      </c>
      <c r="M625" s="29" t="s">
        <v>1123</v>
      </c>
      <c r="N625" s="57">
        <v>46077</v>
      </c>
      <c r="O625" s="15">
        <f>NETWORKDAYS.INTL(WFTracker[[#This Row],[Start date]],WFTracker[[#This Row],[RM]],1,Holidays!D635:D650)</f>
        <v>15</v>
      </c>
      <c r="P625" s="12">
        <v>46008</v>
      </c>
      <c r="Q625" s="12">
        <v>46020</v>
      </c>
      <c r="R625" s="12">
        <v>46014</v>
      </c>
      <c r="S625" s="12" t="b">
        <f>ISBLANK(WFTracker[[#This Row],[Completion Date]])</f>
        <v>0</v>
      </c>
      <c r="T625" s="12" t="str">
        <f>TEXT(WFTracker[[#This Row],[Start date]],"mmm-yyyy")</f>
        <v>Dec-2025</v>
      </c>
      <c r="U625" s="11">
        <v>10</v>
      </c>
      <c r="V625" s="11">
        <f>NETWORKDAYS.INTL(WFTracker[[#This Row],[Start date]],WFTracker[[#This Row],[Due date]],1,Holidays!D635:D650)</f>
        <v>9</v>
      </c>
      <c r="W6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25" s="24">
        <f ca="1">WFTracker[[#This Row],[Active Time]]-WFTracker[[#This Row],[Completion Days Template]]</f>
        <v>-4</v>
      </c>
      <c r="Y625" s="16" t="str">
        <f ca="1" xml:space="preserve"> IF(WFTracker[[#This Row],[Overdue Time '[Expected-Completion']]]&gt;0, "LATE","ON TIME")</f>
        <v>ON TIME</v>
      </c>
      <c r="Z625" s="16" t="str">
        <f ca="1">IF(WFTracker[[#This Row],[Overdue Time '[Expected-Completion']]] &gt;= 15, "SUPER LATE", Y625)</f>
        <v>ON TIME</v>
      </c>
      <c r="AA625" s="37" t="str">
        <f>IF(WFTracker[[#This Row],[Pre RM Opening Time]]&lt;WFTracker[[#This Row],[Old vs New Order Lead Time WF dead line]], "LATE BY ENG", "ON TIME BY ENG")</f>
        <v>ON TIME BY ENG</v>
      </c>
      <c r="AB625" s="37"/>
      <c r="AC625" s="15" t="s">
        <v>29</v>
      </c>
      <c r="AD6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625" s="25" t="str">
        <f ca="1">IF(WFTracker[[#This Row],[Impact Time Post RM]]&gt;0, "IMPACTED", "NOT IMPACTED")</f>
        <v>NOT IMPACTED</v>
      </c>
      <c r="AF625" s="15"/>
      <c r="AG625" s="18"/>
      <c r="AH625" s="14" t="str">
        <f>IF(WFTracker[[#This Row],[Status]]="C", "Closed", IF(WFTracker[[#This Row],[Status]] = "x", "Cancelled", WFTracker[[#This Row],[Impact Time Post RM]]))</f>
        <v>Closed</v>
      </c>
      <c r="AI625" s="14" t="str">
        <f ca="1">IF(WFTracker[[#This Row],[Impact Time Post RM]]&lt;=0,"ON TIME","LATE")</f>
        <v>ON TIME</v>
      </c>
      <c r="AJ625" s="14" t="s">
        <v>984</v>
      </c>
      <c r="AK625" s="14">
        <v>17</v>
      </c>
      <c r="AL625" s="915">
        <f>IF(WFTracker[[#This Row],[Type]]="MAKE", WFTracker[[#This Row],[Due date]]+Filters!$J$111, WFTracker[[#This Row],[Due date]]+Filters!$J$135)</f>
        <v>46020.415686274508</v>
      </c>
      <c r="AM625" s="102" cm="1">
        <f t="array" ref="AM6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6" spans="1:39" ht="15" customHeight="1">
      <c r="A626" t="str">
        <f>IF(WFTracker[[#This Row],[Order Number]]="SWBD", "QED2", "PZ4")</f>
        <v>PZ4</v>
      </c>
      <c r="B626" s="21" t="s">
        <v>737</v>
      </c>
      <c r="C626" s="26" t="s">
        <v>1532</v>
      </c>
      <c r="D626" s="11" t="str">
        <f>WFTracker[[#This Row],[Order Number]]  &amp; "-" &amp; WFTracker[[#This Row],[Item]]</f>
        <v>0051106129-000580</v>
      </c>
      <c r="E626" s="23" t="s">
        <v>739</v>
      </c>
      <c r="F626" s="12">
        <v>46020</v>
      </c>
      <c r="G626" s="12">
        <v>46020</v>
      </c>
      <c r="H626" s="11" t="s">
        <v>1529</v>
      </c>
      <c r="I626" s="11" t="s">
        <v>241</v>
      </c>
      <c r="J626" s="55" t="s">
        <v>740</v>
      </c>
      <c r="K626" s="14" t="s">
        <v>1017</v>
      </c>
      <c r="L626" s="15" t="s">
        <v>27</v>
      </c>
      <c r="M626" s="29" t="s">
        <v>1120</v>
      </c>
      <c r="N626" s="57">
        <v>46080</v>
      </c>
      <c r="O626" s="15">
        <f>NETWORKDAYS.INTL(WFTracker[[#This Row],[Start date]],WFTracker[[#This Row],[RM]],1,Holidays!D633:D648)</f>
        <v>9</v>
      </c>
      <c r="P626" s="12">
        <v>46008</v>
      </c>
      <c r="Q626" s="12">
        <v>46016</v>
      </c>
      <c r="R626" s="12">
        <v>46013</v>
      </c>
      <c r="S626" s="12" t="b">
        <f>ISBLANK(WFTracker[[#This Row],[Completion Date]])</f>
        <v>0</v>
      </c>
      <c r="T626" s="12" t="str">
        <f>TEXT(WFTracker[[#This Row],[Start date]],"mmm-yyyy")</f>
        <v>Dec-2025</v>
      </c>
      <c r="U626" s="11">
        <v>10</v>
      </c>
      <c r="V626" s="11">
        <f>NETWORKDAYS.INTL(WFTracker[[#This Row],[Start date]],WFTracker[[#This Row],[Due date]],1,Holidays!D633:D648)</f>
        <v>7</v>
      </c>
      <c r="W6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26" s="24">
        <f ca="1">WFTracker[[#This Row],[Active Time]]-WFTracker[[#This Row],[Completion Days Template]]</f>
        <v>-3</v>
      </c>
      <c r="Y626" s="16" t="str">
        <f ca="1" xml:space="preserve"> IF(WFTracker[[#This Row],[Overdue Time '[Expected-Completion']]]&gt;0, "LATE","ON TIME")</f>
        <v>ON TIME</v>
      </c>
      <c r="Z626" s="16" t="str">
        <f ca="1">IF(WFTracker[[#This Row],[Overdue Time '[Expected-Completion']]] &gt;= 15, "SUPER LATE", Y626)</f>
        <v>ON TIME</v>
      </c>
      <c r="AA626" s="37" t="str">
        <f>IF(WFTracker[[#This Row],[Pre RM Opening Time]]&lt;WFTracker[[#This Row],[Old vs New Order Lead Time WF dead line]], "LATE BY ENG", "ON TIME BY ENG")</f>
        <v>LATE BY ENG</v>
      </c>
      <c r="AB626" s="37"/>
      <c r="AC626" s="15" t="s">
        <v>29</v>
      </c>
      <c r="AD6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26" s="37" t="str">
        <f ca="1">IF(WFTracker[[#This Row],[Impact Time Post RM]]&gt;0, "IMPACTED", "NOT IMPACTED")</f>
        <v>NOT IMPACTED</v>
      </c>
      <c r="AF626" s="15"/>
      <c r="AG626" s="18"/>
      <c r="AH626" s="14" t="str">
        <f>IF(WFTracker[[#This Row],[Status]]="C", "Closed", IF(WFTracker[[#This Row],[Status]] = "x", "Cancelled", WFTracker[[#This Row],[Impact Time Post RM]]))</f>
        <v>Closed</v>
      </c>
      <c r="AI626" s="14" t="str">
        <f ca="1">IF(WFTracker[[#This Row],[Impact Time Post RM]]&lt;=0,"ON TIME","LATE")</f>
        <v>ON TIME</v>
      </c>
      <c r="AJ626" s="14" t="s">
        <v>984</v>
      </c>
      <c r="AK626" s="14">
        <v>18</v>
      </c>
      <c r="AL626" s="915">
        <f>IF(WFTracker[[#This Row],[Type]]="MAKE", WFTracker[[#This Row],[Due date]]+Filters!$J$111, WFTracker[[#This Row],[Due date]]+Filters!$J$135)</f>
        <v>46019.072512647552</v>
      </c>
      <c r="AM626" s="102" cm="1">
        <f t="array" ref="AM6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7" spans="1:39" ht="15" customHeight="1">
      <c r="A627" t="str">
        <f>IF(WFTracker[[#This Row],[Order Number]]="SWBD", "QED2", "PZ4")</f>
        <v>PZ4</v>
      </c>
      <c r="B627" s="21" t="s">
        <v>737</v>
      </c>
      <c r="C627" s="26" t="s">
        <v>1532</v>
      </c>
      <c r="D627" s="11" t="str">
        <f>WFTracker[[#This Row],[Order Number]]  &amp; "-" &amp; WFTracker[[#This Row],[Item]]</f>
        <v>0051106129-000580</v>
      </c>
      <c r="E627" s="23" t="s">
        <v>739</v>
      </c>
      <c r="F627" s="12">
        <v>46020</v>
      </c>
      <c r="G627" s="12">
        <v>46020</v>
      </c>
      <c r="H627" s="11" t="s">
        <v>1529</v>
      </c>
      <c r="I627" s="11" t="s">
        <v>241</v>
      </c>
      <c r="J627" s="55" t="s">
        <v>741</v>
      </c>
      <c r="K627" s="14" t="s">
        <v>1017</v>
      </c>
      <c r="L627" s="15" t="s">
        <v>27</v>
      </c>
      <c r="M627" s="29" t="s">
        <v>1120</v>
      </c>
      <c r="N627" s="57">
        <v>46080</v>
      </c>
      <c r="O627" s="15">
        <f>NETWORKDAYS.INTL(WFTracker[[#This Row],[Start date]],WFTracker[[#This Row],[RM]],1,Holidays!D634:D649)</f>
        <v>9</v>
      </c>
      <c r="P627" s="12">
        <v>46008</v>
      </c>
      <c r="Q627" s="12">
        <v>46016</v>
      </c>
      <c r="R627" s="12">
        <v>46013</v>
      </c>
      <c r="S627" s="12" t="b">
        <f>ISBLANK(WFTracker[[#This Row],[Completion Date]])</f>
        <v>0</v>
      </c>
      <c r="T627" s="12" t="str">
        <f>TEXT(WFTracker[[#This Row],[Start date]],"mmm-yyyy")</f>
        <v>Dec-2025</v>
      </c>
      <c r="U627" s="11">
        <v>10</v>
      </c>
      <c r="V627" s="11">
        <f>NETWORKDAYS.INTL(WFTracker[[#This Row],[Start date]],WFTracker[[#This Row],[Due date]],1,Holidays!D634:D649)</f>
        <v>7</v>
      </c>
      <c r="W6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27" s="24">
        <f ca="1">WFTracker[[#This Row],[Active Time]]-WFTracker[[#This Row],[Completion Days Template]]</f>
        <v>-3</v>
      </c>
      <c r="Y627" s="16" t="str">
        <f ca="1" xml:space="preserve"> IF(WFTracker[[#This Row],[Overdue Time '[Expected-Completion']]]&gt;0, "LATE","ON TIME")</f>
        <v>ON TIME</v>
      </c>
      <c r="Z627" s="16" t="str">
        <f ca="1">IF(WFTracker[[#This Row],[Overdue Time '[Expected-Completion']]] &gt;= 15, "SUPER LATE", Y627)</f>
        <v>ON TIME</v>
      </c>
      <c r="AA627" s="37" t="str">
        <f>IF(WFTracker[[#This Row],[Pre RM Opening Time]]&lt;WFTracker[[#This Row],[Old vs New Order Lead Time WF dead line]], "LATE BY ENG", "ON TIME BY ENG")</f>
        <v>LATE BY ENG</v>
      </c>
      <c r="AB627" s="37"/>
      <c r="AC627" s="15" t="s">
        <v>29</v>
      </c>
      <c r="AD6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27" s="37" t="str">
        <f ca="1">IF(WFTracker[[#This Row],[Impact Time Post RM]]&gt;0, "IMPACTED", "NOT IMPACTED")</f>
        <v>NOT IMPACTED</v>
      </c>
      <c r="AF627" s="15"/>
      <c r="AG627" s="18"/>
      <c r="AH627" s="14" t="str">
        <f>IF(WFTracker[[#This Row],[Status]]="C", "Closed", IF(WFTracker[[#This Row],[Status]] = "x", "Cancelled", WFTracker[[#This Row],[Impact Time Post RM]]))</f>
        <v>Closed</v>
      </c>
      <c r="AI627" s="14" t="str">
        <f ca="1">IF(WFTracker[[#This Row],[Impact Time Post RM]]&lt;=0,"ON TIME","LATE")</f>
        <v>ON TIME</v>
      </c>
      <c r="AJ627" s="14" t="s">
        <v>984</v>
      </c>
      <c r="AK627" s="14">
        <v>18</v>
      </c>
      <c r="AL627" s="915">
        <f>IF(WFTracker[[#This Row],[Type]]="MAKE", WFTracker[[#This Row],[Due date]]+Filters!$J$111, WFTracker[[#This Row],[Due date]]+Filters!$J$135)</f>
        <v>46019.072512647552</v>
      </c>
      <c r="AM627" s="102" cm="1">
        <f t="array" ref="AM6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28" spans="1:39" ht="15" customHeight="1">
      <c r="A628" t="str">
        <f>IF(WFTracker[[#This Row],[Order Number]]="SWBD", "QED2", "PZ4")</f>
        <v>PZ4</v>
      </c>
      <c r="B628" s="21" t="s">
        <v>730</v>
      </c>
      <c r="C628" s="26" t="s">
        <v>135</v>
      </c>
      <c r="D628" s="11" t="str">
        <f>WFTracker[[#This Row],[Order Number]]  &amp; "-" &amp; WFTracker[[#This Row],[Item]]</f>
        <v>0051620541-000010</v>
      </c>
      <c r="E628" s="23" t="s">
        <v>1025</v>
      </c>
      <c r="F628" s="12">
        <v>46007</v>
      </c>
      <c r="G628" s="12">
        <v>46000</v>
      </c>
      <c r="H628" s="11"/>
      <c r="I628" s="11"/>
      <c r="J628" s="55" t="s">
        <v>1533</v>
      </c>
      <c r="K628" s="14" t="s">
        <v>1023</v>
      </c>
      <c r="L628" s="15" t="s">
        <v>40</v>
      </c>
      <c r="M628" s="29" t="s">
        <v>1120</v>
      </c>
      <c r="N628" s="57"/>
      <c r="O628" s="15">
        <f>NETWORKDAYS.INTL(WFTracker[[#This Row],[Start date]],WFTracker[[#This Row],[RM]],1,Holidays!D636:D651)</f>
        <v>-2</v>
      </c>
      <c r="P628" s="12">
        <v>46008</v>
      </c>
      <c r="Q628" s="12">
        <v>46020</v>
      </c>
      <c r="R628" s="12"/>
      <c r="S628" s="12" t="b">
        <f>ISBLANK(WFTracker[[#This Row],[Completion Date]])</f>
        <v>1</v>
      </c>
      <c r="T628" s="12" t="str">
        <f>TEXT(WFTracker[[#This Row],[Start date]],"mmm-yyyy")</f>
        <v>Dec-2025</v>
      </c>
      <c r="U628" s="11">
        <v>10</v>
      </c>
      <c r="V628" s="11">
        <f>NETWORKDAYS.INTL(WFTracker[[#This Row],[Start date]],WFTracker[[#This Row],[Due date]],1,Holidays!D636:D651)</f>
        <v>9</v>
      </c>
      <c r="W6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64</v>
      </c>
      <c r="X628" s="24">
        <f ca="1">WFTracker[[#This Row],[Active Time]]-WFTracker[[#This Row],[Completion Days Template]]</f>
        <v>55</v>
      </c>
      <c r="Y628" s="16" t="str">
        <f ca="1" xml:space="preserve"> IF(WFTracker[[#This Row],[Overdue Time '[Expected-Completion']]]&gt;0, "LATE","ON TIME")</f>
        <v>LATE</v>
      </c>
      <c r="Z628" s="16" t="str">
        <f ca="1">IF(WFTracker[[#This Row],[Overdue Time '[Expected-Completion']]] &gt;= 15, "SUPER LATE", Y628)</f>
        <v>SUPER LATE</v>
      </c>
      <c r="AA628" s="37" t="str">
        <f>IF(WFTracker[[#This Row],[Pre RM Opening Time]]&lt;WFTracker[[#This Row],[Old vs New Order Lead Time WF dead line]], "LATE BY ENG", "ON TIME BY ENG")</f>
        <v>LATE BY ENG</v>
      </c>
      <c r="AB628" s="37"/>
      <c r="AC628" s="15" t="s">
        <v>1011</v>
      </c>
      <c r="AD6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65</v>
      </c>
      <c r="AE628" s="25" t="str">
        <f ca="1">IF(WFTracker[[#This Row],[Impact Time Post RM]]&gt;0, "IMPACTED", "NOT IMPACTED")</f>
        <v>IMPACTED</v>
      </c>
      <c r="AF628" s="15"/>
      <c r="AG628" s="18"/>
      <c r="AH628" s="14" t="str">
        <f>IF(WFTracker[[#This Row],[Status]]="C", "Closed", IF(WFTracker[[#This Row],[Status]] = "x", "Cancelled", WFTracker[[#This Row],[Impact Time Post RM]]))</f>
        <v>Cancelled</v>
      </c>
      <c r="AI628" s="14" t="str">
        <f ca="1">IF(WFTracker[[#This Row],[Impact Time Post RM]]&lt;=0,"ON TIME","LATE")</f>
        <v>LATE</v>
      </c>
      <c r="AJ628" s="14" t="s">
        <v>984</v>
      </c>
      <c r="AK628" s="14">
        <v>0</v>
      </c>
      <c r="AL628" s="915">
        <f>IF(WFTracker[[#This Row],[Type]]="MAKE", WFTracker[[#This Row],[Due date]]+Filters!$J$111, WFTracker[[#This Row],[Due date]]+Filters!$J$135)</f>
        <v>46020.415686274508</v>
      </c>
      <c r="AM628" s="102" cm="1">
        <f t="array" ref="AM628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629" spans="1:39" ht="15" customHeight="1">
      <c r="A629" t="str">
        <f>IF(WFTracker[[#This Row],[Order Number]]="SWBD", "QED2", "PZ4")</f>
        <v>PZ4</v>
      </c>
      <c r="B629" s="21" t="s">
        <v>1534</v>
      </c>
      <c r="C629" s="26" t="s">
        <v>674</v>
      </c>
      <c r="D629" s="11" t="str">
        <f>WFTracker[[#This Row],[Order Number]]  &amp; "-" &amp; WFTracker[[#This Row],[Item]]</f>
        <v xml:space="preserve">
0051611250-003280</v>
      </c>
      <c r="E629" s="23" t="s">
        <v>675</v>
      </c>
      <c r="F629" s="12">
        <v>45996</v>
      </c>
      <c r="G629" s="12">
        <v>45993</v>
      </c>
      <c r="H629" s="11" t="s">
        <v>676</v>
      </c>
      <c r="I629" s="11" t="s">
        <v>241</v>
      </c>
      <c r="J629" s="122" t="s">
        <v>1535</v>
      </c>
      <c r="K629" s="14" t="s">
        <v>1017</v>
      </c>
      <c r="L629" s="15" t="s">
        <v>40</v>
      </c>
      <c r="M629" s="29" t="s">
        <v>1120</v>
      </c>
      <c r="N629" s="57">
        <v>46078</v>
      </c>
      <c r="O629" s="15">
        <f>NETWORKDAYS.INTL(WFTracker[[#This Row],[Start date]],WFTracker[[#This Row],[RM]],1,Holidays!D630:D645)</f>
        <v>-9</v>
      </c>
      <c r="P629" s="12">
        <v>46008</v>
      </c>
      <c r="Q629" s="12">
        <v>46020</v>
      </c>
      <c r="R629" s="12"/>
      <c r="S629" s="12" t="b">
        <f>ISBLANK(WFTracker[[#This Row],[Completion Date]])</f>
        <v>1</v>
      </c>
      <c r="T629" s="12" t="str">
        <f>TEXT(WFTracker[[#This Row],[Start date]],"mmm-yyyy")</f>
        <v>Dec-2025</v>
      </c>
      <c r="U629" s="11">
        <v>10</v>
      </c>
      <c r="V629" s="11">
        <f>NETWORKDAYS.INTL(WFTracker[[#This Row],[Start date]],WFTracker[[#This Row],[Due date]],1,Holidays!D630:D645)</f>
        <v>9</v>
      </c>
      <c r="W6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64</v>
      </c>
      <c r="X629" s="24">
        <f ca="1">WFTracker[[#This Row],[Active Time]]-WFTracker[[#This Row],[Completion Days Template]]</f>
        <v>55</v>
      </c>
      <c r="Y629" s="16" t="str">
        <f ca="1" xml:space="preserve"> IF(WFTracker[[#This Row],[Overdue Time '[Expected-Completion']]]&gt;0, "LATE","ON TIME")</f>
        <v>LATE</v>
      </c>
      <c r="Z629" s="16" t="str">
        <f ca="1">IF(WFTracker[[#This Row],[Overdue Time '[Expected-Completion']]] &gt;= 15, "SUPER LATE", Y629)</f>
        <v>SUPER LATE</v>
      </c>
      <c r="AA629" s="37" t="str">
        <f>IF(WFTracker[[#This Row],[Pre RM Opening Time]]&lt;WFTracker[[#This Row],[Old vs New Order Lead Time WF dead line]], "LATE BY ENG", "ON TIME BY ENG")</f>
        <v>LATE BY ENG</v>
      </c>
      <c r="AB629" s="37"/>
      <c r="AC629" s="15" t="s">
        <v>1011</v>
      </c>
      <c r="AD6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71</v>
      </c>
      <c r="AE629" s="25" t="str">
        <f ca="1">IF(WFTracker[[#This Row],[Impact Time Post RM]]&gt;0, "IMPACTED", "NOT IMPACTED")</f>
        <v>IMPACTED</v>
      </c>
      <c r="AF629" s="15"/>
      <c r="AG629" s="18"/>
      <c r="AH629" s="14" t="str">
        <f>IF(WFTracker[[#This Row],[Status]]="C", "Closed", IF(WFTracker[[#This Row],[Status]] = "x", "Cancelled", WFTracker[[#This Row],[Impact Time Post RM]]))</f>
        <v>Cancelled</v>
      </c>
      <c r="AI629" s="14" t="str">
        <f ca="1">IF(WFTracker[[#This Row],[Impact Time Post RM]]&lt;=0,"ON TIME","LATE")</f>
        <v>LATE</v>
      </c>
      <c r="AJ629" s="14" t="s">
        <v>984</v>
      </c>
      <c r="AK629" s="14">
        <v>0</v>
      </c>
      <c r="AL629" s="915">
        <f>IF(WFTracker[[#This Row],[Type]]="MAKE", WFTracker[[#This Row],[Due date]]+Filters!$J$111, WFTracker[[#This Row],[Due date]]+Filters!$J$135)</f>
        <v>46020.415686274508</v>
      </c>
      <c r="AM629" s="102" cm="1">
        <f t="array" ref="AM629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630" spans="1:39" ht="15" customHeight="1">
      <c r="A630" t="str">
        <f>IF(WFTracker[[#This Row],[Order Number]]="SWBD", "QED2", "PZ4")</f>
        <v>PZ4</v>
      </c>
      <c r="B630" s="21" t="s">
        <v>673</v>
      </c>
      <c r="C630" s="26" t="s">
        <v>674</v>
      </c>
      <c r="D630" s="11" t="str">
        <f>WFTracker[[#This Row],[Order Number]]  &amp; "-" &amp; WFTracker[[#This Row],[Item]]</f>
        <v>0051611250-003280</v>
      </c>
      <c r="E630" s="23" t="s">
        <v>675</v>
      </c>
      <c r="F630" s="12">
        <v>45996</v>
      </c>
      <c r="G630" s="12">
        <v>45993</v>
      </c>
      <c r="H630" s="11" t="s">
        <v>676</v>
      </c>
      <c r="I630" s="11" t="s">
        <v>241</v>
      </c>
      <c r="J630" s="55" t="s">
        <v>688</v>
      </c>
      <c r="K630" s="14" t="s">
        <v>1017</v>
      </c>
      <c r="L630" s="15" t="s">
        <v>27</v>
      </c>
      <c r="M630" s="29" t="s">
        <v>1120</v>
      </c>
      <c r="N630" s="57">
        <v>46066</v>
      </c>
      <c r="O630" s="15">
        <f>NETWORKDAYS.INTL(WFTracker[[#This Row],[Start date]],WFTracker[[#This Row],[RM]],1,Holidays!D632:D647)</f>
        <v>-9</v>
      </c>
      <c r="P630" s="12">
        <v>46008</v>
      </c>
      <c r="Q630" s="12">
        <v>46016</v>
      </c>
      <c r="R630" s="12">
        <v>46013</v>
      </c>
      <c r="S630" s="12" t="b">
        <f>ISBLANK(WFTracker[[#This Row],[Completion Date]])</f>
        <v>0</v>
      </c>
      <c r="T630" s="12" t="str">
        <f>TEXT(WFTracker[[#This Row],[Start date]],"mmm-yyyy")</f>
        <v>Dec-2025</v>
      </c>
      <c r="U630" s="11">
        <v>10</v>
      </c>
      <c r="V630" s="11">
        <f>NETWORKDAYS.INTL(WFTracker[[#This Row],[Start date]],WFTracker[[#This Row],[Due date]],1,Holidays!D632:D647)</f>
        <v>7</v>
      </c>
      <c r="W6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30" s="24">
        <f ca="1">WFTracker[[#This Row],[Active Time]]-WFTracker[[#This Row],[Completion Days Template]]</f>
        <v>-3</v>
      </c>
      <c r="Y630" s="16" t="str">
        <f ca="1" xml:space="preserve"> IF(WFTracker[[#This Row],[Overdue Time '[Expected-Completion']]]&gt;0, "LATE","ON TIME")</f>
        <v>ON TIME</v>
      </c>
      <c r="Z630" s="16" t="str">
        <f ca="1">IF(WFTracker[[#This Row],[Overdue Time '[Expected-Completion']]] &gt;= 15, "SUPER LATE", Y630)</f>
        <v>ON TIME</v>
      </c>
      <c r="AA630" s="37" t="str">
        <f>IF(WFTracker[[#This Row],[Pre RM Opening Time]]&lt;WFTracker[[#This Row],[Old vs New Order Lead Time WF dead line]], "LATE BY ENG", "ON TIME BY ENG")</f>
        <v>LATE BY ENG</v>
      </c>
      <c r="AB630" s="37"/>
      <c r="AC630" s="15" t="s">
        <v>29</v>
      </c>
      <c r="AD6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30" s="37" t="str">
        <f ca="1">IF(WFTracker[[#This Row],[Impact Time Post RM]]&gt;0, "IMPACTED", "NOT IMPACTED")</f>
        <v>IMPACTED</v>
      </c>
      <c r="AF630" s="15"/>
      <c r="AG630" s="18"/>
      <c r="AH630" s="14" t="str">
        <f>IF(WFTracker[[#This Row],[Status]]="C", "Closed", IF(WFTracker[[#This Row],[Status]] = "x", "Cancelled", WFTracker[[#This Row],[Impact Time Post RM]]))</f>
        <v>Closed</v>
      </c>
      <c r="AI630" s="14" t="str">
        <f ca="1">IF(WFTracker[[#This Row],[Impact Time Post RM]]&lt;=0,"ON TIME","LATE")</f>
        <v>LATE</v>
      </c>
      <c r="AJ630" s="14" t="s">
        <v>984</v>
      </c>
      <c r="AK630" s="14">
        <v>18</v>
      </c>
      <c r="AL630" s="915">
        <f>IF(WFTracker[[#This Row],[Type]]="MAKE", WFTracker[[#This Row],[Due date]]+Filters!$J$111, WFTracker[[#This Row],[Due date]]+Filters!$J$135)</f>
        <v>46019.072512647552</v>
      </c>
      <c r="AM630" s="102" cm="1">
        <f t="array" ref="AM6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1" spans="1:39" ht="15" customHeight="1">
      <c r="A631" t="str">
        <f>IF(WFTracker[[#This Row],[Order Number]]="SWBD", "QED2", "PZ4")</f>
        <v>PZ4</v>
      </c>
      <c r="B631" s="21" t="s">
        <v>730</v>
      </c>
      <c r="C631" s="26" t="s">
        <v>135</v>
      </c>
      <c r="D631" s="11" t="str">
        <f>WFTracker[[#This Row],[Order Number]]  &amp; "-" &amp; WFTracker[[#This Row],[Item]]</f>
        <v>0051620541-000010</v>
      </c>
      <c r="E631" s="23" t="s">
        <v>1025</v>
      </c>
      <c r="F631" s="12">
        <v>46038</v>
      </c>
      <c r="G631" s="12">
        <v>46031</v>
      </c>
      <c r="H631" s="11" t="s">
        <v>252</v>
      </c>
      <c r="I631" s="11" t="s">
        <v>732</v>
      </c>
      <c r="J631" s="55" t="s">
        <v>1536</v>
      </c>
      <c r="K631" s="14" t="s">
        <v>1023</v>
      </c>
      <c r="L631" s="15" t="s">
        <v>40</v>
      </c>
      <c r="M631" s="29" t="s">
        <v>1120</v>
      </c>
      <c r="N631" s="57">
        <v>46135</v>
      </c>
      <c r="O631" s="15">
        <f>NETWORKDAYS.INTL(WFTracker[[#This Row],[Start date]],WFTracker[[#This Row],[RM]],1,Holidays!D640:D655)</f>
        <v>22</v>
      </c>
      <c r="P631" s="12">
        <v>46009</v>
      </c>
      <c r="Q631" s="12">
        <v>46021</v>
      </c>
      <c r="R631" s="12">
        <v>46014</v>
      </c>
      <c r="S631" s="12" t="b">
        <f>ISBLANK(WFTracker[[#This Row],[Completion Date]])</f>
        <v>0</v>
      </c>
      <c r="T631" s="12" t="str">
        <f>TEXT(WFTracker[[#This Row],[Start date]],"mmm-yyyy")</f>
        <v>Dec-2025</v>
      </c>
      <c r="U631" s="11">
        <v>10</v>
      </c>
      <c r="V631" s="11">
        <f>NETWORKDAYS.INTL(WFTracker[[#This Row],[Start date]],WFTracker[[#This Row],[Due date]],1,Holidays!D640:D655)</f>
        <v>9</v>
      </c>
      <c r="W6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31" s="24">
        <f ca="1">WFTracker[[#This Row],[Active Time]]-WFTracker[[#This Row],[Completion Days Template]]</f>
        <v>-5</v>
      </c>
      <c r="Y631" s="16" t="str">
        <f ca="1" xml:space="preserve"> IF(WFTracker[[#This Row],[Overdue Time '[Expected-Completion']]]&gt;0, "LATE","ON TIME")</f>
        <v>ON TIME</v>
      </c>
      <c r="Z631" s="16" t="str">
        <f ca="1">IF(WFTracker[[#This Row],[Overdue Time '[Expected-Completion']]] &gt;= 15, "SUPER LATE", Y631)</f>
        <v>ON TIME</v>
      </c>
      <c r="AA631" s="37" t="str">
        <f>IF(WFTracker[[#This Row],[Pre RM Opening Time]]&lt;WFTracker[[#This Row],[Old vs New Order Lead Time WF dead line]], "LATE BY ENG", "ON TIME BY ENG")</f>
        <v>ON TIME BY ENG</v>
      </c>
      <c r="AB631" s="37"/>
      <c r="AC631" s="15" t="s">
        <v>29</v>
      </c>
      <c r="AD6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631" s="25" t="str">
        <f ca="1">IF(WFTracker[[#This Row],[Impact Time Post RM]]&gt;0, "IMPACTED", "NOT IMPACTED")</f>
        <v>NOT IMPACTED</v>
      </c>
      <c r="AF631" s="15"/>
      <c r="AG631" s="18"/>
      <c r="AH631" s="14" t="str">
        <f>IF(WFTracker[[#This Row],[Status]]="C", "Closed", IF(WFTracker[[#This Row],[Status]] = "x", "Cancelled", WFTracker[[#This Row],[Impact Time Post RM]]))</f>
        <v>Closed</v>
      </c>
      <c r="AI631" s="14" t="str">
        <f ca="1">IF(WFTracker[[#This Row],[Impact Time Post RM]]&lt;=0,"ON TIME","LATE")</f>
        <v>ON TIME</v>
      </c>
      <c r="AJ631" s="14" t="s">
        <v>984</v>
      </c>
      <c r="AK631" s="14">
        <v>17</v>
      </c>
      <c r="AL631" s="915">
        <f>IF(WFTracker[[#This Row],[Type]]="MAKE", WFTracker[[#This Row],[Due date]]+Filters!$J$111, WFTracker[[#This Row],[Due date]]+Filters!$J$135)</f>
        <v>46021.415686274508</v>
      </c>
      <c r="AM631" s="102" cm="1">
        <f t="array" ref="AM6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2" spans="1:39" ht="15" customHeight="1">
      <c r="A632" t="str">
        <f>IF(WFTracker[[#This Row],[Order Number]]="SWBD", "QED2", "PZ4")</f>
        <v>PZ4</v>
      </c>
      <c r="B632" s="21" t="s">
        <v>730</v>
      </c>
      <c r="C632" s="26" t="s">
        <v>135</v>
      </c>
      <c r="D632" s="11" t="str">
        <f>WFTracker[[#This Row],[Order Number]]  &amp; "-" &amp; WFTracker[[#This Row],[Item]]</f>
        <v>0051620541-000010</v>
      </c>
      <c r="E632" s="23" t="s">
        <v>1025</v>
      </c>
      <c r="F632" s="12">
        <v>46038</v>
      </c>
      <c r="G632" s="12">
        <v>46031</v>
      </c>
      <c r="H632" s="11" t="s">
        <v>252</v>
      </c>
      <c r="I632" s="11" t="s">
        <v>732</v>
      </c>
      <c r="J632" s="55" t="s">
        <v>1537</v>
      </c>
      <c r="K632" s="14" t="s">
        <v>1023</v>
      </c>
      <c r="L632" s="15" t="s">
        <v>40</v>
      </c>
      <c r="M632" s="29" t="s">
        <v>1120</v>
      </c>
      <c r="N632" s="57">
        <v>46135</v>
      </c>
      <c r="O632" s="15">
        <f>NETWORKDAYS.INTL(WFTracker[[#This Row],[Start date]],WFTracker[[#This Row],[RM]],1,Holidays!D641:D656)</f>
        <v>22</v>
      </c>
      <c r="P632" s="12">
        <v>46009</v>
      </c>
      <c r="Q632" s="12">
        <v>46021</v>
      </c>
      <c r="R632" s="12">
        <v>46013</v>
      </c>
      <c r="S632" s="12" t="b">
        <f>ISBLANK(WFTracker[[#This Row],[Completion Date]])</f>
        <v>0</v>
      </c>
      <c r="T632" s="12" t="str">
        <f>TEXT(WFTracker[[#This Row],[Start date]],"mmm-yyyy")</f>
        <v>Dec-2025</v>
      </c>
      <c r="U632" s="11">
        <v>10</v>
      </c>
      <c r="V632" s="11">
        <f>NETWORKDAYS.INTL(WFTracker[[#This Row],[Start date]],WFTracker[[#This Row],[Due date]],1,Holidays!D641:D656)</f>
        <v>9</v>
      </c>
      <c r="W6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32" s="24">
        <f ca="1">WFTracker[[#This Row],[Active Time]]-WFTracker[[#This Row],[Completion Days Template]]</f>
        <v>-6</v>
      </c>
      <c r="Y632" s="16" t="str">
        <f ca="1" xml:space="preserve"> IF(WFTracker[[#This Row],[Overdue Time '[Expected-Completion']]]&gt;0, "LATE","ON TIME")</f>
        <v>ON TIME</v>
      </c>
      <c r="Z632" s="16" t="str">
        <f ca="1">IF(WFTracker[[#This Row],[Overdue Time '[Expected-Completion']]] &gt;= 15, "SUPER LATE", Y632)</f>
        <v>ON TIME</v>
      </c>
      <c r="AA632" s="37" t="str">
        <f>IF(WFTracker[[#This Row],[Pre RM Opening Time]]&lt;WFTracker[[#This Row],[Old vs New Order Lead Time WF dead line]], "LATE BY ENG", "ON TIME BY ENG")</f>
        <v>ON TIME BY ENG</v>
      </c>
      <c r="AB632" s="37"/>
      <c r="AC632" s="15" t="s">
        <v>29</v>
      </c>
      <c r="AD6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632" s="25" t="str">
        <f ca="1">IF(WFTracker[[#This Row],[Impact Time Post RM]]&gt;0, "IMPACTED", "NOT IMPACTED")</f>
        <v>NOT IMPACTED</v>
      </c>
      <c r="AF632" s="15"/>
      <c r="AG632" s="18"/>
      <c r="AH632" s="14" t="str">
        <f>IF(WFTracker[[#This Row],[Status]]="C", "Closed", IF(WFTracker[[#This Row],[Status]] = "x", "Cancelled", WFTracker[[#This Row],[Impact Time Post RM]]))</f>
        <v>Closed</v>
      </c>
      <c r="AI632" s="14" t="str">
        <f ca="1">IF(WFTracker[[#This Row],[Impact Time Post RM]]&lt;=0,"ON TIME","LATE")</f>
        <v>ON TIME</v>
      </c>
      <c r="AJ632" s="14" t="s">
        <v>984</v>
      </c>
      <c r="AK632" s="14">
        <v>17</v>
      </c>
      <c r="AL632" s="915">
        <f>IF(WFTracker[[#This Row],[Type]]="MAKE", WFTracker[[#This Row],[Due date]]+Filters!$J$111, WFTracker[[#This Row],[Due date]]+Filters!$J$135)</f>
        <v>46021.415686274508</v>
      </c>
      <c r="AM632" s="102" cm="1">
        <f t="array" ref="AM6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3" spans="1:39" ht="15" customHeight="1">
      <c r="A633" t="str">
        <f>IF(WFTracker[[#This Row],[Order Number]]="SWBD", "QED2", "PZ4")</f>
        <v>PZ4</v>
      </c>
      <c r="B633" s="21" t="s">
        <v>1538</v>
      </c>
      <c r="C633" s="26" t="s">
        <v>257</v>
      </c>
      <c r="D633" s="11" t="str">
        <f>WFTracker[[#This Row],[Order Number]]  &amp; "-" &amp; WFTracker[[#This Row],[Item]]</f>
        <v xml:space="preserve">
0051659722-000090</v>
      </c>
      <c r="E633" s="23" t="s">
        <v>629</v>
      </c>
      <c r="F633" s="12">
        <v>45992</v>
      </c>
      <c r="G633" s="12">
        <v>45982</v>
      </c>
      <c r="H633" s="11" t="s">
        <v>252</v>
      </c>
      <c r="I633" s="11" t="s">
        <v>264</v>
      </c>
      <c r="J633" s="55" t="s">
        <v>1539</v>
      </c>
      <c r="K633" s="14" t="s">
        <v>1017</v>
      </c>
      <c r="L633" s="15" t="s">
        <v>27</v>
      </c>
      <c r="M633" s="29" t="s">
        <v>1120</v>
      </c>
      <c r="N633" s="57">
        <v>46069</v>
      </c>
      <c r="O633" s="15">
        <f>NETWORKDAYS.INTL(WFTracker[[#This Row],[Start date]],WFTracker[[#This Row],[RM]],1,Holidays!D639:D654)</f>
        <v>-14</v>
      </c>
      <c r="P633" s="12">
        <v>46009</v>
      </c>
      <c r="Q633" s="12">
        <v>46016</v>
      </c>
      <c r="R633" s="12">
        <v>46030</v>
      </c>
      <c r="S633" s="12" t="b">
        <f>ISBLANK(WFTracker[[#This Row],[Completion Date]])</f>
        <v>0</v>
      </c>
      <c r="T633" s="12" t="str">
        <f>TEXT(WFTracker[[#This Row],[Start date]],"mmm-yyyy")</f>
        <v>Dec-2025</v>
      </c>
      <c r="U633" s="11">
        <v>10</v>
      </c>
      <c r="V633" s="11">
        <f>NETWORKDAYS.INTL(WFTracker[[#This Row],[Start date]],WFTracker[[#This Row],[Due date]],1,Holidays!D639:D654)</f>
        <v>6</v>
      </c>
      <c r="W6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33" s="24">
        <f ca="1">WFTracker[[#This Row],[Active Time]]-WFTracker[[#This Row],[Completion Days Template]]</f>
        <v>7</v>
      </c>
      <c r="Y633" s="16" t="str">
        <f ca="1" xml:space="preserve"> IF(WFTracker[[#This Row],[Overdue Time '[Expected-Completion']]]&gt;0, "LATE","ON TIME")</f>
        <v>LATE</v>
      </c>
      <c r="Z633" s="16" t="str">
        <f ca="1">IF(WFTracker[[#This Row],[Overdue Time '[Expected-Completion']]] &gt;= 15, "SUPER LATE", Y633)</f>
        <v>LATE</v>
      </c>
      <c r="AA633" s="37" t="str">
        <f>IF(WFTracker[[#This Row],[Pre RM Opening Time]]&lt;WFTracker[[#This Row],[Old vs New Order Lead Time WF dead line]], "LATE BY ENG", "ON TIME BY ENG")</f>
        <v>LATE BY ENG</v>
      </c>
      <c r="AB633" s="37"/>
      <c r="AC633" s="928" t="str" cm="1">
        <f t="array" ref="AC633">_xlfn.IFS(
    WFTracker[[#This Row],[Cancelation Cause]]&lt;&gt;"", "X",
    WFTracker[[#This Row],[Competion Date Content]] = FALSE, "C",
    TRUE, "I"
)</f>
        <v>C</v>
      </c>
      <c r="AD6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25</v>
      </c>
      <c r="AE633" s="37" t="str">
        <f ca="1">IF(WFTracker[[#This Row],[Impact Time Post RM]]&gt;0, "IMPACTED", "NOT IMPACTED")</f>
        <v>IMPACTED</v>
      </c>
      <c r="AF633" s="15"/>
      <c r="AG633" s="18"/>
      <c r="AH633" s="14" t="str">
        <f>IF(WFTracker[[#This Row],[Status]]="C", "Closed", IF(WFTracker[[#This Row],[Status]] = "x", "Cancelled", WFTracker[[#This Row],[Impact Time Post RM]]))</f>
        <v>Closed</v>
      </c>
      <c r="AI633" s="14" t="str">
        <f ca="1">IF(WFTracker[[#This Row],[Impact Time Post RM]]&lt;=0,"ON TIME","LATE")</f>
        <v>LATE</v>
      </c>
      <c r="AJ633" s="14" t="s">
        <v>984</v>
      </c>
      <c r="AK633" s="14">
        <v>18</v>
      </c>
      <c r="AL633" s="915">
        <f>IF(WFTracker[[#This Row],[Type]]="MAKE", WFTracker[[#This Row],[Due date]]+Filters!$J$111, WFTracker[[#This Row],[Due date]]+Filters!$J$135)</f>
        <v>46019.072512647552</v>
      </c>
      <c r="AM633" s="102" cm="1">
        <f t="array" ref="AM6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4" spans="1:39" ht="15" customHeight="1">
      <c r="A634" t="str">
        <f>IF(WFTracker[[#This Row],[Order Number]]="SWBD", "QED2", "PZ4")</f>
        <v>PZ4</v>
      </c>
      <c r="B634" s="21" t="s">
        <v>714</v>
      </c>
      <c r="C634" s="26" t="s">
        <v>1463</v>
      </c>
      <c r="D634" s="11" t="str">
        <f>WFTracker[[#This Row],[Order Number]]  &amp; "-" &amp; WFTracker[[#This Row],[Item]]</f>
        <v>0050927776-000950</v>
      </c>
      <c r="E634" s="23" t="s">
        <v>716</v>
      </c>
      <c r="F634" s="12">
        <v>46014</v>
      </c>
      <c r="G634" s="12">
        <v>46009</v>
      </c>
      <c r="H634" s="11" t="s">
        <v>237</v>
      </c>
      <c r="I634" s="11" t="s">
        <v>264</v>
      </c>
      <c r="J634" s="55" t="s">
        <v>1540</v>
      </c>
      <c r="K634" s="14" t="s">
        <v>1017</v>
      </c>
      <c r="L634" s="15" t="s">
        <v>40</v>
      </c>
      <c r="M634" s="29" t="s">
        <v>1120</v>
      </c>
      <c r="N634" s="57">
        <v>46319</v>
      </c>
      <c r="O634" s="15">
        <f>NETWORKDAYS.INTL(WFTracker[[#This Row],[Start date]],WFTracker[[#This Row],[RM]],1,Holidays!D642:D657)</f>
        <v>4</v>
      </c>
      <c r="P634" s="12">
        <v>46009</v>
      </c>
      <c r="Q634" s="12">
        <v>46021</v>
      </c>
      <c r="R634" s="12">
        <v>46020</v>
      </c>
      <c r="S634" s="12" t="b">
        <f>ISBLANK(WFTracker[[#This Row],[Completion Date]])</f>
        <v>0</v>
      </c>
      <c r="T634" s="12" t="str">
        <f>TEXT(WFTracker[[#This Row],[Start date]],"mmm-yyyy")</f>
        <v>Dec-2025</v>
      </c>
      <c r="U634" s="11">
        <v>10</v>
      </c>
      <c r="V634" s="11">
        <f>NETWORKDAYS.INTL(WFTracker[[#This Row],[Start date]],WFTracker[[#This Row],[Due date]],1,Holidays!D642:D657)</f>
        <v>9</v>
      </c>
      <c r="W6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34" s="24">
        <f ca="1">WFTracker[[#This Row],[Active Time]]-WFTracker[[#This Row],[Completion Days Template]]</f>
        <v>-3</v>
      </c>
      <c r="Y634" s="16" t="str">
        <f ca="1" xml:space="preserve"> IF(WFTracker[[#This Row],[Overdue Time '[Expected-Completion']]]&gt;0, "LATE","ON TIME")</f>
        <v>ON TIME</v>
      </c>
      <c r="Z634" s="16" t="str">
        <f ca="1">IF(WFTracker[[#This Row],[Overdue Time '[Expected-Completion']]] &gt;= 15, "SUPER LATE", Y634)</f>
        <v>ON TIME</v>
      </c>
      <c r="AA634" s="37" t="str">
        <f>IF(WFTracker[[#This Row],[Pre RM Opening Time]]&lt;WFTracker[[#This Row],[Old vs New Order Lead Time WF dead line]], "LATE BY ENG", "ON TIME BY ENG")</f>
        <v>LATE BY ENG</v>
      </c>
      <c r="AB634" s="37"/>
      <c r="AC634" s="928" t="str" cm="1">
        <f t="array" ref="AC634">_xlfn.IFS(
    WFTracker[[#This Row],[Cancelation Cause]]&lt;&gt;"", "X",
    WFTracker[[#This Row],[Competion Date Content]] = FALSE, "C",
    TRUE, "I"
)</f>
        <v>X</v>
      </c>
      <c r="AD6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634" s="25" t="str">
        <f ca="1">IF(WFTracker[[#This Row],[Impact Time Post RM]]&gt;0, "IMPACTED", "NOT IMPACTED")</f>
        <v>IMPACTED</v>
      </c>
      <c r="AF634" s="15"/>
      <c r="AG634" s="18" t="s">
        <v>1541</v>
      </c>
      <c r="AH634" s="14" t="str">
        <f>IF(WFTracker[[#This Row],[Status]]="C", "Closed", IF(WFTracker[[#This Row],[Status]] = "x", "Cancelled", WFTracker[[#This Row],[Impact Time Post RM]]))</f>
        <v>Cancelled</v>
      </c>
      <c r="AI634" s="14" t="str">
        <f ca="1">IF(WFTracker[[#This Row],[Impact Time Post RM]]&lt;=0,"ON TIME","LATE")</f>
        <v>LATE</v>
      </c>
      <c r="AJ634" s="14" t="s">
        <v>984</v>
      </c>
      <c r="AK634" s="14">
        <v>12</v>
      </c>
      <c r="AL634" s="915">
        <f>IF(WFTracker[[#This Row],[Type]]="MAKE", WFTracker[[#This Row],[Due date]]+Filters!$J$111, WFTracker[[#This Row],[Due date]]+Filters!$J$135)</f>
        <v>46021.415686274508</v>
      </c>
      <c r="AM634" s="102" cm="1">
        <f t="array" ref="AM634">_xlfn.IFS(WFTracker[[#This Row],[Type]]="BUY", WFTracker[[#This Row],[Task Number]]/17,
     WFTracker[[#This Row],[Type]]="MAKE", WFTracker[[#This Row],[Task Number]]/18,
     WFTracker[[#This Row],[Type]]="CNG-BOM", WFTracker[[#This Row],[Task Number]]/11)</f>
        <v>0.70588235294117652</v>
      </c>
    </row>
    <row r="635" spans="1:39" ht="15" customHeight="1">
      <c r="A635" t="str">
        <f>IF(WFTracker[[#This Row],[Order Number]]="SWBD", "QED2", "PZ4")</f>
        <v>PZ4</v>
      </c>
      <c r="B635" s="121" t="s">
        <v>791</v>
      </c>
      <c r="C635" s="26" t="s">
        <v>135</v>
      </c>
      <c r="D635" s="11" t="str">
        <f>WFTracker[[#This Row],[Order Number]]  &amp; "-" &amp; WFTracker[[#This Row],[Item]]</f>
        <v>0051656319-000010</v>
      </c>
      <c r="E635" s="23" t="s">
        <v>792</v>
      </c>
      <c r="F635" s="12">
        <v>46052</v>
      </c>
      <c r="G635" s="12">
        <v>46045</v>
      </c>
      <c r="H635" s="11" t="s">
        <v>110</v>
      </c>
      <c r="I635" s="11"/>
      <c r="J635" s="55" t="s">
        <v>1542</v>
      </c>
      <c r="K635" s="14" t="s">
        <v>1023</v>
      </c>
      <c r="L635" s="15" t="s">
        <v>40</v>
      </c>
      <c r="M635" s="29" t="s">
        <v>1120</v>
      </c>
      <c r="N635" s="57">
        <v>46135</v>
      </c>
      <c r="O635" s="15">
        <f>NETWORKDAYS.INTL(WFTracker[[#This Row],[Start date]],WFTracker[[#This Row],[RM]],1,Holidays!D638:D653)</f>
        <v>32</v>
      </c>
      <c r="P635" s="12">
        <v>46009</v>
      </c>
      <c r="Q635" s="12">
        <v>46021</v>
      </c>
      <c r="R635" s="12">
        <v>46027</v>
      </c>
      <c r="S635" s="12" t="b">
        <f>ISBLANK(WFTracker[[#This Row],[Completion Date]])</f>
        <v>0</v>
      </c>
      <c r="T635" s="12" t="str">
        <f>TEXT(WFTracker[[#This Row],[Start date]],"mmm-yyyy")</f>
        <v>Dec-2025</v>
      </c>
      <c r="U635" s="11">
        <v>10</v>
      </c>
      <c r="V635" s="11">
        <f>NETWORKDAYS.INTL(WFTracker[[#This Row],[Start date]],WFTracker[[#This Row],[Due date]],1,Holidays!D638:D653)</f>
        <v>9</v>
      </c>
      <c r="W6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35" s="24">
        <f ca="1">WFTracker[[#This Row],[Active Time]]-WFTracker[[#This Row],[Completion Days Template]]</f>
        <v>1</v>
      </c>
      <c r="Y635" s="16" t="str">
        <f ca="1" xml:space="preserve"> IF(WFTracker[[#This Row],[Overdue Time '[Expected-Completion']]]&gt;0, "LATE","ON TIME")</f>
        <v>LATE</v>
      </c>
      <c r="Z635" s="16" t="str">
        <f ca="1">IF(WFTracker[[#This Row],[Overdue Time '[Expected-Completion']]] &gt;= 15, "SUPER LATE", Y635)</f>
        <v>LATE</v>
      </c>
      <c r="AA635" s="37" t="str">
        <f>IF(WFTracker[[#This Row],[Pre RM Opening Time]]&lt;WFTracker[[#This Row],[Old vs New Order Lead Time WF dead line]], "LATE BY ENG", "ON TIME BY ENG")</f>
        <v>ON TIME BY ENG</v>
      </c>
      <c r="AB635" s="37"/>
      <c r="AC635" s="928" t="str" cm="1">
        <f t="array" ref="AC635">_xlfn.IFS(
    WFTracker[[#This Row],[Cancelation Cause]]&lt;&gt;"", "X",
    WFTracker[[#This Row],[Competion Date Content]] = FALSE, "C",
    TRUE, "I"
)</f>
        <v>C</v>
      </c>
      <c r="AD6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635" s="25" t="str">
        <f ca="1">IF(WFTracker[[#This Row],[Impact Time Post RM]]&gt;0, "IMPACTED", "NOT IMPACTED")</f>
        <v>NOT IMPACTED</v>
      </c>
      <c r="AF635" s="15"/>
      <c r="AG635" s="18"/>
      <c r="AH635" s="14" t="str">
        <f>IF(WFTracker[[#This Row],[Status]]="C", "Closed", IF(WFTracker[[#This Row],[Status]] = "x", "Cancelled", WFTracker[[#This Row],[Impact Time Post RM]]))</f>
        <v>Closed</v>
      </c>
      <c r="AI635" s="14" t="str">
        <f ca="1">IF(WFTracker[[#This Row],[Impact Time Post RM]]&lt;=0,"ON TIME","LATE")</f>
        <v>ON TIME</v>
      </c>
      <c r="AJ635" s="14" t="s">
        <v>984</v>
      </c>
      <c r="AK635" s="14">
        <v>17</v>
      </c>
      <c r="AL635" s="915">
        <f>IF(WFTracker[[#This Row],[Type]]="MAKE", WFTracker[[#This Row],[Due date]]+Filters!$J$111, WFTracker[[#This Row],[Due date]]+Filters!$J$135)</f>
        <v>46021.415686274508</v>
      </c>
      <c r="AM635" s="102" cm="1">
        <f t="array" ref="AM6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6" spans="1:39" ht="15" customHeight="1">
      <c r="A636" t="str">
        <f>IF(WFTracker[[#This Row],[Order Number]]="SWBD", "QED2", "PZ4")</f>
        <v>PZ4</v>
      </c>
      <c r="B636" s="891" t="s">
        <v>1543</v>
      </c>
      <c r="C636" s="26" t="s">
        <v>135</v>
      </c>
      <c r="D636" s="11" t="str">
        <f>WFTracker[[#This Row],[Order Number]]  &amp; "-" &amp; WFTracker[[#This Row],[Item]]</f>
        <v xml:space="preserve">
0051656319-000010</v>
      </c>
      <c r="E636" s="23" t="s">
        <v>792</v>
      </c>
      <c r="F636" s="12">
        <v>46052</v>
      </c>
      <c r="G636" s="12">
        <v>46045</v>
      </c>
      <c r="H636" s="11" t="s">
        <v>110</v>
      </c>
      <c r="I636" s="11"/>
      <c r="J636" s="55" t="s">
        <v>1544</v>
      </c>
      <c r="K636" s="14" t="s">
        <v>1023</v>
      </c>
      <c r="L636" s="15" t="s">
        <v>40</v>
      </c>
      <c r="M636" s="29" t="s">
        <v>1120</v>
      </c>
      <c r="N636" s="57">
        <v>46135</v>
      </c>
      <c r="O636" s="15">
        <f>NETWORKDAYS.INTL(WFTracker[[#This Row],[Start date]],WFTracker[[#This Row],[RM]],1,Holidays!D637:D652)</f>
        <v>32</v>
      </c>
      <c r="P636" s="12">
        <v>46009</v>
      </c>
      <c r="Q636" s="12">
        <v>46021</v>
      </c>
      <c r="R636" s="12">
        <v>46036</v>
      </c>
      <c r="S636" s="12" t="b">
        <f>ISBLANK(WFTracker[[#This Row],[Completion Date]])</f>
        <v>0</v>
      </c>
      <c r="T636" s="12" t="str">
        <f>TEXT(WFTracker[[#This Row],[Start date]],"mmm-yyyy")</f>
        <v>Dec-2025</v>
      </c>
      <c r="U636" s="11">
        <v>10</v>
      </c>
      <c r="V636" s="11">
        <f>NETWORKDAYS.INTL(WFTracker[[#This Row],[Start date]],WFTracker[[#This Row],[Due date]],1,Holidays!D637:D652)</f>
        <v>9</v>
      </c>
      <c r="W6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636" s="24">
        <f ca="1">WFTracker[[#This Row],[Active Time]]-WFTracker[[#This Row],[Completion Days Template]]</f>
        <v>8</v>
      </c>
      <c r="Y636" s="16" t="str">
        <f ca="1" xml:space="preserve"> IF(WFTracker[[#This Row],[Overdue Time '[Expected-Completion']]]&gt;0, "LATE","ON TIME")</f>
        <v>LATE</v>
      </c>
      <c r="Z636" s="16" t="str">
        <f ca="1">IF(WFTracker[[#This Row],[Overdue Time '[Expected-Completion']]] &gt;= 15, "SUPER LATE", Y636)</f>
        <v>LATE</v>
      </c>
      <c r="AA636" s="37" t="str">
        <f>IF(WFTracker[[#This Row],[Pre RM Opening Time]]&lt;WFTracker[[#This Row],[Old vs New Order Lead Time WF dead line]], "LATE BY ENG", "ON TIME BY ENG")</f>
        <v>ON TIME BY ENG</v>
      </c>
      <c r="AB636" s="37"/>
      <c r="AC636" s="928" t="str" cm="1">
        <f t="array" ref="AC636">_xlfn.IFS(
    WFTracker[[#This Row],[Cancelation Cause]]&lt;&gt;"", "X",
    WFTracker[[#This Row],[Competion Date Content]] = FALSE, "C",
    TRUE, "I"
)</f>
        <v>C</v>
      </c>
      <c r="AD6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636" s="25" t="str">
        <f ca="1">IF(WFTracker[[#This Row],[Impact Time Post RM]]&gt;0, "IMPACTED", "NOT IMPACTED")</f>
        <v>NOT IMPACTED</v>
      </c>
      <c r="AF636" s="15"/>
      <c r="AG636" s="18"/>
      <c r="AH636" s="14" t="str">
        <f>IF(WFTracker[[#This Row],[Status]]="C", "Closed", IF(WFTracker[[#This Row],[Status]] = "x", "Cancelled", WFTracker[[#This Row],[Impact Time Post RM]]))</f>
        <v>Closed</v>
      </c>
      <c r="AI636" s="14" t="str">
        <f ca="1">IF(WFTracker[[#This Row],[Impact Time Post RM]]&lt;=0,"ON TIME","LATE")</f>
        <v>ON TIME</v>
      </c>
      <c r="AJ636" s="14" t="s">
        <v>984</v>
      </c>
      <c r="AK636" s="14">
        <v>17</v>
      </c>
      <c r="AL636" s="915">
        <f>IF(WFTracker[[#This Row],[Type]]="MAKE", WFTracker[[#This Row],[Due date]]+Filters!$J$111, WFTracker[[#This Row],[Due date]]+Filters!$J$135)</f>
        <v>46021.415686274508</v>
      </c>
      <c r="AM636" s="102" cm="1">
        <f t="array" ref="AM6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7" spans="1:39" ht="15" customHeight="1">
      <c r="A637" t="str">
        <f>IF(WFTracker[[#This Row],[Order Number]]="SWBD", "QED2", "PZ4")</f>
        <v>PZ4</v>
      </c>
      <c r="B637" s="919" t="s">
        <v>734</v>
      </c>
      <c r="C637" s="26" t="s">
        <v>135</v>
      </c>
      <c r="D637" s="11" t="str">
        <f>WFTracker[[#This Row],[Order Number]]  &amp; "-" &amp; WFTracker[[#This Row],[Item]]</f>
        <v>0051461793-000010</v>
      </c>
      <c r="E637" s="23" t="s">
        <v>735</v>
      </c>
      <c r="F637" s="12">
        <v>46036</v>
      </c>
      <c r="G637" s="12">
        <v>46031</v>
      </c>
      <c r="H637" s="11" t="s">
        <v>259</v>
      </c>
      <c r="I637" s="11" t="s">
        <v>238</v>
      </c>
      <c r="J637" s="55" t="s">
        <v>736</v>
      </c>
      <c r="K637" s="14" t="s">
        <v>1017</v>
      </c>
      <c r="L637" s="15" t="s">
        <v>27</v>
      </c>
      <c r="M637" s="29" t="s">
        <v>1120</v>
      </c>
      <c r="N637" s="57">
        <v>46098</v>
      </c>
      <c r="O637" s="15">
        <f>NETWORKDAYS.INTL(WFTracker[[#This Row],[Start date]],WFTracker[[#This Row],[RM]],1,Holidays!D643:D658)</f>
        <v>19</v>
      </c>
      <c r="P637" s="12">
        <v>46010</v>
      </c>
      <c r="Q637" s="12">
        <v>46017</v>
      </c>
      <c r="R637" s="12">
        <v>46027</v>
      </c>
      <c r="S637" s="12" t="b">
        <f>ISBLANK(WFTracker[[#This Row],[Completion Date]])</f>
        <v>0</v>
      </c>
      <c r="T637" s="12" t="str">
        <f>TEXT(WFTracker[[#This Row],[Start date]],"mmm-yyyy")</f>
        <v>Dec-2025</v>
      </c>
      <c r="U637" s="11">
        <v>10</v>
      </c>
      <c r="V637" s="11">
        <f>NETWORKDAYS.INTL(WFTracker[[#This Row],[Start date]],WFTracker[[#This Row],[Due date]],1,Holidays!D643:D658)</f>
        <v>6</v>
      </c>
      <c r="W6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37" s="24">
        <f ca="1">WFTracker[[#This Row],[Active Time]]-WFTracker[[#This Row],[Completion Days Template]]</f>
        <v>3</v>
      </c>
      <c r="Y637" s="16" t="str">
        <f ca="1" xml:space="preserve"> IF(WFTracker[[#This Row],[Overdue Time '[Expected-Completion']]]&gt;0, "LATE","ON TIME")</f>
        <v>LATE</v>
      </c>
      <c r="Z637" s="16" t="str">
        <f ca="1">IF(WFTracker[[#This Row],[Overdue Time '[Expected-Completion']]] &gt;= 15, "SUPER LATE", Y637)</f>
        <v>LATE</v>
      </c>
      <c r="AA637" s="37" t="str">
        <f>IF(WFTracker[[#This Row],[Pre RM Opening Time]]&lt;WFTracker[[#This Row],[Old vs New Order Lead Time WF dead line]], "LATE BY ENG", "ON TIME BY ENG")</f>
        <v>ON TIME BY ENG</v>
      </c>
      <c r="AB637" s="37"/>
      <c r="AC637" s="928" t="str" cm="1">
        <f t="array" ref="AC637">_xlfn.IFS(
    WFTracker[[#This Row],[Cancelation Cause]]&lt;&gt;"", "X",
    WFTracker[[#This Row],[Competion Date Content]] = FALSE, "C",
    TRUE, "I"
)</f>
        <v>C</v>
      </c>
      <c r="AD6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637" s="37" t="str">
        <f ca="1">IF(WFTracker[[#This Row],[Impact Time Post RM]]&gt;0, "IMPACTED", "NOT IMPACTED")</f>
        <v>NOT IMPACTED</v>
      </c>
      <c r="AF637" s="15"/>
      <c r="AG637" s="18"/>
      <c r="AH637" s="14" t="str">
        <f>IF(WFTracker[[#This Row],[Status]]="C", "Closed", IF(WFTracker[[#This Row],[Status]] = "x", "Cancelled", WFTracker[[#This Row],[Impact Time Post RM]]))</f>
        <v>Closed</v>
      </c>
      <c r="AI637" s="14" t="str">
        <f ca="1">IF(WFTracker[[#This Row],[Impact Time Post RM]]&lt;=0,"ON TIME","LATE")</f>
        <v>ON TIME</v>
      </c>
      <c r="AJ637" s="14" t="s">
        <v>984</v>
      </c>
      <c r="AK637" s="14">
        <v>18</v>
      </c>
      <c r="AL637" s="915">
        <f>IF(WFTracker[[#This Row],[Type]]="MAKE", WFTracker[[#This Row],[Due date]]+Filters!$J$111, WFTracker[[#This Row],[Due date]]+Filters!$J$135)</f>
        <v>46020.072512647552</v>
      </c>
      <c r="AM637" s="102" cm="1">
        <f t="array" ref="AM6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8" spans="1:39" ht="15" customHeight="1">
      <c r="A638" t="str">
        <f>IF(WFTracker[[#This Row],[Order Number]]="SWBD", "QED2", "PZ4")</f>
        <v>PZ4</v>
      </c>
      <c r="B638" s="21" t="s">
        <v>769</v>
      </c>
      <c r="C638" s="26" t="s">
        <v>135</v>
      </c>
      <c r="D638" s="11" t="str">
        <f>WFTracker[[#This Row],[Order Number]]  &amp; "-" &amp; WFTracker[[#This Row],[Item]]</f>
        <v>0051732952-000010</v>
      </c>
      <c r="E638" s="23" t="s">
        <v>770</v>
      </c>
      <c r="F638" s="12">
        <v>46014</v>
      </c>
      <c r="G638" s="929" t="s">
        <v>1545</v>
      </c>
      <c r="H638" s="11"/>
      <c r="I638" s="11" t="s">
        <v>216</v>
      </c>
      <c r="J638" s="55" t="s">
        <v>771</v>
      </c>
      <c r="K638" s="14" t="s">
        <v>1017</v>
      </c>
      <c r="L638" s="15" t="s">
        <v>27</v>
      </c>
      <c r="M638" s="29" t="s">
        <v>1120</v>
      </c>
      <c r="N638" s="57">
        <v>46134</v>
      </c>
      <c r="O638" s="15">
        <f>NETWORKDAYS.INTL(WFTracker[[#This Row],[Start date]],WFTracker[[#This Row],[RM]],1,Holidays!D651:D666)</f>
        <v>1</v>
      </c>
      <c r="P638" s="12">
        <v>46014</v>
      </c>
      <c r="Q638" s="12">
        <v>46022</v>
      </c>
      <c r="R638" s="12">
        <v>46034</v>
      </c>
      <c r="S638" s="12" t="b">
        <f>ISBLANK(WFTracker[[#This Row],[Completion Date]])</f>
        <v>0</v>
      </c>
      <c r="T638" s="12" t="str">
        <f>TEXT(WFTracker[[#This Row],[Start date]],"mmm-yyyy")</f>
        <v>Dec-2025</v>
      </c>
      <c r="U638" s="11">
        <v>10</v>
      </c>
      <c r="V638" s="11">
        <f>NETWORKDAYS.INTL(WFTracker[[#This Row],[Start date]],WFTracker[[#This Row],[Due date]],1,Holidays!D651:D666)</f>
        <v>7</v>
      </c>
      <c r="W6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638" s="24">
        <f ca="1">WFTracker[[#This Row],[Active Time]]-WFTracker[[#This Row],[Completion Days Template]]</f>
        <v>5</v>
      </c>
      <c r="Y638" s="16" t="str">
        <f ca="1" xml:space="preserve"> IF(WFTracker[[#This Row],[Overdue Time '[Expected-Completion']]]&gt;0, "LATE","ON TIME")</f>
        <v>LATE</v>
      </c>
      <c r="Z638" s="16" t="str">
        <f ca="1">IF(WFTracker[[#This Row],[Overdue Time '[Expected-Completion']]] &gt;= 15, "SUPER LATE", Y638)</f>
        <v>LATE</v>
      </c>
      <c r="AA638" s="37" t="str">
        <f>IF(WFTracker[[#This Row],[Pre RM Opening Time]]&lt;WFTracker[[#This Row],[Old vs New Order Lead Time WF dead line]], "LATE BY ENG", "ON TIME BY ENG")</f>
        <v>LATE BY ENG</v>
      </c>
      <c r="AB638" s="37"/>
      <c r="AC638" s="928" t="s">
        <v>29</v>
      </c>
      <c r="AD6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638" s="25" t="str">
        <f ca="1">IF(WFTracker[[#This Row],[Impact Time Post RM]]&gt;0, "IMPACTED", "NOT IMPACTED")</f>
        <v>IMPACTED</v>
      </c>
      <c r="AF638" s="15"/>
      <c r="AG638" s="18"/>
      <c r="AH638" s="14" t="str">
        <f>IF(WFTracker[[#This Row],[Status]]="C", "Closed", IF(WFTracker[[#This Row],[Status]] = "x", "Cancelled", WFTracker[[#This Row],[Impact Time Post RM]]))</f>
        <v>Closed</v>
      </c>
      <c r="AI638" s="14" t="str">
        <f ca="1">IF(WFTracker[[#This Row],[Impact Time Post RM]]&lt;=0,"ON TIME","LATE")</f>
        <v>LATE</v>
      </c>
      <c r="AJ638" s="14" t="s">
        <v>984</v>
      </c>
      <c r="AK638" s="14">
        <v>18</v>
      </c>
      <c r="AL638" s="915">
        <f>IF(WFTracker[[#This Row],[Type]]="MAKE", WFTracker[[#This Row],[Due date]]+Filters!$J$111, WFTracker[[#This Row],[Due date]]+Filters!$J$135)</f>
        <v>46025.072512647552</v>
      </c>
      <c r="AM638" s="102" cm="1">
        <f t="array" ref="AM63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39" spans="1:39" ht="15" customHeight="1">
      <c r="A639" t="str">
        <f>IF(WFTracker[[#This Row],[Order Number]]="SWBD", "QED2", "PZ4")</f>
        <v>PZ4</v>
      </c>
      <c r="B639" s="21" t="s">
        <v>737</v>
      </c>
      <c r="C639" s="26" t="s">
        <v>385</v>
      </c>
      <c r="D639" s="11" t="str">
        <f>WFTracker[[#This Row],[Order Number]]  &amp; "-" &amp; WFTracker[[#This Row],[Item]]</f>
        <v>0051106129-000310</v>
      </c>
      <c r="E639" s="23" t="s">
        <v>739</v>
      </c>
      <c r="F639" s="12">
        <v>46020</v>
      </c>
      <c r="G639" s="12">
        <v>46020</v>
      </c>
      <c r="H639" s="11" t="s">
        <v>110</v>
      </c>
      <c r="I639" s="11" t="s">
        <v>593</v>
      </c>
      <c r="J639" s="55" t="s">
        <v>751</v>
      </c>
      <c r="K639" s="14" t="s">
        <v>1017</v>
      </c>
      <c r="L639" s="15" t="s">
        <v>27</v>
      </c>
      <c r="M639" s="29" t="s">
        <v>1120</v>
      </c>
      <c r="N639" s="57">
        <v>46071</v>
      </c>
      <c r="O639" s="15">
        <f>NETWORKDAYS.INTL(WFTracker[[#This Row],[Start date]],WFTracker[[#This Row],[RM]],1,Holidays!D646:D661)</f>
        <v>5</v>
      </c>
      <c r="P639" s="12">
        <v>46014</v>
      </c>
      <c r="Q639" s="12">
        <v>46021</v>
      </c>
      <c r="R639" s="12">
        <v>46020</v>
      </c>
      <c r="S639" s="12" t="b">
        <f>ISBLANK(WFTracker[[#This Row],[Completion Date]])</f>
        <v>0</v>
      </c>
      <c r="T639" s="12" t="str">
        <f>TEXT(WFTracker[[#This Row],[Start date]],"mmm-yyyy")</f>
        <v>Dec-2025</v>
      </c>
      <c r="U639" s="11">
        <v>10</v>
      </c>
      <c r="V639" s="11">
        <f>NETWORKDAYS.INTL(WFTracker[[#This Row],[Start date]],WFTracker[[#This Row],[Due date]],1,Holidays!D646:D661)</f>
        <v>6</v>
      </c>
      <c r="W6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39" s="24">
        <f ca="1">WFTracker[[#This Row],[Active Time]]-WFTracker[[#This Row],[Completion Days Template]]</f>
        <v>-3</v>
      </c>
      <c r="Y639" s="16" t="str">
        <f ca="1" xml:space="preserve"> IF(WFTracker[[#This Row],[Overdue Time '[Expected-Completion']]]&gt;0, "LATE","ON TIME")</f>
        <v>ON TIME</v>
      </c>
      <c r="Z639" s="16" t="str">
        <f ca="1">IF(WFTracker[[#This Row],[Overdue Time '[Expected-Completion']]] &gt;= 15, "SUPER LATE", Y639)</f>
        <v>ON TIME</v>
      </c>
      <c r="AA639" s="37" t="str">
        <f>IF(WFTracker[[#This Row],[Pre RM Opening Time]]&lt;WFTracker[[#This Row],[Old vs New Order Lead Time WF dead line]], "LATE BY ENG", "ON TIME BY ENG")</f>
        <v>LATE BY ENG</v>
      </c>
      <c r="AB639" s="37"/>
      <c r="AC639" s="15" t="s">
        <v>29</v>
      </c>
      <c r="AD6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639" s="25" t="str">
        <f ca="1">IF(WFTracker[[#This Row],[Impact Time Post RM]]&gt;0, "IMPACTED", "NOT IMPACTED")</f>
        <v>IMPACTED</v>
      </c>
      <c r="AF639" s="15"/>
      <c r="AG639" s="18"/>
      <c r="AH639" s="14" t="str">
        <f>IF(WFTracker[[#This Row],[Status]]="C", "Closed", IF(WFTracker[[#This Row],[Status]] = "x", "Cancelled", WFTracker[[#This Row],[Impact Time Post RM]]))</f>
        <v>Closed</v>
      </c>
      <c r="AI639" s="14" t="str">
        <f ca="1">IF(WFTracker[[#This Row],[Impact Time Post RM]]&lt;=0,"ON TIME","LATE")</f>
        <v>LATE</v>
      </c>
      <c r="AJ639" s="14" t="s">
        <v>984</v>
      </c>
      <c r="AK639" s="14">
        <v>18</v>
      </c>
      <c r="AL639" s="915">
        <f>IF(WFTracker[[#This Row],[Type]]="MAKE", WFTracker[[#This Row],[Due date]]+Filters!$J$111, WFTracker[[#This Row],[Due date]]+Filters!$J$135)</f>
        <v>46024.072512647552</v>
      </c>
      <c r="AM639" s="102" cm="1">
        <f t="array" ref="AM6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0" spans="1:39" ht="15" customHeight="1">
      <c r="A640" t="str">
        <f>IF(WFTracker[[#This Row],[Order Number]]="SWBD", "QED2", "PZ4")</f>
        <v>PZ4</v>
      </c>
      <c r="B640" s="21" t="s">
        <v>737</v>
      </c>
      <c r="C640" s="26" t="s">
        <v>752</v>
      </c>
      <c r="D640" s="11" t="str">
        <f>WFTracker[[#This Row],[Order Number]]  &amp; "-" &amp; WFTracker[[#This Row],[Item]]</f>
        <v>0051106129-000510</v>
      </c>
      <c r="E640" s="23" t="s">
        <v>739</v>
      </c>
      <c r="F640" s="12">
        <v>46020</v>
      </c>
      <c r="G640" s="12">
        <v>46020</v>
      </c>
      <c r="H640" s="11" t="s">
        <v>110</v>
      </c>
      <c r="I640" s="11" t="s">
        <v>1132</v>
      </c>
      <c r="J640" s="55" t="s">
        <v>1546</v>
      </c>
      <c r="K640" s="14" t="s">
        <v>1023</v>
      </c>
      <c r="L640" s="15" t="s">
        <v>27</v>
      </c>
      <c r="M640" s="29" t="s">
        <v>1120</v>
      </c>
      <c r="N640" s="57">
        <v>46071</v>
      </c>
      <c r="O640" s="15">
        <f>NETWORKDAYS.INTL(WFTracker[[#This Row],[Start date]],WFTracker[[#This Row],[RM]],1,Holidays!D645:D660)</f>
        <v>5</v>
      </c>
      <c r="P640" s="12">
        <v>46014</v>
      </c>
      <c r="Q640" s="12">
        <v>46021</v>
      </c>
      <c r="R640" s="12">
        <v>46031</v>
      </c>
      <c r="S640" s="12" t="b">
        <f>ISBLANK(WFTracker[[#This Row],[Completion Date]])</f>
        <v>0</v>
      </c>
      <c r="T640" s="12" t="str">
        <f>TEXT(WFTracker[[#This Row],[Start date]],"mmm-yyyy")</f>
        <v>Dec-2025</v>
      </c>
      <c r="U640" s="11">
        <v>10</v>
      </c>
      <c r="V640" s="11">
        <f>NETWORKDAYS.INTL(WFTracker[[#This Row],[Start date]],WFTracker[[#This Row],[Due date]],1,Holidays!D645:D660)</f>
        <v>6</v>
      </c>
      <c r="W6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40" s="24">
        <f ca="1">WFTracker[[#This Row],[Active Time]]-WFTracker[[#This Row],[Completion Days Template]]</f>
        <v>5</v>
      </c>
      <c r="Y640" s="16" t="str">
        <f ca="1" xml:space="preserve"> IF(WFTracker[[#This Row],[Overdue Time '[Expected-Completion']]]&gt;0, "LATE","ON TIME")</f>
        <v>LATE</v>
      </c>
      <c r="Z640" s="16" t="str">
        <f ca="1">IF(WFTracker[[#This Row],[Overdue Time '[Expected-Completion']]] &gt;= 15, "SUPER LATE", Y640)</f>
        <v>LATE</v>
      </c>
      <c r="AA640" s="37" t="str">
        <f>IF(WFTracker[[#This Row],[Pre RM Opening Time]]&lt;WFTracker[[#This Row],[Old vs New Order Lead Time WF dead line]], "LATE BY ENG", "ON TIME BY ENG")</f>
        <v>LATE BY ENG</v>
      </c>
      <c r="AB640" s="37"/>
      <c r="AC640" s="928" t="str" cm="1">
        <f t="array" ref="AC640">_xlfn.IFS(
    WFTracker[[#This Row],[Cancelation Cause]]&lt;&gt;"", "X",
    WFTracker[[#This Row],[Competion Date Content]] = FALSE, "C",
    TRUE, "I"
)</f>
        <v>C</v>
      </c>
      <c r="AD6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640" s="25" t="str">
        <f ca="1">IF(WFTracker[[#This Row],[Impact Time Post RM]]&gt;0, "IMPACTED", "NOT IMPACTED")</f>
        <v>IMPACTED</v>
      </c>
      <c r="AF640" s="15"/>
      <c r="AG640" s="18"/>
      <c r="AH640" s="14" t="str">
        <f>IF(WFTracker[[#This Row],[Status]]="C", "Closed", IF(WFTracker[[#This Row],[Status]] = "x", "Cancelled", WFTracker[[#This Row],[Impact Time Post RM]]))</f>
        <v>Closed</v>
      </c>
      <c r="AI640" s="14" t="str">
        <f ca="1">IF(WFTracker[[#This Row],[Impact Time Post RM]]&lt;=0,"ON TIME","LATE")</f>
        <v>LATE</v>
      </c>
      <c r="AJ640" s="14" t="s">
        <v>984</v>
      </c>
      <c r="AK640" s="14">
        <v>18</v>
      </c>
      <c r="AL640" s="915">
        <f>IF(WFTracker[[#This Row],[Type]]="MAKE", WFTracker[[#This Row],[Due date]]+Filters!$J$111, WFTracker[[#This Row],[Due date]]+Filters!$J$135)</f>
        <v>46024.072512647552</v>
      </c>
      <c r="AM640" s="102" cm="1">
        <f t="array" ref="AM6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1" spans="1:39" ht="15" customHeight="1">
      <c r="A641" t="str">
        <f>IF(WFTracker[[#This Row],[Order Number]]="SWBD", "QED2", "PZ4")</f>
        <v>PZ4</v>
      </c>
      <c r="B641" s="21" t="s">
        <v>737</v>
      </c>
      <c r="C641" s="26" t="s">
        <v>752</v>
      </c>
      <c r="D641" s="11" t="str">
        <f>WFTracker[[#This Row],[Order Number]]  &amp; "-" &amp; WFTracker[[#This Row],[Item]]</f>
        <v>0051106129-000510</v>
      </c>
      <c r="E641" s="23" t="s">
        <v>739</v>
      </c>
      <c r="F641" s="12">
        <v>46020</v>
      </c>
      <c r="G641" s="12">
        <v>46020</v>
      </c>
      <c r="H641" s="11" t="s">
        <v>110</v>
      </c>
      <c r="I641" s="11" t="s">
        <v>1132</v>
      </c>
      <c r="J641" s="55" t="s">
        <v>753</v>
      </c>
      <c r="K641" s="14" t="s">
        <v>1023</v>
      </c>
      <c r="L641" s="15" t="s">
        <v>27</v>
      </c>
      <c r="M641" s="29" t="s">
        <v>1120</v>
      </c>
      <c r="N641" s="57">
        <v>46071</v>
      </c>
      <c r="O641" s="15">
        <f>NETWORKDAYS.INTL(WFTracker[[#This Row],[Start date]],WFTracker[[#This Row],[RM]],1,Holidays!D647:D662)</f>
        <v>5</v>
      </c>
      <c r="P641" s="12">
        <v>46014</v>
      </c>
      <c r="Q641" s="12">
        <v>46021</v>
      </c>
      <c r="R641" s="12">
        <v>46031</v>
      </c>
      <c r="S641" s="12" t="b">
        <f>ISBLANK(WFTracker[[#This Row],[Completion Date]])</f>
        <v>0</v>
      </c>
      <c r="T641" s="12" t="str">
        <f>TEXT(WFTracker[[#This Row],[Start date]],"mmm-yyyy")</f>
        <v>Dec-2025</v>
      </c>
      <c r="U641" s="11">
        <v>10</v>
      </c>
      <c r="V641" s="11">
        <f>NETWORKDAYS.INTL(WFTracker[[#This Row],[Start date]],WFTracker[[#This Row],[Due date]],1,Holidays!D647:D662)</f>
        <v>6</v>
      </c>
      <c r="W6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41" s="24">
        <f ca="1">WFTracker[[#This Row],[Active Time]]-WFTracker[[#This Row],[Completion Days Template]]</f>
        <v>5</v>
      </c>
      <c r="Y641" s="16" t="str">
        <f ca="1" xml:space="preserve"> IF(WFTracker[[#This Row],[Overdue Time '[Expected-Completion']]]&gt;0, "LATE","ON TIME")</f>
        <v>LATE</v>
      </c>
      <c r="Z641" s="16" t="str">
        <f ca="1">IF(WFTracker[[#This Row],[Overdue Time '[Expected-Completion']]] &gt;= 15, "SUPER LATE", Y641)</f>
        <v>LATE</v>
      </c>
      <c r="AA641" s="37" t="str">
        <f>IF(WFTracker[[#This Row],[Pre RM Opening Time]]&lt;WFTracker[[#This Row],[Old vs New Order Lead Time WF dead line]], "LATE BY ENG", "ON TIME BY ENG")</f>
        <v>LATE BY ENG</v>
      </c>
      <c r="AB641" s="37"/>
      <c r="AC641" s="928" t="str" cm="1">
        <f t="array" ref="AC641">_xlfn.IFS(
    WFTracker[[#This Row],[Cancelation Cause]]&lt;&gt;"", "X",
    WFTracker[[#This Row],[Competion Date Content]] = FALSE, "C",
    TRUE, "I"
)</f>
        <v>C</v>
      </c>
      <c r="AD6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641" s="25" t="str">
        <f ca="1">IF(WFTracker[[#This Row],[Impact Time Post RM]]&gt;0, "IMPACTED", "NOT IMPACTED")</f>
        <v>IMPACTED</v>
      </c>
      <c r="AF641" s="15"/>
      <c r="AG641" s="18"/>
      <c r="AH641" s="14" t="str">
        <f>IF(WFTracker[[#This Row],[Status]]="C", "Closed", IF(WFTracker[[#This Row],[Status]] = "x", "Cancelled", WFTracker[[#This Row],[Impact Time Post RM]]))</f>
        <v>Closed</v>
      </c>
      <c r="AI641" s="14" t="str">
        <f ca="1">IF(WFTracker[[#This Row],[Impact Time Post RM]]&lt;=0,"ON TIME","LATE")</f>
        <v>LATE</v>
      </c>
      <c r="AJ641" s="14" t="s">
        <v>984</v>
      </c>
      <c r="AK641" s="14">
        <v>18</v>
      </c>
      <c r="AL641" s="915">
        <f>IF(WFTracker[[#This Row],[Type]]="MAKE", WFTracker[[#This Row],[Due date]]+Filters!$J$111, WFTracker[[#This Row],[Due date]]+Filters!$J$135)</f>
        <v>46024.072512647552</v>
      </c>
      <c r="AM641" s="102" cm="1">
        <f t="array" ref="AM6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2" spans="1:39" ht="15" customHeight="1">
      <c r="A642" t="str">
        <f>IF(WFTracker[[#This Row],[Order Number]]="SWBD", "QED2", "PZ4")</f>
        <v>PZ4</v>
      </c>
      <c r="B642" s="21" t="s">
        <v>737</v>
      </c>
      <c r="C642" s="26" t="s">
        <v>752</v>
      </c>
      <c r="D642" s="11" t="str">
        <f>WFTracker[[#This Row],[Order Number]]  &amp; "-" &amp; WFTracker[[#This Row],[Item]]</f>
        <v>0051106129-000510</v>
      </c>
      <c r="E642" s="23" t="s">
        <v>739</v>
      </c>
      <c r="F642" s="12">
        <v>46020</v>
      </c>
      <c r="G642" s="12">
        <v>46020</v>
      </c>
      <c r="H642" s="11" t="s">
        <v>110</v>
      </c>
      <c r="I642" s="11" t="s">
        <v>1132</v>
      </c>
      <c r="J642" s="55" t="s">
        <v>1547</v>
      </c>
      <c r="K642" s="14" t="s">
        <v>1017</v>
      </c>
      <c r="L642" s="15" t="s">
        <v>27</v>
      </c>
      <c r="M642" s="29" t="s">
        <v>1120</v>
      </c>
      <c r="N642" s="57">
        <v>46071</v>
      </c>
      <c r="O642" s="15">
        <f>NETWORKDAYS.INTL(WFTracker[[#This Row],[Start date]],WFTracker[[#This Row],[RM]],1,Holidays!D648:D663)</f>
        <v>5</v>
      </c>
      <c r="P642" s="12">
        <v>46014</v>
      </c>
      <c r="Q642" s="12">
        <v>46021</v>
      </c>
      <c r="R642" s="12">
        <v>46031</v>
      </c>
      <c r="S642" s="12" t="b">
        <f>ISBLANK(WFTracker[[#This Row],[Completion Date]])</f>
        <v>0</v>
      </c>
      <c r="T642" s="12" t="str">
        <f>TEXT(WFTracker[[#This Row],[Start date]],"mmm-yyyy")</f>
        <v>Dec-2025</v>
      </c>
      <c r="U642" s="11">
        <v>10</v>
      </c>
      <c r="V642" s="11">
        <f>NETWORKDAYS.INTL(WFTracker[[#This Row],[Start date]],WFTracker[[#This Row],[Due date]],1,Holidays!D648:D663)</f>
        <v>6</v>
      </c>
      <c r="W6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42" s="24">
        <f ca="1">WFTracker[[#This Row],[Active Time]]-WFTracker[[#This Row],[Completion Days Template]]</f>
        <v>5</v>
      </c>
      <c r="Y642" s="16" t="str">
        <f ca="1" xml:space="preserve"> IF(WFTracker[[#This Row],[Overdue Time '[Expected-Completion']]]&gt;0, "LATE","ON TIME")</f>
        <v>LATE</v>
      </c>
      <c r="Z642" s="16" t="str">
        <f ca="1">IF(WFTracker[[#This Row],[Overdue Time '[Expected-Completion']]] &gt;= 15, "SUPER LATE", Y642)</f>
        <v>LATE</v>
      </c>
      <c r="AA642" s="37" t="str">
        <f>IF(WFTracker[[#This Row],[Pre RM Opening Time]]&lt;WFTracker[[#This Row],[Old vs New Order Lead Time WF dead line]], "LATE BY ENG", "ON TIME BY ENG")</f>
        <v>LATE BY ENG</v>
      </c>
      <c r="AB642" s="37"/>
      <c r="AC642" s="928" t="str" cm="1">
        <f t="array" ref="AC642">_xlfn.IFS(
    WFTracker[[#This Row],[Cancelation Cause]]&lt;&gt;"", "X",
    WFTracker[[#This Row],[Competion Date Content]] = FALSE, "C",
    TRUE, "I"
)</f>
        <v>C</v>
      </c>
      <c r="AD6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642" s="25" t="str">
        <f ca="1">IF(WFTracker[[#This Row],[Impact Time Post RM]]&gt;0, "IMPACTED", "NOT IMPACTED")</f>
        <v>IMPACTED</v>
      </c>
      <c r="AF642" s="15"/>
      <c r="AG642" s="18"/>
      <c r="AH642" s="14" t="str">
        <f>IF(WFTracker[[#This Row],[Status]]="C", "Closed", IF(WFTracker[[#This Row],[Status]] = "x", "Cancelled", WFTracker[[#This Row],[Impact Time Post RM]]))</f>
        <v>Closed</v>
      </c>
      <c r="AI642" s="14" t="str">
        <f ca="1">IF(WFTracker[[#This Row],[Impact Time Post RM]]&lt;=0,"ON TIME","LATE")</f>
        <v>LATE</v>
      </c>
      <c r="AJ642" s="14" t="s">
        <v>984</v>
      </c>
      <c r="AK642" s="14">
        <v>18</v>
      </c>
      <c r="AL642" s="915">
        <f>IF(WFTracker[[#This Row],[Type]]="MAKE", WFTracker[[#This Row],[Due date]]+Filters!$J$111, WFTracker[[#This Row],[Due date]]+Filters!$J$135)</f>
        <v>46024.072512647552</v>
      </c>
      <c r="AM642" s="102" cm="1">
        <f t="array" ref="AM64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3" spans="1:39" ht="15" customHeight="1">
      <c r="A643" t="str">
        <f>IF(WFTracker[[#This Row],[Order Number]]="SWBD", "QED2", "PZ4")</f>
        <v>PZ4</v>
      </c>
      <c r="B643" s="21" t="s">
        <v>737</v>
      </c>
      <c r="C643" s="26" t="s">
        <v>385</v>
      </c>
      <c r="D643" s="11" t="str">
        <f>WFTracker[[#This Row],[Order Number]]  &amp; "-" &amp; WFTracker[[#This Row],[Item]]</f>
        <v>0051106129-000310</v>
      </c>
      <c r="E643" s="23" t="s">
        <v>739</v>
      </c>
      <c r="F643" s="12">
        <v>46020</v>
      </c>
      <c r="G643" s="12">
        <v>46020</v>
      </c>
      <c r="H643" s="11" t="s">
        <v>110</v>
      </c>
      <c r="I643" s="11" t="s">
        <v>111</v>
      </c>
      <c r="J643" s="55" t="s">
        <v>750</v>
      </c>
      <c r="K643" s="14" t="s">
        <v>1017</v>
      </c>
      <c r="L643" s="15" t="s">
        <v>40</v>
      </c>
      <c r="M643" s="29" t="s">
        <v>1120</v>
      </c>
      <c r="N643" s="57">
        <v>46071</v>
      </c>
      <c r="O643" s="15">
        <f>NETWORKDAYS.INTL(WFTracker[[#This Row],[Start date]],WFTracker[[#This Row],[RM]],1,Holidays!D650:D665)</f>
        <v>5</v>
      </c>
      <c r="P643" s="12">
        <v>46014</v>
      </c>
      <c r="Q643" s="12">
        <v>46024</v>
      </c>
      <c r="R643" s="12">
        <v>46035</v>
      </c>
      <c r="S643" s="12" t="b">
        <f>ISBLANK(WFTracker[[#This Row],[Completion Date]])</f>
        <v>0</v>
      </c>
      <c r="T643" s="12" t="str">
        <f>TEXT(WFTracker[[#This Row],[Start date]],"mmm-yyyy")</f>
        <v>Dec-2025</v>
      </c>
      <c r="U643" s="11">
        <v>10</v>
      </c>
      <c r="V643" s="11">
        <f>NETWORKDAYS.INTL(WFTracker[[#This Row],[Start date]],WFTracker[[#This Row],[Due date]],1,Holidays!D650:D665)</f>
        <v>9</v>
      </c>
      <c r="W6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43" s="24">
        <f ca="1">WFTracker[[#This Row],[Active Time]]-WFTracker[[#This Row],[Completion Days Template]]</f>
        <v>4</v>
      </c>
      <c r="Y643" s="16" t="str">
        <f ca="1" xml:space="preserve"> IF(WFTracker[[#This Row],[Overdue Time '[Expected-Completion']]]&gt;0, "LATE","ON TIME")</f>
        <v>LATE</v>
      </c>
      <c r="Z643" s="16" t="str">
        <f ca="1">IF(WFTracker[[#This Row],[Overdue Time '[Expected-Completion']]] &gt;= 15, "SUPER LATE", Y643)</f>
        <v>LATE</v>
      </c>
      <c r="AA643" s="37" t="str">
        <f>IF(WFTracker[[#This Row],[Pre RM Opening Time]]&lt;WFTracker[[#This Row],[Old vs New Order Lead Time WF dead line]], "LATE BY ENG", "ON TIME BY ENG")</f>
        <v>LATE BY ENG</v>
      </c>
      <c r="AB643" s="37"/>
      <c r="AC643" s="928" t="str" cm="1">
        <f t="array" ref="AC643">_xlfn.IFS(
    WFTracker[[#This Row],[Cancelation Cause]]&lt;&gt;"", "X",
    WFTracker[[#This Row],[Competion Date Content]] = FALSE, "C",
    TRUE, "I"
)</f>
        <v>C</v>
      </c>
      <c r="AD6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43" s="25" t="str">
        <f ca="1">IF(WFTracker[[#This Row],[Impact Time Post RM]]&gt;0, "IMPACTED", "NOT IMPACTED")</f>
        <v>IMPACTED</v>
      </c>
      <c r="AF643" s="15"/>
      <c r="AG643" s="18"/>
      <c r="AH643" s="14" t="str">
        <f>IF(WFTracker[[#This Row],[Status]]="C", "Closed", IF(WFTracker[[#This Row],[Status]] = "x", "Cancelled", WFTracker[[#This Row],[Impact Time Post RM]]))</f>
        <v>Closed</v>
      </c>
      <c r="AI643" s="14" t="str">
        <f ca="1">IF(WFTracker[[#This Row],[Impact Time Post RM]]&lt;=0,"ON TIME","LATE")</f>
        <v>LATE</v>
      </c>
      <c r="AJ643" s="14" t="s">
        <v>984</v>
      </c>
      <c r="AK643" s="14">
        <v>17</v>
      </c>
      <c r="AL643" s="915">
        <f>IF(WFTracker[[#This Row],[Type]]="MAKE", WFTracker[[#This Row],[Due date]]+Filters!$J$111, WFTracker[[#This Row],[Due date]]+Filters!$J$135)</f>
        <v>46024.415686274508</v>
      </c>
      <c r="AM643" s="102" cm="1">
        <f t="array" ref="AM6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4" spans="1:39" ht="15" customHeight="1">
      <c r="A644" t="str">
        <f>IF(WFTracker[[#This Row],[Order Number]]="SWBD", "QED2", "PZ4")</f>
        <v>PZ4</v>
      </c>
      <c r="B644" s="21" t="s">
        <v>773</v>
      </c>
      <c r="C644" s="26" t="s">
        <v>774</v>
      </c>
      <c r="D644" s="11" t="str">
        <f>WFTracker[[#This Row],[Order Number]]  &amp; "-" &amp; WFTracker[[#This Row],[Item]]</f>
        <v>0051218461-001970</v>
      </c>
      <c r="E644" s="23" t="s">
        <v>775</v>
      </c>
      <c r="F644" s="12">
        <v>46050</v>
      </c>
      <c r="G644" s="12">
        <v>46012</v>
      </c>
      <c r="H644" s="11" t="s">
        <v>252</v>
      </c>
      <c r="I644" s="11" t="s">
        <v>24</v>
      </c>
      <c r="J644" s="55" t="s">
        <v>1548</v>
      </c>
      <c r="K644" s="14" t="s">
        <v>1023</v>
      </c>
      <c r="L644" s="15" t="s">
        <v>27</v>
      </c>
      <c r="M644" s="29" t="s">
        <v>1120</v>
      </c>
      <c r="N644" s="57">
        <v>46142</v>
      </c>
      <c r="O644" s="15">
        <f>NETWORKDAYS.INTL(WFTracker[[#This Row],[Start date]],WFTracker[[#This Row],[RM]],1,Holidays!D649:D664)</f>
        <v>26</v>
      </c>
      <c r="P644" s="12">
        <v>46015</v>
      </c>
      <c r="Q644" s="12">
        <v>46022</v>
      </c>
      <c r="R644" s="12">
        <v>46034</v>
      </c>
      <c r="S644" s="12" t="b">
        <f>ISBLANK(WFTracker[[#This Row],[Completion Date]])</f>
        <v>0</v>
      </c>
      <c r="T644" s="12" t="str">
        <f>TEXT(WFTracker[[#This Row],[Start date]],"mmm-yyyy")</f>
        <v>Dec-2025</v>
      </c>
      <c r="U644" s="11">
        <v>10</v>
      </c>
      <c r="V644" s="11">
        <f>NETWORKDAYS.INTL(WFTracker[[#This Row],[Start date]],WFTracker[[#This Row],[Due date]],1,Holidays!D649:D664)</f>
        <v>6</v>
      </c>
      <c r="W6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44" s="24">
        <f ca="1">WFTracker[[#This Row],[Active Time]]-WFTracker[[#This Row],[Completion Days Template]]</f>
        <v>5</v>
      </c>
      <c r="Y644" s="16" t="str">
        <f ca="1" xml:space="preserve"> IF(WFTracker[[#This Row],[Overdue Time '[Expected-Completion']]]&gt;0, "LATE","ON TIME")</f>
        <v>LATE</v>
      </c>
      <c r="Z644" s="16" t="str">
        <f ca="1">IF(WFTracker[[#This Row],[Overdue Time '[Expected-Completion']]] &gt;= 15, "SUPER LATE", Y644)</f>
        <v>LATE</v>
      </c>
      <c r="AA644" s="37" t="str">
        <f>IF(WFTracker[[#This Row],[Pre RM Opening Time]]&lt;WFTracker[[#This Row],[Old vs New Order Lead Time WF dead line]], "LATE BY ENG", "ON TIME BY ENG")</f>
        <v>ON TIME BY ENG</v>
      </c>
      <c r="AB644" s="37"/>
      <c r="AC644" s="928" t="str" cm="1">
        <f t="array" ref="AC644">_xlfn.IFS(
    WFTracker[[#This Row],[Cancelation Cause]]&lt;&gt;"", "X",
    WFTracker[[#This Row],[Competion Date Content]] = FALSE, "C",
    TRUE, "I"
)</f>
        <v>C</v>
      </c>
      <c r="AD6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644" s="25" t="str">
        <f ca="1">IF(WFTracker[[#This Row],[Impact Time Post RM]]&gt;0, "IMPACTED", "NOT IMPACTED")</f>
        <v>NOT IMPACTED</v>
      </c>
      <c r="AF644" s="15"/>
      <c r="AG644" s="18"/>
      <c r="AH644" s="14" t="str">
        <f>IF(WFTracker[[#This Row],[Status]]="C", "Closed", IF(WFTracker[[#This Row],[Status]] = "x", "Cancelled", WFTracker[[#This Row],[Impact Time Post RM]]))</f>
        <v>Closed</v>
      </c>
      <c r="AI644" s="14" t="str">
        <f ca="1">IF(WFTracker[[#This Row],[Impact Time Post RM]]&lt;=0,"ON TIME","LATE")</f>
        <v>ON TIME</v>
      </c>
      <c r="AJ644" s="14" t="s">
        <v>984</v>
      </c>
      <c r="AK644" s="14">
        <v>18</v>
      </c>
      <c r="AL644" s="915">
        <f>IF(WFTracker[[#This Row],[Type]]="MAKE", WFTracker[[#This Row],[Due date]]+Filters!$J$111, WFTracker[[#This Row],[Due date]]+Filters!$J$135)</f>
        <v>46025.072512647552</v>
      </c>
      <c r="AM644" s="102" cm="1">
        <f t="array" ref="AM6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5" spans="1:39" ht="15" customHeight="1">
      <c r="A645" t="str">
        <f>IF(WFTracker[[#This Row],[Order Number]]="SWBD", "QED2", "PZ4")</f>
        <v>PZ4</v>
      </c>
      <c r="B645" s="21" t="s">
        <v>754</v>
      </c>
      <c r="C645" s="26" t="s">
        <v>765</v>
      </c>
      <c r="D645" s="11" t="str">
        <f>WFTracker[[#This Row],[Order Number]]  &amp; "-" &amp; WFTracker[[#This Row],[Item]]</f>
        <v>0050829646-001060</v>
      </c>
      <c r="E645" s="23" t="s">
        <v>756</v>
      </c>
      <c r="F645" s="12">
        <v>46052</v>
      </c>
      <c r="G645" s="12">
        <v>46044</v>
      </c>
      <c r="H645" s="11" t="s">
        <v>295</v>
      </c>
      <c r="I645" s="11" t="s">
        <v>264</v>
      </c>
      <c r="J645" s="55" t="s">
        <v>764</v>
      </c>
      <c r="K645" s="14" t="s">
        <v>1017</v>
      </c>
      <c r="L645" s="15" t="s">
        <v>27</v>
      </c>
      <c r="M645" s="29" t="s">
        <v>1120</v>
      </c>
      <c r="N645" s="57">
        <v>46132</v>
      </c>
      <c r="O645" s="15">
        <f>NETWORKDAYS.INTL(WFTracker[[#This Row],[Start date]],WFTracker[[#This Row],[RM]],1,Holidays!D655:D670)</f>
        <v>26</v>
      </c>
      <c r="P645" s="12">
        <v>46017</v>
      </c>
      <c r="Q645" s="12">
        <v>46025</v>
      </c>
      <c r="R645" s="12">
        <v>46037</v>
      </c>
      <c r="S645" s="12" t="b">
        <f>ISBLANK(WFTracker[[#This Row],[Completion Date]])</f>
        <v>0</v>
      </c>
      <c r="T645" s="12" t="str">
        <f>TEXT(WFTracker[[#This Row],[Start date]],"mmm-yyyy")</f>
        <v>Dec-2025</v>
      </c>
      <c r="U645" s="11">
        <v>10</v>
      </c>
      <c r="V645" s="11">
        <f>NETWORKDAYS.INTL(WFTracker[[#This Row],[Start date]],WFTracker[[#This Row],[Due date]],1,Holidays!D655:D670)</f>
        <v>6</v>
      </c>
      <c r="W6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645" s="24">
        <f ca="1">WFTracker[[#This Row],[Active Time]]-WFTracker[[#This Row],[Completion Days Template]]</f>
        <v>8</v>
      </c>
      <c r="Y645" s="16" t="str">
        <f ca="1" xml:space="preserve"> IF(WFTracker[[#This Row],[Overdue Time '[Expected-Completion']]]&gt;0, "LATE","ON TIME")</f>
        <v>LATE</v>
      </c>
      <c r="Z645" s="16" t="str">
        <f ca="1">IF(WFTracker[[#This Row],[Overdue Time '[Expected-Completion']]] &gt;= 15, "SUPER LATE", Y645)</f>
        <v>LATE</v>
      </c>
      <c r="AA645" s="37" t="str">
        <f>IF(WFTracker[[#This Row],[Pre RM Opening Time]]&lt;WFTracker[[#This Row],[Old vs New Order Lead Time WF dead line]], "LATE BY ENG", "ON TIME BY ENG")</f>
        <v>ON TIME BY ENG</v>
      </c>
      <c r="AB645" s="37"/>
      <c r="AC645" s="928" t="str" cm="1">
        <f t="array" ref="AC645">_xlfn.IFS(
    WFTracker[[#This Row],[Cancelation Cause]]&lt;&gt;"", "X",
    WFTracker[[#This Row],[Competion Date Content]] = FALSE, "C",
    TRUE, "I"
)</f>
        <v>C</v>
      </c>
      <c r="AD6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645" s="25" t="str">
        <f ca="1">IF(WFTracker[[#This Row],[Impact Time Post RM]]&gt;0, "IMPACTED", "NOT IMPACTED")</f>
        <v>NOT IMPACTED</v>
      </c>
      <c r="AF645" s="15"/>
      <c r="AG645" s="18"/>
      <c r="AH645" s="14" t="str">
        <f>IF(WFTracker[[#This Row],[Status]]="C", "Closed", IF(WFTracker[[#This Row],[Status]] = "x", "Cancelled", WFTracker[[#This Row],[Impact Time Post RM]]))</f>
        <v>Closed</v>
      </c>
      <c r="AI645" s="14" t="str">
        <f ca="1">IF(WFTracker[[#This Row],[Impact Time Post RM]]&lt;=0,"ON TIME","LATE")</f>
        <v>ON TIME</v>
      </c>
      <c r="AJ645" s="14" t="s">
        <v>984</v>
      </c>
      <c r="AK645" s="14">
        <v>18</v>
      </c>
      <c r="AL645" s="915">
        <f>IF(WFTracker[[#This Row],[Type]]="MAKE", WFTracker[[#This Row],[Due date]]+Filters!$J$111, WFTracker[[#This Row],[Due date]]+Filters!$J$135)</f>
        <v>46028.072512647552</v>
      </c>
      <c r="AM645" s="102" cm="1">
        <f t="array" ref="AM6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6" spans="1:39" ht="15" customHeight="1">
      <c r="A646" t="str">
        <f>IF(WFTracker[[#This Row],[Order Number]]="SWBD", "QED2", "PZ4")</f>
        <v>PZ4</v>
      </c>
      <c r="B646" s="21" t="s">
        <v>754</v>
      </c>
      <c r="C646" s="26" t="s">
        <v>760</v>
      </c>
      <c r="D646" s="11" t="str">
        <f>WFTracker[[#This Row],[Order Number]]  &amp; "-" &amp; WFTracker[[#This Row],[Item]]</f>
        <v>0050829646-001080</v>
      </c>
      <c r="E646" s="23" t="s">
        <v>756</v>
      </c>
      <c r="F646" s="12">
        <v>46052</v>
      </c>
      <c r="G646" s="12">
        <v>46044</v>
      </c>
      <c r="H646" s="11" t="s">
        <v>295</v>
      </c>
      <c r="I646" s="11" t="s">
        <v>241</v>
      </c>
      <c r="J646" s="55" t="s">
        <v>761</v>
      </c>
      <c r="K646" s="14" t="s">
        <v>1017</v>
      </c>
      <c r="L646" s="15" t="s">
        <v>40</v>
      </c>
      <c r="M646" s="29" t="s">
        <v>1120</v>
      </c>
      <c r="N646" s="57">
        <v>46134</v>
      </c>
      <c r="O646" s="15">
        <f>NETWORKDAYS.INTL(WFTracker[[#This Row],[Start date]],WFTracker[[#This Row],[RM]],1,Holidays!D653:D668)</f>
        <v>26</v>
      </c>
      <c r="P646" s="12">
        <v>46017</v>
      </c>
      <c r="Q646" s="12">
        <v>46027</v>
      </c>
      <c r="R646" s="12">
        <v>46036</v>
      </c>
      <c r="S646" s="12" t="b">
        <f>ISBLANK(WFTracker[[#This Row],[Completion Date]])</f>
        <v>0</v>
      </c>
      <c r="T646" s="12" t="str">
        <f>TEXT(WFTracker[[#This Row],[Start date]],"mmm-yyyy")</f>
        <v>Dec-2025</v>
      </c>
      <c r="U646" s="11">
        <v>10</v>
      </c>
      <c r="V646" s="11">
        <f>NETWORKDAYS.INTL(WFTracker[[#This Row],[Start date]],WFTracker[[#This Row],[Due date]],1,Holidays!D653:D668)</f>
        <v>7</v>
      </c>
      <c r="W6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46" s="24">
        <f ca="1">WFTracker[[#This Row],[Active Time]]-WFTracker[[#This Row],[Completion Days Template]]</f>
        <v>6</v>
      </c>
      <c r="Y646" s="16" t="str">
        <f ca="1" xml:space="preserve"> IF(WFTracker[[#This Row],[Overdue Time '[Expected-Completion']]]&gt;0, "LATE","ON TIME")</f>
        <v>LATE</v>
      </c>
      <c r="Z646" s="16" t="str">
        <f ca="1">IF(WFTracker[[#This Row],[Overdue Time '[Expected-Completion']]] &gt;= 15, "SUPER LATE", Y646)</f>
        <v>LATE</v>
      </c>
      <c r="AA646" s="37" t="str">
        <f>IF(WFTracker[[#This Row],[Pre RM Opening Time]]&lt;WFTracker[[#This Row],[Old vs New Order Lead Time WF dead line]], "LATE BY ENG", "ON TIME BY ENG")</f>
        <v>ON TIME BY ENG</v>
      </c>
      <c r="AB646" s="37"/>
      <c r="AC646" s="928" t="str" cm="1">
        <f t="array" ref="AC646">_xlfn.IFS(
    WFTracker[[#This Row],[Cancelation Cause]]&lt;&gt;"", "X",
    WFTracker[[#This Row],[Competion Date Content]] = FALSE, "C",
    TRUE, "I"
)</f>
        <v>C</v>
      </c>
      <c r="AD6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646" s="25" t="str">
        <f ca="1">IF(WFTracker[[#This Row],[Impact Time Post RM]]&gt;0, "IMPACTED", "NOT IMPACTED")</f>
        <v>NOT IMPACTED</v>
      </c>
      <c r="AF646" s="15"/>
      <c r="AG646" s="18"/>
      <c r="AH646" s="14" t="str">
        <f>IF(WFTracker[[#This Row],[Status]]="C", "Closed", IF(WFTracker[[#This Row],[Status]] = "x", "Cancelled", WFTracker[[#This Row],[Impact Time Post RM]]))</f>
        <v>Closed</v>
      </c>
      <c r="AI646" s="14" t="str">
        <f ca="1">IF(WFTracker[[#This Row],[Impact Time Post RM]]&lt;=0,"ON TIME","LATE")</f>
        <v>ON TIME</v>
      </c>
      <c r="AJ646" s="14" t="s">
        <v>984</v>
      </c>
      <c r="AK646" s="14">
        <v>17</v>
      </c>
      <c r="AL646" s="915">
        <f>IF(WFTracker[[#This Row],[Type]]="MAKE", WFTracker[[#This Row],[Due date]]+Filters!$J$111, WFTracker[[#This Row],[Due date]]+Filters!$J$135)</f>
        <v>46027.415686274508</v>
      </c>
      <c r="AM646" s="102" cm="1">
        <f t="array" ref="AM64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7" spans="1:39" ht="15" customHeight="1">
      <c r="A647" t="str">
        <f>IF(WFTracker[[#This Row],[Order Number]]="SWBD", "QED2", "PZ4")</f>
        <v>PZ4</v>
      </c>
      <c r="B647" s="21" t="s">
        <v>754</v>
      </c>
      <c r="C647" s="26" t="s">
        <v>760</v>
      </c>
      <c r="D647" s="11" t="str">
        <f>WFTracker[[#This Row],[Order Number]]  &amp; "-" &amp; WFTracker[[#This Row],[Item]]</f>
        <v>0050829646-001080</v>
      </c>
      <c r="E647" s="23" t="s">
        <v>756</v>
      </c>
      <c r="F647" s="12">
        <v>46052</v>
      </c>
      <c r="G647" s="12">
        <v>46044</v>
      </c>
      <c r="H647" s="11" t="s">
        <v>295</v>
      </c>
      <c r="I647" s="11" t="s">
        <v>241</v>
      </c>
      <c r="J647" s="55" t="s">
        <v>759</v>
      </c>
      <c r="K647" s="14" t="s">
        <v>1017</v>
      </c>
      <c r="L647" s="15" t="s">
        <v>27</v>
      </c>
      <c r="M647" s="29" t="s">
        <v>1120</v>
      </c>
      <c r="N647" s="57">
        <v>46134</v>
      </c>
      <c r="O647" s="15">
        <f>NETWORKDAYS.INTL(WFTracker[[#This Row],[Start date]],WFTracker[[#This Row],[RM]],1,Holidays!D654:D669)</f>
        <v>26</v>
      </c>
      <c r="P647" s="12">
        <v>46017</v>
      </c>
      <c r="Q647" s="12">
        <v>46024</v>
      </c>
      <c r="R647" s="12">
        <v>46030</v>
      </c>
      <c r="S647" s="12" t="b">
        <f>ISBLANK(WFTracker[[#This Row],[Completion Date]])</f>
        <v>0</v>
      </c>
      <c r="T647" s="12" t="str">
        <f>TEXT(WFTracker[[#This Row],[Start date]],"mmm-yyyy")</f>
        <v>Dec-2025</v>
      </c>
      <c r="U647" s="11">
        <v>10</v>
      </c>
      <c r="V647" s="11">
        <f>NETWORKDAYS.INTL(WFTracker[[#This Row],[Start date]],WFTracker[[#This Row],[Due date]],1,Holidays!D654:D669)</f>
        <v>6</v>
      </c>
      <c r="W6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47" s="24">
        <f ca="1">WFTracker[[#This Row],[Active Time]]-WFTracker[[#This Row],[Completion Days Template]]</f>
        <v>3</v>
      </c>
      <c r="Y647" s="16" t="str">
        <f ca="1" xml:space="preserve"> IF(WFTracker[[#This Row],[Overdue Time '[Expected-Completion']]]&gt;0, "LATE","ON TIME")</f>
        <v>LATE</v>
      </c>
      <c r="Z647" s="16" t="str">
        <f ca="1">IF(WFTracker[[#This Row],[Overdue Time '[Expected-Completion']]] &gt;= 15, "SUPER LATE", Y647)</f>
        <v>LATE</v>
      </c>
      <c r="AA647" s="37" t="str">
        <f>IF(WFTracker[[#This Row],[Pre RM Opening Time]]&lt;WFTracker[[#This Row],[Old vs New Order Lead Time WF dead line]], "LATE BY ENG", "ON TIME BY ENG")</f>
        <v>ON TIME BY ENG</v>
      </c>
      <c r="AB647" s="37"/>
      <c r="AC647" s="928" t="str" cm="1">
        <f t="array" ref="AC647">_xlfn.IFS(
    WFTracker[[#This Row],[Cancelation Cause]]&lt;&gt;"", "X",
    WFTracker[[#This Row],[Competion Date Content]] = FALSE, "C",
    TRUE, "I"
)</f>
        <v>C</v>
      </c>
      <c r="AD6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647" s="25" t="str">
        <f ca="1">IF(WFTracker[[#This Row],[Impact Time Post RM]]&gt;0, "IMPACTED", "NOT IMPACTED")</f>
        <v>NOT IMPACTED</v>
      </c>
      <c r="AF647" s="15"/>
      <c r="AG647" s="18"/>
      <c r="AH647" s="14" t="str">
        <f>IF(WFTracker[[#This Row],[Status]]="C", "Closed", IF(WFTracker[[#This Row],[Status]] = "x", "Cancelled", WFTracker[[#This Row],[Impact Time Post RM]]))</f>
        <v>Closed</v>
      </c>
      <c r="AI647" s="14" t="str">
        <f ca="1">IF(WFTracker[[#This Row],[Impact Time Post RM]]&lt;=0,"ON TIME","LATE")</f>
        <v>ON TIME</v>
      </c>
      <c r="AJ647" s="14" t="s">
        <v>984</v>
      </c>
      <c r="AK647" s="14">
        <v>18</v>
      </c>
      <c r="AL647" s="915">
        <f>IF(WFTracker[[#This Row],[Type]]="MAKE", WFTracker[[#This Row],[Due date]]+Filters!$J$111, WFTracker[[#This Row],[Due date]]+Filters!$J$135)</f>
        <v>46027.072512647552</v>
      </c>
      <c r="AM647" s="102" cm="1">
        <f t="array" ref="AM64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8" spans="1:39" ht="15" customHeight="1">
      <c r="A648" t="str">
        <f>IF(WFTracker[[#This Row],[Order Number]]="SWBD", "QED2", "PZ4")</f>
        <v>PZ4</v>
      </c>
      <c r="B648" s="21" t="s">
        <v>754</v>
      </c>
      <c r="C648" s="26" t="s">
        <v>765</v>
      </c>
      <c r="D648" s="11" t="str">
        <f>WFTracker[[#This Row],[Order Number]]  &amp; "-" &amp; WFTracker[[#This Row],[Item]]</f>
        <v>0050829646-001060</v>
      </c>
      <c r="E648" s="23" t="s">
        <v>756</v>
      </c>
      <c r="F648" s="12">
        <v>46052</v>
      </c>
      <c r="G648" s="12">
        <v>46044</v>
      </c>
      <c r="H648" s="11" t="s">
        <v>295</v>
      </c>
      <c r="I648" s="11" t="s">
        <v>264</v>
      </c>
      <c r="J648" s="55" t="s">
        <v>762</v>
      </c>
      <c r="K648" s="14" t="s">
        <v>1017</v>
      </c>
      <c r="L648" s="15" t="s">
        <v>27</v>
      </c>
      <c r="M648" s="29" t="s">
        <v>1120</v>
      </c>
      <c r="N648" s="57">
        <v>46132</v>
      </c>
      <c r="O648" s="15">
        <f>NETWORKDAYS.INTL(WFTracker[[#This Row],[Start date]],WFTracker[[#This Row],[RM]],1,Holidays!D652:D667)</f>
        <v>26</v>
      </c>
      <c r="P648" s="12">
        <v>46017</v>
      </c>
      <c r="Q648" s="12">
        <v>46024</v>
      </c>
      <c r="R648" s="12">
        <v>46034</v>
      </c>
      <c r="S648" s="12" t="b">
        <f>ISBLANK(WFTracker[[#This Row],[Completion Date]])</f>
        <v>0</v>
      </c>
      <c r="T648" s="12" t="str">
        <f>TEXT(WFTracker[[#This Row],[Start date]],"mmm-yyyy")</f>
        <v>Dec-2025</v>
      </c>
      <c r="U648" s="11">
        <v>10</v>
      </c>
      <c r="V648" s="11">
        <f>NETWORKDAYS.INTL(WFTracker[[#This Row],[Start date]],WFTracker[[#This Row],[Due date]],1,Holidays!D652:D667)</f>
        <v>6</v>
      </c>
      <c r="W6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48" s="24">
        <f ca="1">WFTracker[[#This Row],[Active Time]]-WFTracker[[#This Row],[Completion Days Template]]</f>
        <v>5</v>
      </c>
      <c r="Y648" s="16" t="str">
        <f ca="1" xml:space="preserve"> IF(WFTracker[[#This Row],[Overdue Time '[Expected-Completion']]]&gt;0, "LATE","ON TIME")</f>
        <v>LATE</v>
      </c>
      <c r="Z648" s="16" t="str">
        <f ca="1">IF(WFTracker[[#This Row],[Overdue Time '[Expected-Completion']]] &gt;= 15, "SUPER LATE", Y648)</f>
        <v>LATE</v>
      </c>
      <c r="AA648" s="37" t="str">
        <f>IF(WFTracker[[#This Row],[Pre RM Opening Time]]&lt;WFTracker[[#This Row],[Old vs New Order Lead Time WF dead line]], "LATE BY ENG", "ON TIME BY ENG")</f>
        <v>ON TIME BY ENG</v>
      </c>
      <c r="AB648" s="37"/>
      <c r="AC648" s="928" t="str" cm="1">
        <f t="array" ref="AC648">_xlfn.IFS(
    WFTracker[[#This Row],[Cancelation Cause]]&lt;&gt;"", "X",
    WFTracker[[#This Row],[Competion Date Content]] = FALSE, "C",
    TRUE, "I"
)</f>
        <v>C</v>
      </c>
      <c r="AD6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-15</v>
      </c>
      <c r="AE648" s="25" t="str">
        <f ca="1">IF(WFTracker[[#This Row],[Impact Time Post RM]]&gt;0, "IMPACTED", "NOT IMPACTED")</f>
        <v>NOT IMPACTED</v>
      </c>
      <c r="AF648" s="15"/>
      <c r="AG648" s="18"/>
      <c r="AH648" s="14" t="str">
        <f>IF(WFTracker[[#This Row],[Status]]="C", "Closed", IF(WFTracker[[#This Row],[Status]] = "x", "Cancelled", WFTracker[[#This Row],[Impact Time Post RM]]))</f>
        <v>Closed</v>
      </c>
      <c r="AI648" s="14" t="str">
        <f ca="1">IF(WFTracker[[#This Row],[Impact Time Post RM]]&lt;=0,"ON TIME","LATE")</f>
        <v>ON TIME</v>
      </c>
      <c r="AJ648" s="14" t="s">
        <v>984</v>
      </c>
      <c r="AK648" s="14">
        <v>18</v>
      </c>
      <c r="AL648" s="915">
        <f>IF(WFTracker[[#This Row],[Type]]="MAKE", WFTracker[[#This Row],[Due date]]+Filters!$J$111, WFTracker[[#This Row],[Due date]]+Filters!$J$135)</f>
        <v>46027.072512647552</v>
      </c>
      <c r="AM648" s="102" cm="1">
        <f t="array" ref="AM64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49" spans="1:39" ht="15" customHeight="1">
      <c r="A649" t="str">
        <f>IF(WFTracker[[#This Row],[Order Number]]="SWBD", "QED2", "PZ4")</f>
        <v>PZ4</v>
      </c>
      <c r="B649" s="21" t="s">
        <v>754</v>
      </c>
      <c r="C649" s="26" t="s">
        <v>765</v>
      </c>
      <c r="D649" s="11" t="str">
        <f>WFTracker[[#This Row],[Order Number]]  &amp; "-" &amp; WFTracker[[#This Row],[Item]]</f>
        <v>0050829646-001060</v>
      </c>
      <c r="E649" s="23" t="s">
        <v>756</v>
      </c>
      <c r="F649" s="12">
        <v>46052</v>
      </c>
      <c r="G649" s="12">
        <v>46044</v>
      </c>
      <c r="H649" s="11" t="s">
        <v>295</v>
      </c>
      <c r="I649" s="11" t="s">
        <v>264</v>
      </c>
      <c r="J649" s="55" t="s">
        <v>768</v>
      </c>
      <c r="K649" s="14" t="s">
        <v>1017</v>
      </c>
      <c r="L649" s="15" t="s">
        <v>40</v>
      </c>
      <c r="M649" s="29" t="s">
        <v>1120</v>
      </c>
      <c r="N649" s="57">
        <v>46132</v>
      </c>
      <c r="O649" s="15">
        <f>NETWORKDAYS.INTL(WFTracker[[#This Row],[Start date]],WFTracker[[#This Row],[RM]],1,Holidays!D656:D671)</f>
        <v>26</v>
      </c>
      <c r="P649" s="12">
        <v>46017</v>
      </c>
      <c r="Q649" s="12">
        <v>46028</v>
      </c>
      <c r="R649" s="12">
        <v>46036</v>
      </c>
      <c r="S649" s="12" t="b">
        <f>ISBLANK(WFTracker[[#This Row],[Completion Date]])</f>
        <v>0</v>
      </c>
      <c r="T649" s="12" t="str">
        <f>TEXT(WFTracker[[#This Row],[Start date]],"mmm-yyyy")</f>
        <v>Dec-2025</v>
      </c>
      <c r="U649" s="11">
        <v>10</v>
      </c>
      <c r="V649" s="11">
        <f>NETWORKDAYS.INTL(WFTracker[[#This Row],[Start date]],WFTracker[[#This Row],[Due date]],1,Holidays!D656:D671)</f>
        <v>8</v>
      </c>
      <c r="W6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49" s="24">
        <f ca="1">WFTracker[[#This Row],[Active Time]]-WFTracker[[#This Row],[Completion Days Template]]</f>
        <v>5</v>
      </c>
      <c r="Y649" s="16" t="str">
        <f ca="1" xml:space="preserve"> IF(WFTracker[[#This Row],[Overdue Time '[Expected-Completion']]]&gt;0, "LATE","ON TIME")</f>
        <v>LATE</v>
      </c>
      <c r="Z649" s="16" t="str">
        <f ca="1">IF(WFTracker[[#This Row],[Overdue Time '[Expected-Completion']]] &gt;= 15, "SUPER LATE", Y649)</f>
        <v>LATE</v>
      </c>
      <c r="AA649" s="37" t="str">
        <f>IF(WFTracker[[#This Row],[Pre RM Opening Time]]&lt;WFTracker[[#This Row],[Old vs New Order Lead Time WF dead line]], "LATE BY ENG", "ON TIME BY ENG")</f>
        <v>ON TIME BY ENG</v>
      </c>
      <c r="AB649" s="37"/>
      <c r="AC649" s="928" t="str" cm="1">
        <f t="array" ref="AC649">_xlfn.IFS(
    WFTracker[[#This Row],[Cancelation Cause]]&lt;&gt;"", "X",
    WFTracker[[#This Row],[Competion Date Content]] = FALSE, "C",
    TRUE, "I"
)</f>
        <v>C</v>
      </c>
      <c r="AD6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649" s="25" t="str">
        <f ca="1">IF(WFTracker[[#This Row],[Impact Time Post RM]]&gt;0, "IMPACTED", "NOT IMPACTED")</f>
        <v>NOT IMPACTED</v>
      </c>
      <c r="AF649" s="15"/>
      <c r="AG649" s="18"/>
      <c r="AH649" s="14" t="str">
        <f>IF(WFTracker[[#This Row],[Status]]="C", "Closed", IF(WFTracker[[#This Row],[Status]] = "x", "Cancelled", WFTracker[[#This Row],[Impact Time Post RM]]))</f>
        <v>Closed</v>
      </c>
      <c r="AI649" s="14" t="str">
        <f ca="1">IF(WFTracker[[#This Row],[Impact Time Post RM]]&lt;=0,"ON TIME","LATE")</f>
        <v>ON TIME</v>
      </c>
      <c r="AJ649" s="14" t="s">
        <v>984</v>
      </c>
      <c r="AK649" s="14">
        <v>17</v>
      </c>
      <c r="AL649" s="915">
        <f>IF(WFTracker[[#This Row],[Type]]="MAKE", WFTracker[[#This Row],[Due date]]+Filters!$J$111, WFTracker[[#This Row],[Due date]]+Filters!$J$135)</f>
        <v>46028.415686274508</v>
      </c>
      <c r="AM649" s="102" cm="1">
        <f t="array" ref="AM64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50" spans="1:39" ht="15" customHeight="1">
      <c r="A650" t="str">
        <f>IF(WFTracker[[#This Row],[Order Number]]="SWBD", "QED2", "PZ4")</f>
        <v>PZ4</v>
      </c>
      <c r="B650" s="21" t="s">
        <v>714</v>
      </c>
      <c r="C650" s="26" t="s">
        <v>1463</v>
      </c>
      <c r="D650" s="11" t="str">
        <f>WFTracker[[#This Row],[Order Number]]  &amp; "-" &amp; WFTracker[[#This Row],[Item]]</f>
        <v>0050927776-000950</v>
      </c>
      <c r="E650" s="23" t="s">
        <v>716</v>
      </c>
      <c r="F650" s="12">
        <v>46017</v>
      </c>
      <c r="G650" s="12">
        <v>46014</v>
      </c>
      <c r="H650" s="11" t="s">
        <v>237</v>
      </c>
      <c r="I650" s="11" t="s">
        <v>264</v>
      </c>
      <c r="J650" s="55" t="s">
        <v>728</v>
      </c>
      <c r="K650" s="14" t="s">
        <v>1017</v>
      </c>
      <c r="L650" s="15" t="s">
        <v>40</v>
      </c>
      <c r="M650" s="29" t="s">
        <v>1120</v>
      </c>
      <c r="N650" s="57">
        <v>46183</v>
      </c>
      <c r="O650" s="15">
        <f>NETWORKDAYS.INTL(WFTracker[[#This Row],[Start date]],WFTracker[[#This Row],[RM]],1,Holidays!D658:D673)</f>
        <v>-2</v>
      </c>
      <c r="P650" s="12">
        <v>46020</v>
      </c>
      <c r="Q650" s="12">
        <v>46028</v>
      </c>
      <c r="R650" s="12">
        <v>46030</v>
      </c>
      <c r="S650" s="12" t="b">
        <f>ISBLANK(WFTracker[[#This Row],[Completion Date]])</f>
        <v>0</v>
      </c>
      <c r="T650" s="12" t="str">
        <f>TEXT(WFTracker[[#This Row],[Start date]],"mmm-yyyy")</f>
        <v>Dec-2025</v>
      </c>
      <c r="U650" s="11">
        <v>10</v>
      </c>
      <c r="V650" s="11">
        <f>NETWORKDAYS.INTL(WFTracker[[#This Row],[Start date]],WFTracker[[#This Row],[Due date]],1,Holidays!D658:D673)</f>
        <v>7</v>
      </c>
      <c r="W6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650" s="24">
        <f ca="1">WFTracker[[#This Row],[Active Time]]-WFTracker[[#This Row],[Completion Days Template]]</f>
        <v>1</v>
      </c>
      <c r="Y650" s="16" t="str">
        <f ca="1" xml:space="preserve"> IF(WFTracker[[#This Row],[Overdue Time '[Expected-Completion']]]&gt;0, "LATE","ON TIME")</f>
        <v>LATE</v>
      </c>
      <c r="Z650" s="16" t="str">
        <f ca="1">IF(WFTracker[[#This Row],[Overdue Time '[Expected-Completion']]] &gt;= 15, "SUPER LATE", Y650)</f>
        <v>LATE</v>
      </c>
      <c r="AA650" s="37" t="str">
        <f>IF(WFTracker[[#This Row],[Pre RM Opening Time]]&lt;WFTracker[[#This Row],[Old vs New Order Lead Time WF dead line]], "LATE BY ENG", "ON TIME BY ENG")</f>
        <v>LATE BY ENG</v>
      </c>
      <c r="AB650" s="37"/>
      <c r="AC650" s="928" t="str" cm="1">
        <f t="array" ref="AC650">_xlfn.IFS(
    WFTracker[[#This Row],[Cancelation Cause]]&lt;&gt;"", "X",
    WFTracker[[#This Row],[Competion Date Content]] = FALSE, "C",
    TRUE, "I"
)</f>
        <v>C</v>
      </c>
      <c r="AD6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650" s="25" t="str">
        <f ca="1">IF(WFTracker[[#This Row],[Impact Time Post RM]]&gt;0, "IMPACTED", "NOT IMPACTED")</f>
        <v>IMPACTED</v>
      </c>
      <c r="AF650" s="15"/>
      <c r="AG650" s="18"/>
      <c r="AH650" s="14" t="str">
        <f>IF(WFTracker[[#This Row],[Status]]="C", "Closed", IF(WFTracker[[#This Row],[Status]] = "x", "Cancelled", WFTracker[[#This Row],[Impact Time Post RM]]))</f>
        <v>Closed</v>
      </c>
      <c r="AI650" s="14" t="str">
        <f ca="1">IF(WFTracker[[#This Row],[Impact Time Post RM]]&lt;=0,"ON TIME","LATE")</f>
        <v>LATE</v>
      </c>
      <c r="AJ650" s="14" t="s">
        <v>984</v>
      </c>
      <c r="AK650" s="14">
        <v>16</v>
      </c>
      <c r="AL650" s="915">
        <f>IF(WFTracker[[#This Row],[Type]]="MAKE", WFTracker[[#This Row],[Due date]]+Filters!$J$111, WFTracker[[#This Row],[Due date]]+Filters!$J$135)</f>
        <v>46028.415686274508</v>
      </c>
      <c r="AM650" s="102" cm="1">
        <f t="array" ref="AM650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651" spans="1:39" ht="15" customHeight="1">
      <c r="A651" t="str">
        <f>IF(WFTracker[[#This Row],[Order Number]]="SWBD", "QED2", "PZ4")</f>
        <v>PZ4</v>
      </c>
      <c r="B651" s="21" t="s">
        <v>714</v>
      </c>
      <c r="C651" s="26" t="s">
        <v>1463</v>
      </c>
      <c r="D651" s="11" t="str">
        <f>WFTracker[[#This Row],[Order Number]]  &amp; "-" &amp; WFTracker[[#This Row],[Item]]</f>
        <v>0050927776-000950</v>
      </c>
      <c r="E651" s="23" t="s">
        <v>716</v>
      </c>
      <c r="F651" s="12">
        <v>46017</v>
      </c>
      <c r="G651" s="12">
        <v>46014</v>
      </c>
      <c r="H651" s="11" t="s">
        <v>237</v>
      </c>
      <c r="I651" s="11" t="s">
        <v>264</v>
      </c>
      <c r="J651" s="55" t="s">
        <v>727</v>
      </c>
      <c r="K651" s="14" t="s">
        <v>1017</v>
      </c>
      <c r="L651" s="15" t="s">
        <v>40</v>
      </c>
      <c r="M651" s="29" t="s">
        <v>1120</v>
      </c>
      <c r="N651" s="57">
        <v>46183</v>
      </c>
      <c r="O651" s="15">
        <f>NETWORKDAYS.INTL(WFTracker[[#This Row],[Start date]],WFTracker[[#This Row],[RM]],1,Holidays!D657:D672)</f>
        <v>-2</v>
      </c>
      <c r="P651" s="12">
        <v>46020</v>
      </c>
      <c r="Q651" s="12">
        <v>46032</v>
      </c>
      <c r="R651" s="12">
        <v>46034</v>
      </c>
      <c r="S651" s="12" t="b">
        <f>ISBLANK(WFTracker[[#This Row],[Completion Date]])</f>
        <v>0</v>
      </c>
      <c r="T651" s="12" t="str">
        <f>TEXT(WFTracker[[#This Row],[Start date]],"mmm-yyyy")</f>
        <v>Dec-2025</v>
      </c>
      <c r="U651" s="11">
        <v>10</v>
      </c>
      <c r="V651" s="11">
        <f>NETWORKDAYS.INTL(WFTracker[[#This Row],[Start date]],WFTracker[[#This Row],[Due date]],1,Holidays!D657:D672)</f>
        <v>10</v>
      </c>
      <c r="W6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51" s="24">
        <f ca="1">WFTracker[[#This Row],[Active Time]]-WFTracker[[#This Row],[Completion Days Template]]</f>
        <v>0</v>
      </c>
      <c r="Y651" s="16" t="str">
        <f ca="1" xml:space="preserve"> IF(WFTracker[[#This Row],[Overdue Time '[Expected-Completion']]]&gt;0, "LATE","ON TIME")</f>
        <v>ON TIME</v>
      </c>
      <c r="Z651" s="16" t="str">
        <f ca="1">IF(WFTracker[[#This Row],[Overdue Time '[Expected-Completion']]] &gt;= 15, "SUPER LATE", Y651)</f>
        <v>ON TIME</v>
      </c>
      <c r="AA651" s="37" t="str">
        <f>IF(WFTracker[[#This Row],[Pre RM Opening Time]]&lt;WFTracker[[#This Row],[Old vs New Order Lead Time WF dead line]], "LATE BY ENG", "ON TIME BY ENG")</f>
        <v>LATE BY ENG</v>
      </c>
      <c r="AB651" s="37"/>
      <c r="AC651" s="928" t="str" cm="1">
        <f t="array" ref="AC651">_xlfn.IFS(
    WFTracker[[#This Row],[Cancelation Cause]]&lt;&gt;"", "X",
    WFTracker[[#This Row],[Competion Date Content]] = FALSE, "C",
    TRUE, "I"
)</f>
        <v>C</v>
      </c>
      <c r="AD6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651" s="25" t="str">
        <f ca="1">IF(WFTracker[[#This Row],[Impact Time Post RM]]&gt;0, "IMPACTED", "NOT IMPACTED")</f>
        <v>IMPACTED</v>
      </c>
      <c r="AF651" s="15"/>
      <c r="AG651" s="18"/>
      <c r="AH651" s="14" t="str">
        <f>IF(WFTracker[[#This Row],[Status]]="C", "Closed", IF(WFTracker[[#This Row],[Status]] = "x", "Cancelled", WFTracker[[#This Row],[Impact Time Post RM]]))</f>
        <v>Closed</v>
      </c>
      <c r="AI651" s="14" t="str">
        <f ca="1">IF(WFTracker[[#This Row],[Impact Time Post RM]]&lt;=0,"ON TIME","LATE")</f>
        <v>LATE</v>
      </c>
      <c r="AJ651" s="14" t="s">
        <v>984</v>
      </c>
      <c r="AK651" s="14">
        <v>11</v>
      </c>
      <c r="AL651" s="915">
        <f>IF(WFTracker[[#This Row],[Type]]="MAKE", WFTracker[[#This Row],[Due date]]+Filters!$J$111, WFTracker[[#This Row],[Due date]]+Filters!$J$135)</f>
        <v>46032.415686274508</v>
      </c>
      <c r="AM651" s="102" cm="1">
        <f t="array" ref="AM651">_xlfn.IFS(WFTracker[[#This Row],[Type]]="BUY", WFTracker[[#This Row],[Task Number]]/17,
     WFTracker[[#This Row],[Type]]="MAKE", WFTracker[[#This Row],[Task Number]]/18,
     WFTracker[[#This Row],[Type]]="CNG-BOM", WFTracker[[#This Row],[Task Number]]/11)</f>
        <v>0.6470588235294118</v>
      </c>
    </row>
    <row r="652" spans="1:39" ht="15" customHeight="1">
      <c r="A652" t="str">
        <f>IF(WFTracker[[#This Row],[Order Number]]="SWBD", "QED2", "PZ4")</f>
        <v>PZ4</v>
      </c>
      <c r="B652" s="21" t="s">
        <v>754</v>
      </c>
      <c r="C652" s="26" t="s">
        <v>760</v>
      </c>
      <c r="D652" s="11" t="str">
        <f>WFTracker[[#This Row],[Order Number]]  &amp; "-" &amp; WFTracker[[#This Row],[Item]]</f>
        <v>0050829646-001080</v>
      </c>
      <c r="E652" s="23" t="s">
        <v>756</v>
      </c>
      <c r="F652" s="12">
        <v>46052</v>
      </c>
      <c r="G652" s="12">
        <v>46044</v>
      </c>
      <c r="H652" s="11" t="s">
        <v>295</v>
      </c>
      <c r="I652" s="11" t="s">
        <v>241</v>
      </c>
      <c r="J652" s="55" t="s">
        <v>758</v>
      </c>
      <c r="K652" s="14" t="s">
        <v>1017</v>
      </c>
      <c r="L652" s="15" t="s">
        <v>27</v>
      </c>
      <c r="M652" s="29" t="s">
        <v>1120</v>
      </c>
      <c r="N652" s="57">
        <v>46134</v>
      </c>
      <c r="O652" s="15">
        <f>NETWORKDAYS.INTL(WFTracker[[#This Row],[Start date]],WFTracker[[#This Row],[RM]],1,Holidays!D659:D674)</f>
        <v>25</v>
      </c>
      <c r="P652" s="12">
        <v>46020</v>
      </c>
      <c r="Q652" s="12">
        <v>46025</v>
      </c>
      <c r="R652" s="12">
        <v>46031</v>
      </c>
      <c r="S652" s="12" t="b">
        <f>ISBLANK(WFTracker[[#This Row],[Completion Date]])</f>
        <v>0</v>
      </c>
      <c r="T652" s="12" t="str">
        <f>TEXT(WFTracker[[#This Row],[Start date]],"mmm-yyyy")</f>
        <v>Dec-2025</v>
      </c>
      <c r="U652" s="11">
        <v>10</v>
      </c>
      <c r="V652" s="11">
        <f>NETWORKDAYS.INTL(WFTracker[[#This Row],[Start date]],WFTracker[[#This Row],[Due date]],1,Holidays!D659:D674)</f>
        <v>5</v>
      </c>
      <c r="W6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52" s="24">
        <f ca="1">WFTracker[[#This Row],[Active Time]]-WFTracker[[#This Row],[Completion Days Template]]</f>
        <v>4</v>
      </c>
      <c r="Y652" s="16" t="str">
        <f ca="1" xml:space="preserve"> IF(WFTracker[[#This Row],[Overdue Time '[Expected-Completion']]]&gt;0, "LATE","ON TIME")</f>
        <v>LATE</v>
      </c>
      <c r="Z652" s="16" t="str">
        <f ca="1">IF(WFTracker[[#This Row],[Overdue Time '[Expected-Completion']]] &gt;= 15, "SUPER LATE", Y652)</f>
        <v>LATE</v>
      </c>
      <c r="AA652" s="37" t="str">
        <f>IF(WFTracker[[#This Row],[Pre RM Opening Time]]&lt;WFTracker[[#This Row],[Old vs New Order Lead Time WF dead line]], "LATE BY ENG", "ON TIME BY ENG")</f>
        <v>ON TIME BY ENG</v>
      </c>
      <c r="AB652" s="37"/>
      <c r="AC652" s="928" t="str" cm="1">
        <f t="array" ref="AC652">_xlfn.IFS(
    WFTracker[[#This Row],[Cancelation Cause]]&lt;&gt;"", "X",
    WFTracker[[#This Row],[Competion Date Content]] = FALSE, "C",
    TRUE, "I"
)</f>
        <v>C</v>
      </c>
      <c r="AD6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652" s="25" t="str">
        <f ca="1">IF(WFTracker[[#This Row],[Impact Time Post RM]]&gt;0, "IMPACTED", "NOT IMPACTED")</f>
        <v>NOT IMPACTED</v>
      </c>
      <c r="AF652" s="15"/>
      <c r="AG652" s="18"/>
      <c r="AH652" s="14" t="str">
        <f>IF(WFTracker[[#This Row],[Status]]="C", "Closed", IF(WFTracker[[#This Row],[Status]] = "x", "Cancelled", WFTracker[[#This Row],[Impact Time Post RM]]))</f>
        <v>Closed</v>
      </c>
      <c r="AI652" s="14" t="str">
        <f ca="1">IF(WFTracker[[#This Row],[Impact Time Post RM]]&lt;=0,"ON TIME","LATE")</f>
        <v>ON TIME</v>
      </c>
      <c r="AJ652" s="14" t="s">
        <v>984</v>
      </c>
      <c r="AK652" s="14">
        <v>18</v>
      </c>
      <c r="AL652" s="915">
        <f>IF(WFTracker[[#This Row],[Type]]="MAKE", WFTracker[[#This Row],[Due date]]+Filters!$J$111, WFTracker[[#This Row],[Due date]]+Filters!$J$135)</f>
        <v>46028.072512647552</v>
      </c>
      <c r="AM652" s="102" cm="1">
        <f t="array" ref="AM6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53" spans="1:39" ht="15" customHeight="1">
      <c r="A653" t="str">
        <f>IF(WFTracker[[#This Row],[Order Number]]="SWBD", "QED2", "PZ4")</f>
        <v>PZ4</v>
      </c>
      <c r="B653" s="21" t="s">
        <v>714</v>
      </c>
      <c r="C653" s="26" t="s">
        <v>1463</v>
      </c>
      <c r="D653" s="11" t="s">
        <v>1549</v>
      </c>
      <c r="E653" s="23" t="s">
        <v>716</v>
      </c>
      <c r="F653" s="12">
        <v>46017</v>
      </c>
      <c r="G653" s="12">
        <v>46014</v>
      </c>
      <c r="H653" s="11" t="s">
        <v>237</v>
      </c>
      <c r="I653" s="11" t="s">
        <v>264</v>
      </c>
      <c r="J653" s="55" t="s">
        <v>763</v>
      </c>
      <c r="K653" s="14" t="s">
        <v>1017</v>
      </c>
      <c r="L653" s="15" t="s">
        <v>27</v>
      </c>
      <c r="M653" s="29" t="s">
        <v>1120</v>
      </c>
      <c r="N653" s="57">
        <v>46183</v>
      </c>
      <c r="O653" s="15">
        <f>NETWORKDAYS.INTL(WFTracker[[#This Row],[Start date]],WFTracker[[#This Row],[RM]],1,Holidays!D663:D678)</f>
        <v>-2</v>
      </c>
      <c r="P653" s="12">
        <v>46020</v>
      </c>
      <c r="Q653" s="12">
        <v>46027</v>
      </c>
      <c r="R653" s="12">
        <v>46035</v>
      </c>
      <c r="S653" s="12" t="b">
        <f>ISBLANK(WFTracker[[#This Row],[Completion Date]])</f>
        <v>0</v>
      </c>
      <c r="T653" s="12" t="str">
        <f>TEXT(WFTracker[[#This Row],[Start date]],"mmm-yyyy")</f>
        <v>Dec-2025</v>
      </c>
      <c r="U653" s="11">
        <v>10</v>
      </c>
      <c r="V653" s="11">
        <f>NETWORKDAYS.INTL(WFTracker[[#This Row],[Start date]],WFTracker[[#This Row],[Due date]],1,Holidays!D663:D678)</f>
        <v>6</v>
      </c>
      <c r="W6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53" s="24">
        <f ca="1">WFTracker[[#This Row],[Active Time]]-WFTracker[[#This Row],[Completion Days Template]]</f>
        <v>5</v>
      </c>
      <c r="Y653" s="16" t="str">
        <f ca="1" xml:space="preserve"> IF(WFTracker[[#This Row],[Overdue Time '[Expected-Completion']]]&gt;0, "LATE","ON TIME")</f>
        <v>LATE</v>
      </c>
      <c r="Z653" s="16" t="str">
        <f ca="1">IF(WFTracker[[#This Row],[Overdue Time '[Expected-Completion']]] &gt;= 15, "SUPER LATE", Y653)</f>
        <v>LATE</v>
      </c>
      <c r="AA653" s="37" t="str">
        <f>IF(WFTracker[[#This Row],[Pre RM Opening Time]]&lt;WFTracker[[#This Row],[Old vs New Order Lead Time WF dead line]], "LATE BY ENG", "ON TIME BY ENG")</f>
        <v>LATE BY ENG</v>
      </c>
      <c r="AB653" s="37"/>
      <c r="AC653" s="928" t="str" cm="1">
        <f t="array" ref="AC653">_xlfn.IFS(
    WFTracker[[#This Row],[Cancelation Cause]]&lt;&gt;"", "X",
    WFTracker[[#This Row],[Competion Date Content]] = FALSE, "C",
    TRUE, "I"
)</f>
        <v>C</v>
      </c>
      <c r="AD6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653" s="25" t="str">
        <f ca="1">IF(WFTracker[[#This Row],[Impact Time Post RM]]&gt;0, "IMPACTED", "NOT IMPACTED")</f>
        <v>IMPACTED</v>
      </c>
      <c r="AF653" s="15"/>
      <c r="AG653" s="18"/>
      <c r="AH653" s="14" t="str">
        <f>IF(WFTracker[[#This Row],[Status]]="C", "Closed", IF(WFTracker[[#This Row],[Status]] = "x", "Cancelled", WFTracker[[#This Row],[Impact Time Post RM]]))</f>
        <v>Closed</v>
      </c>
      <c r="AI653" s="14" t="str">
        <f ca="1">IF(WFTracker[[#This Row],[Impact Time Post RM]]&lt;=0,"ON TIME","LATE")</f>
        <v>LATE</v>
      </c>
      <c r="AJ653" s="14" t="s">
        <v>984</v>
      </c>
      <c r="AK653" s="14">
        <v>18</v>
      </c>
      <c r="AL653" s="915">
        <f>IF(WFTracker[[#This Row],[Type]]="MAKE", WFTracker[[#This Row],[Due date]]+Filters!$J$111, WFTracker[[#This Row],[Due date]]+Filters!$J$135)</f>
        <v>46030.072512647552</v>
      </c>
      <c r="AM653" s="102" cm="1">
        <f t="array" ref="AM6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54" spans="1:39" ht="15" customHeight="1">
      <c r="A654" t="str">
        <f>IF(WFTracker[[#This Row],[Order Number]]="SWBD", "QED2", "PZ4")</f>
        <v>PZ4</v>
      </c>
      <c r="B654" s="21" t="s">
        <v>408</v>
      </c>
      <c r="C654" s="26" t="s">
        <v>409</v>
      </c>
      <c r="D654" s="11" t="str">
        <f>WFTracker[[#This Row],[Order Number]]  &amp; "-" &amp; WFTracker[[#This Row],[Item]]</f>
        <v>0050753978-003800</v>
      </c>
      <c r="E654" s="23" t="s">
        <v>410</v>
      </c>
      <c r="F654" s="12">
        <v>45898</v>
      </c>
      <c r="G654" s="12"/>
      <c r="H654" s="11" t="s">
        <v>947</v>
      </c>
      <c r="I654" s="11" t="s">
        <v>241</v>
      </c>
      <c r="J654" s="55" t="s">
        <v>1550</v>
      </c>
      <c r="K654" s="14" t="s">
        <v>1023</v>
      </c>
      <c r="L654" s="15" t="s">
        <v>40</v>
      </c>
      <c r="M654" s="29" t="s">
        <v>1120</v>
      </c>
      <c r="N654" s="57">
        <v>46080</v>
      </c>
      <c r="O654" s="15">
        <f>NETWORKDAYS.INTL(WFTracker[[#This Row],[Start date]],WFTracker[[#This Row],[RM]],1,Holidays!D664:D679)</f>
        <v>-92</v>
      </c>
      <c r="P654" s="12">
        <v>46027</v>
      </c>
      <c r="Q654" s="12">
        <v>46029</v>
      </c>
      <c r="R654" s="12">
        <v>46044</v>
      </c>
      <c r="S654" s="12" t="b">
        <f>ISBLANK(WFTracker[[#This Row],[Completion Date]])</f>
        <v>0</v>
      </c>
      <c r="T654" s="12" t="str">
        <f>TEXT(WFTracker[[#This Row],[Start date]],"mmm-yyyy")</f>
        <v>Jan-2026</v>
      </c>
      <c r="U654" s="11">
        <v>10</v>
      </c>
      <c r="V654" s="11">
        <f>NETWORKDAYS.INTL(WFTracker[[#This Row],[Start date]],WFTracker[[#This Row],[Due date]],1,Holidays!D664:D679)</f>
        <v>3</v>
      </c>
      <c r="W6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654" s="24">
        <f ca="1">WFTracker[[#This Row],[Active Time]]-WFTracker[[#This Row],[Completion Days Template]]</f>
        <v>11</v>
      </c>
      <c r="Y654" s="16" t="str">
        <f ca="1" xml:space="preserve"> IF(WFTracker[[#This Row],[Overdue Time '[Expected-Completion']]]&gt;0, "LATE","ON TIME")</f>
        <v>LATE</v>
      </c>
      <c r="Z654" s="16" t="str">
        <f ca="1">IF(WFTracker[[#This Row],[Overdue Time '[Expected-Completion']]] &gt;= 15, "SUPER LATE", Y654)</f>
        <v>LATE</v>
      </c>
      <c r="AA654" s="37" t="str">
        <f>IF(WFTracker[[#This Row],[Pre RM Opening Time]]&lt;WFTracker[[#This Row],[Old vs New Order Lead Time WF dead line]], "LATE BY ENG", "ON TIME BY ENG")</f>
        <v>LATE BY ENG</v>
      </c>
      <c r="AB654" s="37"/>
      <c r="AC654" s="928" t="s">
        <v>1011</v>
      </c>
      <c r="AD6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96</v>
      </c>
      <c r="AE654" s="25" t="str">
        <f ca="1">IF(WFTracker[[#This Row],[Impact Time Post RM]]&gt;0, "IMPACTED", "NOT IMPACTED")</f>
        <v>IMPACTED</v>
      </c>
      <c r="AF654" s="15"/>
      <c r="AG654" s="18"/>
      <c r="AH654" s="14" t="str">
        <f>IF(WFTracker[[#This Row],[Status]]="C", "Closed", IF(WFTracker[[#This Row],[Status]] = "x", "Cancelled", WFTracker[[#This Row],[Impact Time Post RM]]))</f>
        <v>Cancelled</v>
      </c>
      <c r="AI654" s="14" t="str">
        <f ca="1">IF(WFTracker[[#This Row],[Impact Time Post RM]]&lt;=0,"ON TIME","LATE")</f>
        <v>LATE</v>
      </c>
      <c r="AJ654" s="14" t="s">
        <v>984</v>
      </c>
      <c r="AK654" s="14">
        <v>2</v>
      </c>
      <c r="AL654" s="915">
        <f>IF(WFTracker[[#This Row],[Type]]="MAKE", WFTracker[[#This Row],[Due date]]+Filters!$J$111, WFTracker[[#This Row],[Due date]]+Filters!$J$135)</f>
        <v>46029.415686274508</v>
      </c>
      <c r="AM654" s="102" cm="1">
        <f t="array" ref="AM654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655" spans="1:39" ht="15" customHeight="1">
      <c r="A655" t="str">
        <f>IF(WFTracker[[#This Row],[Order Number]]="SWBD", "QED2", "PZ4")</f>
        <v>PZ4</v>
      </c>
      <c r="B655" s="21" t="s">
        <v>615</v>
      </c>
      <c r="C655" s="26" t="s">
        <v>293</v>
      </c>
      <c r="D655" s="11" t="str">
        <f>WFTracker[[#This Row],[Order Number]]  &amp; "-" &amp; WFTracker[[#This Row],[Item]]</f>
        <v>0051354978-000080</v>
      </c>
      <c r="E655" s="23" t="s">
        <v>617</v>
      </c>
      <c r="F655" s="12">
        <v>45981</v>
      </c>
      <c r="G655" s="12">
        <v>46044</v>
      </c>
      <c r="H655" s="11" t="s">
        <v>137</v>
      </c>
      <c r="I655" s="11" t="s">
        <v>241</v>
      </c>
      <c r="J655" s="55" t="s">
        <v>1551</v>
      </c>
      <c r="K655" s="14" t="s">
        <v>1017</v>
      </c>
      <c r="L655" s="15" t="s">
        <v>1430</v>
      </c>
      <c r="M655" s="29" t="s">
        <v>1120</v>
      </c>
      <c r="N655" s="57">
        <v>46042</v>
      </c>
      <c r="O655" s="15">
        <f>NETWORKDAYS.INTL(WFTracker[[#This Row],[Start date]],WFTracker[[#This Row],[RM]],1,Holidays!D666:D681)</f>
        <v>-34</v>
      </c>
      <c r="P655" s="12">
        <v>46028</v>
      </c>
      <c r="Q655" s="12">
        <v>46031</v>
      </c>
      <c r="R655" s="12">
        <v>46030</v>
      </c>
      <c r="S655" s="12" t="b">
        <f>ISBLANK(WFTracker[[#This Row],[Completion Date]])</f>
        <v>0</v>
      </c>
      <c r="T655" s="12" t="str">
        <f>TEXT(WFTracker[[#This Row],[Start date]],"mmm-yyyy")</f>
        <v>Jan-2026</v>
      </c>
      <c r="U655" s="11">
        <v>10</v>
      </c>
      <c r="V655" s="11">
        <f>NETWORKDAYS.INTL(WFTracker[[#This Row],[Start date]],WFTracker[[#This Row],[Due date]],1,Holidays!D666:D681)</f>
        <v>4</v>
      </c>
      <c r="W6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55" s="24">
        <f ca="1">WFTracker[[#This Row],[Active Time]]-WFTracker[[#This Row],[Completion Days Template]]</f>
        <v>-1</v>
      </c>
      <c r="Y655" s="16" t="str">
        <f ca="1" xml:space="preserve"> IF(WFTracker[[#This Row],[Overdue Time '[Expected-Completion']]]&gt;0, "LATE","ON TIME")</f>
        <v>ON TIME</v>
      </c>
      <c r="Z655" s="16" t="str">
        <f ca="1">IF(WFTracker[[#This Row],[Overdue Time '[Expected-Completion']]] &gt;= 15, "SUPER LATE", Y655)</f>
        <v>ON TIME</v>
      </c>
      <c r="AA655" s="37" t="str">
        <f>IF(WFTracker[[#This Row],[Pre RM Opening Time]]&lt;WFTracker[[#This Row],[Old vs New Order Lead Time WF dead line]], "LATE BY ENG", "ON TIME BY ENG")</f>
        <v>LATE BY ENG</v>
      </c>
      <c r="AB655" s="37"/>
      <c r="AC655" s="928" t="str" cm="1">
        <f t="array" ref="AC655">_xlfn.IFS(
    WFTracker[[#This Row],[Cancelation Cause]]&lt;&gt;"", "X",
    WFTracker[[#This Row],[Competion Date Content]] = FALSE, "C",
    TRUE, "I"
)</f>
        <v>C</v>
      </c>
      <c r="AD6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31</v>
      </c>
      <c r="AE655" s="25" t="str">
        <f ca="1">IF(WFTracker[[#This Row],[Impact Time Post RM]]&gt;0, "IMPACTED", "NOT IMPACTED")</f>
        <v>IMPACTED</v>
      </c>
      <c r="AF655" s="15"/>
      <c r="AG655" s="18"/>
      <c r="AH655" s="14" t="str">
        <f>IF(WFTracker[[#This Row],[Status]]="C", "Closed", IF(WFTracker[[#This Row],[Status]] = "x", "Cancelled", WFTracker[[#This Row],[Impact Time Post RM]]))</f>
        <v>Closed</v>
      </c>
      <c r="AI655" s="14" t="str">
        <f ca="1">IF(WFTracker[[#This Row],[Impact Time Post RM]]&lt;=0,"ON TIME","LATE")</f>
        <v>LATE</v>
      </c>
      <c r="AJ655" s="14" t="s">
        <v>984</v>
      </c>
      <c r="AK655" s="14">
        <v>8</v>
      </c>
      <c r="AL655" s="915">
        <f>IF(WFTracker[[#This Row],[Type]]="MAKE", WFTracker[[#This Row],[Due date]]+Filters!$J$111, WFTracker[[#This Row],[Due date]]+Filters!$J$135)</f>
        <v>46031.415686274508</v>
      </c>
      <c r="AM655" s="102" cm="1">
        <f t="array" ref="AM655">_xlfn.IFS(WFTracker[[#This Row],[Type]]="BUY", WFTracker[[#This Row],[Task Number]]/17,
     WFTracker[[#This Row],[Type]]="MAKE", WFTracker[[#This Row],[Task Number]]/18,
     WFTracker[[#This Row],[Type]]="CNG-BOM", WFTracker[[#This Row],[Task Number]]/11)</f>
        <v>0.72727272727272729</v>
      </c>
    </row>
    <row r="656" spans="1:39" ht="15" customHeight="1">
      <c r="A656" t="str">
        <f>IF(WFTracker[[#This Row],[Order Number]]="SWBD", "QED2", "PZ4")</f>
        <v>PZ4</v>
      </c>
      <c r="B656" s="21" t="s">
        <v>615</v>
      </c>
      <c r="C656" s="26" t="s">
        <v>293</v>
      </c>
      <c r="D656" s="11" t="str">
        <f>WFTracker[[#This Row],[Order Number]]  &amp; "-" &amp; WFTracker[[#This Row],[Item]]</f>
        <v>0051354978-000080</v>
      </c>
      <c r="E656" s="23" t="s">
        <v>617</v>
      </c>
      <c r="F656" s="12">
        <v>45981</v>
      </c>
      <c r="G656" s="12">
        <v>46044</v>
      </c>
      <c r="H656" s="11" t="s">
        <v>137</v>
      </c>
      <c r="I656" s="11" t="s">
        <v>429</v>
      </c>
      <c r="J656" s="55" t="s">
        <v>1552</v>
      </c>
      <c r="K656" s="14" t="s">
        <v>1017</v>
      </c>
      <c r="L656" s="15" t="s">
        <v>1430</v>
      </c>
      <c r="M656" s="29" t="s">
        <v>1120</v>
      </c>
      <c r="N656" s="57">
        <v>46042</v>
      </c>
      <c r="O656" s="15">
        <f>NETWORKDAYS.INTL(WFTracker[[#This Row],[Start date]],WFTracker[[#This Row],[RM]],1,Holidays!D667:D682)</f>
        <v>-34</v>
      </c>
      <c r="P656" s="12">
        <v>46028</v>
      </c>
      <c r="Q656" s="12">
        <v>46031</v>
      </c>
      <c r="R656" s="12">
        <v>46030</v>
      </c>
      <c r="S656" s="12" t="b">
        <f>ISBLANK(WFTracker[[#This Row],[Completion Date]])</f>
        <v>0</v>
      </c>
      <c r="T656" s="12" t="str">
        <f>TEXT(WFTracker[[#This Row],[Start date]],"mmm-yyyy")</f>
        <v>Jan-2026</v>
      </c>
      <c r="U656" s="11">
        <v>10</v>
      </c>
      <c r="V656" s="11">
        <f>NETWORKDAYS.INTL(WFTracker[[#This Row],[Start date]],WFTracker[[#This Row],[Due date]],1,Holidays!D667:D682)</f>
        <v>4</v>
      </c>
      <c r="W6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56" s="24">
        <f ca="1">WFTracker[[#This Row],[Active Time]]-WFTracker[[#This Row],[Completion Days Template]]</f>
        <v>-1</v>
      </c>
      <c r="Y656" s="16" t="str">
        <f ca="1" xml:space="preserve"> IF(WFTracker[[#This Row],[Overdue Time '[Expected-Completion']]]&gt;0, "LATE","ON TIME")</f>
        <v>ON TIME</v>
      </c>
      <c r="Z656" s="16" t="str">
        <f ca="1">IF(WFTracker[[#This Row],[Overdue Time '[Expected-Completion']]] &gt;= 15, "SUPER LATE", Y656)</f>
        <v>ON TIME</v>
      </c>
      <c r="AA656" s="37" t="str">
        <f>IF(WFTracker[[#This Row],[Pre RM Opening Time]]&lt;WFTracker[[#This Row],[Old vs New Order Lead Time WF dead line]], "LATE BY ENG", "ON TIME BY ENG")</f>
        <v>LATE BY ENG</v>
      </c>
      <c r="AB656" s="37"/>
      <c r="AC656" s="928" t="str" cm="1">
        <f t="array" ref="AC656">_xlfn.IFS(
    WFTracker[[#This Row],[Cancelation Cause]]&lt;&gt;"", "X",
    WFTracker[[#This Row],[Competion Date Content]] = FALSE, "C",
    TRUE, "I"
)</f>
        <v>C</v>
      </c>
      <c r="AD6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31</v>
      </c>
      <c r="AE656" s="25" t="str">
        <f ca="1">IF(WFTracker[[#This Row],[Impact Time Post RM]]&gt;0, "IMPACTED", "NOT IMPACTED")</f>
        <v>IMPACTED</v>
      </c>
      <c r="AF656" s="15"/>
      <c r="AG656" s="18"/>
      <c r="AH656" s="14" t="str">
        <f>IF(WFTracker[[#This Row],[Status]]="C", "Closed", IF(WFTracker[[#This Row],[Status]] = "x", "Cancelled", WFTracker[[#This Row],[Impact Time Post RM]]))</f>
        <v>Closed</v>
      </c>
      <c r="AI656" s="14" t="str">
        <f ca="1">IF(WFTracker[[#This Row],[Impact Time Post RM]]&lt;=0,"ON TIME","LATE")</f>
        <v>LATE</v>
      </c>
      <c r="AJ656" s="14" t="s">
        <v>984</v>
      </c>
      <c r="AK656" s="14">
        <v>8</v>
      </c>
      <c r="AL656" s="915">
        <f>IF(WFTracker[[#This Row],[Type]]="MAKE", WFTracker[[#This Row],[Due date]]+Filters!$J$111, WFTracker[[#This Row],[Due date]]+Filters!$J$135)</f>
        <v>46031.415686274508</v>
      </c>
      <c r="AM656" s="102" cm="1">
        <f t="array" ref="AM656">_xlfn.IFS(WFTracker[[#This Row],[Type]]="BUY", WFTracker[[#This Row],[Task Number]]/17,
     WFTracker[[#This Row],[Type]]="MAKE", WFTracker[[#This Row],[Task Number]]/18,
     WFTracker[[#This Row],[Type]]="CNG-BOM", WFTracker[[#This Row],[Task Number]]/11)</f>
        <v>0.72727272727272729</v>
      </c>
    </row>
    <row r="657" spans="1:39" ht="15" customHeight="1">
      <c r="A657" t="str">
        <f>IF(WFTracker[[#This Row],[Order Number]]="SWBD", "QED2", "PZ4")</f>
        <v>PZ4</v>
      </c>
      <c r="B657" s="21" t="s">
        <v>615</v>
      </c>
      <c r="C657" s="26" t="s">
        <v>293</v>
      </c>
      <c r="D657" s="11" t="str">
        <f>WFTracker[[#This Row],[Order Number]]  &amp; "-" &amp; WFTracker[[#This Row],[Item]]</f>
        <v>0051354978-000080</v>
      </c>
      <c r="E657" s="23" t="s">
        <v>617</v>
      </c>
      <c r="F657" s="12">
        <v>45981</v>
      </c>
      <c r="G657" s="12">
        <v>46044</v>
      </c>
      <c r="H657" s="11" t="s">
        <v>137</v>
      </c>
      <c r="I657" s="11" t="s">
        <v>429</v>
      </c>
      <c r="J657" s="55" t="s">
        <v>1553</v>
      </c>
      <c r="K657" s="14" t="s">
        <v>1017</v>
      </c>
      <c r="L657" s="15" t="s">
        <v>27</v>
      </c>
      <c r="M657" s="29" t="s">
        <v>1120</v>
      </c>
      <c r="N657" s="57">
        <v>46042</v>
      </c>
      <c r="O657" s="15">
        <f>NETWORKDAYS.INTL(WFTracker[[#This Row],[Start date]],WFTracker[[#This Row],[RM]],1,Holidays!D661:D676)</f>
        <v>-34</v>
      </c>
      <c r="P657" s="12">
        <v>46028</v>
      </c>
      <c r="Q657" s="12">
        <v>46033</v>
      </c>
      <c r="R657" s="12">
        <v>46031</v>
      </c>
      <c r="S657" s="12" t="b">
        <f>ISBLANK(WFTracker[[#This Row],[Completion Date]])</f>
        <v>0</v>
      </c>
      <c r="T657" s="12" t="str">
        <f>TEXT(WFTracker[[#This Row],[Start date]],"mmm-yyyy")</f>
        <v>Jan-2026</v>
      </c>
      <c r="U657" s="11">
        <v>10</v>
      </c>
      <c r="V657" s="11">
        <f>NETWORKDAYS.INTL(WFTracker[[#This Row],[Start date]],WFTracker[[#This Row],[Due date]],1,Holidays!D661:D676)</f>
        <v>4</v>
      </c>
      <c r="W6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657" s="24">
        <f ca="1">WFTracker[[#This Row],[Active Time]]-WFTracker[[#This Row],[Completion Days Template]]</f>
        <v>0</v>
      </c>
      <c r="Y657" s="16" t="str">
        <f ca="1" xml:space="preserve"> IF(WFTracker[[#This Row],[Overdue Time '[Expected-Completion']]]&gt;0, "LATE","ON TIME")</f>
        <v>ON TIME</v>
      </c>
      <c r="Z657" s="16" t="str">
        <f ca="1">IF(WFTracker[[#This Row],[Overdue Time '[Expected-Completion']]] &gt;= 15, "SUPER LATE", Y657)</f>
        <v>ON TIME</v>
      </c>
      <c r="AA657" s="37" t="str">
        <f>IF(WFTracker[[#This Row],[Pre RM Opening Time]]&lt;WFTracker[[#This Row],[Old vs New Order Lead Time WF dead line]], "LATE BY ENG", "ON TIME BY ENG")</f>
        <v>LATE BY ENG</v>
      </c>
      <c r="AB657" s="37"/>
      <c r="AC657" s="928" t="str" cm="1">
        <f t="array" ref="AC657">_xlfn.IFS(
    WFTracker[[#This Row],[Cancelation Cause]]&lt;&gt;"", "X",
    WFTracker[[#This Row],[Competion Date Content]] = FALSE, "C",
    TRUE, "I"
)</f>
        <v>C</v>
      </c>
      <c r="AD6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32</v>
      </c>
      <c r="AE657" s="25" t="str">
        <f ca="1">IF(WFTracker[[#This Row],[Impact Time Post RM]]&gt;0, "IMPACTED", "NOT IMPACTED")</f>
        <v>IMPACTED</v>
      </c>
      <c r="AF657" s="15"/>
      <c r="AG657" s="18"/>
      <c r="AH657" s="14" t="str">
        <f>IF(WFTracker[[#This Row],[Status]]="C", "Closed", IF(WFTracker[[#This Row],[Status]] = "x", "Cancelled", WFTracker[[#This Row],[Impact Time Post RM]]))</f>
        <v>Closed</v>
      </c>
      <c r="AI657" s="14" t="str">
        <f ca="1">IF(WFTracker[[#This Row],[Impact Time Post RM]]&lt;=0,"ON TIME","LATE")</f>
        <v>LATE</v>
      </c>
      <c r="AJ657" s="14" t="s">
        <v>984</v>
      </c>
      <c r="AK657" s="14">
        <v>18</v>
      </c>
      <c r="AL657" s="915">
        <f>IF(WFTracker[[#This Row],[Type]]="MAKE", WFTracker[[#This Row],[Due date]]+Filters!$J$111, WFTracker[[#This Row],[Due date]]+Filters!$J$135)</f>
        <v>46036.072512647552</v>
      </c>
      <c r="AM657" s="102" cm="1">
        <f t="array" ref="AM65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58" spans="1:39" ht="15" customHeight="1">
      <c r="A658" t="str">
        <f>IF(WFTracker[[#This Row],[Order Number]]="SWBD", "QED2", "PZ4")</f>
        <v>PZ4</v>
      </c>
      <c r="B658" s="21" t="s">
        <v>791</v>
      </c>
      <c r="C658" s="26" t="s">
        <v>135</v>
      </c>
      <c r="D658" s="11" t="s">
        <v>1554</v>
      </c>
      <c r="E658" s="23" t="s">
        <v>792</v>
      </c>
      <c r="F658" s="12">
        <v>46052</v>
      </c>
      <c r="G658" s="12">
        <v>46045</v>
      </c>
      <c r="H658" s="11" t="s">
        <v>110</v>
      </c>
      <c r="I658" s="11" t="s">
        <v>1555</v>
      </c>
      <c r="J658" s="55" t="s">
        <v>1556</v>
      </c>
      <c r="K658" s="14" t="s">
        <v>1023</v>
      </c>
      <c r="L658" s="15" t="s">
        <v>40</v>
      </c>
      <c r="M658" s="29" t="s">
        <v>1120</v>
      </c>
      <c r="N658" s="57">
        <v>46128</v>
      </c>
      <c r="O658" s="15">
        <f>NETWORKDAYS.INTL(WFTracker[[#This Row],[Start date]],WFTracker[[#This Row],[RM]],1,Holidays!D665:D680)</f>
        <v>19</v>
      </c>
      <c r="P658" s="12">
        <v>46028</v>
      </c>
      <c r="Q658" s="12">
        <v>46036</v>
      </c>
      <c r="R658" s="12">
        <v>46036</v>
      </c>
      <c r="S658" s="12" t="b">
        <f>ISBLANK(WFTracker[[#This Row],[Completion Date]])</f>
        <v>0</v>
      </c>
      <c r="T658" s="12" t="str">
        <f>TEXT(WFTracker[[#This Row],[Start date]],"mmm-yyyy")</f>
        <v>Jan-2026</v>
      </c>
      <c r="U658" s="11">
        <v>10</v>
      </c>
      <c r="V658" s="11">
        <f>NETWORKDAYS.INTL(WFTracker[[#This Row],[Start date]],WFTracker[[#This Row],[Due date]],1,Holidays!D665:D680)</f>
        <v>7</v>
      </c>
      <c r="W6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58" s="24">
        <f ca="1">WFTracker[[#This Row],[Active Time]]-WFTracker[[#This Row],[Completion Days Template]]</f>
        <v>0</v>
      </c>
      <c r="Y658" s="16" t="str">
        <f ca="1" xml:space="preserve"> IF(WFTracker[[#This Row],[Overdue Time '[Expected-Completion']]]&gt;0, "LATE","ON TIME")</f>
        <v>ON TIME</v>
      </c>
      <c r="Z658" s="16" t="str">
        <f ca="1">IF(WFTracker[[#This Row],[Overdue Time '[Expected-Completion']]] &gt;= 15, "SUPER LATE", Y658)</f>
        <v>ON TIME</v>
      </c>
      <c r="AA658" s="37" t="str">
        <f>IF(WFTracker[[#This Row],[Pre RM Opening Time]]&lt;WFTracker[[#This Row],[Old vs New Order Lead Time WF dead line]], "LATE BY ENG", "ON TIME BY ENG")</f>
        <v>ON TIME BY ENG</v>
      </c>
      <c r="AB658" s="37"/>
      <c r="AC658" s="928" t="str" cm="1">
        <f t="array" ref="AC658">_xlfn.IFS(
    WFTracker[[#This Row],[Cancelation Cause]]&lt;&gt;"", "X",
    WFTracker[[#This Row],[Competion Date Content]] = FALSE, "C",
    TRUE, "I"
)</f>
        <v>C</v>
      </c>
      <c r="AD6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658" s="25" t="str">
        <f ca="1">IF(WFTracker[[#This Row],[Impact Time Post RM]]&gt;0, "IMPACTED", "NOT IMPACTED")</f>
        <v>NOT IMPACTED</v>
      </c>
      <c r="AF658" s="15"/>
      <c r="AG658" s="18"/>
      <c r="AH658" s="14" t="str">
        <f>IF(WFTracker[[#This Row],[Status]]="C", "Closed", IF(WFTracker[[#This Row],[Status]] = "x", "Cancelled", WFTracker[[#This Row],[Impact Time Post RM]]))</f>
        <v>Closed</v>
      </c>
      <c r="AI658" s="14" t="str">
        <f ca="1">IF(WFTracker[[#This Row],[Impact Time Post RM]]&lt;=0,"ON TIME","LATE")</f>
        <v>ON TIME</v>
      </c>
      <c r="AJ658" s="14" t="s">
        <v>984</v>
      </c>
      <c r="AK658" s="14">
        <v>17</v>
      </c>
      <c r="AL658" s="915">
        <f>IF(WFTracker[[#This Row],[Type]]="MAKE", WFTracker[[#This Row],[Due date]]+Filters!$J$111, WFTracker[[#This Row],[Due date]]+Filters!$J$135)</f>
        <v>46036.415686274508</v>
      </c>
      <c r="AM658" s="102" cm="1">
        <f t="array" ref="AM6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59" spans="1:39" ht="15" customHeight="1">
      <c r="A659" t="str">
        <f>IF(WFTracker[[#This Row],[Order Number]]="SWBD", "QED2", "PZ4")</f>
        <v>PZ4</v>
      </c>
      <c r="B659" s="21" t="s">
        <v>769</v>
      </c>
      <c r="C659" s="26" t="s">
        <v>135</v>
      </c>
      <c r="D659" s="11" t="str">
        <f>WFTracker[[#This Row],[Order Number]]  &amp; "-" &amp; WFTracker[[#This Row],[Item]]</f>
        <v>0051732952-000010</v>
      </c>
      <c r="E659" s="23" t="s">
        <v>770</v>
      </c>
      <c r="F659" s="12">
        <v>46045</v>
      </c>
      <c r="G659" s="12">
        <v>46038</v>
      </c>
      <c r="H659" s="11"/>
      <c r="I659" s="11" t="s">
        <v>216</v>
      </c>
      <c r="J659" s="55" t="s">
        <v>772</v>
      </c>
      <c r="K659" s="14" t="s">
        <v>1017</v>
      </c>
      <c r="L659" s="15" t="s">
        <v>27</v>
      </c>
      <c r="M659" s="29" t="s">
        <v>1120</v>
      </c>
      <c r="N659" s="57">
        <v>46139</v>
      </c>
      <c r="O659" s="15">
        <f>NETWORKDAYS.INTL(WFTracker[[#This Row],[Start date]],WFTracker[[#This Row],[RM]],1,Holidays!D663:D678)</f>
        <v>13</v>
      </c>
      <c r="P659" s="12">
        <v>46029</v>
      </c>
      <c r="Q659" s="12">
        <v>46035</v>
      </c>
      <c r="R659" s="12">
        <v>46037</v>
      </c>
      <c r="S659" s="12" t="b">
        <f>ISBLANK(WFTracker[[#This Row],[Completion Date]])</f>
        <v>0</v>
      </c>
      <c r="T659" s="12" t="str">
        <f>TEXT(WFTracker[[#This Row],[Start date]],"mmm-yyyy")</f>
        <v>Jan-2026</v>
      </c>
      <c r="U659" s="11">
        <v>10</v>
      </c>
      <c r="V659" s="11">
        <f>NETWORKDAYS.INTL(WFTracker[[#This Row],[Start date]],WFTracker[[#This Row],[Due date]],1,Holidays!D663:D678)</f>
        <v>5</v>
      </c>
      <c r="W6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59" s="24">
        <f ca="1">WFTracker[[#This Row],[Active Time]]-WFTracker[[#This Row],[Completion Days Template]]</f>
        <v>2</v>
      </c>
      <c r="Y659" s="16" t="str">
        <f ca="1" xml:space="preserve"> IF(WFTracker[[#This Row],[Overdue Time '[Expected-Completion']]]&gt;0, "LATE","ON TIME")</f>
        <v>LATE</v>
      </c>
      <c r="Z659" s="16" t="str">
        <f ca="1">IF(WFTracker[[#This Row],[Overdue Time '[Expected-Completion']]] &gt;= 15, "SUPER LATE", Y659)</f>
        <v>LATE</v>
      </c>
      <c r="AA659" s="37" t="str">
        <f>IF(WFTracker[[#This Row],[Pre RM Opening Time]]&lt;WFTracker[[#This Row],[Old vs New Order Lead Time WF dead line]], "LATE BY ENG", "ON TIME BY ENG")</f>
        <v>ON TIME BY ENG</v>
      </c>
      <c r="AB659" s="37"/>
      <c r="AC659" s="928" t="str" cm="1">
        <f t="array" ref="AC659">_xlfn.IFS(
    WFTracker[[#This Row],[Cancelation Cause]]&lt;&gt;"", "X",
    WFTracker[[#This Row],[Competion Date Content]] = FALSE, "C",
    TRUE, "I"
)</f>
        <v>C</v>
      </c>
      <c r="AD6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659" s="25" t="str">
        <f ca="1">IF(WFTracker[[#This Row],[Impact Time Post RM]]&gt;0, "IMPACTED", "NOT IMPACTED")</f>
        <v>NOT IMPACTED</v>
      </c>
      <c r="AF659" s="15"/>
      <c r="AG659" s="18"/>
      <c r="AH659" s="14" t="str">
        <f>IF(WFTracker[[#This Row],[Status]]="C", "Closed", IF(WFTracker[[#This Row],[Status]] = "x", "Cancelled", WFTracker[[#This Row],[Impact Time Post RM]]))</f>
        <v>Closed</v>
      </c>
      <c r="AI659" s="14" t="str">
        <f ca="1">IF(WFTracker[[#This Row],[Impact Time Post RM]]&lt;=0,"ON TIME","LATE")</f>
        <v>ON TIME</v>
      </c>
      <c r="AJ659" s="14" t="s">
        <v>984</v>
      </c>
      <c r="AK659" s="14">
        <v>18</v>
      </c>
      <c r="AL659" s="915">
        <f>IF(WFTracker[[#This Row],[Type]]="MAKE", WFTracker[[#This Row],[Due date]]+Filters!$J$111, WFTracker[[#This Row],[Due date]]+Filters!$J$135)</f>
        <v>46038.072512647552</v>
      </c>
      <c r="AM659" s="102" cm="1">
        <f t="array" ref="AM6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0" spans="1:39" ht="15" customHeight="1">
      <c r="A660" t="str">
        <f>IF(WFTracker[[#This Row],[Order Number]]="SWBD", "QED2", "PZ4")</f>
        <v>PZ4</v>
      </c>
      <c r="B660" s="21" t="s">
        <v>902</v>
      </c>
      <c r="C660" s="26" t="s">
        <v>135</v>
      </c>
      <c r="D660" s="11" t="str">
        <f>WFTracker[[#This Row],[Order Number]]  &amp; "-" &amp; WFTracker[[#This Row],[Item]]</f>
        <v>0051674363-000010</v>
      </c>
      <c r="E660" s="23" t="s">
        <v>903</v>
      </c>
      <c r="F660" s="12">
        <v>46101</v>
      </c>
      <c r="G660" s="12">
        <v>46094</v>
      </c>
      <c r="H660" s="11" t="s">
        <v>259</v>
      </c>
      <c r="I660" s="11"/>
      <c r="J660" s="55" t="s">
        <v>1557</v>
      </c>
      <c r="K660" s="14" t="s">
        <v>1023</v>
      </c>
      <c r="L660" s="15" t="s">
        <v>27</v>
      </c>
      <c r="M660" s="29" t="s">
        <v>1120</v>
      </c>
      <c r="N660" s="57">
        <v>46205</v>
      </c>
      <c r="O660" s="15">
        <f>NETWORKDAYS.INTL(WFTracker[[#This Row],[Start date]],WFTracker[[#This Row],[RM]],1,Holidays!D666:D681)</f>
        <v>51</v>
      </c>
      <c r="P660" s="12">
        <v>46031</v>
      </c>
      <c r="Q660" s="12">
        <v>46037</v>
      </c>
      <c r="R660" s="12">
        <v>46042</v>
      </c>
      <c r="S660" s="12" t="b">
        <f>ISBLANK(WFTracker[[#This Row],[Completion Date]])</f>
        <v>0</v>
      </c>
      <c r="T660" s="12" t="str">
        <f>TEXT(WFTracker[[#This Row],[Start date]],"mmm-yyyy")</f>
        <v>Jan-2026</v>
      </c>
      <c r="U660" s="11">
        <v>10</v>
      </c>
      <c r="V660" s="11">
        <f>NETWORKDAYS.INTL(WFTracker[[#This Row],[Start date]],WFTracker[[#This Row],[Due date]],1,Holidays!D666:D681)</f>
        <v>5</v>
      </c>
      <c r="W6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660" s="24">
        <f ca="1">WFTracker[[#This Row],[Active Time]]-WFTracker[[#This Row],[Completion Days Template]]</f>
        <v>3</v>
      </c>
      <c r="Y660" s="16" t="str">
        <f ca="1" xml:space="preserve"> IF(WFTracker[[#This Row],[Overdue Time '[Expected-Completion']]]&gt;0, "LATE","ON TIME")</f>
        <v>LATE</v>
      </c>
      <c r="Z660" s="16" t="str">
        <f ca="1">IF(WFTracker[[#This Row],[Overdue Time '[Expected-Completion']]] &gt;= 15, "SUPER LATE", Y660)</f>
        <v>LATE</v>
      </c>
      <c r="AA660" s="37" t="str">
        <f>IF(WFTracker[[#This Row],[Pre RM Opening Time]]&lt;WFTracker[[#This Row],[Old vs New Order Lead Time WF dead line]], "LATE BY ENG", "ON TIME BY ENG")</f>
        <v>ON TIME BY ENG</v>
      </c>
      <c r="AB660" s="37"/>
      <c r="AC660" s="928" t="str" cm="1">
        <f t="array" ref="AC660">_xlfn.IFS(
    WFTracker[[#This Row],[Cancelation Cause]]&lt;&gt;"", "X",
    WFTracker[[#This Row],[Competion Date Content]] = FALSE, "C",
    TRUE, "I"
)</f>
        <v>C</v>
      </c>
      <c r="AD6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-44</v>
      </c>
      <c r="AE660" s="25" t="str">
        <f ca="1">IF(WFTracker[[#This Row],[Impact Time Post RM]]&gt;0, "IMPACTED", "NOT IMPACTED")</f>
        <v>NOT IMPACTED</v>
      </c>
      <c r="AF660" s="15"/>
      <c r="AG660" s="18"/>
      <c r="AH660" s="14" t="str">
        <f>IF(WFTracker[[#This Row],[Status]]="C", "Closed", IF(WFTracker[[#This Row],[Status]] = "x", "Cancelled", WFTracker[[#This Row],[Impact Time Post RM]]))</f>
        <v>Closed</v>
      </c>
      <c r="AI660" s="14" t="str">
        <f ca="1">IF(WFTracker[[#This Row],[Impact Time Post RM]]&lt;=0,"ON TIME","LATE")</f>
        <v>ON TIME</v>
      </c>
      <c r="AJ660" s="14" t="s">
        <v>984</v>
      </c>
      <c r="AK660" s="14">
        <v>18</v>
      </c>
      <c r="AL660" s="915">
        <f>IF(WFTracker[[#This Row],[Type]]="MAKE", WFTracker[[#This Row],[Due date]]+Filters!$J$111, WFTracker[[#This Row],[Due date]]+Filters!$J$135)</f>
        <v>46040.072512647552</v>
      </c>
      <c r="AM660" s="102" cm="1">
        <f t="array" ref="AM6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1" spans="1:39" ht="15" customHeight="1">
      <c r="A661" t="str">
        <f>IF(WFTracker[[#This Row],[Order Number]]="SWBD", "QED2", "PZ4")</f>
        <v>PZ4</v>
      </c>
      <c r="B661" s="21" t="s">
        <v>902</v>
      </c>
      <c r="C661" s="26" t="s">
        <v>135</v>
      </c>
      <c r="D661" s="11" t="str">
        <f>WFTracker[[#This Row],[Order Number]]  &amp; "-" &amp; WFTracker[[#This Row],[Item]]</f>
        <v>0051674363-000010</v>
      </c>
      <c r="E661" s="23" t="s">
        <v>903</v>
      </c>
      <c r="F661" s="12">
        <v>46101</v>
      </c>
      <c r="G661" s="12">
        <v>46094</v>
      </c>
      <c r="H661" s="11" t="s">
        <v>259</v>
      </c>
      <c r="I661" s="11"/>
      <c r="J661" s="55" t="s">
        <v>1558</v>
      </c>
      <c r="K661" s="14" t="s">
        <v>1023</v>
      </c>
      <c r="L661" s="15" t="s">
        <v>27</v>
      </c>
      <c r="M661" s="29" t="s">
        <v>1120</v>
      </c>
      <c r="N661" s="57">
        <v>46205</v>
      </c>
      <c r="O661" s="15">
        <f>NETWORKDAYS.INTL(WFTracker[[#This Row],[Start date]],WFTracker[[#This Row],[RM]],1,Holidays!D667:D682)</f>
        <v>51</v>
      </c>
      <c r="P661" s="12">
        <v>46031</v>
      </c>
      <c r="Q661" s="12">
        <v>46037</v>
      </c>
      <c r="R661" s="12">
        <v>46043</v>
      </c>
      <c r="S661" s="12" t="b">
        <f>ISBLANK(WFTracker[[#This Row],[Completion Date]])</f>
        <v>0</v>
      </c>
      <c r="T661" s="12" t="str">
        <f>TEXT(WFTracker[[#This Row],[Start date]],"mmm-yyyy")</f>
        <v>Jan-2026</v>
      </c>
      <c r="U661" s="11">
        <v>10</v>
      </c>
      <c r="V661" s="11">
        <f>NETWORKDAYS.INTL(WFTracker[[#This Row],[Start date]],WFTracker[[#This Row],[Due date]],1,Holidays!D667:D682)</f>
        <v>5</v>
      </c>
      <c r="W6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61" s="24">
        <f ca="1">WFTracker[[#This Row],[Active Time]]-WFTracker[[#This Row],[Completion Days Template]]</f>
        <v>4</v>
      </c>
      <c r="Y661" s="16" t="str">
        <f ca="1" xml:space="preserve"> IF(WFTracker[[#This Row],[Overdue Time '[Expected-Completion']]]&gt;0, "LATE","ON TIME")</f>
        <v>LATE</v>
      </c>
      <c r="Z661" s="16" t="str">
        <f ca="1">IF(WFTracker[[#This Row],[Overdue Time '[Expected-Completion']]] &gt;= 15, "SUPER LATE", Y661)</f>
        <v>LATE</v>
      </c>
      <c r="AA661" s="37" t="str">
        <f>IF(WFTracker[[#This Row],[Pre RM Opening Time]]&lt;WFTracker[[#This Row],[Old vs New Order Lead Time WF dead line]], "LATE BY ENG", "ON TIME BY ENG")</f>
        <v>ON TIME BY ENG</v>
      </c>
      <c r="AB661" s="37"/>
      <c r="AC661" s="928" t="str" cm="1">
        <f t="array" ref="AC661">_xlfn.IFS(
    WFTracker[[#This Row],[Cancelation Cause]]&lt;&gt;"", "X",
    WFTracker[[#This Row],[Competion Date Content]] = FALSE, "C",
    TRUE, "I"
)</f>
        <v>C</v>
      </c>
      <c r="AD6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-43</v>
      </c>
      <c r="AE661" s="25" t="str">
        <f ca="1">IF(WFTracker[[#This Row],[Impact Time Post RM]]&gt;0, "IMPACTED", "NOT IMPACTED")</f>
        <v>NOT IMPACTED</v>
      </c>
      <c r="AF661" s="15"/>
      <c r="AG661" s="18"/>
      <c r="AH661" s="14" t="str">
        <f>IF(WFTracker[[#This Row],[Status]]="C", "Closed", IF(WFTracker[[#This Row],[Status]] = "x", "Cancelled", WFTracker[[#This Row],[Impact Time Post RM]]))</f>
        <v>Closed</v>
      </c>
      <c r="AI661" s="14" t="str">
        <f ca="1">IF(WFTracker[[#This Row],[Impact Time Post RM]]&lt;=0,"ON TIME","LATE")</f>
        <v>ON TIME</v>
      </c>
      <c r="AJ661" s="14" t="s">
        <v>984</v>
      </c>
      <c r="AK661" s="14">
        <v>18</v>
      </c>
      <c r="AL661" s="915">
        <f>IF(WFTracker[[#This Row],[Type]]="MAKE", WFTracker[[#This Row],[Due date]]+Filters!$J$111, WFTracker[[#This Row],[Due date]]+Filters!$J$135)</f>
        <v>46040.072512647552</v>
      </c>
      <c r="AM661" s="102" cm="1">
        <f t="array" ref="AM6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2" spans="1:39" ht="15" customHeight="1">
      <c r="A662" t="str">
        <f>IF(WFTracker[[#This Row],[Order Number]]="SWBD", "QED2", "PZ4")</f>
        <v>PZ4</v>
      </c>
      <c r="B662" s="21" t="s">
        <v>1559</v>
      </c>
      <c r="C662" s="26" t="s">
        <v>863</v>
      </c>
      <c r="D662" s="11" t="str">
        <f>WFTracker[[#This Row],[Order Number]]  &amp; "-" &amp; WFTracker[[#This Row],[Item]]</f>
        <v xml:space="preserve">	0051272041-002870</v>
      </c>
      <c r="E662" s="23" t="s">
        <v>864</v>
      </c>
      <c r="F662" s="12">
        <v>46080</v>
      </c>
      <c r="G662" s="12">
        <v>46073</v>
      </c>
      <c r="H662" s="11" t="s">
        <v>709</v>
      </c>
      <c r="I662" s="11"/>
      <c r="J662" s="55" t="s">
        <v>1560</v>
      </c>
      <c r="K662" s="14" t="s">
        <v>1023</v>
      </c>
      <c r="L662" s="15" t="s">
        <v>40</v>
      </c>
      <c r="M662" s="29" t="s">
        <v>1120</v>
      </c>
      <c r="N662" s="57">
        <v>46210</v>
      </c>
      <c r="O662" s="15">
        <f>NETWORKDAYS.INTL(WFTracker[[#This Row],[Start date]],WFTracker[[#This Row],[RM]],1,Holidays!D664:D679)</f>
        <v>36</v>
      </c>
      <c r="P662" s="12">
        <v>46031</v>
      </c>
      <c r="Q662" s="12">
        <v>46039</v>
      </c>
      <c r="R662" s="12">
        <v>46037</v>
      </c>
      <c r="S662" s="12" t="b">
        <f>ISBLANK(WFTracker[[#This Row],[Completion Date]])</f>
        <v>0</v>
      </c>
      <c r="T662" s="12" t="str">
        <f>TEXT(WFTracker[[#This Row],[Start date]],"mmm-yyyy")</f>
        <v>Jan-2026</v>
      </c>
      <c r="U662" s="11">
        <v>10</v>
      </c>
      <c r="V662" s="11">
        <f>NETWORKDAYS.INTL(WFTracker[[#This Row],[Start date]],WFTracker[[#This Row],[Due date]],1,Holidays!D664:D679)</f>
        <v>6</v>
      </c>
      <c r="W6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62" s="24">
        <f ca="1">WFTracker[[#This Row],[Active Time]]-WFTracker[[#This Row],[Completion Days Template]]</f>
        <v>-1</v>
      </c>
      <c r="Y662" s="16" t="str">
        <f ca="1" xml:space="preserve"> IF(WFTracker[[#This Row],[Overdue Time '[Expected-Completion']]]&gt;0, "LATE","ON TIME")</f>
        <v>ON TIME</v>
      </c>
      <c r="Z662" s="16" t="str">
        <f ca="1">IF(WFTracker[[#This Row],[Overdue Time '[Expected-Completion']]] &gt;= 15, "SUPER LATE", Y662)</f>
        <v>ON TIME</v>
      </c>
      <c r="AA662" s="37" t="str">
        <f>IF(WFTracker[[#This Row],[Pre RM Opening Time]]&lt;WFTracker[[#This Row],[Old vs New Order Lead Time WF dead line]], "LATE BY ENG", "ON TIME BY ENG")</f>
        <v>ON TIME BY ENG</v>
      </c>
      <c r="AB662" s="37"/>
      <c r="AC662" s="928" t="str" cm="1">
        <f t="array" ref="AC662">_xlfn.IFS(
    WFTracker[[#This Row],[Cancelation Cause]]&lt;&gt;"", "X",
    WFTracker[[#This Row],[Competion Date Content]] = FALSE, "C",
    TRUE, "I"
)</f>
        <v>C</v>
      </c>
      <c r="AD6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-32</v>
      </c>
      <c r="AE662" s="25" t="str">
        <f ca="1">IF(WFTracker[[#This Row],[Impact Time Post RM]]&gt;0, "IMPACTED", "NOT IMPACTED")</f>
        <v>NOT IMPACTED</v>
      </c>
      <c r="AF662" s="15"/>
      <c r="AG662" s="18"/>
      <c r="AH662" s="14" t="str">
        <f>IF(WFTracker[[#This Row],[Status]]="C", "Closed", IF(WFTracker[[#This Row],[Status]] = "x", "Cancelled", WFTracker[[#This Row],[Impact Time Post RM]]))</f>
        <v>Closed</v>
      </c>
      <c r="AI662" s="14" t="str">
        <f ca="1">IF(WFTracker[[#This Row],[Impact Time Post RM]]&lt;=0,"ON TIME","LATE")</f>
        <v>ON TIME</v>
      </c>
      <c r="AJ662" s="14" t="s">
        <v>984</v>
      </c>
      <c r="AK662" s="14">
        <v>17</v>
      </c>
      <c r="AL662" s="915">
        <f>IF(WFTracker[[#This Row],[Type]]="MAKE", WFTracker[[#This Row],[Due date]]+Filters!$J$111, WFTracker[[#This Row],[Due date]]+Filters!$J$135)</f>
        <v>46039.415686274508</v>
      </c>
      <c r="AM662" s="102" cm="1">
        <f t="array" ref="AM66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3" spans="1:39" ht="15" customHeight="1">
      <c r="A663" t="str">
        <f>IF(WFTracker[[#This Row],[Order Number]]="SWBD", "QED2", "PZ4")</f>
        <v>PZ4</v>
      </c>
      <c r="B663" s="21" t="s">
        <v>1561</v>
      </c>
      <c r="C663" s="26" t="s">
        <v>863</v>
      </c>
      <c r="D663" s="11" t="str">
        <f>WFTracker[[#This Row],[Order Number]]  &amp; "-" &amp; WFTracker[[#This Row],[Item]]</f>
        <v xml:space="preserve">
0051272041-002870</v>
      </c>
      <c r="E663" s="23" t="s">
        <v>864</v>
      </c>
      <c r="F663" s="12">
        <v>46080</v>
      </c>
      <c r="G663" s="12">
        <v>46073</v>
      </c>
      <c r="H663" s="11" t="s">
        <v>709</v>
      </c>
      <c r="I663" s="11"/>
      <c r="J663" s="55" t="s">
        <v>1562</v>
      </c>
      <c r="K663" s="14" t="s">
        <v>1023</v>
      </c>
      <c r="L663" s="15" t="s">
        <v>27</v>
      </c>
      <c r="M663" s="29" t="s">
        <v>1120</v>
      </c>
      <c r="N663" s="57">
        <v>46191</v>
      </c>
      <c r="O663" s="15">
        <f>NETWORKDAYS.INTL(WFTracker[[#This Row],[Start date]],WFTracker[[#This Row],[RM]],1,Holidays!D665:D680)</f>
        <v>36</v>
      </c>
      <c r="P663" s="12">
        <v>46031</v>
      </c>
      <c r="Q663" s="12">
        <v>46036</v>
      </c>
      <c r="R663" s="12">
        <v>46041</v>
      </c>
      <c r="S663" s="12" t="b">
        <f>ISBLANK(WFTracker[[#This Row],[Completion Date]])</f>
        <v>0</v>
      </c>
      <c r="T663" s="12" t="str">
        <f>TEXT(WFTracker[[#This Row],[Start date]],"mmm-yyyy")</f>
        <v>Jan-2026</v>
      </c>
      <c r="U663" s="11">
        <v>10</v>
      </c>
      <c r="V663" s="11">
        <f>NETWORKDAYS.INTL(WFTracker[[#This Row],[Start date]],WFTracker[[#This Row],[Due date]],1,Holidays!D665:D680)</f>
        <v>4</v>
      </c>
      <c r="W6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63" s="24">
        <f ca="1">WFTracker[[#This Row],[Active Time]]-WFTracker[[#This Row],[Completion Days Template]]</f>
        <v>3</v>
      </c>
      <c r="Y663" s="16" t="str">
        <f ca="1" xml:space="preserve"> IF(WFTracker[[#This Row],[Overdue Time '[Expected-Completion']]]&gt;0, "LATE","ON TIME")</f>
        <v>LATE</v>
      </c>
      <c r="Z663" s="16" t="str">
        <f ca="1">IF(WFTracker[[#This Row],[Overdue Time '[Expected-Completion']]] &gt;= 15, "SUPER LATE", Y663)</f>
        <v>LATE</v>
      </c>
      <c r="AA663" s="37" t="str">
        <f>IF(WFTracker[[#This Row],[Pre RM Opening Time]]&lt;WFTracker[[#This Row],[Old vs New Order Lead Time WF dead line]], "LATE BY ENG", "ON TIME BY ENG")</f>
        <v>ON TIME BY ENG</v>
      </c>
      <c r="AB663" s="37"/>
      <c r="AC663" s="928" t="str" cm="1">
        <f t="array" ref="AC663">_xlfn.IFS(
    WFTracker[[#This Row],[Cancelation Cause]]&lt;&gt;"", "X",
    WFTracker[[#This Row],[Competion Date Content]] = FALSE, "C",
    TRUE, "I"
)</f>
        <v>C</v>
      </c>
      <c r="AD6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-30</v>
      </c>
      <c r="AE663" s="25" t="str">
        <f ca="1">IF(WFTracker[[#This Row],[Impact Time Post RM]]&gt;0, "IMPACTED", "NOT IMPACTED")</f>
        <v>NOT IMPACTED</v>
      </c>
      <c r="AF663" s="15"/>
      <c r="AG663" s="18"/>
      <c r="AH663" s="14" t="str">
        <f>IF(WFTracker[[#This Row],[Status]]="C", "Closed", IF(WFTracker[[#This Row],[Status]] = "x", "Cancelled", WFTracker[[#This Row],[Impact Time Post RM]]))</f>
        <v>Closed</v>
      </c>
      <c r="AI663" s="14" t="str">
        <f ca="1">IF(WFTracker[[#This Row],[Impact Time Post RM]]&lt;=0,"ON TIME","LATE")</f>
        <v>ON TIME</v>
      </c>
      <c r="AJ663" s="14" t="s">
        <v>984</v>
      </c>
      <c r="AK663" s="14">
        <v>18</v>
      </c>
      <c r="AL663" s="915">
        <f>IF(WFTracker[[#This Row],[Type]]="MAKE", WFTracker[[#This Row],[Due date]]+Filters!$J$111, WFTracker[[#This Row],[Due date]]+Filters!$J$135)</f>
        <v>46039.072512647552</v>
      </c>
      <c r="AM663" s="102" cm="1">
        <f t="array" ref="AM6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4" spans="1:39" ht="15" customHeight="1">
      <c r="A664" t="str">
        <f>IF(WFTracker[[#This Row],[Order Number]]="SWBD", "QED2", "PZ4")</f>
        <v>PZ4</v>
      </c>
      <c r="B664" s="21" t="s">
        <v>902</v>
      </c>
      <c r="C664" s="26" t="s">
        <v>135</v>
      </c>
      <c r="D664" s="11" t="str">
        <f>WFTracker[[#This Row],[Order Number]]  &amp; "-" &amp; WFTracker[[#This Row],[Item]]</f>
        <v>0051674363-000010</v>
      </c>
      <c r="E664" s="23" t="s">
        <v>903</v>
      </c>
      <c r="F664" s="12">
        <v>46101</v>
      </c>
      <c r="G664" s="12">
        <v>46094</v>
      </c>
      <c r="H664" s="11" t="s">
        <v>259</v>
      </c>
      <c r="I664" s="11"/>
      <c r="J664" s="122" t="s">
        <v>1563</v>
      </c>
      <c r="K664" s="14" t="s">
        <v>1023</v>
      </c>
      <c r="L664" s="15" t="s">
        <v>40</v>
      </c>
      <c r="M664" s="29" t="s">
        <v>1120</v>
      </c>
      <c r="N664" s="57">
        <v>46205</v>
      </c>
      <c r="O664" s="15">
        <f>NETWORKDAYS.INTL(WFTracker[[#This Row],[Start date]],WFTracker[[#This Row],[RM]],1,Holidays!D668:D683)</f>
        <v>50</v>
      </c>
      <c r="P664" s="12">
        <v>46034</v>
      </c>
      <c r="Q664" s="12">
        <v>46044</v>
      </c>
      <c r="R664" s="12">
        <v>46049</v>
      </c>
      <c r="S664" s="12" t="b">
        <f>ISBLANK(WFTracker[[#This Row],[Completion Date]])</f>
        <v>0</v>
      </c>
      <c r="T664" s="12" t="str">
        <f>TEXT(WFTracker[[#This Row],[Start date]],"mmm-yyyy")</f>
        <v>Jan-2026</v>
      </c>
      <c r="U664" s="11">
        <v>10</v>
      </c>
      <c r="V664" s="11">
        <f>NETWORKDAYS.INTL(WFTracker[[#This Row],[Start date]],WFTracker[[#This Row],[Due date]],1,Holidays!D668:D683)</f>
        <v>9</v>
      </c>
      <c r="W6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664" s="24">
        <f ca="1">WFTracker[[#This Row],[Active Time]]-WFTracker[[#This Row],[Completion Days Template]]</f>
        <v>3</v>
      </c>
      <c r="Y664" s="16" t="str">
        <f ca="1" xml:space="preserve"> IF(WFTracker[[#This Row],[Overdue Time '[Expected-Completion']]]&gt;0, "LATE","ON TIME")</f>
        <v>LATE</v>
      </c>
      <c r="Z664" s="16" t="str">
        <f ca="1">IF(WFTracker[[#This Row],[Overdue Time '[Expected-Completion']]] &gt;= 15, "SUPER LATE", Y664)</f>
        <v>LATE</v>
      </c>
      <c r="AA664" s="37" t="str">
        <f>IF(WFTracker[[#This Row],[Pre RM Opening Time]]&lt;WFTracker[[#This Row],[Old vs New Order Lead Time WF dead line]], "LATE BY ENG", "ON TIME BY ENG")</f>
        <v>ON TIME BY ENG</v>
      </c>
      <c r="AB664" s="37"/>
      <c r="AC664" s="928" t="str" cm="1">
        <f t="array" ref="AC664">_xlfn.IFS(
    WFTracker[[#This Row],[Cancelation Cause]]&lt;&gt;"", "X",
    WFTracker[[#This Row],[Competion Date Content]] = FALSE, "C",
    TRUE, "I"
)</f>
        <v>C</v>
      </c>
      <c r="AD6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-39</v>
      </c>
      <c r="AE664" s="25" t="str">
        <f ca="1">IF(WFTracker[[#This Row],[Impact Time Post RM]]&gt;0, "IMPACTED", "NOT IMPACTED")</f>
        <v>NOT IMPACTED</v>
      </c>
      <c r="AF664" s="15"/>
      <c r="AG664" s="18"/>
      <c r="AH664" s="14" t="str">
        <f>IF(WFTracker[[#This Row],[Status]]="C", "Closed", IF(WFTracker[[#This Row],[Status]] = "x", "Cancelled", WFTracker[[#This Row],[Impact Time Post RM]]))</f>
        <v>Closed</v>
      </c>
      <c r="AI664" s="14" t="str">
        <f ca="1">IF(WFTracker[[#This Row],[Impact Time Post RM]]&lt;=0,"ON TIME","LATE")</f>
        <v>ON TIME</v>
      </c>
      <c r="AJ664" s="14" t="s">
        <v>984</v>
      </c>
      <c r="AK664" s="14">
        <v>17</v>
      </c>
      <c r="AL664" s="915">
        <f>IF(WFTracker[[#This Row],[Type]]="MAKE", WFTracker[[#This Row],[Due date]]+Filters!$J$111, WFTracker[[#This Row],[Due date]]+Filters!$J$135)</f>
        <v>46044.415686274508</v>
      </c>
      <c r="AM664" s="102" cm="1">
        <f t="array" ref="AM6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5" spans="1:39" ht="15" customHeight="1">
      <c r="A665" t="str">
        <f>IF(WFTracker[[#This Row],[Order Number]]="SWBD", "QED2", "PZ4")</f>
        <v>PZ4</v>
      </c>
      <c r="B665" s="21" t="s">
        <v>490</v>
      </c>
      <c r="C665" s="26" t="s">
        <v>293</v>
      </c>
      <c r="D665" s="11" t="str">
        <f>WFTracker[[#This Row],[Order Number]]  &amp; "-" &amp; WFTracker[[#This Row],[Item]]</f>
        <v>0051442285-000080</v>
      </c>
      <c r="E665" s="23" t="s">
        <v>491</v>
      </c>
      <c r="F665" s="12">
        <v>45945</v>
      </c>
      <c r="G665" s="12">
        <v>45932</v>
      </c>
      <c r="H665" s="11" t="s">
        <v>104</v>
      </c>
      <c r="I665" s="11" t="s">
        <v>186</v>
      </c>
      <c r="J665" s="122" t="s">
        <v>1564</v>
      </c>
      <c r="K665" s="14" t="s">
        <v>1017</v>
      </c>
      <c r="L665" s="15" t="s">
        <v>1430</v>
      </c>
      <c r="M665" s="29" t="s">
        <v>1120</v>
      </c>
      <c r="N665" s="57">
        <v>46044</v>
      </c>
      <c r="O665" s="15">
        <f>NETWORKDAYS.INTL(WFTracker[[#This Row],[Start date]],WFTracker[[#This Row],[RM]],1,Holidays!D672:D687)</f>
        <v>-64</v>
      </c>
      <c r="P665" s="12">
        <v>46034</v>
      </c>
      <c r="Q665" s="12">
        <v>46041</v>
      </c>
      <c r="R665" s="12">
        <v>46036</v>
      </c>
      <c r="S665" s="12" t="b">
        <f>ISBLANK(WFTracker[[#This Row],[Completion Date]])</f>
        <v>0</v>
      </c>
      <c r="T665" s="12" t="str">
        <f>TEXT(WFTracker[[#This Row],[Start date]],"mmm-yyyy")</f>
        <v>Jan-2026</v>
      </c>
      <c r="U665" s="11">
        <v>10</v>
      </c>
      <c r="V665" s="11">
        <f>NETWORKDAYS.INTL(WFTracker[[#This Row],[Start date]],WFTracker[[#This Row],[Due date]],1,Holidays!D672:D687)</f>
        <v>6</v>
      </c>
      <c r="W6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65" s="24">
        <f ca="1">WFTracker[[#This Row],[Active Time]]-WFTracker[[#This Row],[Completion Days Template]]</f>
        <v>-3</v>
      </c>
      <c r="Y665" s="16" t="str">
        <f ca="1" xml:space="preserve"> IF(WFTracker[[#This Row],[Overdue Time '[Expected-Completion']]]&gt;0, "LATE","ON TIME")</f>
        <v>ON TIME</v>
      </c>
      <c r="Z665" s="16" t="str">
        <f ca="1">IF(WFTracker[[#This Row],[Overdue Time '[Expected-Completion']]] &gt;= 15, "SUPER LATE", Y665)</f>
        <v>ON TIME</v>
      </c>
      <c r="AA665" s="37" t="str">
        <f>IF(WFTracker[[#This Row],[Pre RM Opening Time]]&lt;WFTracker[[#This Row],[Old vs New Order Lead Time WF dead line]], "LATE BY ENG", "ON TIME BY ENG")</f>
        <v>LATE BY ENG</v>
      </c>
      <c r="AB665" s="37"/>
      <c r="AC665" s="928" t="str" cm="1">
        <f t="array" ref="AC665">_xlfn.IFS(
    WFTracker[[#This Row],[Cancelation Cause]]&lt;&gt;"", "X",
    WFTracker[[#This Row],[Competion Date Content]] = FALSE, "C",
    TRUE, "I"
)</f>
        <v>C</v>
      </c>
      <c r="AD6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58</v>
      </c>
      <c r="AE665" s="25" t="str">
        <f ca="1">IF(WFTracker[[#This Row],[Impact Time Post RM]]&gt;0, "IMPACTED", "NOT IMPACTED")</f>
        <v>IMPACTED</v>
      </c>
      <c r="AF665" s="15"/>
      <c r="AG665" s="18"/>
      <c r="AH665" s="14" t="str">
        <f>IF(WFTracker[[#This Row],[Status]]="C", "Closed", IF(WFTracker[[#This Row],[Status]] = "x", "Cancelled", WFTracker[[#This Row],[Impact Time Post RM]]))</f>
        <v>Closed</v>
      </c>
      <c r="AI665" s="14" t="str">
        <f ca="1">IF(WFTracker[[#This Row],[Impact Time Post RM]]&lt;=0,"ON TIME","LATE")</f>
        <v>LATE</v>
      </c>
      <c r="AJ665" s="14" t="s">
        <v>984</v>
      </c>
      <c r="AK665" s="14">
        <v>11</v>
      </c>
      <c r="AL665" s="915">
        <f>IF(WFTracker[[#This Row],[Type]]="MAKE", WFTracker[[#This Row],[Due date]]+Filters!$J$111, WFTracker[[#This Row],[Due date]]+Filters!$J$135)</f>
        <v>46041.415686274508</v>
      </c>
      <c r="AM665" s="102" cm="1">
        <f t="array" ref="AM6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6" spans="1:39" ht="15" customHeight="1">
      <c r="A666" t="str">
        <f>IF(WFTracker[[#This Row],[Order Number]]="SWBD", "QED2", "PZ4")</f>
        <v>PZ4</v>
      </c>
      <c r="B666" s="930" t="s">
        <v>819</v>
      </c>
      <c r="C666" s="26" t="s">
        <v>135</v>
      </c>
      <c r="D666" s="11" t="str">
        <f>WFTracker[[#This Row],[Order Number]]  &amp; "-" &amp; WFTracker[[#This Row],[Item]]</f>
        <v>0051523070-000010</v>
      </c>
      <c r="E666" s="23" t="s">
        <v>820</v>
      </c>
      <c r="F666" s="12">
        <v>45924</v>
      </c>
      <c r="G666" s="12">
        <v>45924</v>
      </c>
      <c r="H666" s="11" t="s">
        <v>305</v>
      </c>
      <c r="I666" s="11"/>
      <c r="J666" s="55" t="s">
        <v>1565</v>
      </c>
      <c r="K666" s="14" t="s">
        <v>1023</v>
      </c>
      <c r="L666" s="15" t="s">
        <v>40</v>
      </c>
      <c r="M666" s="29" t="s">
        <v>1120</v>
      </c>
      <c r="N666" s="57">
        <v>46247</v>
      </c>
      <c r="O666" s="15">
        <f>NETWORKDAYS.INTL(WFTracker[[#This Row],[Start date]],WFTracker[[#This Row],[RM]],1,Holidays!D671:D686)</f>
        <v>-79</v>
      </c>
      <c r="P666" s="12">
        <v>46034</v>
      </c>
      <c r="Q666" s="12">
        <v>46044</v>
      </c>
      <c r="R666" s="12">
        <v>46035</v>
      </c>
      <c r="S666" s="12" t="b">
        <f>ISBLANK(WFTracker[[#This Row],[Completion Date]])</f>
        <v>0</v>
      </c>
      <c r="T666" s="12" t="str">
        <f>TEXT(WFTracker[[#This Row],[Start date]],"mmm-yyyy")</f>
        <v>Jan-2026</v>
      </c>
      <c r="U666" s="11">
        <v>10</v>
      </c>
      <c r="V666" s="11">
        <f>NETWORKDAYS.INTL(WFTracker[[#This Row],[Start date]],WFTracker[[#This Row],[Due date]],1,Holidays!D671:D686)</f>
        <v>9</v>
      </c>
      <c r="W6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666" s="24">
        <f ca="1">WFTracker[[#This Row],[Active Time]]-WFTracker[[#This Row],[Completion Days Template]]</f>
        <v>-7</v>
      </c>
      <c r="Y666" s="16" t="str">
        <f ca="1" xml:space="preserve"> IF(WFTracker[[#This Row],[Overdue Time '[Expected-Completion']]]&gt;0, "LATE","ON TIME")</f>
        <v>ON TIME</v>
      </c>
      <c r="Z666" s="16" t="str">
        <f ca="1">IF(WFTracker[[#This Row],[Overdue Time '[Expected-Completion']]] &gt;= 15, "SUPER LATE", Y666)</f>
        <v>ON TIME</v>
      </c>
      <c r="AA666" s="37" t="str">
        <f>IF(WFTracker[[#This Row],[Pre RM Opening Time]]&lt;WFTracker[[#This Row],[Old vs New Order Lead Time WF dead line]], "LATE BY ENG", "ON TIME BY ENG")</f>
        <v>LATE BY ENG</v>
      </c>
      <c r="AB666" s="37"/>
      <c r="AC666" s="15" t="s">
        <v>1011</v>
      </c>
      <c r="AD6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72</v>
      </c>
      <c r="AE666" s="25" t="str">
        <f ca="1">IF(WFTracker[[#This Row],[Impact Time Post RM]]&gt;0, "IMPACTED", "NOT IMPACTED")</f>
        <v>IMPACTED</v>
      </c>
      <c r="AF666" s="15"/>
      <c r="AG666" s="18" t="s">
        <v>1566</v>
      </c>
      <c r="AH666" s="14" t="str">
        <f>IF(WFTracker[[#This Row],[Status]]="C", "Closed", IF(WFTracker[[#This Row],[Status]] = "x", "Cancelled", WFTracker[[#This Row],[Impact Time Post RM]]))</f>
        <v>Cancelled</v>
      </c>
      <c r="AI666" s="14" t="str">
        <f ca="1">IF(WFTracker[[#This Row],[Impact Time Post RM]]&lt;=0,"ON TIME","LATE")</f>
        <v>LATE</v>
      </c>
      <c r="AJ666" s="14" t="s">
        <v>984</v>
      </c>
      <c r="AK666" s="14">
        <v>0</v>
      </c>
      <c r="AL666" s="915">
        <f>IF(WFTracker[[#This Row],[Type]]="MAKE", WFTracker[[#This Row],[Due date]]+Filters!$J$111, WFTracker[[#This Row],[Due date]]+Filters!$J$135)</f>
        <v>46044.415686274508</v>
      </c>
      <c r="AM666" s="102" cm="1">
        <f t="array" ref="AM666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667" spans="1:39" ht="15" customHeight="1">
      <c r="A667" t="str">
        <f>IF(WFTracker[[#This Row],[Order Number]]="SWBD", "QED2", "PZ4")</f>
        <v>PZ4</v>
      </c>
      <c r="B667" s="21" t="s">
        <v>902</v>
      </c>
      <c r="C667" s="26" t="s">
        <v>135</v>
      </c>
      <c r="D667" s="11" t="str">
        <f>WFTracker[[#This Row],[Order Number]]  &amp; "-" &amp; WFTracker[[#This Row],[Item]]</f>
        <v>0051674363-000010</v>
      </c>
      <c r="E667" s="23" t="s">
        <v>903</v>
      </c>
      <c r="F667" s="12">
        <v>46101</v>
      </c>
      <c r="G667" s="12">
        <v>46094</v>
      </c>
      <c r="H667" s="11" t="s">
        <v>259</v>
      </c>
      <c r="I667" s="11"/>
      <c r="J667" s="55" t="s">
        <v>1567</v>
      </c>
      <c r="K667" s="14" t="s">
        <v>1023</v>
      </c>
      <c r="L667" s="15" t="s">
        <v>27</v>
      </c>
      <c r="M667" s="29" t="s">
        <v>1120</v>
      </c>
      <c r="N667" s="57">
        <v>46205</v>
      </c>
      <c r="O667" s="15">
        <f>NETWORKDAYS.INTL(WFTracker[[#This Row],[Start date]],WFTracker[[#This Row],[RM]],1,Holidays!D669:D684)</f>
        <v>50</v>
      </c>
      <c r="P667" s="12">
        <v>46034</v>
      </c>
      <c r="Q667" s="12">
        <v>46041</v>
      </c>
      <c r="R667" s="12">
        <v>46050</v>
      </c>
      <c r="S667" s="12" t="b">
        <f>ISBLANK(WFTracker[[#This Row],[Completion Date]])</f>
        <v>0</v>
      </c>
      <c r="T667" s="12" t="str">
        <f>TEXT(WFTracker[[#This Row],[Start date]],"mmm-yyyy")</f>
        <v>Jan-2026</v>
      </c>
      <c r="U667" s="11">
        <v>10</v>
      </c>
      <c r="V667" s="11">
        <f>NETWORKDAYS.INTL(WFTracker[[#This Row],[Start date]],WFTracker[[#This Row],[Due date]],1,Holidays!D669:D684)</f>
        <v>6</v>
      </c>
      <c r="W6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67" s="24">
        <f ca="1">WFTracker[[#This Row],[Active Time]]-WFTracker[[#This Row],[Completion Days Template]]</f>
        <v>7</v>
      </c>
      <c r="Y667" s="16" t="str">
        <f ca="1" xml:space="preserve"> IF(WFTracker[[#This Row],[Overdue Time '[Expected-Completion']]]&gt;0, "LATE","ON TIME")</f>
        <v>LATE</v>
      </c>
      <c r="Z667" s="16" t="str">
        <f ca="1">IF(WFTracker[[#This Row],[Overdue Time '[Expected-Completion']]] &gt;= 15, "SUPER LATE", Y667)</f>
        <v>LATE</v>
      </c>
      <c r="AA667" s="37" t="str">
        <f>IF(WFTracker[[#This Row],[Pre RM Opening Time]]&lt;WFTracker[[#This Row],[Old vs New Order Lead Time WF dead line]], "LATE BY ENG", "ON TIME BY ENG")</f>
        <v>ON TIME BY ENG</v>
      </c>
      <c r="AB667" s="37"/>
      <c r="AC667" s="928" t="s">
        <v>29</v>
      </c>
      <c r="AD6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-38</v>
      </c>
      <c r="AE667" s="25" t="str">
        <f ca="1">IF(WFTracker[[#This Row],[Impact Time Post RM]]&gt;0, "IMPACTED", "NOT IMPACTED")</f>
        <v>NOT IMPACTED</v>
      </c>
      <c r="AF667" s="15"/>
      <c r="AG667" s="18"/>
      <c r="AH667" s="14" t="str">
        <f>IF(WFTracker[[#This Row],[Status]]="C", "Closed", IF(WFTracker[[#This Row],[Status]] = "x", "Cancelled", WFTracker[[#This Row],[Impact Time Post RM]]))</f>
        <v>Closed</v>
      </c>
      <c r="AI667" s="14" t="str">
        <f ca="1">IF(WFTracker[[#This Row],[Impact Time Post RM]]&lt;=0,"ON TIME","LATE")</f>
        <v>ON TIME</v>
      </c>
      <c r="AJ667" s="14" t="s">
        <v>984</v>
      </c>
      <c r="AK667" s="14">
        <v>18</v>
      </c>
      <c r="AL667" s="915">
        <f>IF(WFTracker[[#This Row],[Type]]="MAKE", WFTracker[[#This Row],[Due date]]+Filters!$J$111, WFTracker[[#This Row],[Due date]]+Filters!$J$135)</f>
        <v>46044.072512647552</v>
      </c>
      <c r="AM667" s="102" cm="1">
        <f t="array" ref="AM6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8" spans="1:39" ht="15" customHeight="1">
      <c r="A668" t="str">
        <f>IF(WFTracker[[#This Row],[Order Number]]="SWBD", "QED2", "PZ4")</f>
        <v>PZ4</v>
      </c>
      <c r="B668" s="21" t="s">
        <v>1568</v>
      </c>
      <c r="C668" s="26" t="s">
        <v>293</v>
      </c>
      <c r="D668" s="11" t="str">
        <f>WFTracker[[#This Row],[Order Number]]  &amp; "-" &amp; WFTracker[[#This Row],[Item]]</f>
        <v>0051737181-000080</v>
      </c>
      <c r="E668" s="23" t="s">
        <v>1569</v>
      </c>
      <c r="F668" s="12">
        <v>46043</v>
      </c>
      <c r="G668" s="12" t="s">
        <v>1570</v>
      </c>
      <c r="H668" s="11" t="s">
        <v>676</v>
      </c>
      <c r="I668" s="11"/>
      <c r="J668" s="122" t="s">
        <v>1571</v>
      </c>
      <c r="K668" s="14" t="s">
        <v>1023</v>
      </c>
      <c r="L668" s="15" t="s">
        <v>27</v>
      </c>
      <c r="M668" s="29" t="s">
        <v>1120</v>
      </c>
      <c r="N668" s="57">
        <v>46299</v>
      </c>
      <c r="O668" s="15">
        <f>NETWORKDAYS.INTL(WFTracker[[#This Row],[Start date]],WFTracker[[#This Row],[RM]],1,Holidays!D673:D688)</f>
        <v>7</v>
      </c>
      <c r="P668" s="12">
        <v>46035</v>
      </c>
      <c r="Q668" s="12">
        <v>46044</v>
      </c>
      <c r="R668" s="12">
        <v>46041</v>
      </c>
      <c r="S668" s="12" t="b">
        <f>ISBLANK(WFTracker[[#This Row],[Completion Date]])</f>
        <v>0</v>
      </c>
      <c r="T668" s="12" t="str">
        <f>TEXT(WFTracker[[#This Row],[Start date]],"mmm-yyyy")</f>
        <v>Jan-2026</v>
      </c>
      <c r="U668" s="11">
        <v>10</v>
      </c>
      <c r="V668" s="11">
        <f>NETWORKDAYS.INTL(WFTracker[[#This Row],[Start date]],WFTracker[[#This Row],[Due date]],1,Holidays!D673:D688)</f>
        <v>8</v>
      </c>
      <c r="W6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68" s="24">
        <f ca="1">WFTracker[[#This Row],[Active Time]]-WFTracker[[#This Row],[Completion Days Template]]</f>
        <v>-3</v>
      </c>
      <c r="Y668" s="16" t="str">
        <f ca="1" xml:space="preserve"> IF(WFTracker[[#This Row],[Overdue Time '[Expected-Completion']]]&gt;0, "LATE","ON TIME")</f>
        <v>ON TIME</v>
      </c>
      <c r="Z668" s="16" t="str">
        <f ca="1">IF(WFTracker[[#This Row],[Overdue Time '[Expected-Completion']]] &gt;= 15, "SUPER LATE", Y668)</f>
        <v>ON TIME</v>
      </c>
      <c r="AA668" s="37" t="str">
        <f>IF(WFTracker[[#This Row],[Pre RM Opening Time]]&lt;WFTracker[[#This Row],[Old vs New Order Lead Time WF dead line]], "LATE BY ENG", "ON TIME BY ENG")</f>
        <v>LATE BY ENG</v>
      </c>
      <c r="AB668" s="37"/>
      <c r="AC668" s="928" t="str" cm="1">
        <f t="array" ref="AC668">_xlfn.IFS(
    WFTracker[[#This Row],[Cancelation Cause]]&lt;&gt;"", "X",
    WFTracker[[#This Row],[Competion Date Content]] = FALSE, "C",
    TRUE, "I"
)</f>
        <v>C</v>
      </c>
      <c r="AD6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668" s="25" t="str">
        <f ca="1">IF(WFTracker[[#This Row],[Impact Time Post RM]]&gt;0, "IMPACTED", "NOT IMPACTED")</f>
        <v>NOT IMPACTED</v>
      </c>
      <c r="AF668" s="15"/>
      <c r="AG668" s="18"/>
      <c r="AH668" s="14" t="str">
        <f>IF(WFTracker[[#This Row],[Status]]="C", "Closed", IF(WFTracker[[#This Row],[Status]] = "x", "Cancelled", WFTracker[[#This Row],[Impact Time Post RM]]))</f>
        <v>Closed</v>
      </c>
      <c r="AI668" s="14" t="str">
        <f ca="1">IF(WFTracker[[#This Row],[Impact Time Post RM]]&lt;=0,"ON TIME","LATE")</f>
        <v>ON TIME</v>
      </c>
      <c r="AJ668" s="14" t="s">
        <v>984</v>
      </c>
      <c r="AK668" s="14">
        <v>18</v>
      </c>
      <c r="AL668" s="915">
        <f>IF(WFTracker[[#This Row],[Type]]="MAKE", WFTracker[[#This Row],[Due date]]+Filters!$J$111, WFTracker[[#This Row],[Due date]]+Filters!$J$135)</f>
        <v>46047.072512647552</v>
      </c>
      <c r="AM668" s="102" cm="1">
        <f t="array" ref="AM6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69" spans="1:39" ht="15" customHeight="1">
      <c r="A669" t="str">
        <f>IF(WFTracker[[#This Row],[Order Number]]="SWBD", "QED2", "PZ4")</f>
        <v>PZ4</v>
      </c>
      <c r="B669" s="21" t="s">
        <v>778</v>
      </c>
      <c r="C669" s="26" t="s">
        <v>352</v>
      </c>
      <c r="D669" s="11" t="str">
        <f>WFTracker[[#This Row],[Order Number]]  &amp; "-" &amp; WFTracker[[#This Row],[Item]]</f>
        <v>0051193435-000290</v>
      </c>
      <c r="E669" s="23" t="s">
        <v>779</v>
      </c>
      <c r="F669" s="12">
        <v>46052</v>
      </c>
      <c r="G669" s="12">
        <v>46045</v>
      </c>
      <c r="H669" s="11" t="s">
        <v>237</v>
      </c>
      <c r="I669" s="11" t="s">
        <v>241</v>
      </c>
      <c r="J669" s="55" t="s">
        <v>781</v>
      </c>
      <c r="K669" s="14" t="s">
        <v>1017</v>
      </c>
      <c r="L669" s="15" t="s">
        <v>40</v>
      </c>
      <c r="M669" s="29" t="s">
        <v>1120</v>
      </c>
      <c r="N669" s="57">
        <v>46178</v>
      </c>
      <c r="O669" s="15">
        <f>NETWORKDAYS.INTL(WFTracker[[#This Row],[Start date]],WFTracker[[#This Row],[RM]],1,Holidays!D674:D689)</f>
        <v>14</v>
      </c>
      <c r="P669" s="12">
        <v>46035</v>
      </c>
      <c r="Q669" s="12">
        <v>46045</v>
      </c>
      <c r="R669" s="12">
        <v>46049</v>
      </c>
      <c r="S669" s="12" t="b">
        <f>ISBLANK(WFTracker[[#This Row],[Completion Date]])</f>
        <v>0</v>
      </c>
      <c r="T669" s="12" t="str">
        <f>TEXT(WFTracker[[#This Row],[Start date]],"mmm-yyyy")</f>
        <v>Jan-2026</v>
      </c>
      <c r="U669" s="11">
        <v>10</v>
      </c>
      <c r="V669" s="11">
        <f>NETWORKDAYS.INTL(WFTracker[[#This Row],[Start date]],WFTracker[[#This Row],[Due date]],1,Holidays!D674:D689)</f>
        <v>9</v>
      </c>
      <c r="W6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69" s="24">
        <f ca="1">WFTracker[[#This Row],[Active Time]]-WFTracker[[#This Row],[Completion Days Template]]</f>
        <v>2</v>
      </c>
      <c r="Y669" s="16" t="str">
        <f ca="1" xml:space="preserve"> IF(WFTracker[[#This Row],[Overdue Time '[Expected-Completion']]]&gt;0, "LATE","ON TIME")</f>
        <v>LATE</v>
      </c>
      <c r="Z669" s="16" t="str">
        <f ca="1">IF(WFTracker[[#This Row],[Overdue Time '[Expected-Completion']]] &gt;= 15, "SUPER LATE", Y669)</f>
        <v>LATE</v>
      </c>
      <c r="AA669" s="37" t="str">
        <f>IF(WFTracker[[#This Row],[Pre RM Opening Time]]&lt;WFTracker[[#This Row],[Old vs New Order Lead Time WF dead line]], "LATE BY ENG", "ON TIME BY ENG")</f>
        <v>ON TIME BY ENG</v>
      </c>
      <c r="AB669" s="37"/>
      <c r="AC669" s="928" t="str" cm="1">
        <f t="array" ref="AC669">_xlfn.IFS(
    WFTracker[[#This Row],[Cancelation Cause]]&lt;&gt;"", "X",
    WFTracker[[#This Row],[Competion Date Content]] = FALSE, "C",
    TRUE, "I"
)</f>
        <v>C</v>
      </c>
      <c r="AD6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69" s="25" t="str">
        <f ca="1">IF(WFTracker[[#This Row],[Impact Time Post RM]]&gt;0, "IMPACTED", "NOT IMPACTED")</f>
        <v>NOT IMPACTED</v>
      </c>
      <c r="AF669" s="15"/>
      <c r="AG669" s="18"/>
      <c r="AH669" s="14" t="str">
        <f>IF(WFTracker[[#This Row],[Status]]="C", "Closed", IF(WFTracker[[#This Row],[Status]] = "x", "Cancelled", WFTracker[[#This Row],[Impact Time Post RM]]))</f>
        <v>Closed</v>
      </c>
      <c r="AI669" s="14" t="str">
        <f ca="1">IF(WFTracker[[#This Row],[Impact Time Post RM]]&lt;=0,"ON TIME","LATE")</f>
        <v>ON TIME</v>
      </c>
      <c r="AJ669" s="14" t="s">
        <v>984</v>
      </c>
      <c r="AK669" s="14">
        <v>17</v>
      </c>
      <c r="AL669" s="915">
        <f>IF(WFTracker[[#This Row],[Type]]="MAKE", WFTracker[[#This Row],[Due date]]+Filters!$J$111, WFTracker[[#This Row],[Due date]]+Filters!$J$135)</f>
        <v>46045.415686274508</v>
      </c>
      <c r="AM669" s="102" cm="1">
        <f t="array" ref="AM6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0" spans="1:39" ht="15" customHeight="1">
      <c r="A670" t="str">
        <f>IF(WFTracker[[#This Row],[Order Number]]="SWBD", "QED2", "PZ4")</f>
        <v>PZ4</v>
      </c>
      <c r="B670" s="21" t="s">
        <v>769</v>
      </c>
      <c r="C670" s="26" t="s">
        <v>135</v>
      </c>
      <c r="D670" s="11" t="str">
        <f>WFTracker[[#This Row],[Order Number]]  &amp; "-" &amp; WFTracker[[#This Row],[Item]]</f>
        <v>0051732952-000010</v>
      </c>
      <c r="E670" s="23" t="s">
        <v>770</v>
      </c>
      <c r="F670" s="12">
        <v>46045</v>
      </c>
      <c r="G670" s="12">
        <v>46038</v>
      </c>
      <c r="H670" s="11"/>
      <c r="I670" s="11" t="s">
        <v>216</v>
      </c>
      <c r="J670" s="55" t="s">
        <v>1572</v>
      </c>
      <c r="K670" s="14" t="s">
        <v>1023</v>
      </c>
      <c r="L670" s="15" t="s">
        <v>40</v>
      </c>
      <c r="M670" s="29" t="s">
        <v>1120</v>
      </c>
      <c r="N670" s="57">
        <v>46133</v>
      </c>
      <c r="O670" s="15">
        <f>NETWORKDAYS.INTL(WFTracker[[#This Row],[Start date]],WFTracker[[#This Row],[RM]],1,Holidays!D675:D690)</f>
        <v>9</v>
      </c>
      <c r="P670" s="12">
        <v>46035</v>
      </c>
      <c r="Q670" s="12">
        <v>46045</v>
      </c>
      <c r="R670" s="12">
        <v>46048</v>
      </c>
      <c r="S670" s="12" t="b">
        <f>ISBLANK(WFTracker[[#This Row],[Completion Date]])</f>
        <v>0</v>
      </c>
      <c r="T670" s="12" t="str">
        <f>TEXT(WFTracker[[#This Row],[Start date]],"mmm-yyyy")</f>
        <v>Jan-2026</v>
      </c>
      <c r="U670" s="11">
        <v>10</v>
      </c>
      <c r="V670" s="11">
        <f>NETWORKDAYS.INTL(WFTracker[[#This Row],[Start date]],WFTracker[[#This Row],[Due date]],1,Holidays!D675:D690)</f>
        <v>9</v>
      </c>
      <c r="W6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70" s="24">
        <f ca="1">WFTracker[[#This Row],[Active Time]]-WFTracker[[#This Row],[Completion Days Template]]</f>
        <v>1</v>
      </c>
      <c r="Y670" s="16" t="str">
        <f ca="1" xml:space="preserve"> IF(WFTracker[[#This Row],[Overdue Time '[Expected-Completion']]]&gt;0, "LATE","ON TIME")</f>
        <v>LATE</v>
      </c>
      <c r="Z670" s="16" t="str">
        <f ca="1">IF(WFTracker[[#This Row],[Overdue Time '[Expected-Completion']]] &gt;= 15, "SUPER LATE", Y670)</f>
        <v>LATE</v>
      </c>
      <c r="AA670" s="37" t="str">
        <f>IF(WFTracker[[#This Row],[Pre RM Opening Time]]&lt;WFTracker[[#This Row],[Old vs New Order Lead Time WF dead line]], "LATE BY ENG", "ON TIME BY ENG")</f>
        <v>LATE BY ENG</v>
      </c>
      <c r="AB670" s="37"/>
      <c r="AC670" s="928" t="str" cm="1">
        <f t="array" ref="AC670">_xlfn.IFS(
    WFTracker[[#This Row],[Cancelation Cause]]&lt;&gt;"", "X",
    WFTracker[[#This Row],[Competion Date Content]] = FALSE, "C",
    TRUE, "I"
)</f>
        <v>C</v>
      </c>
      <c r="AD6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670" s="25" t="str">
        <f ca="1">IF(WFTracker[[#This Row],[Impact Time Post RM]]&gt;0, "IMPACTED", "NOT IMPACTED")</f>
        <v>IMPACTED</v>
      </c>
      <c r="AF670" s="15"/>
      <c r="AG670" s="18"/>
      <c r="AH670" s="14" t="str">
        <f>IF(WFTracker[[#This Row],[Status]]="C", "Closed", IF(WFTracker[[#This Row],[Status]] = "x", "Cancelled", WFTracker[[#This Row],[Impact Time Post RM]]))</f>
        <v>Closed</v>
      </c>
      <c r="AI670" s="14" t="str">
        <f ca="1">IF(WFTracker[[#This Row],[Impact Time Post RM]]&lt;=0,"ON TIME","LATE")</f>
        <v>LATE</v>
      </c>
      <c r="AJ670" s="14" t="s">
        <v>984</v>
      </c>
      <c r="AK670" s="14">
        <v>17</v>
      </c>
      <c r="AL670" s="915">
        <f>IF(WFTracker[[#This Row],[Type]]="MAKE", WFTracker[[#This Row],[Due date]]+Filters!$J$111, WFTracker[[#This Row],[Due date]]+Filters!$J$135)</f>
        <v>46045.415686274508</v>
      </c>
      <c r="AM670" s="102" cm="1">
        <f t="array" ref="AM6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1" spans="1:39" ht="15" customHeight="1">
      <c r="A671" t="str">
        <f>IF(WFTracker[[#This Row],[Order Number]]="SWBD", "QED2", "PZ4")</f>
        <v>PZ4</v>
      </c>
      <c r="B671" s="21" t="s">
        <v>773</v>
      </c>
      <c r="C671" s="26" t="s">
        <v>1573</v>
      </c>
      <c r="D671" s="11" t="str">
        <f>WFTracker[[#This Row],[Order Number]]  &amp; "-" &amp; WFTracker[[#This Row],[Item]]</f>
        <v>0051218461-001980</v>
      </c>
      <c r="E671" s="23" t="s">
        <v>775</v>
      </c>
      <c r="F671" s="12">
        <v>46050</v>
      </c>
      <c r="G671" s="12">
        <v>46043</v>
      </c>
      <c r="H671" s="11" t="s">
        <v>252</v>
      </c>
      <c r="I671" s="11" t="s">
        <v>24</v>
      </c>
      <c r="J671" s="55" t="s">
        <v>777</v>
      </c>
      <c r="K671" s="14" t="s">
        <v>1017</v>
      </c>
      <c r="L671" s="15" t="s">
        <v>40</v>
      </c>
      <c r="M671" s="29" t="s">
        <v>1120</v>
      </c>
      <c r="N671" s="57">
        <v>46136</v>
      </c>
      <c r="O671" s="15">
        <f>NETWORKDAYS.INTL(WFTracker[[#This Row],[Start date]],WFTracker[[#This Row],[RM]],1,Holidays!D676:D691)</f>
        <v>12</v>
      </c>
      <c r="P671" s="12">
        <v>46035</v>
      </c>
      <c r="Q671" s="12">
        <v>46045</v>
      </c>
      <c r="R671" s="12">
        <v>46049</v>
      </c>
      <c r="S671" s="12" t="b">
        <f>ISBLANK(WFTracker[[#This Row],[Completion Date]])</f>
        <v>0</v>
      </c>
      <c r="T671" s="12" t="str">
        <f>TEXT(WFTracker[[#This Row],[Start date]],"mmm-yyyy")</f>
        <v>Jan-2026</v>
      </c>
      <c r="U671" s="11">
        <v>10</v>
      </c>
      <c r="V671" s="11">
        <f>NETWORKDAYS.INTL(WFTracker[[#This Row],[Start date]],WFTracker[[#This Row],[Due date]],1,Holidays!D676:D691)</f>
        <v>9</v>
      </c>
      <c r="W6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671" s="24">
        <f ca="1">WFTracker[[#This Row],[Active Time]]-WFTracker[[#This Row],[Completion Days Template]]</f>
        <v>2</v>
      </c>
      <c r="Y671" s="16" t="str">
        <f ca="1" xml:space="preserve"> IF(WFTracker[[#This Row],[Overdue Time '[Expected-Completion']]]&gt;0, "LATE","ON TIME")</f>
        <v>LATE</v>
      </c>
      <c r="Z671" s="16" t="str">
        <f ca="1">IF(WFTracker[[#This Row],[Overdue Time '[Expected-Completion']]] &gt;= 15, "SUPER LATE", Y671)</f>
        <v>LATE</v>
      </c>
      <c r="AA671" s="37" t="str">
        <f>IF(WFTracker[[#This Row],[Pre RM Opening Time]]&lt;WFTracker[[#This Row],[Old vs New Order Lead Time WF dead line]], "LATE BY ENG", "ON TIME BY ENG")</f>
        <v>ON TIME BY ENG</v>
      </c>
      <c r="AB671" s="37"/>
      <c r="AC671" s="928" t="str" cm="1">
        <f t="array" ref="AC671">_xlfn.IFS(
    WFTracker[[#This Row],[Cancelation Cause]]&lt;&gt;"", "X",
    WFTracker[[#This Row],[Competion Date Content]] = FALSE, "C",
    TRUE, "I"
)</f>
        <v>C</v>
      </c>
      <c r="AD6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71" s="25" t="str">
        <f ca="1">IF(WFTracker[[#This Row],[Impact Time Post RM]]&gt;0, "IMPACTED", "NOT IMPACTED")</f>
        <v>NOT IMPACTED</v>
      </c>
      <c r="AF671" s="15"/>
      <c r="AG671" s="18"/>
      <c r="AH671" s="14" t="str">
        <f>IF(WFTracker[[#This Row],[Status]]="C", "Closed", IF(WFTracker[[#This Row],[Status]] = "x", "Cancelled", WFTracker[[#This Row],[Impact Time Post RM]]))</f>
        <v>Closed</v>
      </c>
      <c r="AI671" s="14" t="str">
        <f ca="1">IF(WFTracker[[#This Row],[Impact Time Post RM]]&lt;=0,"ON TIME","LATE")</f>
        <v>ON TIME</v>
      </c>
      <c r="AJ671" s="14" t="s">
        <v>984</v>
      </c>
      <c r="AK671" s="14">
        <v>17</v>
      </c>
      <c r="AL671" s="915">
        <f>IF(WFTracker[[#This Row],[Type]]="MAKE", WFTracker[[#This Row],[Due date]]+Filters!$J$111, WFTracker[[#This Row],[Due date]]+Filters!$J$135)</f>
        <v>46045.415686274508</v>
      </c>
      <c r="AM671" s="102" cm="1">
        <f t="array" ref="AM6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2" spans="1:39" ht="15" customHeight="1">
      <c r="A672" t="str">
        <f>IF(WFTracker[[#This Row],[Order Number]]="SWBD", "QED2", "PZ4")</f>
        <v>PZ4</v>
      </c>
      <c r="B672" s="21" t="s">
        <v>773</v>
      </c>
      <c r="C672" s="26" t="s">
        <v>1573</v>
      </c>
      <c r="D672" s="11" t="str">
        <f>WFTracker[[#This Row],[Order Number]]  &amp; "-" &amp; WFTracker[[#This Row],[Item]]</f>
        <v>0051218461-001980</v>
      </c>
      <c r="E672" s="23" t="s">
        <v>775</v>
      </c>
      <c r="F672" s="12">
        <v>46050</v>
      </c>
      <c r="G672" s="12">
        <v>46043</v>
      </c>
      <c r="H672" s="11" t="s">
        <v>252</v>
      </c>
      <c r="I672" s="11" t="s">
        <v>24</v>
      </c>
      <c r="J672" s="55" t="s">
        <v>776</v>
      </c>
      <c r="K672" s="14" t="s">
        <v>1017</v>
      </c>
      <c r="L672" s="15" t="s">
        <v>27</v>
      </c>
      <c r="M672" s="29" t="s">
        <v>1120</v>
      </c>
      <c r="N672" s="57">
        <v>46136</v>
      </c>
      <c r="O672" s="15">
        <f>NETWORKDAYS.INTL(WFTracker[[#This Row],[Start date]],WFTracker[[#This Row],[RM]],1,Holidays!D677:D692)</f>
        <v>12</v>
      </c>
      <c r="P672" s="12">
        <v>46035</v>
      </c>
      <c r="Q672" s="12">
        <v>46042</v>
      </c>
      <c r="R672" s="12">
        <v>46051</v>
      </c>
      <c r="S672" s="12" t="b">
        <f>ISBLANK(WFTracker[[#This Row],[Completion Date]])</f>
        <v>0</v>
      </c>
      <c r="T672" s="12" t="str">
        <f>TEXT(WFTracker[[#This Row],[Start date]],"mmm-yyyy")</f>
        <v>Jan-2026</v>
      </c>
      <c r="U672" s="11">
        <v>10</v>
      </c>
      <c r="V672" s="11">
        <f>NETWORKDAYS.INTL(WFTracker[[#This Row],[Start date]],WFTracker[[#This Row],[Due date]],1,Holidays!D677:D692)</f>
        <v>6</v>
      </c>
      <c r="W6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72" s="24">
        <f ca="1">WFTracker[[#This Row],[Active Time]]-WFTracker[[#This Row],[Completion Days Template]]</f>
        <v>7</v>
      </c>
      <c r="Y672" s="16" t="str">
        <f ca="1" xml:space="preserve"> IF(WFTracker[[#This Row],[Overdue Time '[Expected-Completion']]]&gt;0, "LATE","ON TIME")</f>
        <v>LATE</v>
      </c>
      <c r="Z672" s="16" t="str">
        <f ca="1">IF(WFTracker[[#This Row],[Overdue Time '[Expected-Completion']]] &gt;= 15, "SUPER LATE", Y672)</f>
        <v>LATE</v>
      </c>
      <c r="AA672" s="37" t="str">
        <f>IF(WFTracker[[#This Row],[Pre RM Opening Time]]&lt;WFTracker[[#This Row],[Old vs New Order Lead Time WF dead line]], "LATE BY ENG", "ON TIME BY ENG")</f>
        <v>ON TIME BY ENG</v>
      </c>
      <c r="AB672" s="37"/>
      <c r="AC672" s="928" t="str" cm="1">
        <f t="array" ref="AC672">_xlfn.IFS(
    WFTracker[[#This Row],[Cancelation Cause]]&lt;&gt;"", "X",
    WFTracker[[#This Row],[Competion Date Content]] = FALSE, "C",
    TRUE, "I"
)</f>
        <v>C</v>
      </c>
      <c r="AD6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672" s="25" t="str">
        <f ca="1">IF(WFTracker[[#This Row],[Impact Time Post RM]]&gt;0, "IMPACTED", "NOT IMPACTED")</f>
        <v>IMPACTED</v>
      </c>
      <c r="AF672" s="15"/>
      <c r="AG672" s="18"/>
      <c r="AH672" s="14" t="str">
        <f>IF(WFTracker[[#This Row],[Status]]="C", "Closed", IF(WFTracker[[#This Row],[Status]] = "x", "Cancelled", WFTracker[[#This Row],[Impact Time Post RM]]))</f>
        <v>Closed</v>
      </c>
      <c r="AI672" s="14" t="str">
        <f ca="1">IF(WFTracker[[#This Row],[Impact Time Post RM]]&lt;=0,"ON TIME","LATE")</f>
        <v>LATE</v>
      </c>
      <c r="AJ672" s="14" t="s">
        <v>984</v>
      </c>
      <c r="AK672" s="14">
        <v>18</v>
      </c>
      <c r="AL672" s="915">
        <f>IF(WFTracker[[#This Row],[Type]]="MAKE", WFTracker[[#This Row],[Due date]]+Filters!$J$111, WFTracker[[#This Row],[Due date]]+Filters!$J$135)</f>
        <v>46045.072512647552</v>
      </c>
      <c r="AM672" s="102" cm="1">
        <f t="array" ref="AM6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3" spans="1:39" ht="15" customHeight="1">
      <c r="A673" t="str">
        <f>IF(WFTracker[[#This Row],[Order Number]]="SWBD", "QED2", "PZ4")</f>
        <v>PZ4</v>
      </c>
      <c r="B673" s="21" t="s">
        <v>778</v>
      </c>
      <c r="C673" s="26" t="s">
        <v>352</v>
      </c>
      <c r="D673" s="11" t="str">
        <f>WFTracker[[#This Row],[Order Number]]  &amp; "-" &amp; WFTracker[[#This Row],[Item]]</f>
        <v>0051193435-000290</v>
      </c>
      <c r="E673" s="23" t="s">
        <v>779</v>
      </c>
      <c r="F673" s="12">
        <v>46052</v>
      </c>
      <c r="G673" s="12">
        <v>46045</v>
      </c>
      <c r="H673" s="11" t="s">
        <v>237</v>
      </c>
      <c r="I673" s="11" t="s">
        <v>241</v>
      </c>
      <c r="J673" s="55" t="s">
        <v>780</v>
      </c>
      <c r="K673" s="14" t="s">
        <v>1017</v>
      </c>
      <c r="L673" s="15" t="s">
        <v>27</v>
      </c>
      <c r="M673" s="29" t="s">
        <v>1120</v>
      </c>
      <c r="N673" s="57">
        <v>46178</v>
      </c>
      <c r="O673" s="15">
        <f>NETWORKDAYS.INTL(WFTracker[[#This Row],[Start date]],WFTracker[[#This Row],[RM]],1,Holidays!D674:D689)</f>
        <v>14</v>
      </c>
      <c r="P673" s="12">
        <v>46035</v>
      </c>
      <c r="Q673" s="12">
        <v>46042</v>
      </c>
      <c r="R673" s="12">
        <v>46051</v>
      </c>
      <c r="S673" s="12" t="b">
        <f>ISBLANK(WFTracker[[#This Row],[Completion Date]])</f>
        <v>0</v>
      </c>
      <c r="T673" s="12" t="str">
        <f>TEXT(WFTracker[[#This Row],[Start date]],"mmm-yyyy")</f>
        <v>Jan-2026</v>
      </c>
      <c r="U673" s="11">
        <v>10</v>
      </c>
      <c r="V673" s="11">
        <f>NETWORKDAYS.INTL(WFTracker[[#This Row],[Start date]],WFTracker[[#This Row],[Due date]],1,Holidays!D674:D689)</f>
        <v>6</v>
      </c>
      <c r="W6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73" s="24">
        <f ca="1">WFTracker[[#This Row],[Active Time]]-WFTracker[[#This Row],[Completion Days Template]]</f>
        <v>7</v>
      </c>
      <c r="Y673" s="16" t="str">
        <f ca="1" xml:space="preserve"> IF(WFTracker[[#This Row],[Overdue Time '[Expected-Completion']]]&gt;0, "LATE","ON TIME")</f>
        <v>LATE</v>
      </c>
      <c r="Z673" s="16" t="str">
        <f ca="1">IF(WFTracker[[#This Row],[Overdue Time '[Expected-Completion']]] &gt;= 15, "SUPER LATE", Y673)</f>
        <v>LATE</v>
      </c>
      <c r="AA673" s="37" t="str">
        <f>IF(WFTracker[[#This Row],[Pre RM Opening Time]]&lt;WFTracker[[#This Row],[Old vs New Order Lead Time WF dead line]], "LATE BY ENG", "ON TIME BY ENG")</f>
        <v>ON TIME BY ENG</v>
      </c>
      <c r="AB673" s="37"/>
      <c r="AC673" s="928" t="str" cm="1">
        <f t="array" ref="AC673">_xlfn.IFS(
    WFTracker[[#This Row],[Cancelation Cause]]&lt;&gt;"", "X",
    WFTracker[[#This Row],[Competion Date Content]] = FALSE, "C",
    TRUE, "I"
)</f>
        <v>C</v>
      </c>
      <c r="AD6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73" s="25" t="str">
        <f ca="1">IF(WFTracker[[#This Row],[Impact Time Post RM]]&gt;0, "IMPACTED", "NOT IMPACTED")</f>
        <v>NOT IMPACTED</v>
      </c>
      <c r="AF673" s="15"/>
      <c r="AG673" s="18"/>
      <c r="AH673" s="14" t="str">
        <f>IF(WFTracker[[#This Row],[Status]]="C", "Closed", IF(WFTracker[[#This Row],[Status]] = "x", "Cancelled", WFTracker[[#This Row],[Impact Time Post RM]]))</f>
        <v>Closed</v>
      </c>
      <c r="AI673" s="14" t="str">
        <f ca="1">IF(WFTracker[[#This Row],[Impact Time Post RM]]&lt;=0,"ON TIME","LATE")</f>
        <v>ON TIME</v>
      </c>
      <c r="AJ673" s="14" t="s">
        <v>984</v>
      </c>
      <c r="AK673" s="14">
        <v>18</v>
      </c>
      <c r="AL673" s="915">
        <f>IF(WFTracker[[#This Row],[Type]]="MAKE", WFTracker[[#This Row],[Due date]]+Filters!$J$111, WFTracker[[#This Row],[Due date]]+Filters!$J$135)</f>
        <v>46045.072512647552</v>
      </c>
      <c r="AM673" s="102" cm="1">
        <f t="array" ref="AM6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4" spans="1:39" ht="15" customHeight="1">
      <c r="A674" t="str">
        <f>IF(WFTracker[[#This Row],[Order Number]]="SWBD", "QED2", "PZ4")</f>
        <v>PZ4</v>
      </c>
      <c r="B674" s="21" t="s">
        <v>1434</v>
      </c>
      <c r="C674" s="26" t="s">
        <v>1434</v>
      </c>
      <c r="D674" s="11" t="str">
        <f>WFTracker[[#This Row],[Order Number]]  &amp; "-" &amp; WFTracker[[#This Row],[Item]]</f>
        <v>SPECIAL-SPECIAL</v>
      </c>
      <c r="E674" s="23" t="s">
        <v>1574</v>
      </c>
      <c r="F674" s="12">
        <v>46048</v>
      </c>
      <c r="G674" s="12">
        <v>46048</v>
      </c>
      <c r="H674" s="11" t="s">
        <v>709</v>
      </c>
      <c r="I674" s="11"/>
      <c r="J674" s="55" t="s">
        <v>1575</v>
      </c>
      <c r="K674" s="14" t="s">
        <v>1023</v>
      </c>
      <c r="L674" s="15" t="s">
        <v>40</v>
      </c>
      <c r="M674" s="29" t="s">
        <v>1120</v>
      </c>
      <c r="N674" s="57" t="s">
        <v>984</v>
      </c>
      <c r="O674" s="15">
        <f>NETWORKDAYS.INTL(WFTracker[[#This Row],[Start date]],WFTracker[[#This Row],[RM]],1,Holidays!D678:D693)</f>
        <v>9</v>
      </c>
      <c r="P674" s="12">
        <v>46036</v>
      </c>
      <c r="Q674" s="12">
        <v>46048</v>
      </c>
      <c r="R674" s="12">
        <v>46043</v>
      </c>
      <c r="S674" s="12" t="b">
        <f>ISBLANK(WFTracker[[#This Row],[Completion Date]])</f>
        <v>0</v>
      </c>
      <c r="T674" s="12" t="str">
        <f>TEXT(WFTracker[[#This Row],[Start date]],"mmm-yyyy")</f>
        <v>Jan-2026</v>
      </c>
      <c r="U674" s="11">
        <v>10</v>
      </c>
      <c r="V674" s="11">
        <f>NETWORKDAYS.INTL(WFTracker[[#This Row],[Start date]],WFTracker[[#This Row],[Due date]],1,Holidays!D678:D693)</f>
        <v>9</v>
      </c>
      <c r="W6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74" s="24">
        <f ca="1">WFTracker[[#This Row],[Active Time]]-WFTracker[[#This Row],[Completion Days Template]]</f>
        <v>-3</v>
      </c>
      <c r="Y674" s="16" t="str">
        <f ca="1" xml:space="preserve"> IF(WFTracker[[#This Row],[Overdue Time '[Expected-Completion']]]&gt;0, "LATE","ON TIME")</f>
        <v>ON TIME</v>
      </c>
      <c r="Z674" s="16" t="str">
        <f ca="1">IF(WFTracker[[#This Row],[Overdue Time '[Expected-Completion']]] &gt;= 15, "SUPER LATE", Y674)</f>
        <v>ON TIME</v>
      </c>
      <c r="AA674" s="37" t="str">
        <f>IF(WFTracker[[#This Row],[Pre RM Opening Time]]&lt;WFTracker[[#This Row],[Old vs New Order Lead Time WF dead line]], "LATE BY ENG", "ON TIME BY ENG")</f>
        <v>LATE BY ENG</v>
      </c>
      <c r="AB674" s="37"/>
      <c r="AC674" s="928" t="str" cm="1">
        <f t="array" ref="AC674">_xlfn.IFS(
    WFTracker[[#This Row],[Cancelation Cause]]&lt;&gt;"", "X",
    WFTracker[[#This Row],[Competion Date Content]] = FALSE, "C",
    TRUE, "I"
)</f>
        <v>C</v>
      </c>
      <c r="AD6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74" s="25" t="str">
        <f ca="1">IF(WFTracker[[#This Row],[Impact Time Post RM]]&gt;0, "IMPACTED", "NOT IMPACTED")</f>
        <v>NOT IMPACTED</v>
      </c>
      <c r="AF674" s="15"/>
      <c r="AG674" s="18"/>
      <c r="AH674" s="14" t="str">
        <f>IF(WFTracker[[#This Row],[Status]]="C", "Closed", IF(WFTracker[[#This Row],[Status]] = "x", "Cancelled", WFTracker[[#This Row],[Impact Time Post RM]]))</f>
        <v>Closed</v>
      </c>
      <c r="AI674" s="14" t="str">
        <f ca="1">IF(WFTracker[[#This Row],[Impact Time Post RM]]&lt;=0,"ON TIME","LATE")</f>
        <v>ON TIME</v>
      </c>
      <c r="AJ674" s="14" t="s">
        <v>984</v>
      </c>
      <c r="AK674" s="14">
        <v>17</v>
      </c>
      <c r="AL674" s="915">
        <f>IF(WFTracker[[#This Row],[Type]]="MAKE", WFTracker[[#This Row],[Due date]]+Filters!$J$111, WFTracker[[#This Row],[Due date]]+Filters!$J$135)</f>
        <v>46048.415686274508</v>
      </c>
      <c r="AM674" s="102" cm="1">
        <f t="array" ref="AM6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5" spans="1:39" ht="15" customHeight="1">
      <c r="A675" t="str">
        <f>IF(WFTracker[[#This Row],[Order Number]]="SWBD", "QED2", "PZ4")</f>
        <v>PZ4</v>
      </c>
      <c r="B675" s="21" t="s">
        <v>791</v>
      </c>
      <c r="C675" s="26" t="s">
        <v>135</v>
      </c>
      <c r="D675" s="11" t="str">
        <f>WFTracker[[#This Row],[Order Number]]  &amp; "-" &amp; WFTracker[[#This Row],[Item]]</f>
        <v>0051656319-000010</v>
      </c>
      <c r="E675" s="23" t="s">
        <v>792</v>
      </c>
      <c r="F675" s="12">
        <v>46052</v>
      </c>
      <c r="G675" s="12">
        <v>46045</v>
      </c>
      <c r="H675" s="11" t="s">
        <v>110</v>
      </c>
      <c r="I675" s="11" t="s">
        <v>1555</v>
      </c>
      <c r="J675" s="55" t="s">
        <v>795</v>
      </c>
      <c r="K675" s="14" t="s">
        <v>1017</v>
      </c>
      <c r="L675" s="15" t="s">
        <v>27</v>
      </c>
      <c r="M675" s="29" t="s">
        <v>1120</v>
      </c>
      <c r="N675" s="57">
        <v>46132</v>
      </c>
      <c r="O675" s="15">
        <f>NETWORKDAYS.INTL(WFTracker[[#This Row],[Start date]],WFTracker[[#This Row],[RM]],1,Holidays!D679:D694)</f>
        <v>13</v>
      </c>
      <c r="P675" s="12">
        <v>46036</v>
      </c>
      <c r="Q675" s="12">
        <v>46044</v>
      </c>
      <c r="R675" s="12">
        <v>46052</v>
      </c>
      <c r="S675" s="12" t="b">
        <f>ISBLANK(WFTracker[[#This Row],[Completion Date]])</f>
        <v>0</v>
      </c>
      <c r="T675" s="12" t="str">
        <f>TEXT(WFTracker[[#This Row],[Start date]],"mmm-yyyy")</f>
        <v>Jan-2026</v>
      </c>
      <c r="U675" s="11">
        <v>10</v>
      </c>
      <c r="V675" s="11">
        <f>NETWORKDAYS.INTL(WFTracker[[#This Row],[Start date]],WFTracker[[#This Row],[Due date]],1,Holidays!D679:D694)</f>
        <v>7</v>
      </c>
      <c r="W6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75" s="24">
        <f ca="1">WFTracker[[#This Row],[Active Time]]-WFTracker[[#This Row],[Completion Days Template]]</f>
        <v>6</v>
      </c>
      <c r="Y675" s="16" t="str">
        <f ca="1" xml:space="preserve"> IF(WFTracker[[#This Row],[Overdue Time '[Expected-Completion']]]&gt;0, "LATE","ON TIME")</f>
        <v>LATE</v>
      </c>
      <c r="Z675" s="16" t="str">
        <f ca="1">IF(WFTracker[[#This Row],[Overdue Time '[Expected-Completion']]] &gt;= 15, "SUPER LATE", Y675)</f>
        <v>LATE</v>
      </c>
      <c r="AA675" s="37" t="str">
        <f>IF(WFTracker[[#This Row],[Pre RM Opening Time]]&lt;WFTracker[[#This Row],[Old vs New Order Lead Time WF dead line]], "LATE BY ENG", "ON TIME BY ENG")</f>
        <v>ON TIME BY ENG</v>
      </c>
      <c r="AB675" s="37"/>
      <c r="AC675" s="928" t="str" cm="1">
        <f t="array" ref="AC675">_xlfn.IFS(
    WFTracker[[#This Row],[Cancelation Cause]]&lt;&gt;"", "X",
    WFTracker[[#This Row],[Competion Date Content]] = FALSE, "C",
    TRUE, "I"
)</f>
        <v>C</v>
      </c>
      <c r="AD6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675" s="25" t="str">
        <f ca="1">IF(WFTracker[[#This Row],[Impact Time Post RM]]&gt;0, "IMPACTED", "NOT IMPACTED")</f>
        <v>IMPACTED</v>
      </c>
      <c r="AF675" s="15"/>
      <c r="AG675" s="18"/>
      <c r="AH675" s="14" t="str">
        <f>IF(WFTracker[[#This Row],[Status]]="C", "Closed", IF(WFTracker[[#This Row],[Status]] = "x", "Cancelled", WFTracker[[#This Row],[Impact Time Post RM]]))</f>
        <v>Closed</v>
      </c>
      <c r="AI675" s="14" t="str">
        <f ca="1">IF(WFTracker[[#This Row],[Impact Time Post RM]]&lt;=0,"ON TIME","LATE")</f>
        <v>LATE</v>
      </c>
      <c r="AJ675" s="14" t="s">
        <v>984</v>
      </c>
      <c r="AK675" s="14">
        <v>18</v>
      </c>
      <c r="AL675" s="915">
        <f>IF(WFTracker[[#This Row],[Type]]="MAKE", WFTracker[[#This Row],[Due date]]+Filters!$J$111, WFTracker[[#This Row],[Due date]]+Filters!$J$135)</f>
        <v>46047.072512647552</v>
      </c>
      <c r="AM675" s="102" cm="1">
        <f t="array" ref="AM6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6" spans="1:39" ht="15" customHeight="1">
      <c r="A676" t="str">
        <f>IF(WFTracker[[#This Row],[Order Number]]="SWBD", "QED2", "PZ4")</f>
        <v>PZ4</v>
      </c>
      <c r="B676" s="21" t="s">
        <v>791</v>
      </c>
      <c r="C676" s="26" t="s">
        <v>135</v>
      </c>
      <c r="D676" s="11" t="str">
        <f>WFTracker[[#This Row],[Order Number]]  &amp; "-" &amp; WFTracker[[#This Row],[Item]]</f>
        <v>0051656319-000010</v>
      </c>
      <c r="E676" s="23" t="s">
        <v>792</v>
      </c>
      <c r="F676" s="12">
        <v>46052</v>
      </c>
      <c r="G676" s="12">
        <v>46045</v>
      </c>
      <c r="H676" s="11" t="s">
        <v>110</v>
      </c>
      <c r="I676" s="11" t="s">
        <v>1555</v>
      </c>
      <c r="J676" s="55" t="s">
        <v>794</v>
      </c>
      <c r="K676" s="14" t="s">
        <v>1017</v>
      </c>
      <c r="L676" s="15" t="s">
        <v>27</v>
      </c>
      <c r="M676" s="29" t="s">
        <v>1120</v>
      </c>
      <c r="N676" s="57">
        <v>46132</v>
      </c>
      <c r="O676" s="15">
        <f>NETWORKDAYS.INTL(WFTracker[[#This Row],[Start date]],WFTracker[[#This Row],[RM]],1,Holidays!D680:D695)</f>
        <v>13</v>
      </c>
      <c r="P676" s="12">
        <v>46036</v>
      </c>
      <c r="Q676" s="12">
        <v>46044</v>
      </c>
      <c r="R676" s="12">
        <v>46052</v>
      </c>
      <c r="S676" s="12" t="b">
        <f>ISBLANK(WFTracker[[#This Row],[Completion Date]])</f>
        <v>0</v>
      </c>
      <c r="T676" s="12" t="str">
        <f>TEXT(WFTracker[[#This Row],[Start date]],"mmm-yyyy")</f>
        <v>Jan-2026</v>
      </c>
      <c r="U676" s="11">
        <v>10</v>
      </c>
      <c r="V676" s="11">
        <f>NETWORKDAYS.INTL(WFTracker[[#This Row],[Start date]],WFTracker[[#This Row],[Due date]],1,Holidays!D680:D695)</f>
        <v>7</v>
      </c>
      <c r="W6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76" s="24">
        <f ca="1">WFTracker[[#This Row],[Active Time]]-WFTracker[[#This Row],[Completion Days Template]]</f>
        <v>6</v>
      </c>
      <c r="Y676" s="16" t="str">
        <f ca="1" xml:space="preserve"> IF(WFTracker[[#This Row],[Overdue Time '[Expected-Completion']]]&gt;0, "LATE","ON TIME")</f>
        <v>LATE</v>
      </c>
      <c r="Z676" s="16" t="str">
        <f ca="1">IF(WFTracker[[#This Row],[Overdue Time '[Expected-Completion']]] &gt;= 15, "SUPER LATE", Y676)</f>
        <v>LATE</v>
      </c>
      <c r="AA676" s="37" t="str">
        <f>IF(WFTracker[[#This Row],[Pre RM Opening Time]]&lt;WFTracker[[#This Row],[Old vs New Order Lead Time WF dead line]], "LATE BY ENG", "ON TIME BY ENG")</f>
        <v>ON TIME BY ENG</v>
      </c>
      <c r="AB676" s="37"/>
      <c r="AC676" s="928" t="str" cm="1">
        <f t="array" ref="AC676">_xlfn.IFS(
    WFTracker[[#This Row],[Cancelation Cause]]&lt;&gt;"", "X",
    WFTracker[[#This Row],[Competion Date Content]] = FALSE, "C",
    TRUE, "I"
)</f>
        <v>C</v>
      </c>
      <c r="AD6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676" s="25" t="str">
        <f ca="1">IF(WFTracker[[#This Row],[Impact Time Post RM]]&gt;0, "IMPACTED", "NOT IMPACTED")</f>
        <v>IMPACTED</v>
      </c>
      <c r="AF676" s="15"/>
      <c r="AG676" s="18"/>
      <c r="AH676" s="14" t="str">
        <f>IF(WFTracker[[#This Row],[Status]]="C", "Closed", IF(WFTracker[[#This Row],[Status]] = "x", "Cancelled", WFTracker[[#This Row],[Impact Time Post RM]]))</f>
        <v>Closed</v>
      </c>
      <c r="AI676" s="14" t="str">
        <f ca="1">IF(WFTracker[[#This Row],[Impact Time Post RM]]&lt;=0,"ON TIME","LATE")</f>
        <v>LATE</v>
      </c>
      <c r="AJ676" s="14" t="s">
        <v>984</v>
      </c>
      <c r="AK676" s="14">
        <v>18</v>
      </c>
      <c r="AL676" s="915">
        <f>IF(WFTracker[[#This Row],[Type]]="MAKE", WFTracker[[#This Row],[Due date]]+Filters!$J$111, WFTracker[[#This Row],[Due date]]+Filters!$J$135)</f>
        <v>46047.072512647552</v>
      </c>
      <c r="AM676" s="102" cm="1">
        <f t="array" ref="AM6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77" spans="1:39" ht="15" customHeight="1">
      <c r="A677" t="str">
        <f>IF(WFTracker[[#This Row],[Order Number]]="SWBD", "QED2", "PZ4")</f>
        <v>PZ4</v>
      </c>
      <c r="B677" s="21" t="s">
        <v>791</v>
      </c>
      <c r="C677" s="26" t="s">
        <v>135</v>
      </c>
      <c r="D677" s="11" t="str">
        <f>WFTracker[[#This Row],[Order Number]]  &amp; "-" &amp; WFTracker[[#This Row],[Item]]</f>
        <v>0051656319-000010</v>
      </c>
      <c r="E677" s="23" t="s">
        <v>792</v>
      </c>
      <c r="F677" s="12">
        <v>46052</v>
      </c>
      <c r="G677" s="12">
        <v>46045</v>
      </c>
      <c r="H677" s="11" t="s">
        <v>110</v>
      </c>
      <c r="I677" s="11" t="s">
        <v>1555</v>
      </c>
      <c r="J677" s="55" t="s">
        <v>797</v>
      </c>
      <c r="K677" s="14" t="s">
        <v>1017</v>
      </c>
      <c r="L677" s="15" t="s">
        <v>40</v>
      </c>
      <c r="M677" s="29" t="s">
        <v>1120</v>
      </c>
      <c r="N677" s="57">
        <v>46132</v>
      </c>
      <c r="O677" s="15">
        <f>NETWORKDAYS.INTL(WFTracker[[#This Row],[Start date]],WFTracker[[#This Row],[RM]],1,Holidays!D681:D696)</f>
        <v>13</v>
      </c>
      <c r="P677" s="12">
        <v>46036</v>
      </c>
      <c r="Q677" s="12">
        <v>46049</v>
      </c>
      <c r="R677" s="12">
        <v>46052</v>
      </c>
      <c r="S677" s="12" t="b">
        <f>ISBLANK(WFTracker[[#This Row],[Completion Date]])</f>
        <v>0</v>
      </c>
      <c r="T677" s="12" t="str">
        <f>TEXT(WFTracker[[#This Row],[Start date]],"mmm-yyyy")</f>
        <v>Jan-2026</v>
      </c>
      <c r="U677" s="11">
        <v>10</v>
      </c>
      <c r="V677" s="11">
        <f>NETWORKDAYS.INTL(WFTracker[[#This Row],[Start date]],WFTracker[[#This Row],[Due date]],1,Holidays!D681:D696)</f>
        <v>10</v>
      </c>
      <c r="W6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77" s="24">
        <f ca="1">WFTracker[[#This Row],[Active Time]]-WFTracker[[#This Row],[Completion Days Template]]</f>
        <v>3</v>
      </c>
      <c r="Y677" s="16" t="str">
        <f ca="1" xml:space="preserve"> IF(WFTracker[[#This Row],[Overdue Time '[Expected-Completion']]]&gt;0, "LATE","ON TIME")</f>
        <v>LATE</v>
      </c>
      <c r="Z677" s="16" t="str">
        <f ca="1">IF(WFTracker[[#This Row],[Overdue Time '[Expected-Completion']]] &gt;= 15, "SUPER LATE", Y677)</f>
        <v>LATE</v>
      </c>
      <c r="AA677" s="37" t="str">
        <f>IF(WFTracker[[#This Row],[Pre RM Opening Time]]&lt;WFTracker[[#This Row],[Old vs New Order Lead Time WF dead line]], "LATE BY ENG", "ON TIME BY ENG")</f>
        <v>ON TIME BY ENG</v>
      </c>
      <c r="AB677" s="37"/>
      <c r="AC677" s="928" t="str" cm="1">
        <f t="array" ref="AC677">_xlfn.IFS(
    WFTracker[[#This Row],[Cancelation Cause]]&lt;&gt;"", "X",
    WFTracker[[#This Row],[Competion Date Content]] = FALSE, "C",
    TRUE, "I"
)</f>
        <v>C</v>
      </c>
      <c r="AD6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677" s="25" t="str">
        <f ca="1">IF(WFTracker[[#This Row],[Impact Time Post RM]]&gt;0, "IMPACTED", "NOT IMPACTED")</f>
        <v>IMPACTED</v>
      </c>
      <c r="AF677" s="15"/>
      <c r="AG677" s="18"/>
      <c r="AH677" s="14" t="str">
        <f>IF(WFTracker[[#This Row],[Status]]="C", "Closed", IF(WFTracker[[#This Row],[Status]] = "x", "Cancelled", WFTracker[[#This Row],[Impact Time Post RM]]))</f>
        <v>Closed</v>
      </c>
      <c r="AI677" s="14" t="str">
        <f ca="1">IF(WFTracker[[#This Row],[Impact Time Post RM]]&lt;=0,"ON TIME","LATE")</f>
        <v>LATE</v>
      </c>
      <c r="AJ677" s="14" t="s">
        <v>984</v>
      </c>
      <c r="AK677" s="14">
        <v>14</v>
      </c>
      <c r="AL677" s="915">
        <f>IF(WFTracker[[#This Row],[Type]]="MAKE", WFTracker[[#This Row],[Due date]]+Filters!$J$111, WFTracker[[#This Row],[Due date]]+Filters!$J$135)</f>
        <v>46049.415686274508</v>
      </c>
      <c r="AM677" s="102" cm="1">
        <f t="array" ref="AM677">_xlfn.IFS(WFTracker[[#This Row],[Type]]="BUY", WFTracker[[#This Row],[Task Number]]/17,
     WFTracker[[#This Row],[Type]]="MAKE", WFTracker[[#This Row],[Task Number]]/18,
     WFTracker[[#This Row],[Type]]="CNG-BOM", WFTracker[[#This Row],[Task Number]]/11)</f>
        <v>0.82352941176470584</v>
      </c>
    </row>
    <row r="678" spans="1:39" ht="15" customHeight="1">
      <c r="A678" t="str">
        <f>IF(WFTracker[[#This Row],[Order Number]]="SWBD", "QED2", "PZ4")</f>
        <v>PZ4</v>
      </c>
      <c r="B678" s="21" t="s">
        <v>791</v>
      </c>
      <c r="C678" s="26" t="s">
        <v>135</v>
      </c>
      <c r="D678" s="11" t="str">
        <f>WFTracker[[#This Row],[Order Number]]  &amp; "-" &amp; WFTracker[[#This Row],[Item]]</f>
        <v>0051656319-000010</v>
      </c>
      <c r="E678" s="23" t="s">
        <v>792</v>
      </c>
      <c r="F678" s="12">
        <v>46052</v>
      </c>
      <c r="G678" s="12">
        <v>46045</v>
      </c>
      <c r="H678" s="11" t="s">
        <v>110</v>
      </c>
      <c r="I678" s="11" t="s">
        <v>1555</v>
      </c>
      <c r="J678" s="55" t="s">
        <v>796</v>
      </c>
      <c r="K678" s="14" t="s">
        <v>1017</v>
      </c>
      <c r="L678" s="15" t="s">
        <v>40</v>
      </c>
      <c r="M678" s="29" t="s">
        <v>1120</v>
      </c>
      <c r="N678" s="57">
        <v>46132</v>
      </c>
      <c r="O678" s="15">
        <f>NETWORKDAYS.INTL(WFTracker[[#This Row],[Start date]],WFTracker[[#This Row],[RM]],1,Holidays!D682:D697)</f>
        <v>13</v>
      </c>
      <c r="P678" s="12">
        <v>46036</v>
      </c>
      <c r="Q678" s="12">
        <v>46050</v>
      </c>
      <c r="R678" s="12">
        <v>46052</v>
      </c>
      <c r="S678" s="12" t="b">
        <f>ISBLANK(WFTracker[[#This Row],[Completion Date]])</f>
        <v>0</v>
      </c>
      <c r="T678" s="12" t="str">
        <f>TEXT(WFTracker[[#This Row],[Start date]],"mmm-yyyy")</f>
        <v>Jan-2026</v>
      </c>
      <c r="U678" s="11">
        <v>10</v>
      </c>
      <c r="V678" s="11">
        <f>NETWORKDAYS.INTL(WFTracker[[#This Row],[Start date]],WFTracker[[#This Row],[Due date]],1,Holidays!D682:D697)</f>
        <v>11</v>
      </c>
      <c r="W6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678" s="24">
        <f ca="1">WFTracker[[#This Row],[Active Time]]-WFTracker[[#This Row],[Completion Days Template]]</f>
        <v>2</v>
      </c>
      <c r="Y678" s="16" t="str">
        <f ca="1" xml:space="preserve"> IF(WFTracker[[#This Row],[Overdue Time '[Expected-Completion']]]&gt;0, "LATE","ON TIME")</f>
        <v>LATE</v>
      </c>
      <c r="Z678" s="16" t="str">
        <f ca="1">IF(WFTracker[[#This Row],[Overdue Time '[Expected-Completion']]] &gt;= 15, "SUPER LATE", Y678)</f>
        <v>LATE</v>
      </c>
      <c r="AA678" s="37" t="str">
        <f>IF(WFTracker[[#This Row],[Pre RM Opening Time]]&lt;WFTracker[[#This Row],[Old vs New Order Lead Time WF dead line]], "LATE BY ENG", "ON TIME BY ENG")</f>
        <v>ON TIME BY ENG</v>
      </c>
      <c r="AB678" s="37"/>
      <c r="AC678" s="928" t="str" cm="1">
        <f t="array" ref="AC678">_xlfn.IFS(
    WFTracker[[#This Row],[Cancelation Cause]]&lt;&gt;"", "X",
    WFTracker[[#This Row],[Competion Date Content]] = FALSE, "C",
    TRUE, "I"
)</f>
        <v>C</v>
      </c>
      <c r="AD6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678" s="25" t="str">
        <f ca="1">IF(WFTracker[[#This Row],[Impact Time Post RM]]&gt;0, "IMPACTED", "NOT IMPACTED")</f>
        <v>IMPACTED</v>
      </c>
      <c r="AF678" s="15"/>
      <c r="AG678" s="18"/>
      <c r="AH678" s="14" t="str">
        <f>IF(WFTracker[[#This Row],[Status]]="C", "Closed", IF(WFTracker[[#This Row],[Status]] = "x", "Cancelled", WFTracker[[#This Row],[Impact Time Post RM]]))</f>
        <v>Closed</v>
      </c>
      <c r="AI678" s="14" t="str">
        <f ca="1">IF(WFTracker[[#This Row],[Impact Time Post RM]]&lt;=0,"ON TIME","LATE")</f>
        <v>LATE</v>
      </c>
      <c r="AJ678" s="14" t="s">
        <v>984</v>
      </c>
      <c r="AK678" s="14">
        <v>14</v>
      </c>
      <c r="AL678" s="915">
        <f>IF(WFTracker[[#This Row],[Type]]="MAKE", WFTracker[[#This Row],[Due date]]+Filters!$J$111, WFTracker[[#This Row],[Due date]]+Filters!$J$135)</f>
        <v>46050.415686274508</v>
      </c>
      <c r="AM678" s="102" cm="1">
        <f t="array" ref="AM678">_xlfn.IFS(WFTracker[[#This Row],[Type]]="BUY", WFTracker[[#This Row],[Task Number]]/17,
     WFTracker[[#This Row],[Type]]="MAKE", WFTracker[[#This Row],[Task Number]]/18,
     WFTracker[[#This Row],[Type]]="CNG-BOM", WFTracker[[#This Row],[Task Number]]/11)</f>
        <v>0.82352941176470584</v>
      </c>
    </row>
    <row r="679" spans="1:39" ht="15" customHeight="1">
      <c r="A679" t="str">
        <f>IF(WFTracker[[#This Row],[Order Number]]="SWBD", "QED2", "PZ4")</f>
        <v>PZ4</v>
      </c>
      <c r="B679" s="21" t="s">
        <v>791</v>
      </c>
      <c r="C679" s="26" t="s">
        <v>135</v>
      </c>
      <c r="D679" s="11" t="str">
        <f>WFTracker[[#This Row],[Order Number]]  &amp; "-" &amp; WFTracker[[#This Row],[Item]]</f>
        <v>0051656319-000010</v>
      </c>
      <c r="E679" s="23" t="s">
        <v>792</v>
      </c>
      <c r="F679" s="12">
        <v>46052</v>
      </c>
      <c r="G679" s="12">
        <v>46045</v>
      </c>
      <c r="H679" s="11" t="s">
        <v>110</v>
      </c>
      <c r="I679" s="11" t="s">
        <v>1555</v>
      </c>
      <c r="J679" s="113" t="s">
        <v>793</v>
      </c>
      <c r="K679" s="14" t="s">
        <v>1017</v>
      </c>
      <c r="L679" s="15" t="s">
        <v>27</v>
      </c>
      <c r="M679" s="29" t="s">
        <v>1120</v>
      </c>
      <c r="N679" s="57">
        <v>46132</v>
      </c>
      <c r="O679" s="15">
        <f>NETWORKDAYS.INTL(WFTracker[[#This Row],[Start date]],WFTracker[[#This Row],[RM]],1,Holidays!D683:D698)</f>
        <v>13</v>
      </c>
      <c r="P679" s="12">
        <v>46036</v>
      </c>
      <c r="Q679" s="12">
        <v>46045</v>
      </c>
      <c r="R679" s="12">
        <v>46045</v>
      </c>
      <c r="S679" s="12" t="b">
        <f>ISBLANK(WFTracker[[#This Row],[Completion Date]])</f>
        <v>0</v>
      </c>
      <c r="T679" s="12" t="str">
        <f>TEXT(WFTracker[[#This Row],[Start date]],"mmm-yyyy")</f>
        <v>Jan-2026</v>
      </c>
      <c r="U679" s="11">
        <v>10</v>
      </c>
      <c r="V679" s="11">
        <f>NETWORKDAYS.INTL(WFTracker[[#This Row],[Start date]],WFTracker[[#This Row],[Due date]],1,Holidays!D683:D698)</f>
        <v>8</v>
      </c>
      <c r="W6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679" s="24">
        <f ca="1">WFTracker[[#This Row],[Active Time]]-WFTracker[[#This Row],[Completion Days Template]]</f>
        <v>0</v>
      </c>
      <c r="Y679" s="16" t="str">
        <f ca="1" xml:space="preserve"> IF(WFTracker[[#This Row],[Overdue Time '[Expected-Completion']]]&gt;0, "LATE","ON TIME")</f>
        <v>ON TIME</v>
      </c>
      <c r="Z679" s="16" t="str">
        <f ca="1">IF(WFTracker[[#This Row],[Overdue Time '[Expected-Completion']]] &gt;= 15, "SUPER LATE", Y679)</f>
        <v>ON TIME</v>
      </c>
      <c r="AA679" s="37" t="str">
        <f>IF(WFTracker[[#This Row],[Pre RM Opening Time]]&lt;WFTracker[[#This Row],[Old vs New Order Lead Time WF dead line]], "LATE BY ENG", "ON TIME BY ENG")</f>
        <v>ON TIME BY ENG</v>
      </c>
      <c r="AB679" s="37"/>
      <c r="AC679" s="928" t="str" cm="1">
        <f t="array" ref="AC679">_xlfn.IFS(
    WFTracker[[#This Row],[Cancelation Cause]]&lt;&gt;"", "X",
    WFTracker[[#This Row],[Competion Date Content]] = FALSE, "C",
    TRUE, "I"
)</f>
        <v>C</v>
      </c>
      <c r="AD6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679" s="25" t="str">
        <f ca="1">IF(WFTracker[[#This Row],[Impact Time Post RM]]&gt;0, "IMPACTED", "NOT IMPACTED")</f>
        <v>NOT IMPACTED</v>
      </c>
      <c r="AF679" s="15"/>
      <c r="AG679" s="18"/>
      <c r="AH679" s="14" t="str">
        <f>IF(WFTracker[[#This Row],[Status]]="C", "Closed", IF(WFTracker[[#This Row],[Status]] = "x", "Cancelled", WFTracker[[#This Row],[Impact Time Post RM]]))</f>
        <v>Closed</v>
      </c>
      <c r="AI679" s="14" t="str">
        <f ca="1">IF(WFTracker[[#This Row],[Impact Time Post RM]]&lt;=0,"ON TIME","LATE")</f>
        <v>ON TIME</v>
      </c>
      <c r="AJ679" s="14" t="s">
        <v>984</v>
      </c>
      <c r="AK679" s="14">
        <v>18</v>
      </c>
      <c r="AL679" s="915">
        <f>IF(WFTracker[[#This Row],[Type]]="MAKE", WFTracker[[#This Row],[Due date]]+Filters!$J$111, WFTracker[[#This Row],[Due date]]+Filters!$J$135)</f>
        <v>46048.072512647552</v>
      </c>
      <c r="AM679" s="102" cm="1">
        <f t="array" ref="AM6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0" spans="1:39" ht="15" customHeight="1">
      <c r="A680" t="str">
        <f>IF(WFTracker[[#This Row],[Order Number]]="SWBD", "QED2", "PZ4")</f>
        <v>PZ4</v>
      </c>
      <c r="B680" s="21" t="s">
        <v>754</v>
      </c>
      <c r="C680" s="26" t="s">
        <v>765</v>
      </c>
      <c r="D680" s="11" t="str">
        <f>WFTracker[[#This Row],[Order Number]]  &amp; "-" &amp; WFTracker[[#This Row],[Item]]</f>
        <v>0050829646-001060</v>
      </c>
      <c r="E680" s="23" t="s">
        <v>756</v>
      </c>
      <c r="F680" s="12">
        <v>46052</v>
      </c>
      <c r="G680" s="12">
        <v>46044</v>
      </c>
      <c r="H680" s="11" t="s">
        <v>295</v>
      </c>
      <c r="I680" s="11" t="s">
        <v>264</v>
      </c>
      <c r="J680" s="122" t="s">
        <v>766</v>
      </c>
      <c r="K680" s="14" t="s">
        <v>1017</v>
      </c>
      <c r="L680" s="15" t="s">
        <v>27</v>
      </c>
      <c r="M680" s="29" t="s">
        <v>1120</v>
      </c>
      <c r="N680" s="57">
        <v>46139</v>
      </c>
      <c r="O680" s="15">
        <f>NETWORKDAYS.INTL(WFTracker[[#This Row],[Start date]],WFTracker[[#This Row],[RM]],1,Holidays!D684:D699)</f>
        <v>12</v>
      </c>
      <c r="P680" s="12">
        <v>46037</v>
      </c>
      <c r="Q680" s="12">
        <v>46045</v>
      </c>
      <c r="R680" s="12">
        <v>46043</v>
      </c>
      <c r="S680" s="12" t="b">
        <f>ISBLANK(WFTracker[[#This Row],[Completion Date]])</f>
        <v>0</v>
      </c>
      <c r="T680" s="12" t="str">
        <f>TEXT(WFTracker[[#This Row],[Start date]],"mmm-yyyy")</f>
        <v>Jan-2026</v>
      </c>
      <c r="U680" s="11">
        <v>10</v>
      </c>
      <c r="V680" s="11">
        <f>NETWORKDAYS.INTL(WFTracker[[#This Row],[Start date]],WFTracker[[#This Row],[Due date]],1,Holidays!D684:D699)</f>
        <v>7</v>
      </c>
      <c r="W6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80" s="24">
        <f ca="1">WFTracker[[#This Row],[Active Time]]-WFTracker[[#This Row],[Completion Days Template]]</f>
        <v>-2</v>
      </c>
      <c r="Y680" s="16" t="str">
        <f ca="1" xml:space="preserve"> IF(WFTracker[[#This Row],[Overdue Time '[Expected-Completion']]]&gt;0, "LATE","ON TIME")</f>
        <v>ON TIME</v>
      </c>
      <c r="Z680" s="16" t="str">
        <f ca="1">IF(WFTracker[[#This Row],[Overdue Time '[Expected-Completion']]] &gt;= 15, "SUPER LATE", Y680)</f>
        <v>ON TIME</v>
      </c>
      <c r="AA680" s="37" t="str">
        <f>IF(WFTracker[[#This Row],[Pre RM Opening Time]]&lt;WFTracker[[#This Row],[Old vs New Order Lead Time WF dead line]], "LATE BY ENG", "ON TIME BY ENG")</f>
        <v>ON TIME BY ENG</v>
      </c>
      <c r="AB680" s="37"/>
      <c r="AC680" s="928" t="str" cm="1">
        <f t="array" ref="AC680">_xlfn.IFS(
    WFTracker[[#This Row],[Cancelation Cause]]&lt;&gt;"", "X",
    WFTracker[[#This Row],[Competion Date Content]] = FALSE, "C",
    TRUE, "I"
)</f>
        <v>C</v>
      </c>
      <c r="AD6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680" s="25" t="str">
        <f ca="1">IF(WFTracker[[#This Row],[Impact Time Post RM]]&gt;0, "IMPACTED", "NOT IMPACTED")</f>
        <v>NOT IMPACTED</v>
      </c>
      <c r="AF680" s="15"/>
      <c r="AG680" s="18"/>
      <c r="AH680" s="14" t="str">
        <f>IF(WFTracker[[#This Row],[Status]]="C", "Closed", IF(WFTracker[[#This Row],[Status]] = "x", "Cancelled", WFTracker[[#This Row],[Impact Time Post RM]]))</f>
        <v>Closed</v>
      </c>
      <c r="AI680" s="14" t="str">
        <f ca="1">IF(WFTracker[[#This Row],[Impact Time Post RM]]&lt;=0,"ON TIME","LATE")</f>
        <v>ON TIME</v>
      </c>
      <c r="AJ680" s="14" t="s">
        <v>984</v>
      </c>
      <c r="AK680" s="14">
        <v>18</v>
      </c>
      <c r="AL680" s="915">
        <f>IF(WFTracker[[#This Row],[Type]]="MAKE", WFTracker[[#This Row],[Due date]]+Filters!$J$111, WFTracker[[#This Row],[Due date]]+Filters!$J$135)</f>
        <v>46048.072512647552</v>
      </c>
      <c r="AM680" s="102" cm="1">
        <f t="array" ref="AM6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1" spans="1:39" ht="15" customHeight="1">
      <c r="A681" t="str">
        <f>IF(WFTracker[[#This Row],[Order Number]]="SWBD", "QED2", "PZ4")</f>
        <v>PZ4</v>
      </c>
      <c r="B681" s="21" t="s">
        <v>754</v>
      </c>
      <c r="C681" s="26" t="s">
        <v>765</v>
      </c>
      <c r="D681" s="11" t="str">
        <f>WFTracker[[#This Row],[Order Number]]  &amp; "-" &amp; WFTracker[[#This Row],[Item]]</f>
        <v>0050829646-001060</v>
      </c>
      <c r="E681" s="23" t="s">
        <v>756</v>
      </c>
      <c r="F681" s="12">
        <v>46052</v>
      </c>
      <c r="G681" s="12">
        <v>46044</v>
      </c>
      <c r="H681" s="11" t="s">
        <v>295</v>
      </c>
      <c r="I681" s="11" t="s">
        <v>264</v>
      </c>
      <c r="J681" s="55" t="s">
        <v>767</v>
      </c>
      <c r="K681" s="14" t="s">
        <v>1017</v>
      </c>
      <c r="L681" s="15" t="s">
        <v>27</v>
      </c>
      <c r="M681" s="29" t="s">
        <v>1120</v>
      </c>
      <c r="N681" s="57">
        <v>46139</v>
      </c>
      <c r="O681" s="15">
        <f>NETWORKDAYS.INTL(WFTracker[[#This Row],[Start date]],WFTracker[[#This Row],[RM]],1,Holidays!D686:D701)</f>
        <v>12</v>
      </c>
      <c r="P681" s="12">
        <v>46037</v>
      </c>
      <c r="Q681" s="12">
        <v>46045</v>
      </c>
      <c r="R681" s="12">
        <v>46044</v>
      </c>
      <c r="S681" s="12" t="b">
        <f>ISBLANK(WFTracker[[#This Row],[Completion Date]])</f>
        <v>0</v>
      </c>
      <c r="T681" s="12" t="str">
        <f>TEXT(WFTracker[[#This Row],[Start date]],"mmm-yyyy")</f>
        <v>Jan-2026</v>
      </c>
      <c r="U681" s="11">
        <v>10</v>
      </c>
      <c r="V681" s="11">
        <f>NETWORKDAYS.INTL(WFTracker[[#This Row],[Start date]],WFTracker[[#This Row],[Due date]],1,Holidays!D686:D701)</f>
        <v>7</v>
      </c>
      <c r="W6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681" s="24">
        <f ca="1">WFTracker[[#This Row],[Active Time]]-WFTracker[[#This Row],[Completion Days Template]]</f>
        <v>-1</v>
      </c>
      <c r="Y681" s="16" t="str">
        <f ca="1" xml:space="preserve"> IF(WFTracker[[#This Row],[Overdue Time '[Expected-Completion']]]&gt;0, "LATE","ON TIME")</f>
        <v>ON TIME</v>
      </c>
      <c r="Z681" s="16" t="str">
        <f ca="1">IF(WFTracker[[#This Row],[Overdue Time '[Expected-Completion']]] &gt;= 15, "SUPER LATE", Y681)</f>
        <v>ON TIME</v>
      </c>
      <c r="AA681" s="37" t="str">
        <f>IF(WFTracker[[#This Row],[Pre RM Opening Time]]&lt;WFTracker[[#This Row],[Old vs New Order Lead Time WF dead line]], "LATE BY ENG", "ON TIME BY ENG")</f>
        <v>ON TIME BY ENG</v>
      </c>
      <c r="AB681" s="37"/>
      <c r="AC681" s="928" t="str" cm="1">
        <f t="array" ref="AC681">_xlfn.IFS(
    WFTracker[[#This Row],[Cancelation Cause]]&lt;&gt;"", "X",
    WFTracker[[#This Row],[Competion Date Content]] = FALSE, "C",
    TRUE, "I"
)</f>
        <v>C</v>
      </c>
      <c r="AD6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681" s="25" t="str">
        <f ca="1">IF(WFTracker[[#This Row],[Impact Time Post RM]]&gt;0, "IMPACTED", "NOT IMPACTED")</f>
        <v>NOT IMPACTED</v>
      </c>
      <c r="AF681" s="15"/>
      <c r="AG681" s="18"/>
      <c r="AH681" s="14" t="str">
        <f>IF(WFTracker[[#This Row],[Status]]="C", "Closed", IF(WFTracker[[#This Row],[Status]] = "x", "Cancelled", WFTracker[[#This Row],[Impact Time Post RM]]))</f>
        <v>Closed</v>
      </c>
      <c r="AI681" s="14" t="str">
        <f ca="1">IF(WFTracker[[#This Row],[Impact Time Post RM]]&lt;=0,"ON TIME","LATE")</f>
        <v>ON TIME</v>
      </c>
      <c r="AJ681" s="14" t="s">
        <v>984</v>
      </c>
      <c r="AK681" s="14">
        <v>18</v>
      </c>
      <c r="AL681" s="915">
        <f>IF(WFTracker[[#This Row],[Type]]="MAKE", WFTracker[[#This Row],[Due date]]+Filters!$J$111, WFTracker[[#This Row],[Due date]]+Filters!$J$135)</f>
        <v>46048.072512647552</v>
      </c>
      <c r="AM681" s="102" cm="1">
        <f t="array" ref="AM68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2" spans="1:39" ht="15" customHeight="1">
      <c r="A682" t="str">
        <f>IF(WFTracker[[#This Row],[Order Number]]="SWBD", "QED2", "PZ4")</f>
        <v>PZ4</v>
      </c>
      <c r="B682" s="21" t="s">
        <v>1434</v>
      </c>
      <c r="C682" s="26" t="s">
        <v>1434</v>
      </c>
      <c r="D682" s="11" t="str">
        <f>WFTracker[[#This Row],[Order Number]]  &amp; "-" &amp; WFTracker[[#This Row],[Item]]</f>
        <v>SPECIAL-SPECIAL</v>
      </c>
      <c r="E682" s="23" t="s">
        <v>1059</v>
      </c>
      <c r="F682" s="12">
        <v>46045</v>
      </c>
      <c r="G682" s="12">
        <v>46045</v>
      </c>
      <c r="H682" s="11" t="s">
        <v>709</v>
      </c>
      <c r="I682" s="11"/>
      <c r="J682" s="55" t="s">
        <v>1576</v>
      </c>
      <c r="K682" s="14" t="s">
        <v>1023</v>
      </c>
      <c r="L682" s="15" t="s">
        <v>27</v>
      </c>
      <c r="M682" s="29" t="s">
        <v>1120</v>
      </c>
      <c r="N682" s="57" t="s">
        <v>984</v>
      </c>
      <c r="O682" s="15">
        <f>NETWORKDAYS.INTL(WFTracker[[#This Row],[Start date]],WFTracker[[#This Row],[RM]],1,Holidays!D685:D700)</f>
        <v>7</v>
      </c>
      <c r="P682" s="12">
        <v>46037</v>
      </c>
      <c r="Q682" s="12">
        <v>46045</v>
      </c>
      <c r="R682" s="12">
        <v>46084</v>
      </c>
      <c r="S682" s="12" t="b">
        <f>ISBLANK(WFTracker[[#This Row],[Completion Date]])</f>
        <v>0</v>
      </c>
      <c r="T682" s="12" t="str">
        <f>TEXT(WFTracker[[#This Row],[Start date]],"mmm-yyyy")</f>
        <v>Jan-2026</v>
      </c>
      <c r="U682" s="11">
        <v>10</v>
      </c>
      <c r="V682" s="11">
        <f>NETWORKDAYS.INTL(WFTracker[[#This Row],[Start date]],WFTracker[[#This Row],[Due date]],1,Holidays!D685:D700)</f>
        <v>7</v>
      </c>
      <c r="W6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34</v>
      </c>
      <c r="X682" s="24">
        <f ca="1">WFTracker[[#This Row],[Active Time]]-WFTracker[[#This Row],[Completion Days Template]]</f>
        <v>27</v>
      </c>
      <c r="Y682" s="16" t="str">
        <f ca="1" xml:space="preserve"> IF(WFTracker[[#This Row],[Overdue Time '[Expected-Completion']]]&gt;0, "LATE","ON TIME")</f>
        <v>LATE</v>
      </c>
      <c r="Z682" s="16" t="str">
        <f ca="1">IF(WFTracker[[#This Row],[Overdue Time '[Expected-Completion']]] &gt;= 15, "SUPER LATE", Y682)</f>
        <v>SUPER LATE</v>
      </c>
      <c r="AA682" s="37" t="str">
        <f>IF(WFTracker[[#This Row],[Pre RM Opening Time]]&lt;WFTracker[[#This Row],[Old vs New Order Lead Time WF dead line]], "LATE BY ENG", "ON TIME BY ENG")</f>
        <v>LATE BY ENG</v>
      </c>
      <c r="AB682" s="37"/>
      <c r="AC682" s="928" t="str" cm="1">
        <f t="array" ref="AC682">_xlfn.IFS(
    WFTracker[[#This Row],[Cancelation Cause]]&lt;&gt;"", "X",
    WFTracker[[#This Row],[Competion Date Content]] = FALSE, "C",
    TRUE, "I"
)</f>
        <v>C</v>
      </c>
      <c r="AD6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28</v>
      </c>
      <c r="AE682" s="25" t="str">
        <f ca="1">IF(WFTracker[[#This Row],[Impact Time Post RM]]&gt;0, "IMPACTED", "NOT IMPACTED")</f>
        <v>IMPACTED</v>
      </c>
      <c r="AF682" s="15"/>
      <c r="AG682" s="18"/>
      <c r="AH682" s="14" t="str">
        <f>IF(WFTracker[[#This Row],[Status]]="C", "Closed", IF(WFTracker[[#This Row],[Status]] = "x", "Cancelled", WFTracker[[#This Row],[Impact Time Post RM]]))</f>
        <v>Closed</v>
      </c>
      <c r="AI682" s="14" t="str">
        <f ca="1">IF(WFTracker[[#This Row],[Impact Time Post RM]]&lt;=0,"ON TIME","LATE")</f>
        <v>LATE</v>
      </c>
      <c r="AJ682" s="14" t="s">
        <v>984</v>
      </c>
      <c r="AK682" s="14">
        <v>18</v>
      </c>
      <c r="AL682" s="915">
        <f>IF(WFTracker[[#This Row],[Type]]="MAKE", WFTracker[[#This Row],[Due date]]+Filters!$J$111, WFTracker[[#This Row],[Due date]]+Filters!$J$135)</f>
        <v>46048.072512647552</v>
      </c>
      <c r="AM682" s="102" cm="1">
        <f t="array" ref="AM6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3" spans="1:39" ht="15" customHeight="1">
      <c r="A683" t="str">
        <f>IF(WFTracker[[#This Row],[Order Number]]="SWBD", "QED2", "PZ4")</f>
        <v>PZ4</v>
      </c>
      <c r="B683" s="21" t="s">
        <v>730</v>
      </c>
      <c r="C683" s="26" t="s">
        <v>135</v>
      </c>
      <c r="D683" s="11" t="str">
        <f>WFTracker[[#This Row],[Order Number]]  &amp; "-" &amp; WFTracker[[#This Row],[Item]]</f>
        <v>0051620541-000010</v>
      </c>
      <c r="E683" s="23" t="s">
        <v>1025</v>
      </c>
      <c r="F683" s="12">
        <v>46031</v>
      </c>
      <c r="G683" s="12">
        <v>46038</v>
      </c>
      <c r="H683" s="11" t="s">
        <v>252</v>
      </c>
      <c r="I683" s="11" t="s">
        <v>732</v>
      </c>
      <c r="J683" s="55" t="s">
        <v>733</v>
      </c>
      <c r="K683" s="14" t="s">
        <v>1017</v>
      </c>
      <c r="L683" s="15" t="s">
        <v>40</v>
      </c>
      <c r="M683" s="29" t="s">
        <v>1120</v>
      </c>
      <c r="N683" s="57">
        <v>46125</v>
      </c>
      <c r="O683" s="15">
        <f>NETWORKDAYS.INTL(WFTracker[[#This Row],[Start date]],WFTracker[[#This Row],[RM]],1,Holidays!D662:D677)</f>
        <v>-6</v>
      </c>
      <c r="P683" s="12">
        <v>46038</v>
      </c>
      <c r="Q683" s="12">
        <v>46048</v>
      </c>
      <c r="R683" s="12">
        <v>46035</v>
      </c>
      <c r="S683" s="12" t="b">
        <f>ISBLANK(WFTracker[[#This Row],[Completion Date]])</f>
        <v>0</v>
      </c>
      <c r="T683" s="12" t="str">
        <f>TEXT(WFTracker[[#This Row],[Start date]],"mmm-yyyy")</f>
        <v>Jan-2026</v>
      </c>
      <c r="U683" s="11">
        <v>10</v>
      </c>
      <c r="V683" s="11">
        <f>NETWORKDAYS.INTL(WFTracker[[#This Row],[Start date]],WFTracker[[#This Row],[Due date]],1,Holidays!D662:D677)</f>
        <v>7</v>
      </c>
      <c r="W6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-4</v>
      </c>
      <c r="X683" s="24">
        <f ca="1">WFTracker[[#This Row],[Active Time]]-WFTracker[[#This Row],[Completion Days Template]]</f>
        <v>-11</v>
      </c>
      <c r="Y683" s="16" t="str">
        <f ca="1" xml:space="preserve"> IF(WFTracker[[#This Row],[Overdue Time '[Expected-Completion']]]&gt;0, "LATE","ON TIME")</f>
        <v>ON TIME</v>
      </c>
      <c r="Z683" s="16" t="str">
        <f ca="1">IF(WFTracker[[#This Row],[Overdue Time '[Expected-Completion']]] &gt;= 15, "SUPER LATE", Y683)</f>
        <v>ON TIME</v>
      </c>
      <c r="AA683" s="37" t="str">
        <f>IF(WFTracker[[#This Row],[Pre RM Opening Time]]&lt;WFTracker[[#This Row],[Old vs New Order Lead Time WF dead line]], "LATE BY ENG", "ON TIME BY ENG")</f>
        <v>LATE BY ENG</v>
      </c>
      <c r="AB683" s="37"/>
      <c r="AC683" s="928" t="str" cm="1">
        <f t="array" ref="AC683">_xlfn.IFS(
    WFTracker[[#This Row],[Cancelation Cause]]&lt;&gt;"", "X",
    WFTracker[[#This Row],[Competion Date Content]] = FALSE, "C",
    TRUE, "I"
)</f>
        <v>C</v>
      </c>
      <c r="AD6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683" s="25" t="str">
        <f ca="1">IF(WFTracker[[#This Row],[Impact Time Post RM]]&gt;0, "IMPACTED", "NOT IMPACTED")</f>
        <v>IMPACTED</v>
      </c>
      <c r="AF683" s="15"/>
      <c r="AG683" s="18"/>
      <c r="AH683" s="14" t="str">
        <f>IF(WFTracker[[#This Row],[Status]]="C", "Closed", IF(WFTracker[[#This Row],[Status]] = "x", "Cancelled", WFTracker[[#This Row],[Impact Time Post RM]]))</f>
        <v>Closed</v>
      </c>
      <c r="AI683" s="14" t="str">
        <f ca="1">IF(WFTracker[[#This Row],[Impact Time Post RM]]&lt;=0,"ON TIME","LATE")</f>
        <v>LATE</v>
      </c>
      <c r="AJ683" s="14" t="s">
        <v>984</v>
      </c>
      <c r="AK683" s="14">
        <v>17</v>
      </c>
      <c r="AL683" s="915">
        <f>IF(WFTracker[[#This Row],[Type]]="MAKE", WFTracker[[#This Row],[Due date]]+Filters!$J$111, WFTracker[[#This Row],[Due date]]+Filters!$J$135)</f>
        <v>46048.415686274508</v>
      </c>
      <c r="AM683" s="102" cm="1">
        <f t="array" ref="AM68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4" spans="1:39" ht="15" customHeight="1">
      <c r="A684" t="str">
        <f>IF(WFTracker[[#This Row],[Order Number]]="SWBD", "QED2", "PZ4")</f>
        <v>PZ4</v>
      </c>
      <c r="B684" s="21" t="s">
        <v>798</v>
      </c>
      <c r="C684" s="26" t="s">
        <v>192</v>
      </c>
      <c r="D684" s="11" t="str">
        <f>WFTracker[[#This Row],[Order Number]]  &amp; "-" &amp; WFTracker[[#This Row],[Item]]</f>
        <v>0051618201-000040</v>
      </c>
      <c r="E684" s="23" t="s">
        <v>799</v>
      </c>
      <c r="F684" s="12">
        <v>46057</v>
      </c>
      <c r="G684" s="12">
        <v>46052</v>
      </c>
      <c r="H684" s="11" t="s">
        <v>113</v>
      </c>
      <c r="I684" s="11" t="s">
        <v>37</v>
      </c>
      <c r="J684" s="55" t="s">
        <v>802</v>
      </c>
      <c r="K684" s="14" t="s">
        <v>1017</v>
      </c>
      <c r="L684" s="15" t="s">
        <v>27</v>
      </c>
      <c r="M684" s="29" t="s">
        <v>1120</v>
      </c>
      <c r="N684" s="57">
        <v>46141</v>
      </c>
      <c r="O684" s="15">
        <f>NETWORKDAYS.INTL(WFTracker[[#This Row],[Start date]],WFTracker[[#This Row],[RM]],1,Holidays!D688:D703)</f>
        <v>14</v>
      </c>
      <c r="P684" s="12">
        <v>46038</v>
      </c>
      <c r="Q684" s="12">
        <v>46045</v>
      </c>
      <c r="R684" s="12">
        <v>46048</v>
      </c>
      <c r="S684" s="12" t="b">
        <f>ISBLANK(WFTracker[[#This Row],[Completion Date]])</f>
        <v>0</v>
      </c>
      <c r="T684" s="12" t="str">
        <f>TEXT(WFTracker[[#This Row],[Start date]],"mmm-yyyy")</f>
        <v>Jan-2026</v>
      </c>
      <c r="U684" s="11">
        <v>10</v>
      </c>
      <c r="V684" s="11">
        <f>NETWORKDAYS.INTL(WFTracker[[#This Row],[Start date]],WFTracker[[#This Row],[Due date]],1,Holidays!D688:D703)</f>
        <v>6</v>
      </c>
      <c r="W6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84" s="24">
        <f ca="1">WFTracker[[#This Row],[Active Time]]-WFTracker[[#This Row],[Completion Days Template]]</f>
        <v>1</v>
      </c>
      <c r="Y684" s="16" t="str">
        <f ca="1" xml:space="preserve"> IF(WFTracker[[#This Row],[Overdue Time '[Expected-Completion']]]&gt;0, "LATE","ON TIME")</f>
        <v>LATE</v>
      </c>
      <c r="Z684" s="16" t="str">
        <f ca="1">IF(WFTracker[[#This Row],[Overdue Time '[Expected-Completion']]] &gt;= 15, "SUPER LATE", Y684)</f>
        <v>LATE</v>
      </c>
      <c r="AA684" s="37" t="str">
        <f>IF(WFTracker[[#This Row],[Pre RM Opening Time]]&lt;WFTracker[[#This Row],[Old vs New Order Lead Time WF dead line]], "LATE BY ENG", "ON TIME BY ENG")</f>
        <v>ON TIME BY ENG</v>
      </c>
      <c r="AB684" s="37"/>
      <c r="AC684" s="15" t="s">
        <v>29</v>
      </c>
      <c r="AD6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684" s="25" t="str">
        <f ca="1">IF(WFTracker[[#This Row],[Impact Time Post RM]]&gt;0, "IMPACTED", "NOT IMPACTED")</f>
        <v>NOT IMPACTED</v>
      </c>
      <c r="AF684" s="15"/>
      <c r="AG684" s="18"/>
      <c r="AH684" s="14" t="str">
        <f>IF(WFTracker[[#This Row],[Status]]="C", "Closed", IF(WFTracker[[#This Row],[Status]] = "x", "Cancelled", WFTracker[[#This Row],[Impact Time Post RM]]))</f>
        <v>Closed</v>
      </c>
      <c r="AI684" s="14" t="str">
        <f ca="1">IF(WFTracker[[#This Row],[Impact Time Post RM]]&lt;=0,"ON TIME","LATE")</f>
        <v>ON TIME</v>
      </c>
      <c r="AJ684" s="14" t="s">
        <v>984</v>
      </c>
      <c r="AK684" s="14">
        <v>18</v>
      </c>
      <c r="AL684" s="915">
        <f>IF(WFTracker[[#This Row],[Type]]="MAKE", WFTracker[[#This Row],[Due date]]+Filters!$J$111, WFTracker[[#This Row],[Due date]]+Filters!$J$135)</f>
        <v>46048.072512647552</v>
      </c>
      <c r="AM684" s="102" cm="1">
        <f t="array" ref="AM6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5" spans="1:39" ht="15" customHeight="1">
      <c r="A685" t="str">
        <f>IF(WFTracker[[#This Row],[Order Number]]="SWBD", "QED2", "PZ4")</f>
        <v>PZ4</v>
      </c>
      <c r="B685" s="21" t="s">
        <v>902</v>
      </c>
      <c r="C685" s="26" t="s">
        <v>135</v>
      </c>
      <c r="D685" s="11" t="str">
        <f>WFTracker[[#This Row],[Order Number]]  &amp; "-" &amp; WFTracker[[#This Row],[Item]]</f>
        <v>0051674363-000010</v>
      </c>
      <c r="E685" s="23" t="s">
        <v>903</v>
      </c>
      <c r="F685" s="12">
        <v>46101</v>
      </c>
      <c r="G685" s="12">
        <v>46094</v>
      </c>
      <c r="H685" s="11" t="s">
        <v>259</v>
      </c>
      <c r="I685" s="11"/>
      <c r="J685" s="55" t="s">
        <v>1577</v>
      </c>
      <c r="K685" s="14" t="s">
        <v>1023</v>
      </c>
      <c r="L685" s="15" t="s">
        <v>27</v>
      </c>
      <c r="M685" s="29" t="s">
        <v>1120</v>
      </c>
      <c r="N685" s="57">
        <v>46060</v>
      </c>
      <c r="O685" s="15">
        <f>NETWORKDAYS.INTL(WFTracker[[#This Row],[Start date]],WFTracker[[#This Row],[RM]],1,Holidays!D689:D704)</f>
        <v>46</v>
      </c>
      <c r="P685" s="12">
        <v>46038</v>
      </c>
      <c r="Q685" s="12">
        <v>46048</v>
      </c>
      <c r="R685" s="12">
        <v>46048</v>
      </c>
      <c r="S685" s="12" t="b">
        <f>ISBLANK(WFTracker[[#This Row],[Completion Date]])</f>
        <v>0</v>
      </c>
      <c r="T685" s="12" t="str">
        <f>TEXT(WFTracker[[#This Row],[Start date]],"mmm-yyyy")</f>
        <v>Jan-2026</v>
      </c>
      <c r="U685" s="11">
        <v>10</v>
      </c>
      <c r="V685" s="11">
        <f>NETWORKDAYS.INTL(WFTracker[[#This Row],[Start date]],WFTracker[[#This Row],[Due date]],1,Holidays!D689:D704)</f>
        <v>7</v>
      </c>
      <c r="W6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85" s="24">
        <f ca="1">WFTracker[[#This Row],[Active Time]]-WFTracker[[#This Row],[Completion Days Template]]</f>
        <v>0</v>
      </c>
      <c r="Y685" s="16" t="str">
        <f ca="1" xml:space="preserve"> IF(WFTracker[[#This Row],[Overdue Time '[Expected-Completion']]]&gt;0, "LATE","ON TIME")</f>
        <v>ON TIME</v>
      </c>
      <c r="Z685" s="16" t="str">
        <f ca="1">IF(WFTracker[[#This Row],[Overdue Time '[Expected-Completion']]] &gt;= 15, "SUPER LATE", Y685)</f>
        <v>ON TIME</v>
      </c>
      <c r="AA685" s="37" t="str">
        <f>IF(WFTracker[[#This Row],[Pre RM Opening Time]]&lt;WFTracker[[#This Row],[Old vs New Order Lead Time WF dead line]], "LATE BY ENG", "ON TIME BY ENG")</f>
        <v>ON TIME BY ENG</v>
      </c>
      <c r="AB685" s="37"/>
      <c r="AC685" s="15" t="s">
        <v>29</v>
      </c>
      <c r="AD6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-40</v>
      </c>
      <c r="AE685" s="25" t="str">
        <f ca="1">IF(WFTracker[[#This Row],[Impact Time Post RM]]&gt;0, "IMPACTED", "NOT IMPACTED")</f>
        <v>NOT IMPACTED</v>
      </c>
      <c r="AF685" s="15"/>
      <c r="AG685" s="18"/>
      <c r="AH685" s="14" t="str">
        <f>IF(WFTracker[[#This Row],[Status]]="C", "Closed", IF(WFTracker[[#This Row],[Status]] = "x", "Cancelled", WFTracker[[#This Row],[Impact Time Post RM]]))</f>
        <v>Closed</v>
      </c>
      <c r="AI685" s="14" t="str">
        <f ca="1">IF(WFTracker[[#This Row],[Impact Time Post RM]]&lt;=0,"ON TIME","LATE")</f>
        <v>ON TIME</v>
      </c>
      <c r="AJ685" s="14" t="s">
        <v>984</v>
      </c>
      <c r="AK685" s="14">
        <v>18</v>
      </c>
      <c r="AL685" s="915">
        <f>IF(WFTracker[[#This Row],[Type]]="MAKE", WFTracker[[#This Row],[Due date]]+Filters!$J$111, WFTracker[[#This Row],[Due date]]+Filters!$J$135)</f>
        <v>46051.072512647552</v>
      </c>
      <c r="AM685" s="102" cm="1">
        <f t="array" ref="AM68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6" spans="1:39" ht="15" customHeight="1">
      <c r="A686" t="str">
        <f>IF(WFTracker[[#This Row],[Order Number]]="SWBD", "QED2", "PZ4")</f>
        <v>PZ4</v>
      </c>
      <c r="B686" s="21" t="s">
        <v>798</v>
      </c>
      <c r="C686" s="26" t="s">
        <v>192</v>
      </c>
      <c r="D686" s="11" t="str">
        <f>WFTracker[[#This Row],[Order Number]]  &amp; "-" &amp; WFTracker[[#This Row],[Item]]</f>
        <v>0051618201-000040</v>
      </c>
      <c r="E686" s="23" t="s">
        <v>799</v>
      </c>
      <c r="F686" s="12">
        <v>46057</v>
      </c>
      <c r="G686" s="12">
        <v>46052</v>
      </c>
      <c r="H686" s="11" t="s">
        <v>113</v>
      </c>
      <c r="I686" s="11" t="s">
        <v>37</v>
      </c>
      <c r="J686" s="55" t="s">
        <v>800</v>
      </c>
      <c r="K686" s="14" t="s">
        <v>1017</v>
      </c>
      <c r="L686" s="15" t="s">
        <v>27</v>
      </c>
      <c r="M686" s="29" t="s">
        <v>1120</v>
      </c>
      <c r="N686" s="57">
        <v>46141</v>
      </c>
      <c r="O686" s="15">
        <f>NETWORKDAYS.INTL(WFTracker[[#This Row],[Start date]],WFTracker[[#This Row],[RM]],1,Holidays!D690:D705)</f>
        <v>14</v>
      </c>
      <c r="P686" s="12">
        <v>46038</v>
      </c>
      <c r="Q686" s="12">
        <v>46048</v>
      </c>
      <c r="R686" s="12">
        <v>46050</v>
      </c>
      <c r="S686" s="12" t="b">
        <f>ISBLANK(WFTracker[[#This Row],[Completion Date]])</f>
        <v>0</v>
      </c>
      <c r="T686" s="12" t="str">
        <f>TEXT(WFTracker[[#This Row],[Start date]],"mmm-yyyy")</f>
        <v>Jan-2026</v>
      </c>
      <c r="U686" s="11">
        <v>10</v>
      </c>
      <c r="V686" s="11">
        <f>NETWORKDAYS.INTL(WFTracker[[#This Row],[Start date]],WFTracker[[#This Row],[Due date]],1,Holidays!D690:D705)</f>
        <v>7</v>
      </c>
      <c r="W6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86" s="24">
        <f ca="1">WFTracker[[#This Row],[Active Time]]-WFTracker[[#This Row],[Completion Days Template]]</f>
        <v>2</v>
      </c>
      <c r="Y686" s="16" t="str">
        <f ca="1" xml:space="preserve"> IF(WFTracker[[#This Row],[Overdue Time '[Expected-Completion']]]&gt;0, "LATE","ON TIME")</f>
        <v>LATE</v>
      </c>
      <c r="Z686" s="16" t="str">
        <f ca="1">IF(WFTracker[[#This Row],[Overdue Time '[Expected-Completion']]] &gt;= 15, "SUPER LATE", Y686)</f>
        <v>LATE</v>
      </c>
      <c r="AA686" s="37" t="str">
        <f>IF(WFTracker[[#This Row],[Pre RM Opening Time]]&lt;WFTracker[[#This Row],[Old vs New Order Lead Time WF dead line]], "LATE BY ENG", "ON TIME BY ENG")</f>
        <v>ON TIME BY ENG</v>
      </c>
      <c r="AB686" s="37"/>
      <c r="AC686" s="15" t="s">
        <v>29</v>
      </c>
      <c r="AD6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686" s="25" t="str">
        <f ca="1">IF(WFTracker[[#This Row],[Impact Time Post RM]]&gt;0, "IMPACTED", "NOT IMPACTED")</f>
        <v>NOT IMPACTED</v>
      </c>
      <c r="AF686" s="15"/>
      <c r="AG686" s="18"/>
      <c r="AH686" s="14" t="str">
        <f>IF(WFTracker[[#This Row],[Status]]="C", "Closed", IF(WFTracker[[#This Row],[Status]] = "x", "Cancelled", WFTracker[[#This Row],[Impact Time Post RM]]))</f>
        <v>Closed</v>
      </c>
      <c r="AI686" s="14" t="str">
        <f ca="1">IF(WFTracker[[#This Row],[Impact Time Post RM]]&lt;=0,"ON TIME","LATE")</f>
        <v>ON TIME</v>
      </c>
      <c r="AJ686" s="14" t="s">
        <v>984</v>
      </c>
      <c r="AK686" s="14">
        <v>18</v>
      </c>
      <c r="AL686" s="915">
        <f>IF(WFTracker[[#This Row],[Type]]="MAKE", WFTracker[[#This Row],[Due date]]+Filters!$J$111, WFTracker[[#This Row],[Due date]]+Filters!$J$135)</f>
        <v>46051.072512647552</v>
      </c>
      <c r="AM686" s="102" cm="1">
        <f t="array" ref="AM6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7" spans="1:39" ht="15" customHeight="1">
      <c r="A687" t="str">
        <f>IF(WFTracker[[#This Row],[Order Number]]="SWBD", "QED2", "PZ4")</f>
        <v>PZ4</v>
      </c>
      <c r="B687" s="21" t="s">
        <v>778</v>
      </c>
      <c r="C687" s="26" t="s">
        <v>352</v>
      </c>
      <c r="D687" s="11" t="str">
        <f>WFTracker[[#This Row],[Order Number]]  &amp; "-" &amp; WFTracker[[#This Row],[Item]]</f>
        <v>0051193435-000290</v>
      </c>
      <c r="E687" s="23" t="s">
        <v>779</v>
      </c>
      <c r="F687" s="12">
        <v>46052</v>
      </c>
      <c r="G687" s="12">
        <v>46045</v>
      </c>
      <c r="H687" s="11" t="s">
        <v>237</v>
      </c>
      <c r="I687" s="11" t="s">
        <v>241</v>
      </c>
      <c r="J687" s="55" t="s">
        <v>1578</v>
      </c>
      <c r="K687" s="14" t="s">
        <v>1023</v>
      </c>
      <c r="L687" s="15" t="s">
        <v>27</v>
      </c>
      <c r="M687" s="29" t="s">
        <v>1120</v>
      </c>
      <c r="N687" s="57">
        <v>46178</v>
      </c>
      <c r="O687" s="15">
        <f>NETWORKDAYS.INTL(WFTracker[[#This Row],[Start date]],WFTracker[[#This Row],[RM]],1,Holidays!D691:D706)</f>
        <v>10</v>
      </c>
      <c r="P687" s="12">
        <v>46041</v>
      </c>
      <c r="Q687" s="12">
        <v>46048</v>
      </c>
      <c r="R687" s="12">
        <v>46050</v>
      </c>
      <c r="S687" s="12" t="b">
        <f>ISBLANK(WFTracker[[#This Row],[Completion Date]])</f>
        <v>0</v>
      </c>
      <c r="T687" s="12" t="str">
        <f>TEXT(WFTracker[[#This Row],[Start date]],"mmm-yyyy")</f>
        <v>Jan-2026</v>
      </c>
      <c r="U687" s="11">
        <v>10</v>
      </c>
      <c r="V687" s="11">
        <f>NETWORKDAYS.INTL(WFTracker[[#This Row],[Start date]],WFTracker[[#This Row],[Due date]],1,Holidays!D691:D706)</f>
        <v>6</v>
      </c>
      <c r="W6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687" s="24">
        <f ca="1">WFTracker[[#This Row],[Active Time]]-WFTracker[[#This Row],[Completion Days Template]]</f>
        <v>2</v>
      </c>
      <c r="Y687" s="16" t="str">
        <f ca="1" xml:space="preserve"> IF(WFTracker[[#This Row],[Overdue Time '[Expected-Completion']]]&gt;0, "LATE","ON TIME")</f>
        <v>LATE</v>
      </c>
      <c r="Z687" s="16" t="str">
        <f ca="1">IF(WFTracker[[#This Row],[Overdue Time '[Expected-Completion']]] &gt;= 15, "SUPER LATE", Y687)</f>
        <v>LATE</v>
      </c>
      <c r="AA687" s="37" t="str">
        <f>IF(WFTracker[[#This Row],[Pre RM Opening Time]]&lt;WFTracker[[#This Row],[Old vs New Order Lead Time WF dead line]], "LATE BY ENG", "ON TIME BY ENG")</f>
        <v>ON TIME BY ENG</v>
      </c>
      <c r="AB687" s="37"/>
      <c r="AC687" s="15" t="s">
        <v>29</v>
      </c>
      <c r="AD6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687" s="25" t="str">
        <f ca="1">IF(WFTracker[[#This Row],[Impact Time Post RM]]&gt;0, "IMPACTED", "NOT IMPACTED")</f>
        <v>NOT IMPACTED</v>
      </c>
      <c r="AF687" s="15"/>
      <c r="AG687" s="18"/>
      <c r="AH687" s="14" t="str">
        <f>IF(WFTracker[[#This Row],[Status]]="C", "Closed", IF(WFTracker[[#This Row],[Status]] = "x", "Cancelled", WFTracker[[#This Row],[Impact Time Post RM]]))</f>
        <v>Closed</v>
      </c>
      <c r="AI687" s="14" t="str">
        <f ca="1">IF(WFTracker[[#This Row],[Impact Time Post RM]]&lt;=0,"ON TIME","LATE")</f>
        <v>ON TIME</v>
      </c>
      <c r="AJ687" s="14" t="s">
        <v>984</v>
      </c>
      <c r="AK687" s="14">
        <v>18</v>
      </c>
      <c r="AL687" s="915">
        <f>IF(WFTracker[[#This Row],[Type]]="MAKE", WFTracker[[#This Row],[Due date]]+Filters!$J$111, WFTracker[[#This Row],[Due date]]+Filters!$J$135)</f>
        <v>46051.072512647552</v>
      </c>
      <c r="AM687" s="102" cm="1">
        <f t="array" ref="AM6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8" spans="1:39" ht="15" customHeight="1">
      <c r="A688" t="str">
        <f>IF(WFTracker[[#This Row],[Order Number]]="SWBD", "QED2", "PZ4")</f>
        <v>PZ4</v>
      </c>
      <c r="B688" s="21" t="s">
        <v>778</v>
      </c>
      <c r="C688" s="26" t="s">
        <v>352</v>
      </c>
      <c r="D688" s="11" t="str">
        <f>WFTracker[[#This Row],[Order Number]]  &amp; "-" &amp; WFTracker[[#This Row],[Item]]</f>
        <v>0051193435-000290</v>
      </c>
      <c r="E688" s="23" t="s">
        <v>779</v>
      </c>
      <c r="F688" s="12">
        <v>46052</v>
      </c>
      <c r="G688" s="12">
        <v>46045</v>
      </c>
      <c r="H688" s="11" t="s">
        <v>237</v>
      </c>
      <c r="I688" s="11" t="s">
        <v>241</v>
      </c>
      <c r="J688" s="113" t="s">
        <v>1579</v>
      </c>
      <c r="K688" s="14" t="s">
        <v>1023</v>
      </c>
      <c r="L688" s="15" t="s">
        <v>27</v>
      </c>
      <c r="M688" s="29" t="s">
        <v>1120</v>
      </c>
      <c r="N688" s="57">
        <v>46178</v>
      </c>
      <c r="O688" s="15">
        <f>NETWORKDAYS.INTL(WFTracker[[#This Row],[Start date]],WFTracker[[#This Row],[RM]],1,Holidays!D692:D707)</f>
        <v>10</v>
      </c>
      <c r="P688" s="12">
        <v>46041</v>
      </c>
      <c r="Q688" s="12">
        <v>46048</v>
      </c>
      <c r="R688" s="12">
        <v>46051</v>
      </c>
      <c r="S688" s="12" t="b">
        <f>ISBLANK(WFTracker[[#This Row],[Completion Date]])</f>
        <v>0</v>
      </c>
      <c r="T688" s="12" t="str">
        <f>TEXT(WFTracker[[#This Row],[Start date]],"mmm-yyyy")</f>
        <v>Jan-2026</v>
      </c>
      <c r="U688" s="11">
        <v>10</v>
      </c>
      <c r="V688" s="11">
        <f>NETWORKDAYS.INTL(WFTracker[[#This Row],[Start date]],WFTracker[[#This Row],[Due date]],1,Holidays!D692:D707)</f>
        <v>6</v>
      </c>
      <c r="W6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688" s="24">
        <f ca="1">WFTracker[[#This Row],[Active Time]]-WFTracker[[#This Row],[Completion Days Template]]</f>
        <v>3</v>
      </c>
      <c r="Y688" s="16" t="str">
        <f ca="1" xml:space="preserve"> IF(WFTracker[[#This Row],[Overdue Time '[Expected-Completion']]]&gt;0, "LATE","ON TIME")</f>
        <v>LATE</v>
      </c>
      <c r="Z688" s="16" t="str">
        <f ca="1">IF(WFTracker[[#This Row],[Overdue Time '[Expected-Completion']]] &gt;= 15, "SUPER LATE", Y688)</f>
        <v>LATE</v>
      </c>
      <c r="AA688" s="37" t="str">
        <f>IF(WFTracker[[#This Row],[Pre RM Opening Time]]&lt;WFTracker[[#This Row],[Old vs New Order Lead Time WF dead line]], "LATE BY ENG", "ON TIME BY ENG")</f>
        <v>ON TIME BY ENG</v>
      </c>
      <c r="AB688" s="37"/>
      <c r="AC688" s="15" t="s">
        <v>29</v>
      </c>
      <c r="AD6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688" s="25" t="str">
        <f ca="1">IF(WFTracker[[#This Row],[Impact Time Post RM]]&gt;0, "IMPACTED", "NOT IMPACTED")</f>
        <v>NOT IMPACTED</v>
      </c>
      <c r="AF688" s="15"/>
      <c r="AG688" s="18"/>
      <c r="AH688" s="14" t="str">
        <f>IF(WFTracker[[#This Row],[Status]]="C", "Closed", IF(WFTracker[[#This Row],[Status]] = "x", "Cancelled", WFTracker[[#This Row],[Impact Time Post RM]]))</f>
        <v>Closed</v>
      </c>
      <c r="AI688" s="14" t="str">
        <f ca="1">IF(WFTracker[[#This Row],[Impact Time Post RM]]&lt;=0,"ON TIME","LATE")</f>
        <v>ON TIME</v>
      </c>
      <c r="AJ688" s="14" t="s">
        <v>984</v>
      </c>
      <c r="AK688" s="14">
        <v>18</v>
      </c>
      <c r="AL688" s="915">
        <f>IF(WFTracker[[#This Row],[Type]]="MAKE", WFTracker[[#This Row],[Due date]]+Filters!$J$111, WFTracker[[#This Row],[Due date]]+Filters!$J$135)</f>
        <v>46051.072512647552</v>
      </c>
      <c r="AM688" s="102" cm="1">
        <f t="array" ref="AM6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89" spans="1:39" ht="15" customHeight="1">
      <c r="A689" t="str">
        <f>IF(WFTracker[[#This Row],[Order Number]]="SWBD", "QED2", "PZ4")</f>
        <v>PZ4</v>
      </c>
      <c r="B689" s="21" t="s">
        <v>778</v>
      </c>
      <c r="C689" s="26" t="s">
        <v>352</v>
      </c>
      <c r="D689" s="11" t="str">
        <f>WFTracker[[#This Row],[Order Number]]  &amp; "-" &amp; WFTracker[[#This Row],[Item]]</f>
        <v>0051193435-000290</v>
      </c>
      <c r="E689" s="23" t="s">
        <v>779</v>
      </c>
      <c r="F689" s="12">
        <v>46052</v>
      </c>
      <c r="G689" s="12">
        <v>46045</v>
      </c>
      <c r="H689" s="11" t="s">
        <v>237</v>
      </c>
      <c r="I689" s="11" t="s">
        <v>241</v>
      </c>
      <c r="J689" s="113" t="s">
        <v>1580</v>
      </c>
      <c r="K689" s="14" t="s">
        <v>1023</v>
      </c>
      <c r="L689" s="15" t="s">
        <v>27</v>
      </c>
      <c r="M689" s="29" t="s">
        <v>1120</v>
      </c>
      <c r="N689" s="57">
        <v>46178</v>
      </c>
      <c r="O689" s="15">
        <f>NETWORKDAYS.INTL(WFTracker[[#This Row],[Start date]],WFTracker[[#This Row],[RM]],1,Holidays!D693:D708)</f>
        <v>10</v>
      </c>
      <c r="P689" s="12">
        <v>46041</v>
      </c>
      <c r="Q689" s="12">
        <v>46048</v>
      </c>
      <c r="R689" s="12">
        <v>46052</v>
      </c>
      <c r="S689" s="12" t="b">
        <f>ISBLANK(WFTracker[[#This Row],[Completion Date]])</f>
        <v>0</v>
      </c>
      <c r="T689" s="12" t="str">
        <f>TEXT(WFTracker[[#This Row],[Start date]],"mmm-yyyy")</f>
        <v>Jan-2026</v>
      </c>
      <c r="U689" s="11">
        <v>10</v>
      </c>
      <c r="V689" s="11">
        <f>NETWORKDAYS.INTL(WFTracker[[#This Row],[Start date]],WFTracker[[#This Row],[Due date]],1,Holidays!D693:D708)</f>
        <v>6</v>
      </c>
      <c r="W6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689" s="24">
        <f ca="1">WFTracker[[#This Row],[Active Time]]-WFTracker[[#This Row],[Completion Days Template]]</f>
        <v>4</v>
      </c>
      <c r="Y689" s="16" t="str">
        <f ca="1" xml:space="preserve"> IF(WFTracker[[#This Row],[Overdue Time '[Expected-Completion']]]&gt;0, "LATE","ON TIME")</f>
        <v>LATE</v>
      </c>
      <c r="Z689" s="16" t="str">
        <f ca="1">IF(WFTracker[[#This Row],[Overdue Time '[Expected-Completion']]] &gt;= 15, "SUPER LATE", Y689)</f>
        <v>LATE</v>
      </c>
      <c r="AA689" s="37" t="str">
        <f>IF(WFTracker[[#This Row],[Pre RM Opening Time]]&lt;WFTracker[[#This Row],[Old vs New Order Lead Time WF dead line]], "LATE BY ENG", "ON TIME BY ENG")</f>
        <v>ON TIME BY ENG</v>
      </c>
      <c r="AB689" s="37"/>
      <c r="AC689" s="928" t="str" cm="1">
        <f t="array" ref="AC689">_xlfn.IFS(
    WFTracker[[#This Row],[Cancelation Cause]]&lt;&gt;"", "X",
    WFTracker[[#This Row],[Competion Date Content]] = FALSE, "C",
    TRUE, "I"
)</f>
        <v>C</v>
      </c>
      <c r="AD6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689" s="25" t="str">
        <f ca="1">IF(WFTracker[[#This Row],[Impact Time Post RM]]&gt;0, "IMPACTED", "NOT IMPACTED")</f>
        <v>IMPACTED</v>
      </c>
      <c r="AF689" s="15"/>
      <c r="AG689" s="18"/>
      <c r="AH689" s="14" t="str">
        <f>IF(WFTracker[[#This Row],[Status]]="C", "Closed", IF(WFTracker[[#This Row],[Status]] = "x", "Cancelled", WFTracker[[#This Row],[Impact Time Post RM]]))</f>
        <v>Closed</v>
      </c>
      <c r="AI689" s="14" t="str">
        <f ca="1">IF(WFTracker[[#This Row],[Impact Time Post RM]]&lt;=0,"ON TIME","LATE")</f>
        <v>LATE</v>
      </c>
      <c r="AJ689" s="14" t="s">
        <v>984</v>
      </c>
      <c r="AK689" s="14">
        <v>18</v>
      </c>
      <c r="AL689" s="915">
        <f>IF(WFTracker[[#This Row],[Type]]="MAKE", WFTracker[[#This Row],[Due date]]+Filters!$J$111, WFTracker[[#This Row],[Due date]]+Filters!$J$135)</f>
        <v>46051.072512647552</v>
      </c>
      <c r="AM689" s="102" cm="1">
        <f t="array" ref="AM68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0" spans="1:39" ht="15" customHeight="1">
      <c r="A690" t="str">
        <f>IF(WFTracker[[#This Row],[Order Number]]="SWBD", "QED2", "PZ4")</f>
        <v>PZ4</v>
      </c>
      <c r="B690" s="21" t="s">
        <v>782</v>
      </c>
      <c r="C690" s="26" t="s">
        <v>783</v>
      </c>
      <c r="D690" s="11" t="str">
        <f>WFTracker[[#This Row],[Order Number]]  &amp; "-" &amp; WFTracker[[#This Row],[Item]]</f>
        <v>0051008484-000500</v>
      </c>
      <c r="E690" s="23" t="s">
        <v>784</v>
      </c>
      <c r="F690" s="12">
        <v>46066</v>
      </c>
      <c r="G690" s="12">
        <v>46059</v>
      </c>
      <c r="H690" s="11" t="s">
        <v>113</v>
      </c>
      <c r="I690" s="11" t="s">
        <v>429</v>
      </c>
      <c r="J690" s="55" t="s">
        <v>785</v>
      </c>
      <c r="K690" s="14" t="s">
        <v>1017</v>
      </c>
      <c r="L690" s="15" t="s">
        <v>27</v>
      </c>
      <c r="M690" s="29" t="s">
        <v>1120</v>
      </c>
      <c r="N690" s="57">
        <v>46142</v>
      </c>
      <c r="O690" s="15">
        <f>NETWORKDAYS.INTL(WFTracker[[#This Row],[Start date]],WFTracker[[#This Row],[RM]],1,Holidays!D695:D710)</f>
        <v>20</v>
      </c>
      <c r="P690" s="12">
        <v>46041</v>
      </c>
      <c r="Q690" s="12">
        <v>46052</v>
      </c>
      <c r="R690" s="12">
        <v>46062</v>
      </c>
      <c r="S690" s="12" t="b">
        <f>ISBLANK(WFTracker[[#This Row],[Completion Date]])</f>
        <v>0</v>
      </c>
      <c r="T690" s="12" t="str">
        <f>TEXT(WFTracker[[#This Row],[Start date]],"mmm-yyyy")</f>
        <v>Jan-2026</v>
      </c>
      <c r="U690" s="11">
        <v>10</v>
      </c>
      <c r="V690" s="11">
        <f>NETWORKDAYS.INTL(WFTracker[[#This Row],[Start date]],WFTracker[[#This Row],[Due date]],1,Holidays!D695:D710)</f>
        <v>10</v>
      </c>
      <c r="W6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690" s="24">
        <f ca="1">WFTracker[[#This Row],[Active Time]]-WFTracker[[#This Row],[Completion Days Template]]</f>
        <v>6</v>
      </c>
      <c r="Y690" s="16" t="str">
        <f ca="1" xml:space="preserve"> IF(WFTracker[[#This Row],[Overdue Time '[Expected-Completion']]]&gt;0, "LATE","ON TIME")</f>
        <v>LATE</v>
      </c>
      <c r="Z690" s="16" t="str">
        <f ca="1">IF(WFTracker[[#This Row],[Overdue Time '[Expected-Completion']]] &gt;= 15, "SUPER LATE", Y690)</f>
        <v>LATE</v>
      </c>
      <c r="AA690" s="37" t="str">
        <f>IF(WFTracker[[#This Row],[Pre RM Opening Time]]&lt;WFTracker[[#This Row],[Old vs New Order Lead Time WF dead line]], "LATE BY ENG", "ON TIME BY ENG")</f>
        <v>ON TIME BY ENG</v>
      </c>
      <c r="AB690" s="37"/>
      <c r="AC690" s="928" t="str" cm="1">
        <f t="array" ref="AC690">_xlfn.IFS(
    WFTracker[[#This Row],[Cancelation Cause]]&lt;&gt;"", "X",
    WFTracker[[#This Row],[Competion Date Content]] = FALSE, "C",
    TRUE, "I"
)</f>
        <v>C</v>
      </c>
      <c r="AD6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690" s="25" t="str">
        <f ca="1">IF(WFTracker[[#This Row],[Impact Time Post RM]]&gt;0, "IMPACTED", "NOT IMPACTED")</f>
        <v>NOT IMPACTED</v>
      </c>
      <c r="AF690" s="15"/>
      <c r="AG690" s="18"/>
      <c r="AH690" s="14" t="str">
        <f>IF(WFTracker[[#This Row],[Status]]="C", "Closed", IF(WFTracker[[#This Row],[Status]] = "x", "Cancelled", WFTracker[[#This Row],[Impact Time Post RM]]))</f>
        <v>Closed</v>
      </c>
      <c r="AI690" s="14" t="str">
        <f ca="1">IF(WFTracker[[#This Row],[Impact Time Post RM]]&lt;=0,"ON TIME","LATE")</f>
        <v>ON TIME</v>
      </c>
      <c r="AJ690" s="14" t="s">
        <v>984</v>
      </c>
      <c r="AK690" s="14">
        <v>18</v>
      </c>
      <c r="AL690" s="915">
        <f>IF(WFTracker[[#This Row],[Type]]="MAKE", WFTracker[[#This Row],[Due date]]+Filters!$J$111, WFTracker[[#This Row],[Due date]]+Filters!$J$135)</f>
        <v>46055.072512647552</v>
      </c>
      <c r="AM690" s="102" cm="1">
        <f t="array" ref="AM6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1" spans="1:39" ht="15" customHeight="1">
      <c r="A691" t="str">
        <f>IF(WFTracker[[#This Row],[Order Number]]="SWBD", "QED2", "PZ4")</f>
        <v>PZ4</v>
      </c>
      <c r="B691" s="21" t="s">
        <v>782</v>
      </c>
      <c r="C691" s="26" t="s">
        <v>783</v>
      </c>
      <c r="D691" s="11" t="str">
        <f>WFTracker[[#This Row],[Order Number]]  &amp; "-" &amp; WFTracker[[#This Row],[Item]]</f>
        <v>0051008484-000500</v>
      </c>
      <c r="E691" s="23" t="s">
        <v>784</v>
      </c>
      <c r="F691" s="12">
        <v>46066</v>
      </c>
      <c r="G691" s="12">
        <v>46059</v>
      </c>
      <c r="H691" s="11" t="s">
        <v>113</v>
      </c>
      <c r="I691" s="11" t="s">
        <v>429</v>
      </c>
      <c r="J691" s="55" t="s">
        <v>787</v>
      </c>
      <c r="K691" s="14" t="s">
        <v>1017</v>
      </c>
      <c r="L691" s="15" t="s">
        <v>27</v>
      </c>
      <c r="M691" s="29" t="s">
        <v>1120</v>
      </c>
      <c r="N691" s="57">
        <v>46142</v>
      </c>
      <c r="O691" s="15">
        <f>NETWORKDAYS.INTL(WFTracker[[#This Row],[Start date]],WFTracker[[#This Row],[RM]],1,Holidays!D696:D711)</f>
        <v>20</v>
      </c>
      <c r="P691" s="12">
        <v>46041</v>
      </c>
      <c r="Q691" s="12">
        <v>46056</v>
      </c>
      <c r="R691" s="12">
        <v>46058</v>
      </c>
      <c r="S691" s="12" t="b">
        <f>ISBLANK(WFTracker[[#This Row],[Completion Date]])</f>
        <v>0</v>
      </c>
      <c r="T691" s="12" t="str">
        <f>TEXT(WFTracker[[#This Row],[Start date]],"mmm-yyyy")</f>
        <v>Jan-2026</v>
      </c>
      <c r="U691" s="11">
        <v>10</v>
      </c>
      <c r="V691" s="11">
        <f>NETWORKDAYS.INTL(WFTracker[[#This Row],[Start date]],WFTracker[[#This Row],[Due date]],1,Holidays!D696:D711)</f>
        <v>12</v>
      </c>
      <c r="W6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691" s="24">
        <f ca="1">WFTracker[[#This Row],[Active Time]]-WFTracker[[#This Row],[Completion Days Template]]</f>
        <v>2</v>
      </c>
      <c r="Y691" s="16" t="str">
        <f ca="1" xml:space="preserve"> IF(WFTracker[[#This Row],[Overdue Time '[Expected-Completion']]]&gt;0, "LATE","ON TIME")</f>
        <v>LATE</v>
      </c>
      <c r="Z691" s="16" t="str">
        <f ca="1">IF(WFTracker[[#This Row],[Overdue Time '[Expected-Completion']]] &gt;= 15, "SUPER LATE", Y691)</f>
        <v>LATE</v>
      </c>
      <c r="AA691" s="37" t="str">
        <f>IF(WFTracker[[#This Row],[Pre RM Opening Time]]&lt;WFTracker[[#This Row],[Old vs New Order Lead Time WF dead line]], "LATE BY ENG", "ON TIME BY ENG")</f>
        <v>ON TIME BY ENG</v>
      </c>
      <c r="AB691" s="37"/>
      <c r="AC691" s="928" t="str" cm="1">
        <f t="array" ref="AC691">_xlfn.IFS(
    WFTracker[[#This Row],[Cancelation Cause]]&lt;&gt;"", "X",
    WFTracker[[#This Row],[Competion Date Content]] = FALSE, "C",
    TRUE, "I"
)</f>
        <v>C</v>
      </c>
      <c r="AD6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691" s="25" t="str">
        <f ca="1">IF(WFTracker[[#This Row],[Impact Time Post RM]]&gt;0, "IMPACTED", "NOT IMPACTED")</f>
        <v>NOT IMPACTED</v>
      </c>
      <c r="AF691" s="15"/>
      <c r="AG691" s="18"/>
      <c r="AH691" s="14" t="str">
        <f>IF(WFTracker[[#This Row],[Status]]="C", "Closed", IF(WFTracker[[#This Row],[Status]] = "x", "Cancelled", WFTracker[[#This Row],[Impact Time Post RM]]))</f>
        <v>Closed</v>
      </c>
      <c r="AI691" s="14" t="str">
        <f ca="1">IF(WFTracker[[#This Row],[Impact Time Post RM]]&lt;=0,"ON TIME","LATE")</f>
        <v>ON TIME</v>
      </c>
      <c r="AJ691" s="14" t="s">
        <v>984</v>
      </c>
      <c r="AK691" s="14">
        <v>18</v>
      </c>
      <c r="AL691" s="915">
        <f>IF(WFTracker[[#This Row],[Type]]="MAKE", WFTracker[[#This Row],[Due date]]+Filters!$J$111, WFTracker[[#This Row],[Due date]]+Filters!$J$135)</f>
        <v>46059.072512647552</v>
      </c>
      <c r="AM691" s="102" cm="1">
        <f t="array" ref="AM6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2" spans="1:39" ht="15" customHeight="1">
      <c r="A692" t="str">
        <f>IF(WFTracker[[#This Row],[Order Number]]="SWBD", "QED2", "PZ4")</f>
        <v>PZ4</v>
      </c>
      <c r="B692" s="21" t="s">
        <v>902</v>
      </c>
      <c r="C692" s="26" t="s">
        <v>135</v>
      </c>
      <c r="D692" s="11" t="str">
        <f>WFTracker[[#This Row],[Order Number]]  &amp; "-" &amp; WFTracker[[#This Row],[Item]]</f>
        <v>0051674363-000010</v>
      </c>
      <c r="E692" s="23" t="s">
        <v>903</v>
      </c>
      <c r="F692" s="12">
        <v>46101</v>
      </c>
      <c r="G692" s="12">
        <v>46035</v>
      </c>
      <c r="H692" s="11" t="s">
        <v>259</v>
      </c>
      <c r="I692" s="11"/>
      <c r="J692" s="55" t="s">
        <v>1581</v>
      </c>
      <c r="K692" s="14" t="s">
        <v>1023</v>
      </c>
      <c r="L692" s="15" t="s">
        <v>40</v>
      </c>
      <c r="M692" s="29" t="s">
        <v>1120</v>
      </c>
      <c r="N692" s="57">
        <v>46223</v>
      </c>
      <c r="O692" s="15">
        <f>NETWORKDAYS.INTL(WFTracker[[#This Row],[Start date]],WFTracker[[#This Row],[RM]],1,Holidays!D694:D709)</f>
        <v>45</v>
      </c>
      <c r="P692" s="12">
        <v>46041</v>
      </c>
      <c r="Q692" s="12">
        <v>46051</v>
      </c>
      <c r="R692" s="12">
        <v>46056</v>
      </c>
      <c r="S692" s="12" t="b">
        <f>ISBLANK(WFTracker[[#This Row],[Completion Date]])</f>
        <v>0</v>
      </c>
      <c r="T692" s="12" t="str">
        <f>TEXT(WFTracker[[#This Row],[Start date]],"mmm-yyyy")</f>
        <v>Jan-2026</v>
      </c>
      <c r="U692" s="11">
        <v>10</v>
      </c>
      <c r="V692" s="11">
        <f>NETWORKDAYS.INTL(WFTracker[[#This Row],[Start date]],WFTracker[[#This Row],[Due date]],1,Holidays!D694:D709)</f>
        <v>9</v>
      </c>
      <c r="W6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692" s="24">
        <f ca="1">WFTracker[[#This Row],[Active Time]]-WFTracker[[#This Row],[Completion Days Template]]</f>
        <v>3</v>
      </c>
      <c r="Y692" s="16" t="str">
        <f ca="1" xml:space="preserve"> IF(WFTracker[[#This Row],[Overdue Time '[Expected-Completion']]]&gt;0, "LATE","ON TIME")</f>
        <v>LATE</v>
      </c>
      <c r="Z692" s="16" t="str">
        <f ca="1">IF(WFTracker[[#This Row],[Overdue Time '[Expected-Completion']]] &gt;= 15, "SUPER LATE", Y692)</f>
        <v>LATE</v>
      </c>
      <c r="AA692" s="37" t="str">
        <f>IF(WFTracker[[#This Row],[Pre RM Opening Time]]&lt;WFTracker[[#This Row],[Old vs New Order Lead Time WF dead line]], "LATE BY ENG", "ON TIME BY ENG")</f>
        <v>ON TIME BY ENG</v>
      </c>
      <c r="AB692" s="37"/>
      <c r="AC692" s="928" t="str" cm="1">
        <f t="array" ref="AC692">_xlfn.IFS(
    WFTracker[[#This Row],[Cancelation Cause]]&lt;&gt;"", "X",
    WFTracker[[#This Row],[Competion Date Content]] = FALSE, "C",
    TRUE, "I"
)</f>
        <v>C</v>
      </c>
      <c r="AD6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-34</v>
      </c>
      <c r="AE692" s="25" t="str">
        <f ca="1">IF(WFTracker[[#This Row],[Impact Time Post RM]]&gt;0, "IMPACTED", "NOT IMPACTED")</f>
        <v>NOT IMPACTED</v>
      </c>
      <c r="AF692" s="15"/>
      <c r="AG692" s="18"/>
      <c r="AH692" s="14" t="str">
        <f>IF(WFTracker[[#This Row],[Status]]="C", "Closed", IF(WFTracker[[#This Row],[Status]] = "x", "Cancelled", WFTracker[[#This Row],[Impact Time Post RM]]))</f>
        <v>Closed</v>
      </c>
      <c r="AI692" s="14" t="str">
        <f ca="1">IF(WFTracker[[#This Row],[Impact Time Post RM]]&lt;=0,"ON TIME","LATE")</f>
        <v>ON TIME</v>
      </c>
      <c r="AJ692" s="14" t="s">
        <v>984</v>
      </c>
      <c r="AK692" s="14">
        <v>17</v>
      </c>
      <c r="AL692" s="915">
        <f>IF(WFTracker[[#This Row],[Type]]="MAKE", WFTracker[[#This Row],[Due date]]+Filters!$J$111, WFTracker[[#This Row],[Due date]]+Filters!$J$135)</f>
        <v>46051.415686274508</v>
      </c>
      <c r="AM692" s="102" cm="1">
        <f t="array" ref="AM6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3" spans="1:39" ht="15" customHeight="1">
      <c r="A693" t="str">
        <f>IF(WFTracker[[#This Row],[Order Number]]="SWBD", "QED2", "PZ4")</f>
        <v>PZ4</v>
      </c>
      <c r="B693" s="21" t="s">
        <v>714</v>
      </c>
      <c r="C693" s="26" t="s">
        <v>789</v>
      </c>
      <c r="D693" s="11" t="str">
        <f>WFTracker[[#This Row],[Order Number]]  &amp; "-" &amp; WFTracker[[#This Row],[Item]]</f>
        <v>0050927776-000980</v>
      </c>
      <c r="E693" s="23" t="s">
        <v>716</v>
      </c>
      <c r="F693" s="12">
        <v>46055</v>
      </c>
      <c r="G693" s="12">
        <v>46048</v>
      </c>
      <c r="H693" s="11" t="s">
        <v>237</v>
      </c>
      <c r="I693" s="11" t="s">
        <v>260</v>
      </c>
      <c r="J693" s="55" t="s">
        <v>790</v>
      </c>
      <c r="K693" s="14" t="s">
        <v>1017</v>
      </c>
      <c r="L693" s="15" t="s">
        <v>27</v>
      </c>
      <c r="M693" s="29" t="s">
        <v>1120</v>
      </c>
      <c r="N693" s="57">
        <v>46246</v>
      </c>
      <c r="O693" s="15">
        <f>NETWORKDAYS.INTL(WFTracker[[#This Row],[Start date]],WFTracker[[#This Row],[RM]],1,Holidays!D697:D712)</f>
        <v>10</v>
      </c>
      <c r="P693" s="12">
        <v>46042</v>
      </c>
      <c r="Q693" s="12">
        <v>46049</v>
      </c>
      <c r="R693" s="12">
        <v>46050</v>
      </c>
      <c r="S693" s="12" t="b">
        <f>ISBLANK(WFTracker[[#This Row],[Completion Date]])</f>
        <v>0</v>
      </c>
      <c r="T693" s="12" t="str">
        <f>TEXT(WFTracker[[#This Row],[Start date]],"mmm-yyyy")</f>
        <v>Jan-2026</v>
      </c>
      <c r="U693" s="11">
        <v>10</v>
      </c>
      <c r="V693" s="11">
        <f>NETWORKDAYS.INTL(WFTracker[[#This Row],[Start date]],WFTracker[[#This Row],[Due date]],1,Holidays!D697:D712)</f>
        <v>6</v>
      </c>
      <c r="W6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93" s="24">
        <f ca="1">WFTracker[[#This Row],[Active Time]]-WFTracker[[#This Row],[Completion Days Template]]</f>
        <v>1</v>
      </c>
      <c r="Y693" s="16" t="str">
        <f ca="1" xml:space="preserve"> IF(WFTracker[[#This Row],[Overdue Time '[Expected-Completion']]]&gt;0, "LATE","ON TIME")</f>
        <v>LATE</v>
      </c>
      <c r="Z693" s="16" t="str">
        <f ca="1">IF(WFTracker[[#This Row],[Overdue Time '[Expected-Completion']]] &gt;= 15, "SUPER LATE", Y693)</f>
        <v>LATE</v>
      </c>
      <c r="AA693" s="37" t="str">
        <f>IF(WFTracker[[#This Row],[Pre RM Opening Time]]&lt;WFTracker[[#This Row],[Old vs New Order Lead Time WF dead line]], "LATE BY ENG", "ON TIME BY ENG")</f>
        <v>ON TIME BY ENG</v>
      </c>
      <c r="AB693" s="37"/>
      <c r="AC693" s="15" t="s">
        <v>29</v>
      </c>
      <c r="AD6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93" s="25" t="str">
        <f ca="1">IF(WFTracker[[#This Row],[Impact Time Post RM]]&gt;0, "IMPACTED", "NOT IMPACTED")</f>
        <v>NOT IMPACTED</v>
      </c>
      <c r="AF693" s="15"/>
      <c r="AG693" s="18"/>
      <c r="AH693" s="14" t="str">
        <f>IF(WFTracker[[#This Row],[Status]]="C", "Closed", IF(WFTracker[[#This Row],[Status]] = "x", "Cancelled", WFTracker[[#This Row],[Impact Time Post RM]]))</f>
        <v>Closed</v>
      </c>
      <c r="AI693" s="14" t="str">
        <f ca="1">IF(WFTracker[[#This Row],[Impact Time Post RM]]&lt;=0,"ON TIME","LATE")</f>
        <v>ON TIME</v>
      </c>
      <c r="AJ693" s="14" t="s">
        <v>984</v>
      </c>
      <c r="AK693" s="14">
        <v>18</v>
      </c>
      <c r="AL693" s="915">
        <f>IF(WFTracker[[#This Row],[Type]]="MAKE", WFTracker[[#This Row],[Due date]]+Filters!$J$111, WFTracker[[#This Row],[Due date]]+Filters!$J$135)</f>
        <v>46052.072512647552</v>
      </c>
      <c r="AM693" s="102" cm="1">
        <f t="array" ref="AM69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4" spans="1:39" ht="15" customHeight="1">
      <c r="A694" t="str">
        <f>IF(WFTracker[[#This Row],[Order Number]]="SWBD", "QED2", "PZ4")</f>
        <v>PZ4</v>
      </c>
      <c r="B694" s="21" t="s">
        <v>782</v>
      </c>
      <c r="C694" s="26" t="s">
        <v>783</v>
      </c>
      <c r="D694" s="11" t="str">
        <f>WFTracker[[#This Row],[Order Number]]  &amp; "-" &amp; WFTracker[[#This Row],[Item]]</f>
        <v>0051008484-000500</v>
      </c>
      <c r="E694" s="23" t="s">
        <v>784</v>
      </c>
      <c r="F694" s="12">
        <v>46035</v>
      </c>
      <c r="G694" s="12">
        <v>46028</v>
      </c>
      <c r="H694" s="11" t="s">
        <v>113</v>
      </c>
      <c r="I694" s="11" t="s">
        <v>429</v>
      </c>
      <c r="J694" s="55" t="s">
        <v>1582</v>
      </c>
      <c r="K694" s="14" t="s">
        <v>1017</v>
      </c>
      <c r="L694" s="15" t="s">
        <v>27</v>
      </c>
      <c r="M694" s="29" t="s">
        <v>1120</v>
      </c>
      <c r="N694" s="57">
        <v>46149</v>
      </c>
      <c r="O694" s="15">
        <f>NETWORKDAYS.INTL(WFTracker[[#This Row],[Start date]],WFTracker[[#This Row],[RM]],1,Holidays!D697:D712)</f>
        <v>-6</v>
      </c>
      <c r="P694" s="12">
        <v>46042</v>
      </c>
      <c r="Q694" s="12">
        <v>46050</v>
      </c>
      <c r="R694" s="12">
        <v>46048</v>
      </c>
      <c r="S694" s="12" t="b">
        <f>ISBLANK(WFTracker[[#This Row],[Completion Date]])</f>
        <v>0</v>
      </c>
      <c r="T694" s="12" t="str">
        <f>TEXT(WFTracker[[#This Row],[Start date]],"mmm-yyyy")</f>
        <v>Jan-2026</v>
      </c>
      <c r="U694" s="11">
        <v>10</v>
      </c>
      <c r="V694" s="11">
        <f>NETWORKDAYS.INTL(WFTracker[[#This Row],[Start date]],WFTracker[[#This Row],[Due date]],1,Holidays!D697:D712)</f>
        <v>7</v>
      </c>
      <c r="W6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94" s="24">
        <f ca="1">WFTracker[[#This Row],[Active Time]]-WFTracker[[#This Row],[Completion Days Template]]</f>
        <v>-2</v>
      </c>
      <c r="Y694" s="16" t="str">
        <f ca="1" xml:space="preserve"> IF(WFTracker[[#This Row],[Overdue Time '[Expected-Completion']]]&gt;0, "LATE","ON TIME")</f>
        <v>ON TIME</v>
      </c>
      <c r="Z694" s="16" t="str">
        <f ca="1">IF(WFTracker[[#This Row],[Overdue Time '[Expected-Completion']]] &gt;= 15, "SUPER LATE", Y694)</f>
        <v>ON TIME</v>
      </c>
      <c r="AA694" s="37" t="str">
        <f>IF(WFTracker[[#This Row],[Pre RM Opening Time]]&lt;WFTracker[[#This Row],[Old vs New Order Lead Time WF dead line]], "LATE BY ENG", "ON TIME BY ENG")</f>
        <v>LATE BY ENG</v>
      </c>
      <c r="AB694" s="37"/>
      <c r="AC694" s="15" t="s">
        <v>29</v>
      </c>
      <c r="AD6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694" s="25" t="str">
        <f ca="1">IF(WFTracker[[#This Row],[Impact Time Post RM]]&gt;0, "IMPACTED", "NOT IMPACTED")</f>
        <v>IMPACTED</v>
      </c>
      <c r="AF694" s="15"/>
      <c r="AG694" s="18"/>
      <c r="AH694" s="14" t="str">
        <f>IF(WFTracker[[#This Row],[Status]]="C", "Closed", IF(WFTracker[[#This Row],[Status]] = "x", "Cancelled", WFTracker[[#This Row],[Impact Time Post RM]]))</f>
        <v>Closed</v>
      </c>
      <c r="AI694" s="14" t="str">
        <f ca="1">IF(WFTracker[[#This Row],[Impact Time Post RM]]&lt;=0,"ON TIME","LATE")</f>
        <v>LATE</v>
      </c>
      <c r="AJ694" s="14" t="s">
        <v>984</v>
      </c>
      <c r="AK694" s="14">
        <v>18</v>
      </c>
      <c r="AL694" s="915">
        <f>IF(WFTracker[[#This Row],[Type]]="MAKE", WFTracker[[#This Row],[Due date]]+Filters!$J$111, WFTracker[[#This Row],[Due date]]+Filters!$J$135)</f>
        <v>46053.072512647552</v>
      </c>
      <c r="AM694" s="102" cm="1">
        <f t="array" ref="AM69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5" spans="1:39" ht="15" customHeight="1">
      <c r="A695" t="str">
        <f>IF(WFTracker[[#This Row],[Order Number]]="SWBD", "QED2", "PZ4")</f>
        <v>PZ4</v>
      </c>
      <c r="B695" s="968" t="s">
        <v>1583</v>
      </c>
      <c r="C695" s="26" t="s">
        <v>783</v>
      </c>
      <c r="D695" s="11" t="str">
        <f>WFTracker[[#This Row],[Order Number]]  &amp; "-" &amp; WFTracker[[#This Row],[Item]]</f>
        <v>051008484-000500</v>
      </c>
      <c r="E695" s="23" t="s">
        <v>784</v>
      </c>
      <c r="F695" s="12">
        <v>46035</v>
      </c>
      <c r="G695" s="12">
        <v>46028</v>
      </c>
      <c r="H695" s="11" t="s">
        <v>113</v>
      </c>
      <c r="I695" s="11" t="s">
        <v>429</v>
      </c>
      <c r="J695" s="55" t="s">
        <v>788</v>
      </c>
      <c r="K695" s="14" t="s">
        <v>1023</v>
      </c>
      <c r="L695" s="15" t="s">
        <v>40</v>
      </c>
      <c r="M695" s="29" t="s">
        <v>1120</v>
      </c>
      <c r="N695" s="57">
        <v>46149</v>
      </c>
      <c r="O695" s="15">
        <f>NETWORKDAYS.INTL(WFTracker[[#This Row],[Start date]],WFTracker[[#This Row],[RM]],1,Holidays!D699:D714)</f>
        <v>-7</v>
      </c>
      <c r="P695" s="12">
        <v>46043</v>
      </c>
      <c r="Q695" s="12">
        <v>46050</v>
      </c>
      <c r="R695" s="12">
        <v>46062</v>
      </c>
      <c r="S695" s="12" t="b">
        <f>ISBLANK(WFTracker[[#This Row],[Completion Date]])</f>
        <v>0</v>
      </c>
      <c r="T695" s="12" t="str">
        <f>TEXT(WFTracker[[#This Row],[Start date]],"mmm-yyyy")</f>
        <v>Jan-2026</v>
      </c>
      <c r="U695" s="11">
        <v>10</v>
      </c>
      <c r="V695" s="11">
        <f>NETWORKDAYS.INTL(WFTracker[[#This Row],[Start date]],WFTracker[[#This Row],[Due date]],1,Holidays!D699:D714)</f>
        <v>6</v>
      </c>
      <c r="W6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695" s="24">
        <f ca="1">WFTracker[[#This Row],[Active Time]]-WFTracker[[#This Row],[Completion Days Template]]</f>
        <v>8</v>
      </c>
      <c r="Y695" s="16" t="str">
        <f ca="1" xml:space="preserve"> IF(WFTracker[[#This Row],[Overdue Time '[Expected-Completion']]]&gt;0, "LATE","ON TIME")</f>
        <v>LATE</v>
      </c>
      <c r="Z695" s="16" t="str">
        <f ca="1">IF(WFTracker[[#This Row],[Overdue Time '[Expected-Completion']]] &gt;= 15, "SUPER LATE", Y695)</f>
        <v>LATE</v>
      </c>
      <c r="AA695" s="37" t="str">
        <f>IF(WFTracker[[#This Row],[Pre RM Opening Time]]&lt;WFTracker[[#This Row],[Old vs New Order Lead Time WF dead line]], "LATE BY ENG", "ON TIME BY ENG")</f>
        <v>LATE BY ENG</v>
      </c>
      <c r="AB695" s="37"/>
      <c r="AC695" s="928" t="str" cm="1">
        <f t="array" ref="AC695">_xlfn.IFS(
    WFTracker[[#This Row],[Cancelation Cause]]&lt;&gt;"", "X",
    WFTracker[[#This Row],[Competion Date Content]] = FALSE, "C",
    TRUE, "I"
)</f>
        <v>C</v>
      </c>
      <c r="AD6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20</v>
      </c>
      <c r="AE695" s="25" t="str">
        <f ca="1">IF(WFTracker[[#This Row],[Impact Time Post RM]]&gt;0, "IMPACTED", "NOT IMPACTED")</f>
        <v>IMPACTED</v>
      </c>
      <c r="AF695" s="15"/>
      <c r="AG695" s="18"/>
      <c r="AH695" s="14" t="str">
        <f>IF(WFTracker[[#This Row],[Status]]="C", "Closed", IF(WFTracker[[#This Row],[Status]] = "x", "Cancelled", WFTracker[[#This Row],[Impact Time Post RM]]))</f>
        <v>Closed</v>
      </c>
      <c r="AI695" s="14" t="str">
        <f ca="1">IF(WFTracker[[#This Row],[Impact Time Post RM]]&lt;=0,"ON TIME","LATE")</f>
        <v>LATE</v>
      </c>
      <c r="AJ695" s="14" t="s">
        <v>984</v>
      </c>
      <c r="AK695" s="14">
        <v>17</v>
      </c>
      <c r="AL695" s="915">
        <f>IF(WFTracker[[#This Row],[Type]]="MAKE", WFTracker[[#This Row],[Due date]]+Filters!$J$111, WFTracker[[#This Row],[Due date]]+Filters!$J$135)</f>
        <v>46050.415686274508</v>
      </c>
      <c r="AM695" s="102" cm="1">
        <f t="array" ref="AM69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6" spans="1:39" ht="15" customHeight="1">
      <c r="A696" t="str">
        <f>IF(WFTracker[[#This Row],[Order Number]]="SWBD", "QED2", "PZ4")</f>
        <v>PZ4</v>
      </c>
      <c r="B696" s="21" t="s">
        <v>810</v>
      </c>
      <c r="C696" s="26" t="s">
        <v>135</v>
      </c>
      <c r="D696" s="11" t="str">
        <f>WFTracker[[#This Row],[Order Number]]  &amp; "-" &amp; WFTracker[[#This Row],[Item]]</f>
        <v>0051343281-000010</v>
      </c>
      <c r="E696" s="23" t="s">
        <v>811</v>
      </c>
      <c r="F696" s="12">
        <v>46066</v>
      </c>
      <c r="G696" s="12">
        <v>46059</v>
      </c>
      <c r="H696" s="11" t="s">
        <v>295</v>
      </c>
      <c r="I696" s="11" t="s">
        <v>732</v>
      </c>
      <c r="J696" s="55" t="s">
        <v>813</v>
      </c>
      <c r="K696" s="14" t="s">
        <v>1017</v>
      </c>
      <c r="L696" s="15" t="s">
        <v>27</v>
      </c>
      <c r="M696" s="29" t="s">
        <v>1120</v>
      </c>
      <c r="N696" s="57">
        <v>46169</v>
      </c>
      <c r="O696" s="15">
        <f>NETWORKDAYS.INTL(WFTracker[[#This Row],[Start date]],WFTracker[[#This Row],[RM]],1,Holidays!D700:D715)</f>
        <v>18</v>
      </c>
      <c r="P696" s="12">
        <v>46043</v>
      </c>
      <c r="Q696" s="12">
        <v>46051</v>
      </c>
      <c r="R696" s="12">
        <v>46051</v>
      </c>
      <c r="S696" s="12" t="b">
        <f>ISBLANK(WFTracker[[#This Row],[Completion Date]])</f>
        <v>0</v>
      </c>
      <c r="T696" s="12" t="str">
        <f>TEXT(WFTracker[[#This Row],[Start date]],"mmm-yyyy")</f>
        <v>Jan-2026</v>
      </c>
      <c r="U696" s="11">
        <v>10</v>
      </c>
      <c r="V696" s="11">
        <f>NETWORKDAYS.INTL(WFTracker[[#This Row],[Start date]],WFTracker[[#This Row],[Due date]],1,Holidays!D700:D715)</f>
        <v>7</v>
      </c>
      <c r="W6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696" s="24">
        <f ca="1">WFTracker[[#This Row],[Active Time]]-WFTracker[[#This Row],[Completion Days Template]]</f>
        <v>0</v>
      </c>
      <c r="Y696" s="16" t="str">
        <f ca="1" xml:space="preserve"> IF(WFTracker[[#This Row],[Overdue Time '[Expected-Completion']]]&gt;0, "LATE","ON TIME")</f>
        <v>ON TIME</v>
      </c>
      <c r="Z696" s="16" t="str">
        <f ca="1">IF(WFTracker[[#This Row],[Overdue Time '[Expected-Completion']]] &gt;= 15, "SUPER LATE", Y696)</f>
        <v>ON TIME</v>
      </c>
      <c r="AA696" s="37" t="str">
        <f>IF(WFTracker[[#This Row],[Pre RM Opening Time]]&lt;WFTracker[[#This Row],[Old vs New Order Lead Time WF dead line]], "LATE BY ENG", "ON TIME BY ENG")</f>
        <v>ON TIME BY ENG</v>
      </c>
      <c r="AB696" s="37"/>
      <c r="AC696" s="15" t="s">
        <v>29</v>
      </c>
      <c r="AD6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696" s="25" t="str">
        <f ca="1">IF(WFTracker[[#This Row],[Impact Time Post RM]]&gt;0, "IMPACTED", "NOT IMPACTED")</f>
        <v>NOT IMPACTED</v>
      </c>
      <c r="AF696" s="15"/>
      <c r="AG696" s="18"/>
      <c r="AH696" s="14" t="str">
        <f>IF(WFTracker[[#This Row],[Status]]="C", "Closed", IF(WFTracker[[#This Row],[Status]] = "x", "Cancelled", WFTracker[[#This Row],[Impact Time Post RM]]))</f>
        <v>Closed</v>
      </c>
      <c r="AI696" s="14" t="str">
        <f ca="1">IF(WFTracker[[#This Row],[Impact Time Post RM]]&lt;=0,"ON TIME","LATE")</f>
        <v>ON TIME</v>
      </c>
      <c r="AJ696" s="14" t="s">
        <v>984</v>
      </c>
      <c r="AK696" s="14">
        <v>18</v>
      </c>
      <c r="AL696" s="915">
        <f>IF(WFTracker[[#This Row],[Type]]="MAKE", WFTracker[[#This Row],[Due date]]+Filters!$J$111, WFTracker[[#This Row],[Due date]]+Filters!$J$135)</f>
        <v>46054.072512647552</v>
      </c>
      <c r="AM696" s="102" cm="1">
        <f t="array" ref="AM6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7" spans="1:39" ht="15" customHeight="1">
      <c r="A697" t="str">
        <f>IF(WFTracker[[#This Row],[Order Number]]="SWBD", "QED2", "PZ4")</f>
        <v>PZ4</v>
      </c>
      <c r="B697" s="21" t="s">
        <v>1584</v>
      </c>
      <c r="C697" s="26" t="s">
        <v>135</v>
      </c>
      <c r="D697" s="11" t="str">
        <f>WFTracker[[#This Row],[Order Number]]  &amp; "-" &amp; WFTracker[[#This Row],[Item]]</f>
        <v>0051713006-000010</v>
      </c>
      <c r="E697" s="23" t="s">
        <v>1585</v>
      </c>
      <c r="F697" s="12">
        <v>46052</v>
      </c>
      <c r="G697" s="12"/>
      <c r="H697" s="11" t="s">
        <v>36</v>
      </c>
      <c r="I697" s="11"/>
      <c r="J697" s="55" t="s">
        <v>1586</v>
      </c>
      <c r="K697" s="14" t="s">
        <v>1023</v>
      </c>
      <c r="L697" s="15" t="s">
        <v>40</v>
      </c>
      <c r="M697" s="29" t="s">
        <v>1120</v>
      </c>
      <c r="N697" s="57">
        <v>46126</v>
      </c>
      <c r="O697" s="15">
        <f>NETWORKDAYS.INTL(WFTracker[[#This Row],[Start date]],WFTracker[[#This Row],[RM]],1,Holidays!D698:D713)</f>
        <v>8</v>
      </c>
      <c r="P697" s="12">
        <v>46043</v>
      </c>
      <c r="Q697" s="12">
        <v>46056</v>
      </c>
      <c r="R697" s="12">
        <v>46049</v>
      </c>
      <c r="S697" s="12" t="b">
        <f>ISBLANK(WFTracker[[#This Row],[Completion Date]])</f>
        <v>0</v>
      </c>
      <c r="T697" s="12" t="str">
        <f>TEXT(WFTracker[[#This Row],[Start date]],"mmm-yyyy")</f>
        <v>Jan-2026</v>
      </c>
      <c r="U697" s="11">
        <v>10</v>
      </c>
      <c r="V697" s="11">
        <f>NETWORKDAYS.INTL(WFTracker[[#This Row],[Start date]],WFTracker[[#This Row],[Due date]],1,Holidays!D698:D713)</f>
        <v>10</v>
      </c>
      <c r="W6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97" s="24">
        <f ca="1">WFTracker[[#This Row],[Active Time]]-WFTracker[[#This Row],[Completion Days Template]]</f>
        <v>-5</v>
      </c>
      <c r="Y697" s="16" t="str">
        <f ca="1" xml:space="preserve"> IF(WFTracker[[#This Row],[Overdue Time '[Expected-Completion']]]&gt;0, "LATE","ON TIME")</f>
        <v>ON TIME</v>
      </c>
      <c r="Z697" s="16" t="str">
        <f ca="1">IF(WFTracker[[#This Row],[Overdue Time '[Expected-Completion']]] &gt;= 15, "SUPER LATE", Y697)</f>
        <v>ON TIME</v>
      </c>
      <c r="AA697" s="37" t="str">
        <f>IF(WFTracker[[#This Row],[Pre RM Opening Time]]&lt;WFTracker[[#This Row],[Old vs New Order Lead Time WF dead line]], "LATE BY ENG", "ON TIME BY ENG")</f>
        <v>LATE BY ENG</v>
      </c>
      <c r="AB697" s="37"/>
      <c r="AC697" s="15" t="s">
        <v>29</v>
      </c>
      <c r="AD6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97" s="25" t="str">
        <f ca="1">IF(WFTracker[[#This Row],[Impact Time Post RM]]&gt;0, "IMPACTED", "NOT IMPACTED")</f>
        <v>NOT IMPACTED</v>
      </c>
      <c r="AF697" s="15"/>
      <c r="AG697" s="18"/>
      <c r="AH697" s="14" t="str">
        <f>IF(WFTracker[[#This Row],[Status]]="C", "Closed", IF(WFTracker[[#This Row],[Status]] = "x", "Cancelled", WFTracker[[#This Row],[Impact Time Post RM]]))</f>
        <v>Closed</v>
      </c>
      <c r="AI697" s="14" t="str">
        <f ca="1">IF(WFTracker[[#This Row],[Impact Time Post RM]]&lt;=0,"ON TIME","LATE")</f>
        <v>ON TIME</v>
      </c>
      <c r="AJ697" s="14" t="s">
        <v>984</v>
      </c>
      <c r="AK697" s="14">
        <v>17</v>
      </c>
      <c r="AL697" s="915">
        <f>IF(WFTracker[[#This Row],[Type]]="MAKE", WFTracker[[#This Row],[Due date]]+Filters!$J$111, WFTracker[[#This Row],[Due date]]+Filters!$J$135)</f>
        <v>46056.415686274508</v>
      </c>
      <c r="AM697" s="102" cm="1">
        <f t="array" ref="AM69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698" spans="1:39" ht="15" customHeight="1">
      <c r="A698" t="str">
        <f>IF(WFTracker[[#This Row],[Order Number]]="SWBD", "QED2", "PZ4")</f>
        <v>PZ4</v>
      </c>
      <c r="B698" s="21" t="s">
        <v>1434</v>
      </c>
      <c r="C698" s="26" t="s">
        <v>1434</v>
      </c>
      <c r="D698" s="11" t="str">
        <f>WFTracker[[#This Row],[Order Number]]  &amp; "-" &amp; WFTracker[[#This Row],[Item]]</f>
        <v>SPECIAL-SPECIAL</v>
      </c>
      <c r="E698" s="23" t="s">
        <v>1026</v>
      </c>
      <c r="F698" s="12">
        <v>46050</v>
      </c>
      <c r="G698" s="12">
        <v>46050</v>
      </c>
      <c r="H698" s="11" t="s">
        <v>709</v>
      </c>
      <c r="I698" s="11"/>
      <c r="J698" s="55" t="s">
        <v>1587</v>
      </c>
      <c r="K698" s="14" t="s">
        <v>1023</v>
      </c>
      <c r="L698" s="15" t="s">
        <v>1588</v>
      </c>
      <c r="M698" s="29" t="s">
        <v>1120</v>
      </c>
      <c r="N698" s="57">
        <v>46050</v>
      </c>
      <c r="O698" s="15">
        <f>NETWORKDAYS.INTL(WFTracker[[#This Row],[Start date]],WFTracker[[#This Row],[RM]],1,Holidays!D706:D721)</f>
        <v>6</v>
      </c>
      <c r="P698" s="12">
        <v>46043</v>
      </c>
      <c r="Q698" s="12">
        <v>46050</v>
      </c>
      <c r="R698" s="12">
        <v>46045</v>
      </c>
      <c r="S698" s="12" t="b">
        <f>ISBLANK(WFTracker[[#This Row],[Completion Date]])</f>
        <v>0</v>
      </c>
      <c r="T698" s="12" t="str">
        <f>TEXT(WFTracker[[#This Row],[Start date]],"mmm-yyyy")</f>
        <v>Jan-2026</v>
      </c>
      <c r="U698" s="11">
        <v>10</v>
      </c>
      <c r="V698" s="11">
        <f>NETWORKDAYS.INTL(WFTracker[[#This Row],[Start date]],WFTracker[[#This Row],[Due date]],1,Holidays!D706:D721)</f>
        <v>6</v>
      </c>
      <c r="W6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698" s="24">
        <f ca="1">WFTracker[[#This Row],[Active Time]]-WFTracker[[#This Row],[Completion Days Template]]</f>
        <v>-3</v>
      </c>
      <c r="Y698" s="16" t="str">
        <f ca="1" xml:space="preserve"> IF(WFTracker[[#This Row],[Overdue Time '[Expected-Completion']]]&gt;0, "LATE","ON TIME")</f>
        <v>ON TIME</v>
      </c>
      <c r="Z698" s="16" t="str">
        <f ca="1">IF(WFTracker[[#This Row],[Overdue Time '[Expected-Completion']]] &gt;= 15, "SUPER LATE", Y698)</f>
        <v>ON TIME</v>
      </c>
      <c r="AA698" s="37" t="str">
        <f>IF(WFTracker[[#This Row],[Pre RM Opening Time]]&lt;WFTracker[[#This Row],[Old vs New Order Lead Time WF dead line]], "LATE BY ENG", "ON TIME BY ENG")</f>
        <v>LATE BY ENG</v>
      </c>
      <c r="AB698" s="37"/>
      <c r="AC698" s="15" t="s">
        <v>1011</v>
      </c>
      <c r="AD6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698" s="25" t="str">
        <f ca="1">IF(WFTracker[[#This Row],[Impact Time Post RM]]&gt;0, "IMPACTED", "NOT IMPACTED")</f>
        <v>NOT IMPACTED</v>
      </c>
      <c r="AF698" s="15"/>
      <c r="AG698" s="18"/>
      <c r="AH698" s="14" t="str">
        <f>IF(WFTracker[[#This Row],[Status]]="C", "Closed", IF(WFTracker[[#This Row],[Status]] = "x", "Cancelled", WFTracker[[#This Row],[Impact Time Post RM]]))</f>
        <v>Cancelled</v>
      </c>
      <c r="AI698" s="14" t="str">
        <f ca="1">IF(WFTracker[[#This Row],[Impact Time Post RM]]&lt;=0,"ON TIME","LATE")</f>
        <v>ON TIME</v>
      </c>
      <c r="AJ698" s="14" t="s">
        <v>984</v>
      </c>
      <c r="AK698" s="14">
        <v>2</v>
      </c>
      <c r="AL698" s="915">
        <f>IF(WFTracker[[#This Row],[Type]]="MAKE", WFTracker[[#This Row],[Due date]]+Filters!$J$111, WFTracker[[#This Row],[Due date]]+Filters!$J$135)</f>
        <v>46050.415686274508</v>
      </c>
      <c r="AM698" s="102" t="e" cm="1">
        <f t="array" ref="AM698">_xlfn.IFS(WFTracker[[#This Row],[Type]]="BUY", WFTracker[[#This Row],[Task Number]]/17,
     WFTracker[[#This Row],[Type]]="MAKE", WFTracker[[#This Row],[Task Number]]/18,
     WFTracker[[#This Row],[Type]]="CNG-BOM", WFTracker[[#This Row],[Task Number]]/11)</f>
        <v>#N/A</v>
      </c>
    </row>
    <row r="699" spans="1:39" ht="15" customHeight="1">
      <c r="A699" t="str">
        <f>IF(WFTracker[[#This Row],[Order Number]]="SWBD", "QED2", "PZ4")</f>
        <v>PZ4</v>
      </c>
      <c r="B699" s="968" t="s">
        <v>798</v>
      </c>
      <c r="C699" s="26" t="s">
        <v>192</v>
      </c>
      <c r="D699" s="11" t="str">
        <f>WFTracker[[#This Row],[Order Number]]  &amp; "-" &amp; WFTracker[[#This Row],[Item]]</f>
        <v>0051618201-000040</v>
      </c>
      <c r="E699" s="23" t="s">
        <v>799</v>
      </c>
      <c r="F699" s="12">
        <v>46057</v>
      </c>
      <c r="G699" s="12">
        <v>46052</v>
      </c>
      <c r="H699" s="11" t="s">
        <v>113</v>
      </c>
      <c r="I699" s="11" t="s">
        <v>37</v>
      </c>
      <c r="J699" s="55" t="s">
        <v>801</v>
      </c>
      <c r="K699" s="14" t="s">
        <v>1017</v>
      </c>
      <c r="L699" s="15" t="s">
        <v>27</v>
      </c>
      <c r="M699" s="29" t="s">
        <v>1120</v>
      </c>
      <c r="N699" s="57">
        <v>46149</v>
      </c>
      <c r="O699" s="15">
        <f>NETWORKDAYS.INTL(WFTracker[[#This Row],[Start date]],WFTracker[[#This Row],[RM]],1,Holidays!D703:D718)</f>
        <v>10</v>
      </c>
      <c r="P699" s="12">
        <v>46044</v>
      </c>
      <c r="Q699" s="12">
        <v>46051</v>
      </c>
      <c r="R699" s="12">
        <v>46050</v>
      </c>
      <c r="S699" s="12" t="b">
        <f>ISBLANK(WFTracker[[#This Row],[Completion Date]])</f>
        <v>0</v>
      </c>
      <c r="T699" s="12" t="str">
        <f>TEXT(WFTracker[[#This Row],[Start date]],"mmm-yyyy")</f>
        <v>Jan-2026</v>
      </c>
      <c r="U699" s="11">
        <v>10</v>
      </c>
      <c r="V699" s="11">
        <f>NETWORKDAYS.INTL(WFTracker[[#This Row],[Start date]],WFTracker[[#This Row],[Due date]],1,Holidays!D703:D718)</f>
        <v>6</v>
      </c>
      <c r="W6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699" s="24">
        <f ca="1">WFTracker[[#This Row],[Active Time]]-WFTracker[[#This Row],[Completion Days Template]]</f>
        <v>-1</v>
      </c>
      <c r="Y699" s="16" t="str">
        <f ca="1" xml:space="preserve"> IF(WFTracker[[#This Row],[Overdue Time '[Expected-Completion']]]&gt;0, "LATE","ON TIME")</f>
        <v>ON TIME</v>
      </c>
      <c r="Z699" s="16" t="str">
        <f ca="1">IF(WFTracker[[#This Row],[Overdue Time '[Expected-Completion']]] &gt;= 15, "SUPER LATE", Y699)</f>
        <v>ON TIME</v>
      </c>
      <c r="AA699" s="37" t="str">
        <f>IF(WFTracker[[#This Row],[Pre RM Opening Time]]&lt;WFTracker[[#This Row],[Old vs New Order Lead Time WF dead line]], "LATE BY ENG", "ON TIME BY ENG")</f>
        <v>ON TIME BY ENG</v>
      </c>
      <c r="AB699" s="37"/>
      <c r="AC699" s="15" t="s">
        <v>29</v>
      </c>
      <c r="AD6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699" s="25" t="str">
        <f ca="1">IF(WFTracker[[#This Row],[Impact Time Post RM]]&gt;0, "IMPACTED", "NOT IMPACTED")</f>
        <v>NOT IMPACTED</v>
      </c>
      <c r="AF699" s="15"/>
      <c r="AG699" s="18"/>
      <c r="AH699" s="14" t="str">
        <f>IF(WFTracker[[#This Row],[Status]]="C", "Closed", IF(WFTracker[[#This Row],[Status]] = "x", "Cancelled", WFTracker[[#This Row],[Impact Time Post RM]]))</f>
        <v>Closed</v>
      </c>
      <c r="AI699" s="14" t="str">
        <f ca="1">IF(WFTracker[[#This Row],[Impact Time Post RM]]&lt;=0,"ON TIME","LATE")</f>
        <v>ON TIME</v>
      </c>
      <c r="AJ699" s="14" t="s">
        <v>984</v>
      </c>
      <c r="AK699" s="14">
        <v>18</v>
      </c>
      <c r="AL699" s="915">
        <f>IF(WFTracker[[#This Row],[Type]]="MAKE", WFTracker[[#This Row],[Due date]]+Filters!$J$111, WFTracker[[#This Row],[Due date]]+Filters!$J$135)</f>
        <v>46054.072512647552</v>
      </c>
      <c r="AM699" s="102" cm="1">
        <f t="array" ref="AM6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0" spans="1:39" ht="15" customHeight="1">
      <c r="A700" t="str">
        <f>IF(WFTracker[[#This Row],[Order Number]]="SWBD", "QED2", "PZ4")</f>
        <v>PZ4</v>
      </c>
      <c r="B700" s="21" t="s">
        <v>1589</v>
      </c>
      <c r="C700" s="26" t="s">
        <v>841</v>
      </c>
      <c r="D700" s="11" t="str">
        <f>WFTracker[[#This Row],[Order Number]]  &amp; "-" &amp; WFTracker[[#This Row],[Item]]</f>
        <v>0050544685-001240</v>
      </c>
      <c r="E700" s="23" t="s">
        <v>1590</v>
      </c>
      <c r="F700" s="12">
        <v>46087</v>
      </c>
      <c r="G700" s="12">
        <v>46080</v>
      </c>
      <c r="H700" s="11"/>
      <c r="I700" s="11"/>
      <c r="J700" s="55" t="s">
        <v>1591</v>
      </c>
      <c r="K700" s="14" t="s">
        <v>1023</v>
      </c>
      <c r="L700" s="15" t="s">
        <v>27</v>
      </c>
      <c r="M700" s="29" t="s">
        <v>1120</v>
      </c>
      <c r="N700" s="57">
        <v>46188</v>
      </c>
      <c r="O700" s="15">
        <f>NETWORKDAYS.INTL(WFTracker[[#This Row],[Start date]],WFTracker[[#This Row],[RM]],1,Holidays!D704:D719)</f>
        <v>32</v>
      </c>
      <c r="P700" s="12">
        <v>46044</v>
      </c>
      <c r="Q700" s="12">
        <v>46051</v>
      </c>
      <c r="R700" s="12">
        <v>46050</v>
      </c>
      <c r="S700" s="12" t="b">
        <f>ISBLANK(WFTracker[[#This Row],[Completion Date]])</f>
        <v>0</v>
      </c>
      <c r="T700" s="12" t="str">
        <f>TEXT(WFTracker[[#This Row],[Start date]],"mmm-yyyy")</f>
        <v>Jan-2026</v>
      </c>
      <c r="U700" s="11">
        <v>10</v>
      </c>
      <c r="V700" s="11">
        <f>NETWORKDAYS.INTL(WFTracker[[#This Row],[Start date]],WFTracker[[#This Row],[Due date]],1,Holidays!D704:D719)</f>
        <v>6</v>
      </c>
      <c r="W7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00" s="24">
        <f ca="1">WFTracker[[#This Row],[Active Time]]-WFTracker[[#This Row],[Completion Days Template]]</f>
        <v>-1</v>
      </c>
      <c r="Y700" s="16" t="str">
        <f ca="1" xml:space="preserve"> IF(WFTracker[[#This Row],[Overdue Time '[Expected-Completion']]]&gt;0, "LATE","ON TIME")</f>
        <v>ON TIME</v>
      </c>
      <c r="Z700" s="16" t="str">
        <f ca="1">IF(WFTracker[[#This Row],[Overdue Time '[Expected-Completion']]] &gt;= 15, "SUPER LATE", Y700)</f>
        <v>ON TIME</v>
      </c>
      <c r="AA700" s="37" t="str">
        <f>IF(WFTracker[[#This Row],[Pre RM Opening Time]]&lt;WFTracker[[#This Row],[Old vs New Order Lead Time WF dead line]], "LATE BY ENG", "ON TIME BY ENG")</f>
        <v>ON TIME BY ENG</v>
      </c>
      <c r="AB700" s="37"/>
      <c r="AC700" s="15" t="s">
        <v>29</v>
      </c>
      <c r="AD7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-28</v>
      </c>
      <c r="AE700" s="25" t="str">
        <f ca="1">IF(WFTracker[[#This Row],[Impact Time Post RM]]&gt;0, "IMPACTED", "NOT IMPACTED")</f>
        <v>NOT IMPACTED</v>
      </c>
      <c r="AF700" s="15"/>
      <c r="AG700" s="18"/>
      <c r="AH700" s="14" t="str">
        <f>IF(WFTracker[[#This Row],[Status]]="C", "Closed", IF(WFTracker[[#This Row],[Status]] = "x", "Cancelled", WFTracker[[#This Row],[Impact Time Post RM]]))</f>
        <v>Closed</v>
      </c>
      <c r="AI700" s="14" t="str">
        <f ca="1">IF(WFTracker[[#This Row],[Impact Time Post RM]]&lt;=0,"ON TIME","LATE")</f>
        <v>ON TIME</v>
      </c>
      <c r="AJ700" s="14" t="s">
        <v>984</v>
      </c>
      <c r="AK700" s="14">
        <v>18</v>
      </c>
      <c r="AL700" s="915">
        <f>IF(WFTracker[[#This Row],[Type]]="MAKE", WFTracker[[#This Row],[Due date]]+Filters!$J$111, WFTracker[[#This Row],[Due date]]+Filters!$J$135)</f>
        <v>46054.072512647552</v>
      </c>
      <c r="AM700" s="102" cm="1">
        <f t="array" ref="AM7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1" spans="1:39" ht="15" customHeight="1">
      <c r="A701" t="str">
        <f>IF(WFTracker[[#This Row],[Order Number]]="SWBD", "QED2", "PZ4")</f>
        <v>PZ4</v>
      </c>
      <c r="B701" s="21" t="s">
        <v>803</v>
      </c>
      <c r="C701" s="26" t="s">
        <v>183</v>
      </c>
      <c r="D701" s="11" t="str">
        <f>WFTracker[[#This Row],[Order Number]]  &amp; "-" &amp; WFTracker[[#This Row],[Item]]</f>
        <v>0051787649-000050</v>
      </c>
      <c r="E701" s="23" t="s">
        <v>805</v>
      </c>
      <c r="F701" s="12">
        <v>46062</v>
      </c>
      <c r="G701" s="12"/>
      <c r="H701" s="11" t="s">
        <v>806</v>
      </c>
      <c r="I701" s="11" t="s">
        <v>111</v>
      </c>
      <c r="J701" s="55" t="s">
        <v>1592</v>
      </c>
      <c r="K701" s="14" t="s">
        <v>1017</v>
      </c>
      <c r="L701" s="15" t="s">
        <v>1430</v>
      </c>
      <c r="M701" s="29" t="s">
        <v>1120</v>
      </c>
      <c r="N701" s="57">
        <v>46169</v>
      </c>
      <c r="O701" s="15">
        <f>NETWORKDAYS.INTL(WFTracker[[#This Row],[Start date]],WFTracker[[#This Row],[RM]],1,Holidays!D705:D720)</f>
        <v>12</v>
      </c>
      <c r="P701" s="12">
        <v>46045</v>
      </c>
      <c r="Q701" s="12">
        <v>46050</v>
      </c>
      <c r="R701" s="12">
        <v>46050</v>
      </c>
      <c r="S701" s="12" t="b">
        <f>ISBLANK(WFTracker[[#This Row],[Completion Date]])</f>
        <v>0</v>
      </c>
      <c r="T701" s="12" t="str">
        <f>TEXT(WFTracker[[#This Row],[Start date]],"mmm-yyyy")</f>
        <v>Jan-2026</v>
      </c>
      <c r="U701" s="11">
        <v>10</v>
      </c>
      <c r="V701" s="11">
        <f>NETWORKDAYS.INTL(WFTracker[[#This Row],[Start date]],WFTracker[[#This Row],[Due date]],1,Holidays!D705:D720)</f>
        <v>4</v>
      </c>
      <c r="W7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701" s="24">
        <f ca="1">WFTracker[[#This Row],[Active Time]]-WFTracker[[#This Row],[Completion Days Template]]</f>
        <v>0</v>
      </c>
      <c r="Y701" s="16" t="str">
        <f ca="1" xml:space="preserve"> IF(WFTracker[[#This Row],[Overdue Time '[Expected-Completion']]]&gt;0, "LATE","ON TIME")</f>
        <v>ON TIME</v>
      </c>
      <c r="Z701" s="16" t="str">
        <f ca="1">IF(WFTracker[[#This Row],[Overdue Time '[Expected-Completion']]] &gt;= 15, "SUPER LATE", Y701)</f>
        <v>ON TIME</v>
      </c>
      <c r="AA701" s="37" t="str">
        <f>IF(WFTracker[[#This Row],[Pre RM Opening Time]]&lt;WFTracker[[#This Row],[Old vs New Order Lead Time WF dead line]], "LATE BY ENG", "ON TIME BY ENG")</f>
        <v>ON TIME BY ENG</v>
      </c>
      <c r="AB701" s="37"/>
      <c r="AC701" s="15" t="s">
        <v>29</v>
      </c>
      <c r="AD7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01" s="25" t="str">
        <f ca="1">IF(WFTracker[[#This Row],[Impact Time Post RM]]&gt;0, "IMPACTED", "NOT IMPACTED")</f>
        <v>NOT IMPACTED</v>
      </c>
      <c r="AF701" s="15"/>
      <c r="AG701" s="18"/>
      <c r="AH701" s="14" t="str">
        <f>IF(WFTracker[[#This Row],[Status]]="C", "Closed", IF(WFTracker[[#This Row],[Status]] = "x", "Cancelled", WFTracker[[#This Row],[Impact Time Post RM]]))</f>
        <v>Closed</v>
      </c>
      <c r="AI701" s="14" t="str">
        <f ca="1">IF(WFTracker[[#This Row],[Impact Time Post RM]]&lt;=0,"ON TIME","LATE")</f>
        <v>ON TIME</v>
      </c>
      <c r="AJ701" s="14" t="s">
        <v>984</v>
      </c>
      <c r="AK701" s="14">
        <v>11</v>
      </c>
      <c r="AL701" s="915">
        <f>IF(WFTracker[[#This Row],[Type]]="MAKE", WFTracker[[#This Row],[Due date]]+Filters!$J$111, WFTracker[[#This Row],[Due date]]+Filters!$J$135)</f>
        <v>46050.415686274508</v>
      </c>
      <c r="AM701" s="102" cm="1">
        <f t="array" ref="AM7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2" spans="1:39" ht="15" customHeight="1">
      <c r="A702" t="str">
        <f>IF(WFTracker[[#This Row],[Order Number]]="SWBD", "QED2", "PZ4")</f>
        <v>PZ4</v>
      </c>
      <c r="B702" s="21" t="s">
        <v>826</v>
      </c>
      <c r="C702" s="26" t="s">
        <v>1593</v>
      </c>
      <c r="D702" s="11" t="str">
        <f>WFTracker[[#This Row],[Order Number]]  &amp; "-" &amp; WFTracker[[#This Row],[Item]]</f>
        <v>0050384250-001240&amp;001250&amp;001270</v>
      </c>
      <c r="E702" s="23" t="s">
        <v>1027</v>
      </c>
      <c r="F702" s="12">
        <v>46080</v>
      </c>
      <c r="G702" s="12">
        <v>46073</v>
      </c>
      <c r="H702" s="11" t="s">
        <v>237</v>
      </c>
      <c r="I702" s="11"/>
      <c r="J702" s="55" t="s">
        <v>1594</v>
      </c>
      <c r="K702" s="14" t="s">
        <v>1023</v>
      </c>
      <c r="L702" s="15" t="s">
        <v>27</v>
      </c>
      <c r="M702" s="29" t="s">
        <v>1120</v>
      </c>
      <c r="N702" s="57">
        <v>46237</v>
      </c>
      <c r="O702" s="15">
        <f>NETWORKDAYS.INTL(WFTracker[[#This Row],[Start date]],WFTracker[[#This Row],[RM]],1,Holidays!D707:D722)</f>
        <v>25</v>
      </c>
      <c r="P702" s="12">
        <v>46048</v>
      </c>
      <c r="Q702" s="12">
        <v>46056</v>
      </c>
      <c r="R702" s="12">
        <v>46058</v>
      </c>
      <c r="S702" s="12" t="b">
        <f>ISBLANK(WFTracker[[#This Row],[Completion Date]])</f>
        <v>0</v>
      </c>
      <c r="T702" s="12" t="str">
        <f>TEXT(WFTracker[[#This Row],[Start date]],"mmm-yyyy")</f>
        <v>Jan-2026</v>
      </c>
      <c r="U702" s="11">
        <v>10</v>
      </c>
      <c r="V702" s="11">
        <f>NETWORKDAYS.INTL(WFTracker[[#This Row],[Start date]],WFTracker[[#This Row],[Due date]],1,Holidays!D707:D722)</f>
        <v>7</v>
      </c>
      <c r="W7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02" s="24">
        <f ca="1">WFTracker[[#This Row],[Active Time]]-WFTracker[[#This Row],[Completion Days Template]]</f>
        <v>2</v>
      </c>
      <c r="Y702" s="16" t="str">
        <f ca="1" xml:space="preserve"> IF(WFTracker[[#This Row],[Overdue Time '[Expected-Completion']]]&gt;0, "LATE","ON TIME")</f>
        <v>LATE</v>
      </c>
      <c r="Z702" s="16" t="str">
        <f ca="1">IF(WFTracker[[#This Row],[Overdue Time '[Expected-Completion']]] &gt;= 15, "SUPER LATE", Y702)</f>
        <v>LATE</v>
      </c>
      <c r="AA702" s="37" t="str">
        <f>IF(WFTracker[[#This Row],[Pre RM Opening Time]]&lt;WFTracker[[#This Row],[Old vs New Order Lead Time WF dead line]], "LATE BY ENG", "ON TIME BY ENG")</f>
        <v>ON TIME BY ENG</v>
      </c>
      <c r="AB702" s="37"/>
      <c r="AC702" s="928" t="str" cm="1">
        <f t="array" ref="AC702">_xlfn.IFS(
    WFTracker[[#This Row],[Cancelation Cause]]&lt;&gt;"", "X",
    WFTracker[[#This Row],[Competion Date Content]] = FALSE, "C",
    TRUE, "I"
)</f>
        <v>C</v>
      </c>
      <c r="AD7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702" s="25" t="str">
        <f ca="1">IF(WFTracker[[#This Row],[Impact Time Post RM]]&gt;0, "IMPACTED", "NOT IMPACTED")</f>
        <v>NOT IMPACTED</v>
      </c>
      <c r="AF702" s="15"/>
      <c r="AG702" s="18"/>
      <c r="AH702" s="14" t="str">
        <f>IF(WFTracker[[#This Row],[Status]]="C", "Closed", IF(WFTracker[[#This Row],[Status]] = "x", "Cancelled", WFTracker[[#This Row],[Impact Time Post RM]]))</f>
        <v>Closed</v>
      </c>
      <c r="AI702" s="14" t="str">
        <f ca="1">IF(WFTracker[[#This Row],[Impact Time Post RM]]&lt;=0,"ON TIME","LATE")</f>
        <v>ON TIME</v>
      </c>
      <c r="AJ702" s="14" t="s">
        <v>984</v>
      </c>
      <c r="AK702" s="14">
        <v>18</v>
      </c>
      <c r="AL702" s="915">
        <f>IF(WFTracker[[#This Row],[Type]]="MAKE", WFTracker[[#This Row],[Due date]]+Filters!$J$111, WFTracker[[#This Row],[Due date]]+Filters!$J$135)</f>
        <v>46059.072512647552</v>
      </c>
      <c r="AM702" s="102" cm="1">
        <f t="array" ref="AM7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3" spans="1:39" ht="15" customHeight="1">
      <c r="A703" t="str">
        <f>IF(WFTracker[[#This Row],[Order Number]]="SWBD", "QED2", "PZ4")</f>
        <v>PZ4</v>
      </c>
      <c r="B703" s="21" t="s">
        <v>667</v>
      </c>
      <c r="C703" s="26" t="s">
        <v>385</v>
      </c>
      <c r="D703" s="11" t="str">
        <f>WFTracker[[#This Row],[Order Number]]  &amp; "-" &amp; WFTracker[[#This Row],[Item]]</f>
        <v>0051024393-000310</v>
      </c>
      <c r="E703" s="23" t="s">
        <v>668</v>
      </c>
      <c r="F703" s="12">
        <v>46066</v>
      </c>
      <c r="G703" s="12">
        <v>46006</v>
      </c>
      <c r="H703" s="11" t="s">
        <v>259</v>
      </c>
      <c r="I703" s="11" t="s">
        <v>216</v>
      </c>
      <c r="J703" s="55" t="s">
        <v>815</v>
      </c>
      <c r="K703" s="14" t="s">
        <v>1017</v>
      </c>
      <c r="L703" s="15" t="s">
        <v>27</v>
      </c>
      <c r="M703" s="29" t="s">
        <v>1123</v>
      </c>
      <c r="N703" s="57">
        <v>46090</v>
      </c>
      <c r="O703" s="15">
        <f>NETWORKDAYS.INTL(WFTracker[[#This Row],[Start date]],WFTracker[[#This Row],[RM]],1,Holidays!D707:D722)</f>
        <v>14</v>
      </c>
      <c r="P703" s="12">
        <v>46049</v>
      </c>
      <c r="Q703" s="12">
        <v>46057</v>
      </c>
      <c r="R703" s="12">
        <v>46058</v>
      </c>
      <c r="S703" s="12" t="b">
        <f>ISBLANK(WFTracker[[#This Row],[Completion Date]])</f>
        <v>0</v>
      </c>
      <c r="T703" s="12" t="str">
        <f>TEXT(WFTracker[[#This Row],[Start date]],"mmm-yyyy")</f>
        <v>Jan-2026</v>
      </c>
      <c r="U703" s="11">
        <v>10</v>
      </c>
      <c r="V703" s="11">
        <f>NETWORKDAYS.INTL(WFTracker[[#This Row],[Start date]],WFTracker[[#This Row],[Due date]],1,Holidays!D707:D722)</f>
        <v>7</v>
      </c>
      <c r="W7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03" s="24">
        <f ca="1">WFTracker[[#This Row],[Active Time]]-WFTracker[[#This Row],[Completion Days Template]]</f>
        <v>1</v>
      </c>
      <c r="Y703" s="16" t="str">
        <f ca="1" xml:space="preserve"> IF(WFTracker[[#This Row],[Overdue Time '[Expected-Completion']]]&gt;0, "LATE","ON TIME")</f>
        <v>LATE</v>
      </c>
      <c r="Z703" s="16" t="str">
        <f ca="1">IF(WFTracker[[#This Row],[Overdue Time '[Expected-Completion']]] &gt;= 15, "SUPER LATE", Y703)</f>
        <v>LATE</v>
      </c>
      <c r="AA703" s="37" t="str">
        <f>IF(WFTracker[[#This Row],[Pre RM Opening Time]]&lt;WFTracker[[#This Row],[Old vs New Order Lead Time WF dead line]], "LATE BY ENG", "ON TIME BY ENG")</f>
        <v>ON TIME BY ENG</v>
      </c>
      <c r="AB703" s="37"/>
      <c r="AC703" s="928" t="str" cm="1">
        <f t="array" ref="AC703">_xlfn.IFS(
    WFTracker[[#This Row],[Cancelation Cause]]&lt;&gt;"", "X",
    WFTracker[[#This Row],[Competion Date Content]] = FALSE, "C",
    TRUE, "I"
)</f>
        <v>C</v>
      </c>
      <c r="AD7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703" s="25" t="str">
        <f ca="1">IF(WFTracker[[#This Row],[Impact Time Post RM]]&gt;0, "IMPACTED", "NOT IMPACTED")</f>
        <v>NOT IMPACTED</v>
      </c>
      <c r="AF703" s="15"/>
      <c r="AG703" s="18"/>
      <c r="AH703" s="14" t="str">
        <f>IF(WFTracker[[#This Row],[Status]]="C", "Closed", IF(WFTracker[[#This Row],[Status]] = "x", "Cancelled", WFTracker[[#This Row],[Impact Time Post RM]]))</f>
        <v>Closed</v>
      </c>
      <c r="AI703" s="14" t="str">
        <f ca="1">IF(WFTracker[[#This Row],[Impact Time Post RM]]&lt;=0,"ON TIME","LATE")</f>
        <v>ON TIME</v>
      </c>
      <c r="AJ703" s="14" t="s">
        <v>984</v>
      </c>
      <c r="AK703" s="14">
        <v>18</v>
      </c>
      <c r="AL703" s="915">
        <f>IF(WFTracker[[#This Row],[Type]]="MAKE", WFTracker[[#This Row],[Due date]]+Filters!$J$111, WFTracker[[#This Row],[Due date]]+Filters!$J$135)</f>
        <v>46060.072512647552</v>
      </c>
      <c r="AM703" s="102" cm="1">
        <f t="array" ref="AM70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4" spans="1:39" ht="15" customHeight="1">
      <c r="A704" t="str">
        <f>IF(WFTracker[[#This Row],[Order Number]]="SWBD", "QED2", "PZ4")</f>
        <v>PZ4</v>
      </c>
      <c r="B704" s="21" t="s">
        <v>706</v>
      </c>
      <c r="C704" s="26" t="s">
        <v>1467</v>
      </c>
      <c r="D704" s="11" t="str">
        <f>WFTracker[[#This Row],[Order Number]]  &amp; "-" &amp; WFTracker[[#This Row],[Item]]</f>
        <v>0051129914-000750&amp;760</v>
      </c>
      <c r="E704" s="23" t="s">
        <v>708</v>
      </c>
      <c r="F704" s="12">
        <v>46063</v>
      </c>
      <c r="G704" s="12">
        <v>46056</v>
      </c>
      <c r="H704" s="11" t="s">
        <v>709</v>
      </c>
      <c r="I704" s="11" t="s">
        <v>1555</v>
      </c>
      <c r="J704" s="55" t="s">
        <v>1595</v>
      </c>
      <c r="K704" s="14" t="s">
        <v>1023</v>
      </c>
      <c r="L704" s="15" t="s">
        <v>27</v>
      </c>
      <c r="M704" s="29" t="s">
        <v>1120</v>
      </c>
      <c r="N704" s="57">
        <v>46175</v>
      </c>
      <c r="O704" s="15">
        <f>NETWORKDAYS.INTL(WFTracker[[#This Row],[Start date]],WFTracker[[#This Row],[RM]],1,Holidays!D708:D723)</f>
        <v>10</v>
      </c>
      <c r="P704" s="12">
        <v>46050</v>
      </c>
      <c r="Q704" s="12">
        <v>46058</v>
      </c>
      <c r="R704" s="12">
        <v>46058</v>
      </c>
      <c r="S704" s="12" t="b">
        <f>ISBLANK(WFTracker[[#This Row],[Completion Date]])</f>
        <v>0</v>
      </c>
      <c r="T704" s="12" t="str">
        <f>TEXT(WFTracker[[#This Row],[Start date]],"mmm-yyyy")</f>
        <v>Jan-2026</v>
      </c>
      <c r="U704" s="11">
        <v>10</v>
      </c>
      <c r="V704" s="11">
        <f>NETWORKDAYS.INTL(WFTracker[[#This Row],[Start date]],WFTracker[[#This Row],[Due date]],1,Holidays!D708:D723)</f>
        <v>7</v>
      </c>
      <c r="W7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04" s="24">
        <f ca="1">WFTracker[[#This Row],[Active Time]]-WFTracker[[#This Row],[Completion Days Template]]</f>
        <v>0</v>
      </c>
      <c r="Y704" s="16" t="str">
        <f ca="1" xml:space="preserve"> IF(WFTracker[[#This Row],[Overdue Time '[Expected-Completion']]]&gt;0, "LATE","ON TIME")</f>
        <v>ON TIME</v>
      </c>
      <c r="Z704" s="16" t="str">
        <f ca="1">IF(WFTracker[[#This Row],[Overdue Time '[Expected-Completion']]] &gt;= 15, "SUPER LATE", Y704)</f>
        <v>ON TIME</v>
      </c>
      <c r="AA704" s="37" t="str">
        <f>IF(WFTracker[[#This Row],[Pre RM Opening Time]]&lt;WFTracker[[#This Row],[Old vs New Order Lead Time WF dead line]], "LATE BY ENG", "ON TIME BY ENG")</f>
        <v>ON TIME BY ENG</v>
      </c>
      <c r="AB704" s="37"/>
      <c r="AC704" s="928" t="str" cm="1">
        <f t="array" ref="AC704">_xlfn.IFS(
    WFTracker[[#This Row],[Cancelation Cause]]&lt;&gt;"", "X",
    WFTracker[[#This Row],[Competion Date Content]] = FALSE, "C",
    TRUE, "I"
)</f>
        <v>C</v>
      </c>
      <c r="AD7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04" s="25" t="str">
        <f ca="1">IF(WFTracker[[#This Row],[Impact Time Post RM]]&gt;0, "IMPACTED", "NOT IMPACTED")</f>
        <v>NOT IMPACTED</v>
      </c>
      <c r="AF704" s="15"/>
      <c r="AG704" s="18"/>
      <c r="AH704" s="14" t="str">
        <f>IF(WFTracker[[#This Row],[Status]]="C", "Closed", IF(WFTracker[[#This Row],[Status]] = "x", "Cancelled", WFTracker[[#This Row],[Impact Time Post RM]]))</f>
        <v>Closed</v>
      </c>
      <c r="AI704" s="14" t="str">
        <f ca="1">IF(WFTracker[[#This Row],[Impact Time Post RM]]&lt;=0,"ON TIME","LATE")</f>
        <v>ON TIME</v>
      </c>
      <c r="AJ704" s="14" t="s">
        <v>984</v>
      </c>
      <c r="AK704" s="14">
        <v>18</v>
      </c>
      <c r="AL704" s="915">
        <f>IF(WFTracker[[#This Row],[Type]]="MAKE", WFTracker[[#This Row],[Due date]]+Filters!$J$111, WFTracker[[#This Row],[Due date]]+Filters!$J$135)</f>
        <v>46061.072512647552</v>
      </c>
      <c r="AM704" s="102" cm="1">
        <f t="array" ref="AM7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5" spans="1:39" ht="15" customHeight="1">
      <c r="A705" t="str">
        <f>IF(WFTracker[[#This Row],[Order Number]]="SWBD", "QED2", "PZ4")</f>
        <v>PZ4</v>
      </c>
      <c r="B705" s="21" t="s">
        <v>706</v>
      </c>
      <c r="C705" s="26" t="s">
        <v>1515</v>
      </c>
      <c r="D705" s="11" t="str">
        <f>WFTracker[[#This Row],[Order Number]]  &amp; "-" &amp; WFTracker[[#This Row],[Item]]</f>
        <v>0051129914-000760</v>
      </c>
      <c r="E705" s="23" t="s">
        <v>708</v>
      </c>
      <c r="F705" s="12">
        <v>46063</v>
      </c>
      <c r="G705" s="12">
        <v>46056</v>
      </c>
      <c r="H705" s="11" t="s">
        <v>709</v>
      </c>
      <c r="I705" s="11" t="s">
        <v>1555</v>
      </c>
      <c r="J705" s="55" t="s">
        <v>818</v>
      </c>
      <c r="K705" s="14" t="s">
        <v>1017</v>
      </c>
      <c r="L705" s="15" t="s">
        <v>27</v>
      </c>
      <c r="M705" s="29" t="s">
        <v>1120</v>
      </c>
      <c r="N705" s="57">
        <v>46175</v>
      </c>
      <c r="O705" s="15">
        <f>NETWORKDAYS.INTL(WFTracker[[#This Row],[Start date]],WFTracker[[#This Row],[RM]],1,Holidays!D710:D725)</f>
        <v>10</v>
      </c>
      <c r="P705" s="12">
        <v>46050</v>
      </c>
      <c r="Q705" s="12">
        <v>46063</v>
      </c>
      <c r="R705" s="12">
        <v>46058</v>
      </c>
      <c r="S705" s="12" t="b">
        <f>ISBLANK(WFTracker[[#This Row],[Completion Date]])</f>
        <v>0</v>
      </c>
      <c r="T705" s="12" t="str">
        <f>TEXT(WFTracker[[#This Row],[Start date]],"mmm-yyyy")</f>
        <v>Jan-2026</v>
      </c>
      <c r="U705" s="11">
        <v>10</v>
      </c>
      <c r="V705" s="11">
        <f>NETWORKDAYS.INTL(WFTracker[[#This Row],[Start date]],WFTracker[[#This Row],[Due date]],1,Holidays!D710:D725)</f>
        <v>10</v>
      </c>
      <c r="W7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05" s="24">
        <f ca="1">WFTracker[[#This Row],[Active Time]]-WFTracker[[#This Row],[Completion Days Template]]</f>
        <v>-3</v>
      </c>
      <c r="Y705" s="16" t="str">
        <f ca="1" xml:space="preserve"> IF(WFTracker[[#This Row],[Overdue Time '[Expected-Completion']]]&gt;0, "LATE","ON TIME")</f>
        <v>ON TIME</v>
      </c>
      <c r="Z705" s="16" t="str">
        <f ca="1">IF(WFTracker[[#This Row],[Overdue Time '[Expected-Completion']]] &gt;= 15, "SUPER LATE", Y705)</f>
        <v>ON TIME</v>
      </c>
      <c r="AA705" s="37" t="str">
        <f>IF(WFTracker[[#This Row],[Pre RM Opening Time]]&lt;WFTracker[[#This Row],[Old vs New Order Lead Time WF dead line]], "LATE BY ENG", "ON TIME BY ENG")</f>
        <v>ON TIME BY ENG</v>
      </c>
      <c r="AB705" s="37"/>
      <c r="AC705" s="928" t="str" cm="1">
        <f t="array" ref="AC705">_xlfn.IFS(
    WFTracker[[#This Row],[Cancelation Cause]]&lt;&gt;"", "X",
    WFTracker[[#This Row],[Competion Date Content]] = FALSE, "C",
    TRUE, "I"
)</f>
        <v>C</v>
      </c>
      <c r="AD7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05" s="25" t="str">
        <f ca="1">IF(WFTracker[[#This Row],[Impact Time Post RM]]&gt;0, "IMPACTED", "NOT IMPACTED")</f>
        <v>NOT IMPACTED</v>
      </c>
      <c r="AF705" s="15"/>
      <c r="AG705" s="18"/>
      <c r="AH705" s="14" t="str">
        <f>IF(WFTracker[[#This Row],[Status]]="C", "Closed", IF(WFTracker[[#This Row],[Status]] = "x", "Cancelled", WFTracker[[#This Row],[Impact Time Post RM]]))</f>
        <v>Closed</v>
      </c>
      <c r="AI705" s="14" t="str">
        <f ca="1">IF(WFTracker[[#This Row],[Impact Time Post RM]]&lt;=0,"ON TIME","LATE")</f>
        <v>ON TIME</v>
      </c>
      <c r="AJ705" s="14" t="s">
        <v>984</v>
      </c>
      <c r="AK705" s="14">
        <v>18</v>
      </c>
      <c r="AL705" s="915">
        <f>IF(WFTracker[[#This Row],[Type]]="MAKE", WFTracker[[#This Row],[Due date]]+Filters!$J$111, WFTracker[[#This Row],[Due date]]+Filters!$J$135)</f>
        <v>46066.072512647552</v>
      </c>
      <c r="AM705" s="102" cm="1">
        <f t="array" ref="AM70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6" spans="1:39" ht="15" customHeight="1">
      <c r="A706" t="str">
        <f>IF(WFTracker[[#This Row],[Order Number]]="SWBD", "QED2", "PZ4")</f>
        <v>PZ4</v>
      </c>
      <c r="B706" s="21" t="s">
        <v>706</v>
      </c>
      <c r="C706" s="26" t="s">
        <v>1515</v>
      </c>
      <c r="D706" s="11" t="str">
        <f>WFTracker[[#This Row],[Order Number]]  &amp; "-" &amp; WFTracker[[#This Row],[Item]]</f>
        <v>0051129914-000760</v>
      </c>
      <c r="E706" s="23" t="s">
        <v>708</v>
      </c>
      <c r="F706" s="12">
        <v>46063</v>
      </c>
      <c r="G706" s="12">
        <v>46056</v>
      </c>
      <c r="H706" s="11" t="s">
        <v>709</v>
      </c>
      <c r="I706" s="11" t="s">
        <v>1555</v>
      </c>
      <c r="J706" s="55" t="s">
        <v>817</v>
      </c>
      <c r="K706" s="14" t="s">
        <v>1017</v>
      </c>
      <c r="L706" s="15" t="s">
        <v>40</v>
      </c>
      <c r="M706" s="29" t="s">
        <v>1120</v>
      </c>
      <c r="N706" s="57">
        <v>46175</v>
      </c>
      <c r="O706" s="15">
        <f>NETWORKDAYS.INTL(WFTracker[[#This Row],[Start date]],WFTracker[[#This Row],[RM]],1,Holidays!D709:D724)</f>
        <v>10</v>
      </c>
      <c r="P706" s="12">
        <v>46050</v>
      </c>
      <c r="Q706" s="12">
        <v>46063</v>
      </c>
      <c r="R706" s="12">
        <v>46063</v>
      </c>
      <c r="S706" s="12" t="b">
        <f>ISBLANK(WFTracker[[#This Row],[Completion Date]])</f>
        <v>0</v>
      </c>
      <c r="T706" s="12" t="str">
        <f>TEXT(WFTracker[[#This Row],[Start date]],"mmm-yyyy")</f>
        <v>Jan-2026</v>
      </c>
      <c r="U706" s="11">
        <v>10</v>
      </c>
      <c r="V706" s="11">
        <f>NETWORKDAYS.INTL(WFTracker[[#This Row],[Start date]],WFTracker[[#This Row],[Due date]],1,Holidays!D709:D724)</f>
        <v>10</v>
      </c>
      <c r="W7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706" s="24">
        <f ca="1">WFTracker[[#This Row],[Active Time]]-WFTracker[[#This Row],[Completion Days Template]]</f>
        <v>0</v>
      </c>
      <c r="Y706" s="16" t="str">
        <f ca="1" xml:space="preserve"> IF(WFTracker[[#This Row],[Overdue Time '[Expected-Completion']]]&gt;0, "LATE","ON TIME")</f>
        <v>ON TIME</v>
      </c>
      <c r="Z706" s="16" t="str">
        <f ca="1">IF(WFTracker[[#This Row],[Overdue Time '[Expected-Completion']]] &gt;= 15, "SUPER LATE", Y706)</f>
        <v>ON TIME</v>
      </c>
      <c r="AA706" s="37" t="str">
        <f>IF(WFTracker[[#This Row],[Pre RM Opening Time]]&lt;WFTracker[[#This Row],[Old vs New Order Lead Time WF dead line]], "LATE BY ENG", "ON TIME BY ENG")</f>
        <v>ON TIME BY ENG</v>
      </c>
      <c r="AB706" s="37"/>
      <c r="AC706" s="928" t="str" cm="1">
        <f t="array" ref="AC706">_xlfn.IFS(
    WFTracker[[#This Row],[Cancelation Cause]]&lt;&gt;"", "X",
    WFTracker[[#This Row],[Competion Date Content]] = FALSE, "C",
    TRUE, "I"
)</f>
        <v>C</v>
      </c>
      <c r="AD7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706" s="25" t="str">
        <f ca="1">IF(WFTracker[[#This Row],[Impact Time Post RM]]&gt;0, "IMPACTED", "NOT IMPACTED")</f>
        <v>IMPACTED</v>
      </c>
      <c r="AF706" s="15"/>
      <c r="AG706" s="18"/>
      <c r="AH706" s="14" t="str">
        <f>IF(WFTracker[[#This Row],[Status]]="C", "Closed", IF(WFTracker[[#This Row],[Status]] = "x", "Cancelled", WFTracker[[#This Row],[Impact Time Post RM]]))</f>
        <v>Closed</v>
      </c>
      <c r="AI706" s="14" t="str">
        <f ca="1">IF(WFTracker[[#This Row],[Impact Time Post RM]]&lt;=0,"ON TIME","LATE")</f>
        <v>LATE</v>
      </c>
      <c r="AJ706" s="14" t="s">
        <v>984</v>
      </c>
      <c r="AK706" s="14">
        <v>17</v>
      </c>
      <c r="AL706" s="915">
        <f>IF(WFTracker[[#This Row],[Type]]="MAKE", WFTracker[[#This Row],[Due date]]+Filters!$J$111, WFTracker[[#This Row],[Due date]]+Filters!$J$135)</f>
        <v>46063.415686274508</v>
      </c>
      <c r="AM706" s="102" cm="1">
        <f t="array" ref="AM7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7" spans="1:39" ht="15" customHeight="1">
      <c r="A707" t="str">
        <f>IF(WFTracker[[#This Row],[Order Number]]="SWBD", "QED2", "PZ4")</f>
        <v>PZ4</v>
      </c>
      <c r="B707" s="21" t="s">
        <v>819</v>
      </c>
      <c r="C707" s="26" t="s">
        <v>135</v>
      </c>
      <c r="D707" s="11" t="str">
        <f>WFTracker[[#This Row],[Order Number]]  &amp; "-" &amp; WFTracker[[#This Row],[Item]]</f>
        <v>0051523070-000010</v>
      </c>
      <c r="E707" s="23" t="s">
        <v>820</v>
      </c>
      <c r="F707" s="12">
        <v>46136</v>
      </c>
      <c r="G707" s="12">
        <v>46125</v>
      </c>
      <c r="H707" s="11" t="s">
        <v>305</v>
      </c>
      <c r="I707" s="11" t="s">
        <v>429</v>
      </c>
      <c r="J707" s="122" t="s">
        <v>821</v>
      </c>
      <c r="K707" s="14" t="s">
        <v>1017</v>
      </c>
      <c r="L707" s="15" t="s">
        <v>27</v>
      </c>
      <c r="M707" s="29" t="s">
        <v>1120</v>
      </c>
      <c r="N707" s="57">
        <v>46254</v>
      </c>
      <c r="O707" s="15">
        <f>NETWORKDAYS.INTL(WFTracker[[#This Row],[Start date]],WFTracker[[#This Row],[RM]],1,Holidays!D711:D726)</f>
        <v>62</v>
      </c>
      <c r="P707" s="12">
        <v>46051</v>
      </c>
      <c r="Q707" s="12">
        <v>46028</v>
      </c>
      <c r="R707" s="12">
        <v>46062</v>
      </c>
      <c r="S707" s="12" t="b">
        <f>ISBLANK(WFTracker[[#This Row],[Completion Date]])</f>
        <v>0</v>
      </c>
      <c r="T707" s="12" t="str">
        <f>TEXT(WFTracker[[#This Row],[Start date]],"mmm-yyyy")</f>
        <v>Jan-2026</v>
      </c>
      <c r="U707" s="11">
        <v>10</v>
      </c>
      <c r="V707" s="11">
        <f>NETWORKDAYS.INTL(WFTracker[[#This Row],[Start date]],WFTracker[[#This Row],[Due date]],1,Holidays!D711:D726)</f>
        <v>-18</v>
      </c>
      <c r="W7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07" s="24">
        <f ca="1">WFTracker[[#This Row],[Active Time]]-WFTracker[[#This Row],[Completion Days Template]]</f>
        <v>26</v>
      </c>
      <c r="Y707" s="16" t="str">
        <f ca="1" xml:space="preserve"> IF(WFTracker[[#This Row],[Overdue Time '[Expected-Completion']]]&gt;0, "LATE","ON TIME")</f>
        <v>LATE</v>
      </c>
      <c r="Z707" s="16" t="str">
        <f ca="1">IF(WFTracker[[#This Row],[Overdue Time '[Expected-Completion']]] &gt;= 15, "SUPER LATE", Y707)</f>
        <v>SUPER LATE</v>
      </c>
      <c r="AA707" s="37" t="str">
        <f>IF(WFTracker[[#This Row],[Pre RM Opening Time]]&lt;WFTracker[[#This Row],[Old vs New Order Lead Time WF dead line]], "LATE BY ENG", "ON TIME BY ENG")</f>
        <v>ON TIME BY ENG</v>
      </c>
      <c r="AB707" s="37"/>
      <c r="AC707" s="928" t="str" cm="1">
        <f t="array" ref="AC707">_xlfn.IFS(
    WFTracker[[#This Row],[Cancelation Cause]]&lt;&gt;"", "X",
    WFTracker[[#This Row],[Competion Date Content]] = FALSE, "C",
    TRUE, "I"
)</f>
        <v>C</v>
      </c>
      <c r="AD7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-55</v>
      </c>
      <c r="AE707" s="25" t="str">
        <f ca="1">IF(WFTracker[[#This Row],[Impact Time Post RM]]&gt;0, "IMPACTED", "NOT IMPACTED")</f>
        <v>NOT IMPACTED</v>
      </c>
      <c r="AF707" s="15"/>
      <c r="AG707" s="18"/>
      <c r="AH707" s="14" t="str">
        <f>IF(WFTracker[[#This Row],[Status]]="C", "Closed", IF(WFTracker[[#This Row],[Status]] = "x", "Cancelled", WFTracker[[#This Row],[Impact Time Post RM]]))</f>
        <v>Closed</v>
      </c>
      <c r="AI707" s="14" t="str">
        <f ca="1">IF(WFTracker[[#This Row],[Impact Time Post RM]]&lt;=0,"ON TIME","LATE")</f>
        <v>ON TIME</v>
      </c>
      <c r="AJ707" s="14" t="s">
        <v>984</v>
      </c>
      <c r="AK707" s="14">
        <v>18</v>
      </c>
      <c r="AL707" s="915">
        <f>IF(WFTracker[[#This Row],[Type]]="MAKE", WFTracker[[#This Row],[Due date]]+Filters!$J$111, WFTracker[[#This Row],[Due date]]+Filters!$J$135)</f>
        <v>46031.072512647552</v>
      </c>
      <c r="AM707" s="102" cm="1">
        <f t="array" ref="AM70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8" spans="1:39" ht="15" customHeight="1">
      <c r="A708" t="str">
        <f>IF(WFTracker[[#This Row],[Order Number]]="SWBD", "QED2", "PZ4")</f>
        <v>PZ4</v>
      </c>
      <c r="B708" s="21" t="s">
        <v>418</v>
      </c>
      <c r="C708" s="26" t="s">
        <v>1218</v>
      </c>
      <c r="D708" s="11" t="s">
        <v>1498</v>
      </c>
      <c r="E708" s="23" t="s">
        <v>419</v>
      </c>
      <c r="F708" s="12">
        <v>45898</v>
      </c>
      <c r="G708" s="12" t="s">
        <v>984</v>
      </c>
      <c r="H708" s="11" t="s">
        <v>99</v>
      </c>
      <c r="I708" s="11" t="s">
        <v>24</v>
      </c>
      <c r="J708" s="55" t="s">
        <v>1596</v>
      </c>
      <c r="K708" s="14" t="s">
        <v>1017</v>
      </c>
      <c r="L708" s="15" t="s">
        <v>27</v>
      </c>
      <c r="M708" s="29" t="s">
        <v>1120</v>
      </c>
      <c r="N708" s="57">
        <v>45662</v>
      </c>
      <c r="O708" s="15">
        <f>NETWORKDAYS.INTL(WFTracker[[#This Row],[Start date]],WFTracker[[#This Row],[RM]],1,Holidays!D712:D727)</f>
        <v>-112</v>
      </c>
      <c r="P708" s="12">
        <v>46055</v>
      </c>
      <c r="Q708" s="12">
        <v>46063</v>
      </c>
      <c r="R708" s="12">
        <v>46063</v>
      </c>
      <c r="S708" s="12" t="b">
        <f>ISBLANK(WFTracker[[#This Row],[Completion Date]])</f>
        <v>0</v>
      </c>
      <c r="T708" s="12" t="str">
        <f>TEXT(WFTracker[[#This Row],[Start date]],"mmm-yyyy")</f>
        <v>Feb-2026</v>
      </c>
      <c r="U708" s="11">
        <v>10</v>
      </c>
      <c r="V708" s="11">
        <f>NETWORKDAYS.INTL(WFTracker[[#This Row],[Start date]],WFTracker[[#This Row],[Due date]],1,Holidays!D712:D727)</f>
        <v>7</v>
      </c>
      <c r="W7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08" s="24">
        <f ca="1">WFTracker[[#This Row],[Active Time]]-WFTracker[[#This Row],[Completion Days Template]]</f>
        <v>0</v>
      </c>
      <c r="Y708" s="16" t="str">
        <f ca="1" xml:space="preserve"> IF(WFTracker[[#This Row],[Overdue Time '[Expected-Completion']]]&gt;0, "LATE","ON TIME")</f>
        <v>ON TIME</v>
      </c>
      <c r="Z708" s="16" t="str">
        <f ca="1">IF(WFTracker[[#This Row],[Overdue Time '[Expected-Completion']]] &gt;= 15, "SUPER LATE", Y708)</f>
        <v>ON TIME</v>
      </c>
      <c r="AA708" s="37" t="str">
        <f>IF(WFTracker[[#This Row],[Pre RM Opening Time]]&lt;WFTracker[[#This Row],[Old vs New Order Lead Time WF dead line]], "LATE BY ENG", "ON TIME BY ENG")</f>
        <v>LATE BY ENG</v>
      </c>
      <c r="AB708" s="37"/>
      <c r="AC708" s="928" t="str" cm="1">
        <f t="array" ref="AC708">_xlfn.IFS(
    WFTracker[[#This Row],[Cancelation Cause]]&lt;&gt;"", "X",
    WFTracker[[#This Row],[Competion Date Content]] = FALSE, "C",
    TRUE, "I"
)</f>
        <v>C</v>
      </c>
      <c r="AD7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109</v>
      </c>
      <c r="AE708" s="25" t="str">
        <f ca="1">IF(WFTracker[[#This Row],[Impact Time Post RM]]&gt;0, "IMPACTED", "NOT IMPACTED")</f>
        <v>IMPACTED</v>
      </c>
      <c r="AF708" s="15"/>
      <c r="AG708" s="18"/>
      <c r="AH708" s="14" t="str">
        <f>IF(WFTracker[[#This Row],[Status]]="C", "Closed", IF(WFTracker[[#This Row],[Status]] = "x", "Cancelled", WFTracker[[#This Row],[Impact Time Post RM]]))</f>
        <v>Closed</v>
      </c>
      <c r="AI708" s="14" t="str">
        <f ca="1">IF(WFTracker[[#This Row],[Impact Time Post RM]]&lt;=0,"ON TIME","LATE")</f>
        <v>LATE</v>
      </c>
      <c r="AJ708" s="14" t="s">
        <v>984</v>
      </c>
      <c r="AK708" s="14">
        <v>18</v>
      </c>
      <c r="AL708" s="915">
        <f>IF(WFTracker[[#This Row],[Type]]="MAKE", WFTracker[[#This Row],[Due date]]+Filters!$J$111, WFTracker[[#This Row],[Due date]]+Filters!$J$135)</f>
        <v>46066.072512647552</v>
      </c>
      <c r="AM708" s="102" cm="1">
        <f t="array" ref="AM70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09" spans="1:39" ht="15" customHeight="1">
      <c r="A709" t="str">
        <f>IF(WFTracker[[#This Row],[Order Number]]="SWBD", "QED2", "PZ4")</f>
        <v>PZ4</v>
      </c>
      <c r="B709" s="21" t="s">
        <v>822</v>
      </c>
      <c r="C709" s="26" t="s">
        <v>448</v>
      </c>
      <c r="D709" s="11" t="str">
        <f>WFTracker[[#This Row],[Order Number]]  &amp; "-" &amp; WFTracker[[#This Row],[Item]]</f>
        <v>0050941348-000150</v>
      </c>
      <c r="E709" s="23" t="s">
        <v>1060</v>
      </c>
      <c r="F709" s="12">
        <v>46052</v>
      </c>
      <c r="G709" s="12"/>
      <c r="H709" s="11" t="s">
        <v>80</v>
      </c>
      <c r="I709" s="11" t="s">
        <v>24</v>
      </c>
      <c r="J709" s="55" t="s">
        <v>824</v>
      </c>
      <c r="K709" s="14" t="s">
        <v>1017</v>
      </c>
      <c r="L709" s="15" t="s">
        <v>27</v>
      </c>
      <c r="M709" s="29" t="s">
        <v>1120</v>
      </c>
      <c r="N709" s="57">
        <v>46174</v>
      </c>
      <c r="O709" s="15">
        <f>NETWORKDAYS.INTL(WFTracker[[#This Row],[Start date]],WFTracker[[#This Row],[RM]],1,Holidays!D713:D728)</f>
        <v>-3</v>
      </c>
      <c r="P709" s="12">
        <v>46056</v>
      </c>
      <c r="Q709" s="12">
        <v>46063</v>
      </c>
      <c r="R709" s="12">
        <v>46066</v>
      </c>
      <c r="S709" s="12" t="b">
        <f>ISBLANK(WFTracker[[#This Row],[Completion Date]])</f>
        <v>0</v>
      </c>
      <c r="T709" s="12" t="str">
        <f>TEXT(WFTracker[[#This Row],[Start date]],"mmm-yyyy")</f>
        <v>Feb-2026</v>
      </c>
      <c r="U709" s="11">
        <v>10</v>
      </c>
      <c r="V709" s="11">
        <f>NETWORKDAYS.INTL(WFTracker[[#This Row],[Start date]],WFTracker[[#This Row],[Due date]],1,Holidays!D713:D728)</f>
        <v>6</v>
      </c>
      <c r="W7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09" s="24">
        <f ca="1">WFTracker[[#This Row],[Active Time]]-WFTracker[[#This Row],[Completion Days Template]]</f>
        <v>3</v>
      </c>
      <c r="Y709" s="16" t="str">
        <f ca="1" xml:space="preserve"> IF(WFTracker[[#This Row],[Overdue Time '[Expected-Completion']]]&gt;0, "LATE","ON TIME")</f>
        <v>LATE</v>
      </c>
      <c r="Z709" s="16" t="str">
        <f ca="1">IF(WFTracker[[#This Row],[Overdue Time '[Expected-Completion']]] &gt;= 15, "SUPER LATE", Y709)</f>
        <v>LATE</v>
      </c>
      <c r="AA709" s="37" t="str">
        <f>IF(WFTracker[[#This Row],[Pre RM Opening Time]]&lt;WFTracker[[#This Row],[Old vs New Order Lead Time WF dead line]], "LATE BY ENG", "ON TIME BY ENG")</f>
        <v>LATE BY ENG</v>
      </c>
      <c r="AB709" s="37"/>
      <c r="AC709" s="928" t="str" cm="1">
        <f t="array" ref="AC709">_xlfn.IFS(
    WFTracker[[#This Row],[Cancelation Cause]]&lt;&gt;"", "X",
    WFTracker[[#This Row],[Competion Date Content]] = FALSE, "C",
    TRUE, "I"
)</f>
        <v>C</v>
      </c>
      <c r="AD7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709" s="25" t="str">
        <f ca="1">IF(WFTracker[[#This Row],[Impact Time Post RM]]&gt;0, "IMPACTED", "NOT IMPACTED")</f>
        <v>IMPACTED</v>
      </c>
      <c r="AF709" s="15"/>
      <c r="AG709" s="18"/>
      <c r="AH709" s="14" t="str">
        <f>IF(WFTracker[[#This Row],[Status]]="C", "Closed", IF(WFTracker[[#This Row],[Status]] = "x", "Cancelled", WFTracker[[#This Row],[Impact Time Post RM]]))</f>
        <v>Closed</v>
      </c>
      <c r="AI709" s="14" t="str">
        <f ca="1">IF(WFTracker[[#This Row],[Impact Time Post RM]]&lt;=0,"ON TIME","LATE")</f>
        <v>LATE</v>
      </c>
      <c r="AJ709" s="14" t="s">
        <v>984</v>
      </c>
      <c r="AK709" s="14">
        <v>18</v>
      </c>
      <c r="AL709" s="915">
        <f>IF(WFTracker[[#This Row],[Type]]="MAKE", WFTracker[[#This Row],[Due date]]+Filters!$J$111, WFTracker[[#This Row],[Due date]]+Filters!$J$135)</f>
        <v>46066.072512647552</v>
      </c>
      <c r="AM709" s="102" cm="1">
        <f t="array" ref="AM70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0" spans="1:39" ht="15" customHeight="1">
      <c r="A710" t="str">
        <f>IF(WFTracker[[#This Row],[Order Number]]="SWBD", "QED2", "PZ4")</f>
        <v>PZ4</v>
      </c>
      <c r="B710" s="919" t="s">
        <v>822</v>
      </c>
      <c r="C710" s="26" t="s">
        <v>448</v>
      </c>
      <c r="D710" s="11" t="str">
        <f>WFTracker[[#This Row],[Order Number]]  &amp; "-" &amp; WFTracker[[#This Row],[Item]]</f>
        <v>0050941348-000150</v>
      </c>
      <c r="E710" s="23" t="s">
        <v>1060</v>
      </c>
      <c r="F710" s="12">
        <v>46052</v>
      </c>
      <c r="G710" s="12"/>
      <c r="H710" s="11" t="s">
        <v>80</v>
      </c>
      <c r="I710" s="11" t="s">
        <v>24</v>
      </c>
      <c r="J710" s="122" t="s">
        <v>825</v>
      </c>
      <c r="K710" s="14" t="s">
        <v>1017</v>
      </c>
      <c r="L710" s="15" t="s">
        <v>27</v>
      </c>
      <c r="M710" s="29" t="s">
        <v>1120</v>
      </c>
      <c r="N710" s="57">
        <v>46174</v>
      </c>
      <c r="O710" s="15">
        <f>NETWORKDAYS.INTL(WFTracker[[#This Row],[Start date]],WFTracker[[#This Row],[RM]],1,Holidays!D714:D729)</f>
        <v>-3</v>
      </c>
      <c r="P710" s="12">
        <v>46056</v>
      </c>
      <c r="Q710" s="12">
        <v>46063</v>
      </c>
      <c r="R710" s="12">
        <v>46066</v>
      </c>
      <c r="S710" s="12" t="b">
        <f>ISBLANK(WFTracker[[#This Row],[Completion Date]])</f>
        <v>0</v>
      </c>
      <c r="T710" s="12" t="str">
        <f>TEXT(WFTracker[[#This Row],[Start date]],"mmm-yyyy")</f>
        <v>Feb-2026</v>
      </c>
      <c r="U710" s="11">
        <v>10</v>
      </c>
      <c r="V710" s="11">
        <f>NETWORKDAYS.INTL(WFTracker[[#This Row],[Start date]],WFTracker[[#This Row],[Due date]],1,Holidays!D714:D729)</f>
        <v>6</v>
      </c>
      <c r="W7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10" s="24">
        <f ca="1">WFTracker[[#This Row],[Active Time]]-WFTracker[[#This Row],[Completion Days Template]]</f>
        <v>3</v>
      </c>
      <c r="Y710" s="16" t="str">
        <f ca="1" xml:space="preserve"> IF(WFTracker[[#This Row],[Overdue Time '[Expected-Completion']]]&gt;0, "LATE","ON TIME")</f>
        <v>LATE</v>
      </c>
      <c r="Z710" s="16" t="str">
        <f ca="1">IF(WFTracker[[#This Row],[Overdue Time '[Expected-Completion']]] &gt;= 15, "SUPER LATE", Y710)</f>
        <v>LATE</v>
      </c>
      <c r="AA710" s="37" t="str">
        <f>IF(WFTracker[[#This Row],[Pre RM Opening Time]]&lt;WFTracker[[#This Row],[Old vs New Order Lead Time WF dead line]], "LATE BY ENG", "ON TIME BY ENG")</f>
        <v>LATE BY ENG</v>
      </c>
      <c r="AB710" s="37"/>
      <c r="AC710" s="928" t="str" cm="1">
        <f t="array" ref="AC710">_xlfn.IFS(
    WFTracker[[#This Row],[Cancelation Cause]]&lt;&gt;"", "X",
    WFTracker[[#This Row],[Competion Date Content]] = FALSE, "C",
    TRUE, "I"
)</f>
        <v>C</v>
      </c>
      <c r="AD7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11</v>
      </c>
      <c r="AE710" s="25" t="str">
        <f ca="1">IF(WFTracker[[#This Row],[Impact Time Post RM]]&gt;0, "IMPACTED", "NOT IMPACTED")</f>
        <v>IMPACTED</v>
      </c>
      <c r="AF710" s="15"/>
      <c r="AG710" s="18"/>
      <c r="AH710" s="14" t="str">
        <f>IF(WFTracker[[#This Row],[Status]]="C", "Closed", IF(WFTracker[[#This Row],[Status]] = "x", "Cancelled", WFTracker[[#This Row],[Impact Time Post RM]]))</f>
        <v>Closed</v>
      </c>
      <c r="AI710" s="14" t="str">
        <f ca="1">IF(WFTracker[[#This Row],[Impact Time Post RM]]&lt;=0,"ON TIME","LATE")</f>
        <v>LATE</v>
      </c>
      <c r="AJ710" s="14" t="s">
        <v>984</v>
      </c>
      <c r="AK710" s="14">
        <v>18</v>
      </c>
      <c r="AL710" s="915">
        <f>IF(WFTracker[[#This Row],[Type]]="MAKE", WFTracker[[#This Row],[Due date]]+Filters!$J$111, WFTracker[[#This Row],[Due date]]+Filters!$J$135)</f>
        <v>46066.072512647552</v>
      </c>
      <c r="AM710" s="102" cm="1">
        <f t="array" ref="AM7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1" spans="1:39" ht="15" customHeight="1">
      <c r="A711" t="str">
        <f>IF(WFTracker[[#This Row],[Order Number]]="SWBD", "QED2", "PZ4")</f>
        <v>PZ4</v>
      </c>
      <c r="B711" s="21" t="s">
        <v>667</v>
      </c>
      <c r="C711" s="26" t="s">
        <v>385</v>
      </c>
      <c r="D711" s="11" t="str">
        <f>WFTracker[[#This Row],[Order Number]]  &amp; "-" &amp; WFTracker[[#This Row],[Item]]</f>
        <v>0051024393-000310</v>
      </c>
      <c r="E711" s="23" t="s">
        <v>668</v>
      </c>
      <c r="F711" s="12">
        <v>46006</v>
      </c>
      <c r="G711" s="12">
        <v>46013</v>
      </c>
      <c r="H711" s="11" t="s">
        <v>259</v>
      </c>
      <c r="I711" s="11" t="s">
        <v>216</v>
      </c>
      <c r="J711" s="55" t="s">
        <v>1597</v>
      </c>
      <c r="K711" s="14" t="s">
        <v>1023</v>
      </c>
      <c r="L711" s="15" t="s">
        <v>40</v>
      </c>
      <c r="M711" s="29" t="s">
        <v>1123</v>
      </c>
      <c r="N711" s="57">
        <v>46086</v>
      </c>
      <c r="O711" s="15">
        <f>NETWORKDAYS.INTL(WFTracker[[#This Row],[Start date]],WFTracker[[#This Row],[RM]],1,Holidays!D715:D730)</f>
        <v>-38</v>
      </c>
      <c r="P711" s="12">
        <v>46057</v>
      </c>
      <c r="Q711" s="12">
        <v>46069</v>
      </c>
      <c r="R711" s="12">
        <v>46066</v>
      </c>
      <c r="S711" s="12" t="b">
        <f>ISBLANK(WFTracker[[#This Row],[Completion Date]])</f>
        <v>0</v>
      </c>
      <c r="T711" s="12" t="str">
        <f>TEXT(WFTracker[[#This Row],[Start date]],"mmm-yyyy")</f>
        <v>Feb-2026</v>
      </c>
      <c r="U711" s="11">
        <v>10</v>
      </c>
      <c r="V711" s="11">
        <f>NETWORKDAYS.INTL(WFTracker[[#This Row],[Start date]],WFTracker[[#This Row],[Due date]],1,Holidays!D715:D730)</f>
        <v>9</v>
      </c>
      <c r="W7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11" s="24">
        <f ca="1">WFTracker[[#This Row],[Active Time]]-WFTracker[[#This Row],[Completion Days Template]]</f>
        <v>-1</v>
      </c>
      <c r="Y711" s="16" t="str">
        <f ca="1" xml:space="preserve"> IF(WFTracker[[#This Row],[Overdue Time '[Expected-Completion']]]&gt;0, "LATE","ON TIME")</f>
        <v>ON TIME</v>
      </c>
      <c r="Z711" s="16" t="str">
        <f ca="1">IF(WFTracker[[#This Row],[Overdue Time '[Expected-Completion']]] &gt;= 15, "SUPER LATE", Y711)</f>
        <v>ON TIME</v>
      </c>
      <c r="AA711" s="37" t="str">
        <f>IF(WFTracker[[#This Row],[Pre RM Opening Time]]&lt;WFTracker[[#This Row],[Old vs New Order Lead Time WF dead line]], "LATE BY ENG", "ON TIME BY ENG")</f>
        <v>LATE BY ENG</v>
      </c>
      <c r="AB711" s="37"/>
      <c r="AC711" s="928" t="str" cm="1">
        <f t="array" ref="AC711">_xlfn.IFS(
    WFTracker[[#This Row],[Cancelation Cause]]&lt;&gt;"", "X",
    WFTracker[[#This Row],[Competion Date Content]] = FALSE, "C",
    TRUE, "I"
)</f>
        <v>C</v>
      </c>
      <c r="AD7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42</v>
      </c>
      <c r="AE711" s="25" t="str">
        <f ca="1">IF(WFTracker[[#This Row],[Impact Time Post RM]]&gt;0, "IMPACTED", "NOT IMPACTED")</f>
        <v>IMPACTED</v>
      </c>
      <c r="AF711" s="15"/>
      <c r="AG711" s="18"/>
      <c r="AH711" s="14" t="str">
        <f>IF(WFTracker[[#This Row],[Status]]="C", "Closed", IF(WFTracker[[#This Row],[Status]] = "x", "Cancelled", WFTracker[[#This Row],[Impact Time Post RM]]))</f>
        <v>Closed</v>
      </c>
      <c r="AI711" s="14" t="str">
        <f ca="1">IF(WFTracker[[#This Row],[Impact Time Post RM]]&lt;=0,"ON TIME","LATE")</f>
        <v>LATE</v>
      </c>
      <c r="AJ711" s="14" t="s">
        <v>984</v>
      </c>
      <c r="AK711" s="14">
        <v>17</v>
      </c>
      <c r="AL711" s="915">
        <f>IF(WFTracker[[#This Row],[Type]]="MAKE", WFTracker[[#This Row],[Due date]]+Filters!$J$111, WFTracker[[#This Row],[Due date]]+Filters!$J$135)</f>
        <v>46069.415686274508</v>
      </c>
      <c r="AM711" s="102" cm="1">
        <f t="array" ref="AM71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2" spans="1:39" ht="15" customHeight="1">
      <c r="A712" t="str">
        <f>IF(WFTracker[[#This Row],[Order Number]]="SWBD", "QED2", "PZ4")</f>
        <v>PZ4</v>
      </c>
      <c r="B712" s="21" t="s">
        <v>1434</v>
      </c>
      <c r="C712" s="26" t="s">
        <v>1434</v>
      </c>
      <c r="D712" s="11" t="s">
        <v>1598</v>
      </c>
      <c r="E712" s="23" t="s">
        <v>1599</v>
      </c>
      <c r="F712" s="12">
        <v>46070</v>
      </c>
      <c r="G712" s="12"/>
      <c r="H712" s="11" t="s">
        <v>709</v>
      </c>
      <c r="I712" s="11"/>
      <c r="J712" s="55" t="s">
        <v>1600</v>
      </c>
      <c r="K712" s="14" t="s">
        <v>1023</v>
      </c>
      <c r="L712" s="15" t="s">
        <v>40</v>
      </c>
      <c r="M712" s="29" t="s">
        <v>1120</v>
      </c>
      <c r="N712" s="57">
        <v>46070</v>
      </c>
      <c r="O712" s="15">
        <f>NETWORKDAYS.INTL(WFTracker[[#This Row],[Start date]],WFTracker[[#This Row],[RM]],1,Holidays!D718:D733)</f>
        <v>9</v>
      </c>
      <c r="P712" s="12">
        <v>46058</v>
      </c>
      <c r="Q712" s="12">
        <v>46070</v>
      </c>
      <c r="R712" s="12">
        <v>46070</v>
      </c>
      <c r="S712" s="12" t="b">
        <f>ISBLANK(WFTracker[[#This Row],[Completion Date]])</f>
        <v>0</v>
      </c>
      <c r="T712" s="12" t="str">
        <f>TEXT(WFTracker[[#This Row],[Start date]],"mmm-yyyy")</f>
        <v>Feb-2026</v>
      </c>
      <c r="U712" s="11">
        <v>10</v>
      </c>
      <c r="V712" s="11">
        <f>NETWORKDAYS.INTL(WFTracker[[#This Row],[Start date]],WFTracker[[#This Row],[Due date]],1,Holidays!D718:D733)</f>
        <v>9</v>
      </c>
      <c r="W7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12" s="24">
        <f ca="1">WFTracker[[#This Row],[Active Time]]-WFTracker[[#This Row],[Completion Days Template]]</f>
        <v>0</v>
      </c>
      <c r="Y712" s="16" t="str">
        <f ca="1" xml:space="preserve"> IF(WFTracker[[#This Row],[Overdue Time '[Expected-Completion']]]&gt;0, "LATE","ON TIME")</f>
        <v>ON TIME</v>
      </c>
      <c r="Z712" s="16" t="str">
        <f ca="1">IF(WFTracker[[#This Row],[Overdue Time '[Expected-Completion']]] &gt;= 15, "SUPER LATE", Y712)</f>
        <v>ON TIME</v>
      </c>
      <c r="AA712" s="37" t="str">
        <f>IF(WFTracker[[#This Row],[Pre RM Opening Time]]&lt;WFTracker[[#This Row],[Old vs New Order Lead Time WF dead line]], "LATE BY ENG", "ON TIME BY ENG")</f>
        <v>LATE BY ENG</v>
      </c>
      <c r="AB712" s="37"/>
      <c r="AC712" s="928" t="str" cm="1">
        <f t="array" ref="AC712">_xlfn.IFS(
    WFTracker[[#This Row],[Cancelation Cause]]&lt;&gt;"", "X",
    WFTracker[[#This Row],[Competion Date Content]] = FALSE, "C",
    TRUE, "I"
)</f>
        <v>C</v>
      </c>
      <c r="AD7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712" s="25" t="str">
        <f ca="1">IF(WFTracker[[#This Row],[Impact Time Post RM]]&gt;0, "IMPACTED", "NOT IMPACTED")</f>
        <v>IMPACTED</v>
      </c>
      <c r="AF712" s="15"/>
      <c r="AG712" s="18"/>
      <c r="AH712" s="14" t="str">
        <f>IF(WFTracker[[#This Row],[Status]]="C", "Closed", IF(WFTracker[[#This Row],[Status]] = "x", "Cancelled", WFTracker[[#This Row],[Impact Time Post RM]]))</f>
        <v>Closed</v>
      </c>
      <c r="AI712" s="14" t="str">
        <f ca="1">IF(WFTracker[[#This Row],[Impact Time Post RM]]&lt;=0,"ON TIME","LATE")</f>
        <v>LATE</v>
      </c>
      <c r="AJ712" s="14" t="s">
        <v>984</v>
      </c>
      <c r="AK712" s="14">
        <v>17</v>
      </c>
      <c r="AL712" s="915">
        <f>IF(WFTracker[[#This Row],[Type]]="MAKE", WFTracker[[#This Row],[Due date]]+Filters!$J$111, WFTracker[[#This Row],[Due date]]+Filters!$J$135)</f>
        <v>46070.415686274508</v>
      </c>
      <c r="AM712" s="102" cm="1">
        <f t="array" ref="AM7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3" spans="1:39" ht="15" customHeight="1">
      <c r="A713" t="str">
        <f>IF(WFTracker[[#This Row],[Order Number]]="SWBD", "QED2", "PZ4")</f>
        <v>PZ4</v>
      </c>
      <c r="B713" s="21" t="s">
        <v>1601</v>
      </c>
      <c r="C713" s="26" t="s">
        <v>135</v>
      </c>
      <c r="D713" s="11" t="str">
        <f>WFTracker[[#This Row],[Order Number]]  &amp; "-" &amp; WFTracker[[#This Row],[Item]]</f>
        <v>0051818022-000010</v>
      </c>
      <c r="E713" s="23" t="s">
        <v>1061</v>
      </c>
      <c r="F713" s="12">
        <v>46080</v>
      </c>
      <c r="G713" s="12">
        <v>46073</v>
      </c>
      <c r="H713" s="11" t="s">
        <v>1602</v>
      </c>
      <c r="I713" s="11" t="s">
        <v>429</v>
      </c>
      <c r="J713" s="55" t="s">
        <v>1603</v>
      </c>
      <c r="K713" s="14" t="s">
        <v>1023</v>
      </c>
      <c r="L713" s="15" t="s">
        <v>27</v>
      </c>
      <c r="M713" s="29" t="s">
        <v>1120</v>
      </c>
      <c r="N713" s="57">
        <v>46195</v>
      </c>
      <c r="O713" s="15">
        <f>NETWORKDAYS.INTL(WFTracker[[#This Row],[Start date]],WFTracker[[#This Row],[RM]],1,Holidays!D719:D734)</f>
        <v>17</v>
      </c>
      <c r="P713" s="12">
        <v>46058</v>
      </c>
      <c r="Q713" s="12">
        <v>46065</v>
      </c>
      <c r="R713" s="12">
        <v>46073</v>
      </c>
      <c r="S713" s="12" t="b">
        <f>ISBLANK(WFTracker[[#This Row],[Completion Date]])</f>
        <v>0</v>
      </c>
      <c r="T713" s="12" t="str">
        <f>TEXT(WFTracker[[#This Row],[Start date]],"mmm-yyyy")</f>
        <v>Feb-2026</v>
      </c>
      <c r="U713" s="11">
        <v>10</v>
      </c>
      <c r="V713" s="11">
        <f>NETWORKDAYS.INTL(WFTracker[[#This Row],[Start date]],WFTracker[[#This Row],[Due date]],1,Holidays!D719:D734)</f>
        <v>6</v>
      </c>
      <c r="W7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713" s="24">
        <f ca="1">WFTracker[[#This Row],[Active Time]]-WFTracker[[#This Row],[Completion Days Template]]</f>
        <v>6</v>
      </c>
      <c r="Y713" s="16" t="str">
        <f ca="1" xml:space="preserve"> IF(WFTracker[[#This Row],[Overdue Time '[Expected-Completion']]]&gt;0, "LATE","ON TIME")</f>
        <v>LATE</v>
      </c>
      <c r="Z713" s="16" t="str">
        <f ca="1">IF(WFTracker[[#This Row],[Overdue Time '[Expected-Completion']]] &gt;= 15, "SUPER LATE", Y713)</f>
        <v>LATE</v>
      </c>
      <c r="AA713" s="37" t="str">
        <f>IF(WFTracker[[#This Row],[Pre RM Opening Time]]&lt;WFTracker[[#This Row],[Old vs New Order Lead Time WF dead line]], "LATE BY ENG", "ON TIME BY ENG")</f>
        <v>ON TIME BY ENG</v>
      </c>
      <c r="AB713" s="37"/>
      <c r="AC713" s="928" t="str" cm="1">
        <f t="array" ref="AC713">_xlfn.IFS(
    WFTracker[[#This Row],[Cancelation Cause]]&lt;&gt;"", "X",
    WFTracker[[#This Row],[Competion Date Content]] = FALSE, "C",
    TRUE, "I"
)</f>
        <v>C</v>
      </c>
      <c r="AD7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713" s="25" t="str">
        <f ca="1">IF(WFTracker[[#This Row],[Impact Time Post RM]]&gt;0, "IMPACTED", "NOT IMPACTED")</f>
        <v>NOT IMPACTED</v>
      </c>
      <c r="AF713" s="15"/>
      <c r="AG713" s="18"/>
      <c r="AH713" s="14" t="str">
        <f>IF(WFTracker[[#This Row],[Status]]="C", "Closed", IF(WFTracker[[#This Row],[Status]] = "x", "Cancelled", WFTracker[[#This Row],[Impact Time Post RM]]))</f>
        <v>Closed</v>
      </c>
      <c r="AI713" s="14" t="str">
        <f ca="1">IF(WFTracker[[#This Row],[Impact Time Post RM]]&lt;=0,"ON TIME","LATE")</f>
        <v>ON TIME</v>
      </c>
      <c r="AJ713" s="14" t="s">
        <v>984</v>
      </c>
      <c r="AK713" s="14">
        <v>18</v>
      </c>
      <c r="AL713" s="915">
        <f>IF(WFTracker[[#This Row],[Type]]="MAKE", WFTracker[[#This Row],[Due date]]+Filters!$J$111, WFTracker[[#This Row],[Due date]]+Filters!$J$135)</f>
        <v>46068.072512647552</v>
      </c>
      <c r="AM713" s="102" cm="1">
        <f t="array" ref="AM7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4" spans="1:39" ht="15" customHeight="1">
      <c r="A714" t="str">
        <f>IF(WFTracker[[#This Row],[Order Number]]="SWBD", "QED2", "PZ4")</f>
        <v>PZ4</v>
      </c>
      <c r="B714" s="21" t="s">
        <v>830</v>
      </c>
      <c r="C714" s="26" t="s">
        <v>135</v>
      </c>
      <c r="D714" s="11" t="str">
        <f>WFTracker[[#This Row],[Order Number]]  &amp; "-" &amp; WFTracker[[#This Row],[Item]]</f>
        <v>0051827227-000010</v>
      </c>
      <c r="E714" s="23" t="s">
        <v>1604</v>
      </c>
      <c r="F714" s="12">
        <v>46087</v>
      </c>
      <c r="G714" s="12">
        <v>46080</v>
      </c>
      <c r="H714" s="11" t="s">
        <v>305</v>
      </c>
      <c r="I714" s="11" t="s">
        <v>260</v>
      </c>
      <c r="J714" s="55" t="s">
        <v>832</v>
      </c>
      <c r="K714" s="14" t="s">
        <v>1017</v>
      </c>
      <c r="L714" s="15" t="s">
        <v>27</v>
      </c>
      <c r="M714" s="29" t="s">
        <v>1120</v>
      </c>
      <c r="N714" s="57">
        <v>46198</v>
      </c>
      <c r="O714" s="15">
        <f>NETWORKDAYS.INTL(WFTracker[[#This Row],[Start date]],WFTracker[[#This Row],[RM]],1,Holidays!D716:D731)</f>
        <v>22</v>
      </c>
      <c r="P714" s="12">
        <v>46058</v>
      </c>
      <c r="Q714" s="12">
        <v>46065</v>
      </c>
      <c r="R714" s="12">
        <v>46065</v>
      </c>
      <c r="S714" s="12" t="b">
        <f>ISBLANK(WFTracker[[#This Row],[Completion Date]])</f>
        <v>0</v>
      </c>
      <c r="T714" s="12" t="str">
        <f>TEXT(WFTracker[[#This Row],[Start date]],"mmm-yyyy")</f>
        <v>Feb-2026</v>
      </c>
      <c r="U714" s="11">
        <v>10</v>
      </c>
      <c r="V714" s="11">
        <f>NETWORKDAYS.INTL(WFTracker[[#This Row],[Start date]],WFTracker[[#This Row],[Due date]],1,Holidays!D716:D731)</f>
        <v>6</v>
      </c>
      <c r="W7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14" s="24">
        <f ca="1">WFTracker[[#This Row],[Active Time]]-WFTracker[[#This Row],[Completion Days Template]]</f>
        <v>0</v>
      </c>
      <c r="Y714" s="16" t="str">
        <f ca="1" xml:space="preserve"> IF(WFTracker[[#This Row],[Overdue Time '[Expected-Completion']]]&gt;0, "LATE","ON TIME")</f>
        <v>ON TIME</v>
      </c>
      <c r="Z714" s="16" t="str">
        <f ca="1">IF(WFTracker[[#This Row],[Overdue Time '[Expected-Completion']]] &gt;= 15, "SUPER LATE", Y714)</f>
        <v>ON TIME</v>
      </c>
      <c r="AA714" s="37" t="str">
        <f>IF(WFTracker[[#This Row],[Pre RM Opening Time]]&lt;WFTracker[[#This Row],[Old vs New Order Lead Time WF dead line]], "LATE BY ENG", "ON TIME BY ENG")</f>
        <v>ON TIME BY ENG</v>
      </c>
      <c r="AB714" s="37"/>
      <c r="AC714" s="928" t="str" cm="1">
        <f t="array" ref="AC714">_xlfn.IFS(
    WFTracker[[#This Row],[Cancelation Cause]]&lt;&gt;"", "X",
    WFTracker[[#This Row],[Competion Date Content]] = FALSE, "C",
    TRUE, "I"
)</f>
        <v>C</v>
      </c>
      <c r="AD7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714" s="25" t="str">
        <f ca="1">IF(WFTracker[[#This Row],[Impact Time Post RM]]&gt;0, "IMPACTED", "NOT IMPACTED")</f>
        <v>NOT IMPACTED</v>
      </c>
      <c r="AF714" s="15"/>
      <c r="AG714" s="18"/>
      <c r="AH714" s="14" t="str">
        <f>IF(WFTracker[[#This Row],[Status]]="C", "Closed", IF(WFTracker[[#This Row],[Status]] = "x", "Cancelled", WFTracker[[#This Row],[Impact Time Post RM]]))</f>
        <v>Closed</v>
      </c>
      <c r="AI714" s="14" t="str">
        <f ca="1">IF(WFTracker[[#This Row],[Impact Time Post RM]]&lt;=0,"ON TIME","LATE")</f>
        <v>ON TIME</v>
      </c>
      <c r="AJ714" s="14" t="s">
        <v>984</v>
      </c>
      <c r="AK714" s="14">
        <v>18</v>
      </c>
      <c r="AL714" s="915">
        <f>IF(WFTracker[[#This Row],[Type]]="MAKE", WFTracker[[#This Row],[Due date]]+Filters!$J$111, WFTracker[[#This Row],[Due date]]+Filters!$J$135)</f>
        <v>46068.072512647552</v>
      </c>
      <c r="AM714" s="102" cm="1">
        <f t="array" ref="AM71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5" spans="1:39" ht="15" customHeight="1">
      <c r="A715" t="str">
        <f>IF(WFTracker[[#This Row],[Order Number]]="SWBD", "QED2", "PZ4")</f>
        <v>PZ4</v>
      </c>
      <c r="B715" s="21" t="s">
        <v>830</v>
      </c>
      <c r="C715" s="26" t="s">
        <v>135</v>
      </c>
      <c r="D715" s="11" t="str">
        <f>WFTracker[[#This Row],[Order Number]]  &amp; "-" &amp; WFTracker[[#This Row],[Item]]</f>
        <v>0051827227-000010</v>
      </c>
      <c r="E715" s="23" t="s">
        <v>1604</v>
      </c>
      <c r="F715" s="12">
        <v>46087</v>
      </c>
      <c r="G715" s="12">
        <v>46080</v>
      </c>
      <c r="H715" s="11" t="s">
        <v>305</v>
      </c>
      <c r="I715" s="11" t="s">
        <v>260</v>
      </c>
      <c r="J715" s="55" t="s">
        <v>833</v>
      </c>
      <c r="K715" s="14" t="s">
        <v>1017</v>
      </c>
      <c r="L715" s="15" t="s">
        <v>27</v>
      </c>
      <c r="M715" s="29" t="s">
        <v>1120</v>
      </c>
      <c r="N715" s="57">
        <v>46198</v>
      </c>
      <c r="O715" s="15">
        <f>NETWORKDAYS.INTL(WFTracker[[#This Row],[Start date]],WFTracker[[#This Row],[RM]],1,Holidays!D717:D732)</f>
        <v>22</v>
      </c>
      <c r="P715" s="12">
        <v>46058</v>
      </c>
      <c r="Q715" s="12">
        <v>46065</v>
      </c>
      <c r="R715" s="12">
        <v>46065</v>
      </c>
      <c r="S715" s="12" t="b">
        <f>ISBLANK(WFTracker[[#This Row],[Completion Date]])</f>
        <v>0</v>
      </c>
      <c r="T715" s="12" t="str">
        <f>TEXT(WFTracker[[#This Row],[Start date]],"mmm-yyyy")</f>
        <v>Feb-2026</v>
      </c>
      <c r="U715" s="11">
        <v>10</v>
      </c>
      <c r="V715" s="11">
        <f>NETWORKDAYS.INTL(WFTracker[[#This Row],[Start date]],WFTracker[[#This Row],[Due date]],1,Holidays!D717:D732)</f>
        <v>6</v>
      </c>
      <c r="W7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15" s="24">
        <f ca="1">WFTracker[[#This Row],[Active Time]]-WFTracker[[#This Row],[Completion Days Template]]</f>
        <v>0</v>
      </c>
      <c r="Y715" s="16" t="str">
        <f ca="1" xml:space="preserve"> IF(WFTracker[[#This Row],[Overdue Time '[Expected-Completion']]]&gt;0, "LATE","ON TIME")</f>
        <v>ON TIME</v>
      </c>
      <c r="Z715" s="16" t="str">
        <f ca="1">IF(WFTracker[[#This Row],[Overdue Time '[Expected-Completion']]] &gt;= 15, "SUPER LATE", Y715)</f>
        <v>ON TIME</v>
      </c>
      <c r="AA715" s="37" t="str">
        <f>IF(WFTracker[[#This Row],[Pre RM Opening Time]]&lt;WFTracker[[#This Row],[Old vs New Order Lead Time WF dead line]], "LATE BY ENG", "ON TIME BY ENG")</f>
        <v>ON TIME BY ENG</v>
      </c>
      <c r="AB715" s="37"/>
      <c r="AC715" s="928" t="str" cm="1">
        <f t="array" ref="AC715">_xlfn.IFS(
    WFTracker[[#This Row],[Cancelation Cause]]&lt;&gt;"", "X",
    WFTracker[[#This Row],[Competion Date Content]] = FALSE, "C",
    TRUE, "I"
)</f>
        <v>C</v>
      </c>
      <c r="AD7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715" s="25" t="str">
        <f ca="1">IF(WFTracker[[#This Row],[Impact Time Post RM]]&gt;0, "IMPACTED", "NOT IMPACTED")</f>
        <v>NOT IMPACTED</v>
      </c>
      <c r="AF715" s="15"/>
      <c r="AG715" s="18"/>
      <c r="AH715" s="14" t="str">
        <f>IF(WFTracker[[#This Row],[Status]]="C", "Closed", IF(WFTracker[[#This Row],[Status]] = "x", "Cancelled", WFTracker[[#This Row],[Impact Time Post RM]]))</f>
        <v>Closed</v>
      </c>
      <c r="AI715" s="14" t="str">
        <f ca="1">IF(WFTracker[[#This Row],[Impact Time Post RM]]&lt;=0,"ON TIME","LATE")</f>
        <v>ON TIME</v>
      </c>
      <c r="AJ715" s="14" t="s">
        <v>984</v>
      </c>
      <c r="AK715" s="14">
        <v>18</v>
      </c>
      <c r="AL715" s="915">
        <f>IF(WFTracker[[#This Row],[Type]]="MAKE", WFTracker[[#This Row],[Due date]]+Filters!$J$111, WFTracker[[#This Row],[Due date]]+Filters!$J$135)</f>
        <v>46068.072512647552</v>
      </c>
      <c r="AM715" s="102" cm="1">
        <f t="array" ref="AM71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6" spans="1:39" ht="15" customHeight="1">
      <c r="A716" t="s">
        <v>1605</v>
      </c>
      <c r="B716" s="21" t="s">
        <v>826</v>
      </c>
      <c r="C716" s="26" t="s">
        <v>834</v>
      </c>
      <c r="D716" s="11" t="str">
        <f>WFTracker[[#This Row],[Order Number]]  &amp; "-" &amp; WFTracker[[#This Row],[Item]]</f>
        <v>0050384250-001260</v>
      </c>
      <c r="E716" s="23" t="s">
        <v>1027</v>
      </c>
      <c r="F716" s="12">
        <v>46087</v>
      </c>
      <c r="G716" s="12">
        <v>46080</v>
      </c>
      <c r="H716" s="11" t="s">
        <v>259</v>
      </c>
      <c r="I716" s="11" t="s">
        <v>264</v>
      </c>
      <c r="J716" s="55" t="s">
        <v>829</v>
      </c>
      <c r="K716" s="14" t="s">
        <v>1017</v>
      </c>
      <c r="L716" s="15" t="s">
        <v>27</v>
      </c>
      <c r="M716" s="29" t="s">
        <v>1120</v>
      </c>
      <c r="N716" s="57">
        <v>46209</v>
      </c>
      <c r="O716" s="15">
        <f>NETWORKDAYS.INTL(WFTracker[[#This Row],[Start date]],WFTracker[[#This Row],[RM]],1,Holidays!D720:D735)</f>
        <v>22</v>
      </c>
      <c r="P716" s="12">
        <v>46058</v>
      </c>
      <c r="Q716" s="12">
        <v>46066</v>
      </c>
      <c r="R716" s="12">
        <v>46071</v>
      </c>
      <c r="S716" s="12" t="b">
        <f>ISBLANK(WFTracker[[#This Row],[Completion Date]])</f>
        <v>0</v>
      </c>
      <c r="T716" s="12" t="str">
        <f>TEXT(WFTracker[[#This Row],[Start date]],"mmm-yyyy")</f>
        <v>Feb-2026</v>
      </c>
      <c r="U716" s="11">
        <v>10</v>
      </c>
      <c r="V716" s="11">
        <f>NETWORKDAYS.INTL(WFTracker[[#This Row],[Start date]],WFTracker[[#This Row],[Due date]],1,Holidays!D720:D735)</f>
        <v>7</v>
      </c>
      <c r="W7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716" s="24">
        <f ca="1">WFTracker[[#This Row],[Active Time]]-WFTracker[[#This Row],[Completion Days Template]]</f>
        <v>3</v>
      </c>
      <c r="Y716" s="16" t="str">
        <f ca="1" xml:space="preserve"> IF(WFTracker[[#This Row],[Overdue Time '[Expected-Completion']]]&gt;0, "LATE","ON TIME")</f>
        <v>LATE</v>
      </c>
      <c r="Z716" s="16" t="str">
        <f ca="1">IF(WFTracker[[#This Row],[Overdue Time '[Expected-Completion']]] &gt;= 15, "SUPER LATE", Y716)</f>
        <v>LATE</v>
      </c>
      <c r="AA716" s="37" t="str">
        <f>IF(WFTracker[[#This Row],[Pre RM Opening Time]]&lt;WFTracker[[#This Row],[Old vs New Order Lead Time WF dead line]], "LATE BY ENG", "ON TIME BY ENG")</f>
        <v>ON TIME BY ENG</v>
      </c>
      <c r="AB716" s="37"/>
      <c r="AC716" s="928" t="str" cm="1">
        <f t="array" ref="AC716">_xlfn.IFS(
    WFTracker[[#This Row],[Cancelation Cause]]&lt;&gt;"", "X",
    WFTracker[[#This Row],[Competion Date Content]] = FALSE, "C",
    TRUE, "I"
)</f>
        <v>C</v>
      </c>
      <c r="AD7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716" s="25" t="str">
        <f ca="1">IF(WFTracker[[#This Row],[Impact Time Post RM]]&gt;0, "IMPACTED", "NOT IMPACTED")</f>
        <v>NOT IMPACTED</v>
      </c>
      <c r="AF716" s="15"/>
      <c r="AG716" s="18"/>
      <c r="AH716" s="14" t="str">
        <f>IF(WFTracker[[#This Row],[Status]]="C", "Closed", IF(WFTracker[[#This Row],[Status]] = "x", "Cancelled", WFTracker[[#This Row],[Impact Time Post RM]]))</f>
        <v>Closed</v>
      </c>
      <c r="AI716" s="14" t="str">
        <f ca="1">IF(WFTracker[[#This Row],[Impact Time Post RM]]&lt;=0,"ON TIME","LATE")</f>
        <v>ON TIME</v>
      </c>
      <c r="AJ716" s="14" t="s">
        <v>984</v>
      </c>
      <c r="AK716" s="14">
        <v>18</v>
      </c>
      <c r="AL716" s="915">
        <f>IF(WFTracker[[#This Row],[Type]]="MAKE", WFTracker[[#This Row],[Due date]]+Filters!$J$111, WFTracker[[#This Row],[Due date]]+Filters!$J$135)</f>
        <v>46069.072512647552</v>
      </c>
      <c r="AM716" s="102" cm="1">
        <f t="array" ref="AM7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7" spans="1:39" ht="15" customHeight="1">
      <c r="A717" t="str">
        <f>IF(WFTracker[[#This Row],[Order Number]]="SWBD", "QED2", "PZ4")</f>
        <v>PZ4</v>
      </c>
      <c r="B717" s="21" t="s">
        <v>884</v>
      </c>
      <c r="C717" s="26" t="s">
        <v>135</v>
      </c>
      <c r="D717" s="11" t="str">
        <f>WFTracker[[#This Row],[Order Number]]  &amp; "-" &amp; WFTracker[[#This Row],[Item]]</f>
        <v>0051735870-000010</v>
      </c>
      <c r="E717" s="23" t="s">
        <v>885</v>
      </c>
      <c r="F717" s="12">
        <v>46111</v>
      </c>
      <c r="G717" s="12">
        <v>46098</v>
      </c>
      <c r="H717" s="11" t="s">
        <v>80</v>
      </c>
      <c r="I717" s="11" t="s">
        <v>429</v>
      </c>
      <c r="J717" s="55" t="s">
        <v>886</v>
      </c>
      <c r="K717" s="14" t="s">
        <v>1017</v>
      </c>
      <c r="L717" s="15" t="s">
        <v>27</v>
      </c>
      <c r="M717" s="29" t="s">
        <v>1120</v>
      </c>
      <c r="N717" s="57">
        <v>46241</v>
      </c>
      <c r="O717" s="15">
        <f>NETWORKDAYS.INTL(WFTracker[[#This Row],[Start date]],WFTracker[[#This Row],[RM]],1,Holidays!D799:D814)</f>
        <v>38</v>
      </c>
      <c r="P717" s="12">
        <v>46058</v>
      </c>
      <c r="Q717" s="12">
        <v>46079</v>
      </c>
      <c r="R717" s="12">
        <v>46092</v>
      </c>
      <c r="S717" s="12" t="b">
        <f>ISBLANK(WFTracker[[#This Row],[Completion Date]])</f>
        <v>0</v>
      </c>
      <c r="T717" s="12" t="str">
        <f>TEXT(WFTracker[[#This Row],[Start date]],"mmm-yyyy")</f>
        <v>Feb-2026</v>
      </c>
      <c r="U717" s="11">
        <v>10</v>
      </c>
      <c r="V717" s="11">
        <f>NETWORKDAYS.INTL(WFTracker[[#This Row],[Start date]],WFTracker[[#This Row],[Due date]],1,Holidays!D799:D814)</f>
        <v>16</v>
      </c>
      <c r="W7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25</v>
      </c>
      <c r="X717" s="24">
        <f ca="1">WFTracker[[#This Row],[Active Time]]-WFTracker[[#This Row],[Completion Days Template]]</f>
        <v>9</v>
      </c>
      <c r="Y717" s="16" t="str">
        <f ca="1" xml:space="preserve"> IF(WFTracker[[#This Row],[Overdue Time '[Expected-Completion']]]&gt;0, "LATE","ON TIME")</f>
        <v>LATE</v>
      </c>
      <c r="Z717" s="16" t="str">
        <f ca="1">IF(WFTracker[[#This Row],[Overdue Time '[Expected-Completion']]] &gt;= 15, "SUPER LATE", Y717)</f>
        <v>LATE</v>
      </c>
      <c r="AA717" s="37" t="str">
        <f>IF(WFTracker[[#This Row],[Pre RM Opening Time]]&lt;WFTracker[[#This Row],[Old vs New Order Lead Time WF dead line]], "LATE BY ENG", "ON TIME BY ENG")</f>
        <v>ON TIME BY ENG</v>
      </c>
      <c r="AB717" s="37"/>
      <c r="AC717" s="928" t="str" cm="1">
        <f t="array" ref="AC717">_xlfn.IFS(
    WFTracker[[#This Row],[Cancelation Cause]]&lt;&gt;"", "X",
    WFTracker[[#This Row],[Competion Date Content]] = FALSE, "C",
    TRUE, "I"
)</f>
        <v>C</v>
      </c>
      <c r="AD7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717" s="25" t="str">
        <f ca="1">IF(WFTracker[[#This Row],[Impact Time Post RM]]&gt;0, "IMPACTED", "NOT IMPACTED")</f>
        <v>NOT IMPACTED</v>
      </c>
      <c r="AF717" s="15"/>
      <c r="AG717" s="18"/>
      <c r="AH717" s="14" t="str">
        <f>IF(WFTracker[[#This Row],[Status]]="C", "Closed", IF(WFTracker[[#This Row],[Status]] = "x", "Cancelled", WFTracker[[#This Row],[Impact Time Post RM]]))</f>
        <v>Closed</v>
      </c>
      <c r="AI717" s="14" t="str">
        <f ca="1">IF(WFTracker[[#This Row],[Impact Time Post RM]]&lt;=0,"ON TIME","LATE")</f>
        <v>ON TIME</v>
      </c>
      <c r="AJ717" s="14" t="s">
        <v>984</v>
      </c>
      <c r="AK717" s="14">
        <v>18</v>
      </c>
      <c r="AL717" s="915">
        <f>IF(WFTracker[[#This Row],[Type]]="MAKE", WFTracker[[#This Row],[Due date]]+Filters!$J$111, WFTracker[[#This Row],[Due date]]+Filters!$J$135)</f>
        <v>46082.072512647552</v>
      </c>
      <c r="AM717" s="102" cm="1">
        <f t="array" ref="AM71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8" spans="1:39" ht="15" customHeight="1">
      <c r="A718" t="str">
        <f>IF(WFTracker[[#This Row],[Order Number]]="SWBD", "QED2", "PZ4")</f>
        <v>PZ4</v>
      </c>
      <c r="B718" s="21" t="s">
        <v>658</v>
      </c>
      <c r="C718" s="26" t="s">
        <v>135</v>
      </c>
      <c r="D718" s="11" t="str">
        <f>WFTracker[[#This Row],[Order Number]]  &amp; "-" &amp; WFTracker[[#This Row],[Item]]</f>
        <v>0051647770-000010</v>
      </c>
      <c r="E718" s="23" t="s">
        <v>1048</v>
      </c>
      <c r="F718" s="12">
        <v>46000</v>
      </c>
      <c r="G718" s="12">
        <v>45993</v>
      </c>
      <c r="H718" s="11" t="s">
        <v>104</v>
      </c>
      <c r="I718" s="11" t="s">
        <v>111</v>
      </c>
      <c r="J718" s="55" t="s">
        <v>1606</v>
      </c>
      <c r="K718" s="14" t="s">
        <v>1017</v>
      </c>
      <c r="L718" s="15" t="s">
        <v>27</v>
      </c>
      <c r="M718" s="29" t="s">
        <v>1120</v>
      </c>
      <c r="N718" s="57">
        <v>46062</v>
      </c>
      <c r="O718" s="15">
        <f>NETWORKDAYS.INTL(WFTracker[[#This Row],[Start date]],WFTracker[[#This Row],[RM]],1,Holidays!D721:D736)</f>
        <v>-44</v>
      </c>
      <c r="P718" s="12">
        <v>46059</v>
      </c>
      <c r="Q718" s="12">
        <v>46066</v>
      </c>
      <c r="R718" s="12">
        <v>46071</v>
      </c>
      <c r="S718" s="12" t="b">
        <f>ISBLANK(WFTracker[[#This Row],[Completion Date]])</f>
        <v>0</v>
      </c>
      <c r="T718" s="12" t="str">
        <f>TEXT(WFTracker[[#This Row],[Start date]],"mmm-yyyy")</f>
        <v>Feb-2026</v>
      </c>
      <c r="U718" s="11">
        <v>10</v>
      </c>
      <c r="V718" s="11">
        <f>NETWORKDAYS.INTL(WFTracker[[#This Row],[Start date]],WFTracker[[#This Row],[Due date]],1,Holidays!D721:D736)</f>
        <v>6</v>
      </c>
      <c r="W7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18" s="24">
        <f ca="1">WFTracker[[#This Row],[Active Time]]-WFTracker[[#This Row],[Completion Days Template]]</f>
        <v>3</v>
      </c>
      <c r="Y718" s="16" t="str">
        <f ca="1" xml:space="preserve"> IF(WFTracker[[#This Row],[Overdue Time '[Expected-Completion']]]&gt;0, "LATE","ON TIME")</f>
        <v>LATE</v>
      </c>
      <c r="Z718" s="16" t="str">
        <f ca="1">IF(WFTracker[[#This Row],[Overdue Time '[Expected-Completion']]] &gt;= 15, "SUPER LATE", Y718)</f>
        <v>LATE</v>
      </c>
      <c r="AA718" s="37" t="str">
        <f>IF(WFTracker[[#This Row],[Pre RM Opening Time]]&lt;WFTracker[[#This Row],[Old vs New Order Lead Time WF dead line]], "LATE BY ENG", "ON TIME BY ENG")</f>
        <v>LATE BY ENG</v>
      </c>
      <c r="AB718" s="37"/>
      <c r="AC718" s="928" t="str" cm="1">
        <f t="array" ref="AC718">_xlfn.IFS(
    WFTracker[[#This Row],[Cancelation Cause]]&lt;&gt;"", "X",
    WFTracker[[#This Row],[Competion Date Content]] = FALSE, "C",
    TRUE, "I"
)</f>
        <v>C</v>
      </c>
      <c r="AD7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48</v>
      </c>
      <c r="AE718" s="25" t="str">
        <f ca="1">IF(WFTracker[[#This Row],[Impact Time Post RM]]&gt;0, "IMPACTED", "NOT IMPACTED")</f>
        <v>IMPACTED</v>
      </c>
      <c r="AF718" s="15"/>
      <c r="AG718" s="18"/>
      <c r="AH718" s="14" t="str">
        <f>IF(WFTracker[[#This Row],[Status]]="C", "Closed", IF(WFTracker[[#This Row],[Status]] = "x", "Cancelled", WFTracker[[#This Row],[Impact Time Post RM]]))</f>
        <v>Closed</v>
      </c>
      <c r="AI718" s="14" t="str">
        <f ca="1">IF(WFTracker[[#This Row],[Impact Time Post RM]]&lt;=0,"ON TIME","LATE")</f>
        <v>LATE</v>
      </c>
      <c r="AJ718" s="14" t="s">
        <v>984</v>
      </c>
      <c r="AK718" s="14">
        <v>18</v>
      </c>
      <c r="AL718" s="915">
        <f>IF(WFTracker[[#This Row],[Type]]="MAKE", WFTracker[[#This Row],[Due date]]+Filters!$J$111, WFTracker[[#This Row],[Due date]]+Filters!$J$135)</f>
        <v>46069.072512647552</v>
      </c>
      <c r="AM718" s="102" cm="1">
        <f t="array" ref="AM71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19" spans="1:39" ht="15" customHeight="1">
      <c r="A719" t="str">
        <f>IF(WFTracker[[#This Row],[Order Number]]="SWBD", "QED2", "PZ4")</f>
        <v>PZ4</v>
      </c>
      <c r="B719" s="21" t="s">
        <v>837</v>
      </c>
      <c r="C719" s="26" t="s">
        <v>135</v>
      </c>
      <c r="D719" s="11" t="str">
        <f>WFTracker[[#This Row],[Order Number]]  &amp; "-" &amp; WFTracker[[#This Row],[Item]]</f>
        <v>0051791572-000010</v>
      </c>
      <c r="E719" s="23" t="s">
        <v>838</v>
      </c>
      <c r="F719" s="12">
        <v>46078</v>
      </c>
      <c r="G719" s="12">
        <v>46071</v>
      </c>
      <c r="H719" s="11" t="s">
        <v>676</v>
      </c>
      <c r="I719" s="11" t="s">
        <v>216</v>
      </c>
      <c r="J719" s="55" t="s">
        <v>839</v>
      </c>
      <c r="K719" s="14" t="s">
        <v>1017</v>
      </c>
      <c r="L719" s="15" t="s">
        <v>27</v>
      </c>
      <c r="M719" s="29" t="s">
        <v>1120</v>
      </c>
      <c r="N719" s="57">
        <v>46195</v>
      </c>
      <c r="O719" s="15">
        <f>NETWORKDAYS.INTL(WFTracker[[#This Row],[Start date]],WFTracker[[#This Row],[RM]],1,Holidays!D722:D737)</f>
        <v>13</v>
      </c>
      <c r="P719" s="12">
        <v>46060</v>
      </c>
      <c r="Q719" s="12">
        <v>46069</v>
      </c>
      <c r="R719" s="12">
        <v>46072</v>
      </c>
      <c r="S719" s="12" t="b">
        <f>ISBLANK(WFTracker[[#This Row],[Completion Date]])</f>
        <v>0</v>
      </c>
      <c r="T719" s="12" t="str">
        <f>TEXT(WFTracker[[#This Row],[Start date]],"mmm-yyyy")</f>
        <v>Feb-2026</v>
      </c>
      <c r="U719" s="11">
        <v>10</v>
      </c>
      <c r="V719" s="11">
        <f>NETWORKDAYS.INTL(WFTracker[[#This Row],[Start date]],WFTracker[[#This Row],[Due date]],1,Holidays!D722:D737)</f>
        <v>6</v>
      </c>
      <c r="W7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19" s="24">
        <f ca="1">WFTracker[[#This Row],[Active Time]]-WFTracker[[#This Row],[Completion Days Template]]</f>
        <v>3</v>
      </c>
      <c r="Y719" s="16" t="str">
        <f ca="1" xml:space="preserve"> IF(WFTracker[[#This Row],[Overdue Time '[Expected-Completion']]]&gt;0, "LATE","ON TIME")</f>
        <v>LATE</v>
      </c>
      <c r="Z719" s="16" t="str">
        <f ca="1">IF(WFTracker[[#This Row],[Overdue Time '[Expected-Completion']]] &gt;= 15, "SUPER LATE", Y719)</f>
        <v>LATE</v>
      </c>
      <c r="AA719" s="37" t="str">
        <f>IF(WFTracker[[#This Row],[Pre RM Opening Time]]&lt;WFTracker[[#This Row],[Old vs New Order Lead Time WF dead line]], "LATE BY ENG", "ON TIME BY ENG")</f>
        <v>ON TIME BY ENG</v>
      </c>
      <c r="AB719" s="37"/>
      <c r="AC719" s="928" t="str" cm="1">
        <f t="array" ref="AC719">_xlfn.IFS(
    WFTracker[[#This Row],[Cancelation Cause]]&lt;&gt;"", "X",
    WFTracker[[#This Row],[Competion Date Content]] = FALSE, "C",
    TRUE, "I"
)</f>
        <v>C</v>
      </c>
      <c r="AD7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719" s="25" t="str">
        <f ca="1">IF(WFTracker[[#This Row],[Impact Time Post RM]]&gt;0, "IMPACTED", "NOT IMPACTED")</f>
        <v>NOT IMPACTED</v>
      </c>
      <c r="AF719" s="15"/>
      <c r="AG719" s="18"/>
      <c r="AH719" s="14" t="str">
        <f>IF(WFTracker[[#This Row],[Status]]="C", "Closed", IF(WFTracker[[#This Row],[Status]] = "x", "Cancelled", WFTracker[[#This Row],[Impact Time Post RM]]))</f>
        <v>Closed</v>
      </c>
      <c r="AI719" s="14" t="str">
        <f ca="1">IF(WFTracker[[#This Row],[Impact Time Post RM]]&lt;=0,"ON TIME","LATE")</f>
        <v>ON TIME</v>
      </c>
      <c r="AJ719" s="14" t="s">
        <v>984</v>
      </c>
      <c r="AK719" s="14">
        <v>18</v>
      </c>
      <c r="AL719" s="915">
        <f>IF(WFTracker[[#This Row],[Type]]="MAKE", WFTracker[[#This Row],[Due date]]+Filters!$J$111, WFTracker[[#This Row],[Due date]]+Filters!$J$135)</f>
        <v>46072.072512647552</v>
      </c>
      <c r="AM719" s="102" cm="1">
        <f t="array" ref="AM7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0" spans="1:39" ht="15" customHeight="1">
      <c r="A720" t="str">
        <f>IF(WFTracker[[#This Row],[Order Number]]="SWBD", "QED2", "PZ4")</f>
        <v>PZ4</v>
      </c>
      <c r="B720" s="21" t="s">
        <v>826</v>
      </c>
      <c r="C720" s="26" t="s">
        <v>834</v>
      </c>
      <c r="D720" s="11" t="str">
        <f>WFTracker[[#This Row],[Order Number]]  &amp; "-" &amp; WFTracker[[#This Row],[Item]]</f>
        <v>0050384250-001260</v>
      </c>
      <c r="E720" s="23" t="s">
        <v>1027</v>
      </c>
      <c r="F720" s="12">
        <v>46087</v>
      </c>
      <c r="G720" s="12">
        <v>46080</v>
      </c>
      <c r="H720" s="11" t="s">
        <v>259</v>
      </c>
      <c r="I720" s="11" t="s">
        <v>264</v>
      </c>
      <c r="J720" s="55" t="s">
        <v>836</v>
      </c>
      <c r="K720" s="14" t="s">
        <v>1017</v>
      </c>
      <c r="L720" s="15" t="s">
        <v>40</v>
      </c>
      <c r="M720" s="29" t="s">
        <v>1120</v>
      </c>
      <c r="N720" s="57">
        <v>46209</v>
      </c>
      <c r="O720" s="15">
        <f>NETWORKDAYS.INTL(WFTracker[[#This Row],[Start date]],WFTracker[[#This Row],[RM]],1,Holidays!D723:D738)</f>
        <v>20</v>
      </c>
      <c r="P720" s="12">
        <v>46060</v>
      </c>
      <c r="Q720" s="12">
        <v>46072</v>
      </c>
      <c r="R720" s="12">
        <v>46070</v>
      </c>
      <c r="S720" s="12" t="b">
        <f>ISBLANK(WFTracker[[#This Row],[Completion Date]])</f>
        <v>0</v>
      </c>
      <c r="T720" s="12" t="str">
        <f>TEXT(WFTracker[[#This Row],[Start date]],"mmm-yyyy")</f>
        <v>Feb-2026</v>
      </c>
      <c r="U720" s="11">
        <v>10</v>
      </c>
      <c r="V720" s="11">
        <f>NETWORKDAYS.INTL(WFTracker[[#This Row],[Start date]],WFTracker[[#This Row],[Due date]],1,Holidays!D723:D738)</f>
        <v>9</v>
      </c>
      <c r="W7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20" s="24">
        <f ca="1">WFTracker[[#This Row],[Active Time]]-WFTracker[[#This Row],[Completion Days Template]]</f>
        <v>-2</v>
      </c>
      <c r="Y720" s="16" t="str">
        <f ca="1" xml:space="preserve"> IF(WFTracker[[#This Row],[Overdue Time '[Expected-Completion']]]&gt;0, "LATE","ON TIME")</f>
        <v>ON TIME</v>
      </c>
      <c r="Z720" s="16" t="str">
        <f ca="1">IF(WFTracker[[#This Row],[Overdue Time '[Expected-Completion']]] &gt;= 15, "SUPER LATE", Y720)</f>
        <v>ON TIME</v>
      </c>
      <c r="AA720" s="37" t="str">
        <f>IF(WFTracker[[#This Row],[Pre RM Opening Time]]&lt;WFTracker[[#This Row],[Old vs New Order Lead Time WF dead line]], "LATE BY ENG", "ON TIME BY ENG")</f>
        <v>ON TIME BY ENG</v>
      </c>
      <c r="AB720" s="37"/>
      <c r="AC720" s="928" t="str" cm="1">
        <f t="array" ref="AC720">_xlfn.IFS(
    WFTracker[[#This Row],[Cancelation Cause]]&lt;&gt;"", "X",
    WFTracker[[#This Row],[Competion Date Content]] = FALSE, "C",
    TRUE, "I"
)</f>
        <v>C</v>
      </c>
      <c r="AD7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-14</v>
      </c>
      <c r="AE720" s="25" t="str">
        <f ca="1">IF(WFTracker[[#This Row],[Impact Time Post RM]]&gt;0, "IMPACTED", "NOT IMPACTED")</f>
        <v>NOT IMPACTED</v>
      </c>
      <c r="AF720" s="15"/>
      <c r="AG720" s="18"/>
      <c r="AH720" s="14" t="str">
        <f>IF(WFTracker[[#This Row],[Status]]="C", "Closed", IF(WFTracker[[#This Row],[Status]] = "x", "Cancelled", WFTracker[[#This Row],[Impact Time Post RM]]))</f>
        <v>Closed</v>
      </c>
      <c r="AI720" s="14" t="str">
        <f ca="1">IF(WFTracker[[#This Row],[Impact Time Post RM]]&lt;=0,"ON TIME","LATE")</f>
        <v>ON TIME</v>
      </c>
      <c r="AJ720" s="14" t="s">
        <v>984</v>
      </c>
      <c r="AK720" s="14">
        <v>17</v>
      </c>
      <c r="AL720" s="915">
        <f>IF(WFTracker[[#This Row],[Type]]="MAKE", WFTracker[[#This Row],[Due date]]+Filters!$J$111, WFTracker[[#This Row],[Due date]]+Filters!$J$135)</f>
        <v>46072.415686274508</v>
      </c>
      <c r="AM720" s="102" cm="1">
        <f t="array" ref="AM72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1" spans="1:39" ht="15" customHeight="1">
      <c r="A721" t="str">
        <f>IF(WFTracker[[#This Row],[Order Number]]="SWBD", "QED2", "PZ4")</f>
        <v>PZ4</v>
      </c>
      <c r="B721" s="21" t="s">
        <v>826</v>
      </c>
      <c r="C721" s="26" t="s">
        <v>834</v>
      </c>
      <c r="D721" s="11" t="str">
        <f>WFTracker[[#This Row],[Order Number]]  &amp; "-" &amp; WFTracker[[#This Row],[Item]]</f>
        <v>0050384250-001260</v>
      </c>
      <c r="E721" s="23" t="s">
        <v>1027</v>
      </c>
      <c r="F721" s="12">
        <v>46087</v>
      </c>
      <c r="G721" s="12">
        <v>46080</v>
      </c>
      <c r="H721" s="11" t="s">
        <v>259</v>
      </c>
      <c r="I721" s="11" t="s">
        <v>264</v>
      </c>
      <c r="J721" s="55" t="s">
        <v>835</v>
      </c>
      <c r="K721" s="14" t="s">
        <v>1017</v>
      </c>
      <c r="L721" s="15" t="s">
        <v>27</v>
      </c>
      <c r="M721" s="29" t="s">
        <v>1120</v>
      </c>
      <c r="N721" s="57">
        <v>46209</v>
      </c>
      <c r="O721" s="15">
        <f>NETWORKDAYS.INTL(WFTracker[[#This Row],[Start date]],WFTracker[[#This Row],[RM]],1,Holidays!D724:D739)</f>
        <v>20</v>
      </c>
      <c r="P721" s="12">
        <v>46060</v>
      </c>
      <c r="Q721" s="12">
        <v>46069</v>
      </c>
      <c r="R721" s="12">
        <v>46072</v>
      </c>
      <c r="S721" s="12" t="b">
        <f>ISBLANK(WFTracker[[#This Row],[Completion Date]])</f>
        <v>0</v>
      </c>
      <c r="T721" s="12" t="str">
        <f>TEXT(WFTracker[[#This Row],[Start date]],"mmm-yyyy")</f>
        <v>Feb-2026</v>
      </c>
      <c r="U721" s="11">
        <v>10</v>
      </c>
      <c r="V721" s="11">
        <f>NETWORKDAYS.INTL(WFTracker[[#This Row],[Start date]],WFTracker[[#This Row],[Due date]],1,Holidays!D724:D739)</f>
        <v>6</v>
      </c>
      <c r="W7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21" s="24">
        <f ca="1">WFTracker[[#This Row],[Active Time]]-WFTracker[[#This Row],[Completion Days Template]]</f>
        <v>3</v>
      </c>
      <c r="Y721" s="16" t="str">
        <f ca="1" xml:space="preserve"> IF(WFTracker[[#This Row],[Overdue Time '[Expected-Completion']]]&gt;0, "LATE","ON TIME")</f>
        <v>LATE</v>
      </c>
      <c r="Z721" s="16" t="str">
        <f ca="1">IF(WFTracker[[#This Row],[Overdue Time '[Expected-Completion']]] &gt;= 15, "SUPER LATE", Y721)</f>
        <v>LATE</v>
      </c>
      <c r="AA721" s="37" t="str">
        <f>IF(WFTracker[[#This Row],[Pre RM Opening Time]]&lt;WFTracker[[#This Row],[Old vs New Order Lead Time WF dead line]], "LATE BY ENG", "ON TIME BY ENG")</f>
        <v>ON TIME BY ENG</v>
      </c>
      <c r="AB721" s="37"/>
      <c r="AC721" s="928" t="str" cm="1">
        <f t="array" ref="AC721">_xlfn.IFS(
    WFTracker[[#This Row],[Cancelation Cause]]&lt;&gt;"", "X",
    WFTracker[[#This Row],[Competion Date Content]] = FALSE, "C",
    TRUE, "I"
)</f>
        <v>C</v>
      </c>
      <c r="AD7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721" s="25" t="str">
        <f ca="1">IF(WFTracker[[#This Row],[Impact Time Post RM]]&gt;0, "IMPACTED", "NOT IMPACTED")</f>
        <v>NOT IMPACTED</v>
      </c>
      <c r="AF721" s="15"/>
      <c r="AG721" s="18"/>
      <c r="AH721" s="14" t="str">
        <f>IF(WFTracker[[#This Row],[Status]]="C", "Closed", IF(WFTracker[[#This Row],[Status]] = "x", "Cancelled", WFTracker[[#This Row],[Impact Time Post RM]]))</f>
        <v>Closed</v>
      </c>
      <c r="AI721" s="14" t="str">
        <f ca="1">IF(WFTracker[[#This Row],[Impact Time Post RM]]&lt;=0,"ON TIME","LATE")</f>
        <v>ON TIME</v>
      </c>
      <c r="AJ721" s="14" t="s">
        <v>984</v>
      </c>
      <c r="AK721" s="14">
        <v>18</v>
      </c>
      <c r="AL721" s="915">
        <f>IF(WFTracker[[#This Row],[Type]]="MAKE", WFTracker[[#This Row],[Due date]]+Filters!$J$111, WFTracker[[#This Row],[Due date]]+Filters!$J$135)</f>
        <v>46072.072512647552</v>
      </c>
      <c r="AM721" s="102" cm="1">
        <f t="array" ref="AM7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2" spans="1:39" ht="15" customHeight="1">
      <c r="A722" t="str">
        <f>IF(WFTracker[[#This Row],[Order Number]]="SWBD", "QED2", "PZ4")</f>
        <v>PZ4</v>
      </c>
      <c r="B722" s="21" t="s">
        <v>843</v>
      </c>
      <c r="C722" s="26" t="s">
        <v>844</v>
      </c>
      <c r="D722" s="11" t="str">
        <f>WFTracker[[#This Row],[Order Number]]  &amp; "-" &amp; WFTracker[[#This Row],[Item]]</f>
        <v>0051212323-010200</v>
      </c>
      <c r="E722" s="23" t="s">
        <v>1062</v>
      </c>
      <c r="F722" s="12">
        <v>46083</v>
      </c>
      <c r="G722" s="12">
        <v>46076</v>
      </c>
      <c r="H722" s="11" t="s">
        <v>846</v>
      </c>
      <c r="I722" s="11" t="s">
        <v>24</v>
      </c>
      <c r="J722" s="55" t="s">
        <v>847</v>
      </c>
      <c r="K722" s="14" t="s">
        <v>1017</v>
      </c>
      <c r="L722" s="15" t="s">
        <v>27</v>
      </c>
      <c r="M722" s="29" t="s">
        <v>1120</v>
      </c>
      <c r="N722" s="57">
        <v>46230</v>
      </c>
      <c r="O722" s="15">
        <f>NETWORKDAYS.INTL(WFTracker[[#This Row],[Start date]],WFTracker[[#This Row],[RM]],1,Holidays!D725:D740)</f>
        <v>16</v>
      </c>
      <c r="P722" s="12">
        <v>46062</v>
      </c>
      <c r="Q722" s="12">
        <v>46069</v>
      </c>
      <c r="R722" s="12">
        <v>46067</v>
      </c>
      <c r="S722" s="12" t="b">
        <f>ISBLANK(WFTracker[[#This Row],[Completion Date]])</f>
        <v>0</v>
      </c>
      <c r="T722" s="12" t="str">
        <f>TEXT(WFTracker[[#This Row],[Start date]],"mmm-yyyy")</f>
        <v>Feb-2026</v>
      </c>
      <c r="U722" s="11">
        <v>10</v>
      </c>
      <c r="V722" s="11">
        <f>NETWORKDAYS.INTL(WFTracker[[#This Row],[Start date]],WFTracker[[#This Row],[Due date]],1,Holidays!D725:D740)</f>
        <v>6</v>
      </c>
      <c r="W7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22" s="24">
        <f ca="1">WFTracker[[#This Row],[Active Time]]-WFTracker[[#This Row],[Completion Days Template]]</f>
        <v>-1</v>
      </c>
      <c r="Y722" s="16" t="str">
        <f ca="1" xml:space="preserve"> IF(WFTracker[[#This Row],[Overdue Time '[Expected-Completion']]]&gt;0, "LATE","ON TIME")</f>
        <v>ON TIME</v>
      </c>
      <c r="Z722" s="16" t="str">
        <f ca="1">IF(WFTracker[[#This Row],[Overdue Time '[Expected-Completion']]] &gt;= 15, "SUPER LATE", Y722)</f>
        <v>ON TIME</v>
      </c>
      <c r="AA722" s="37" t="str">
        <f>IF(WFTracker[[#This Row],[Pre RM Opening Time]]&lt;WFTracker[[#This Row],[Old vs New Order Lead Time WF dead line]], "LATE BY ENG", "ON TIME BY ENG")</f>
        <v>ON TIME BY ENG</v>
      </c>
      <c r="AB722" s="37"/>
      <c r="AC722" s="928" t="str" cm="1">
        <f t="array" ref="AC722">_xlfn.IFS(
    WFTracker[[#This Row],[Cancelation Cause]]&lt;&gt;"", "X",
    WFTracker[[#This Row],[Competion Date Content]] = FALSE, "C",
    TRUE, "I"
)</f>
        <v>C</v>
      </c>
      <c r="AD7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722" s="25" t="str">
        <f ca="1">IF(WFTracker[[#This Row],[Impact Time Post RM]]&gt;0, "IMPACTED", "NOT IMPACTED")</f>
        <v>NOT IMPACTED</v>
      </c>
      <c r="AF722" s="15"/>
      <c r="AG722" s="18"/>
      <c r="AH722" s="14" t="str">
        <f>IF(WFTracker[[#This Row],[Status]]="C", "Closed", IF(WFTracker[[#This Row],[Status]] = "x", "Cancelled", WFTracker[[#This Row],[Impact Time Post RM]]))</f>
        <v>Closed</v>
      </c>
      <c r="AI722" s="14" t="str">
        <f ca="1">IF(WFTracker[[#This Row],[Impact Time Post RM]]&lt;=0,"ON TIME","LATE")</f>
        <v>ON TIME</v>
      </c>
      <c r="AJ722" s="14" t="s">
        <v>984</v>
      </c>
      <c r="AK722" s="14">
        <v>18</v>
      </c>
      <c r="AL722" s="915">
        <f>IF(WFTracker[[#This Row],[Type]]="MAKE", WFTracker[[#This Row],[Due date]]+Filters!$J$111, WFTracker[[#This Row],[Due date]]+Filters!$J$135)</f>
        <v>46072.072512647552</v>
      </c>
      <c r="AM722" s="102" cm="1">
        <f t="array" ref="AM7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3" spans="1:39" ht="15" customHeight="1">
      <c r="A723" t="str">
        <f>IF(WFTracker[[#This Row],[Order Number]]="SWBD", "QED2", "PZ4")</f>
        <v>PZ4</v>
      </c>
      <c r="B723" s="21" t="s">
        <v>826</v>
      </c>
      <c r="C723" s="26" t="s">
        <v>841</v>
      </c>
      <c r="D723" s="11" t="str">
        <f>WFTracker[[#This Row],[Order Number]]  &amp; "-" &amp; WFTracker[[#This Row],[Item]]</f>
        <v>0050384250-001240</v>
      </c>
      <c r="E723" s="23" t="s">
        <v>1027</v>
      </c>
      <c r="F723" s="12">
        <v>46087</v>
      </c>
      <c r="G723" s="12">
        <v>46080</v>
      </c>
      <c r="H723" s="11" t="s">
        <v>237</v>
      </c>
      <c r="I723" s="11" t="s">
        <v>37</v>
      </c>
      <c r="J723" s="55" t="s">
        <v>842</v>
      </c>
      <c r="K723" s="14" t="s">
        <v>1017</v>
      </c>
      <c r="L723" s="15" t="s">
        <v>27</v>
      </c>
      <c r="M723" s="29" t="s">
        <v>1120</v>
      </c>
      <c r="N723" s="57">
        <v>46218</v>
      </c>
      <c r="O723" s="15">
        <f>NETWORKDAYS.INTL(WFTracker[[#This Row],[Start date]],WFTracker[[#This Row],[RM]],1,Holidays!D726:D741)</f>
        <v>20</v>
      </c>
      <c r="P723" s="12">
        <v>46062</v>
      </c>
      <c r="Q723" s="12">
        <v>46069</v>
      </c>
      <c r="R723" s="12">
        <v>46067</v>
      </c>
      <c r="S723" s="12" t="b">
        <f>ISBLANK(WFTracker[[#This Row],[Completion Date]])</f>
        <v>0</v>
      </c>
      <c r="T723" s="12" t="str">
        <f>TEXT(WFTracker[[#This Row],[Start date]],"mmm-yyyy")</f>
        <v>Feb-2026</v>
      </c>
      <c r="U723" s="11">
        <v>10</v>
      </c>
      <c r="V723" s="11">
        <f>NETWORKDAYS.INTL(WFTracker[[#This Row],[Start date]],WFTracker[[#This Row],[Due date]],1,Holidays!D726:D741)</f>
        <v>6</v>
      </c>
      <c r="W7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23" s="24">
        <f ca="1">WFTracker[[#This Row],[Active Time]]-WFTracker[[#This Row],[Completion Days Template]]</f>
        <v>-1</v>
      </c>
      <c r="Y723" s="16" t="str">
        <f ca="1" xml:space="preserve"> IF(WFTracker[[#This Row],[Overdue Time '[Expected-Completion']]]&gt;0, "LATE","ON TIME")</f>
        <v>ON TIME</v>
      </c>
      <c r="Z723" s="16" t="str">
        <f ca="1">IF(WFTracker[[#This Row],[Overdue Time '[Expected-Completion']]] &gt;= 15, "SUPER LATE", Y723)</f>
        <v>ON TIME</v>
      </c>
      <c r="AA723" s="37" t="str">
        <f>IF(WFTracker[[#This Row],[Pre RM Opening Time]]&lt;WFTracker[[#This Row],[Old vs New Order Lead Time WF dead line]], "LATE BY ENG", "ON TIME BY ENG")</f>
        <v>ON TIME BY ENG</v>
      </c>
      <c r="AB723" s="37"/>
      <c r="AC723" s="928" t="str" cm="1">
        <f t="array" ref="AC723">_xlfn.IFS(
    WFTracker[[#This Row],[Cancelation Cause]]&lt;&gt;"", "X",
    WFTracker[[#This Row],[Competion Date Content]] = FALSE, "C",
    TRUE, "I"
)</f>
        <v>C</v>
      </c>
      <c r="AD7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-15</v>
      </c>
      <c r="AE723" s="25" t="str">
        <f ca="1">IF(WFTracker[[#This Row],[Impact Time Post RM]]&gt;0, "IMPACTED", "NOT IMPACTED")</f>
        <v>NOT IMPACTED</v>
      </c>
      <c r="AF723" s="15"/>
      <c r="AG723" s="18"/>
      <c r="AH723" s="14" t="str">
        <f>IF(WFTracker[[#This Row],[Status]]="C", "Closed", IF(WFTracker[[#This Row],[Status]] = "x", "Cancelled", WFTracker[[#This Row],[Impact Time Post RM]]))</f>
        <v>Closed</v>
      </c>
      <c r="AI723" s="14" t="str">
        <f ca="1">IF(WFTracker[[#This Row],[Impact Time Post RM]]&lt;=0,"ON TIME","LATE")</f>
        <v>ON TIME</v>
      </c>
      <c r="AJ723" s="14" t="s">
        <v>984</v>
      </c>
      <c r="AK723" s="14">
        <v>18</v>
      </c>
      <c r="AL723" s="915">
        <f>IF(WFTracker[[#This Row],[Type]]="MAKE", WFTracker[[#This Row],[Due date]]+Filters!$J$111, WFTracker[[#This Row],[Due date]]+Filters!$J$135)</f>
        <v>46072.072512647552</v>
      </c>
      <c r="AM723" s="102" cm="1">
        <f t="array" ref="AM72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4" spans="1:39" ht="15" customHeight="1">
      <c r="A724" t="str">
        <f>IF(WFTracker[[#This Row],[Order Number]]="SWBD", "QED2", "PZ4")</f>
        <v>PZ4</v>
      </c>
      <c r="B724" s="21" t="s">
        <v>856</v>
      </c>
      <c r="C724" s="26" t="s">
        <v>165</v>
      </c>
      <c r="D724" s="11" t="str">
        <f>WFTracker[[#This Row],[Order Number]]  &amp; "-" &amp; WFTracker[[#This Row],[Item]]</f>
        <v>0051842216-000030</v>
      </c>
      <c r="E724" s="23" t="s">
        <v>1063</v>
      </c>
      <c r="F724" s="12">
        <v>46087</v>
      </c>
      <c r="G724" s="12">
        <v>46080</v>
      </c>
      <c r="H724" s="11" t="s">
        <v>252</v>
      </c>
      <c r="I724" s="11" t="s">
        <v>216</v>
      </c>
      <c r="J724" s="55" t="s">
        <v>1607</v>
      </c>
      <c r="K724" s="14" t="s">
        <v>1023</v>
      </c>
      <c r="L724" s="15" t="s">
        <v>27</v>
      </c>
      <c r="M724" s="29" t="s">
        <v>1120</v>
      </c>
      <c r="N724" s="57">
        <v>46198</v>
      </c>
      <c r="O724" s="15">
        <f>NETWORKDAYS.INTL(WFTracker[[#This Row],[Start date]],WFTracker[[#This Row],[RM]],1,Holidays!D727:D742)</f>
        <v>20</v>
      </c>
      <c r="P724" s="12">
        <v>46062</v>
      </c>
      <c r="Q724" s="12">
        <v>46069</v>
      </c>
      <c r="R724" s="12">
        <v>46072</v>
      </c>
      <c r="S724" s="12" t="b">
        <f>ISBLANK(WFTracker[[#This Row],[Completion Date]])</f>
        <v>0</v>
      </c>
      <c r="T724" s="12" t="str">
        <f>TEXT(WFTracker[[#This Row],[Start date]],"mmm-yyyy")</f>
        <v>Feb-2026</v>
      </c>
      <c r="U724" s="11">
        <v>10</v>
      </c>
      <c r="V724" s="11">
        <f>NETWORKDAYS.INTL(WFTracker[[#This Row],[Start date]],WFTracker[[#This Row],[Due date]],1,Holidays!D727:D742)</f>
        <v>6</v>
      </c>
      <c r="W7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24" s="24">
        <f ca="1">WFTracker[[#This Row],[Active Time]]-WFTracker[[#This Row],[Completion Days Template]]</f>
        <v>3</v>
      </c>
      <c r="Y724" s="16" t="str">
        <f ca="1" xml:space="preserve"> IF(WFTracker[[#This Row],[Overdue Time '[Expected-Completion']]]&gt;0, "LATE","ON TIME")</f>
        <v>LATE</v>
      </c>
      <c r="Z724" s="16" t="str">
        <f ca="1">IF(WFTracker[[#This Row],[Overdue Time '[Expected-Completion']]] &gt;= 15, "SUPER LATE", Y724)</f>
        <v>LATE</v>
      </c>
      <c r="AA724" s="37" t="str">
        <f>IF(WFTracker[[#This Row],[Pre RM Opening Time]]&lt;WFTracker[[#This Row],[Old vs New Order Lead Time WF dead line]], "LATE BY ENG", "ON TIME BY ENG")</f>
        <v>ON TIME BY ENG</v>
      </c>
      <c r="AB724" s="37"/>
      <c r="AC724" s="928" t="str" cm="1">
        <f t="array" ref="AC724">_xlfn.IFS(
    WFTracker[[#This Row],[Cancelation Cause]]&lt;&gt;"", "X",
    WFTracker[[#This Row],[Competion Date Content]] = FALSE, "C",
    TRUE, "I"
)</f>
        <v>C</v>
      </c>
      <c r="AD7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724" s="25" t="str">
        <f ca="1">IF(WFTracker[[#This Row],[Impact Time Post RM]]&gt;0, "IMPACTED", "NOT IMPACTED")</f>
        <v>NOT IMPACTED</v>
      </c>
      <c r="AF724" s="15"/>
      <c r="AG724" s="18"/>
      <c r="AH724" s="14" t="str">
        <f>IF(WFTracker[[#This Row],[Status]]="C", "Closed", IF(WFTracker[[#This Row],[Status]] = "x", "Cancelled", WFTracker[[#This Row],[Impact Time Post RM]]))</f>
        <v>Closed</v>
      </c>
      <c r="AI724" s="14" t="str">
        <f ca="1">IF(WFTracker[[#This Row],[Impact Time Post RM]]&lt;=0,"ON TIME","LATE")</f>
        <v>ON TIME</v>
      </c>
      <c r="AJ724" s="14" t="s">
        <v>984</v>
      </c>
      <c r="AK724" s="14">
        <v>18</v>
      </c>
      <c r="AL724" s="915">
        <f>IF(WFTracker[[#This Row],[Type]]="MAKE", WFTracker[[#This Row],[Due date]]+Filters!$J$111, WFTracker[[#This Row],[Due date]]+Filters!$J$135)</f>
        <v>46072.072512647552</v>
      </c>
      <c r="AM724" s="102" cm="1">
        <f t="array" ref="AM7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5" spans="1:39" ht="15" customHeight="1">
      <c r="A725" t="str">
        <f>IF(WFTracker[[#This Row],[Order Number]]="SWBD", "QED2", "PZ4")</f>
        <v>PZ4</v>
      </c>
      <c r="B725" s="21" t="s">
        <v>843</v>
      </c>
      <c r="C725" s="26" t="s">
        <v>849</v>
      </c>
      <c r="D725" s="11" t="str">
        <f>WFTracker[[#This Row],[Order Number]]  &amp; "-" &amp; WFTracker[[#This Row],[Item]]</f>
        <v>0051212323-010170</v>
      </c>
      <c r="E725" s="23" t="s">
        <v>1062</v>
      </c>
      <c r="F725" s="12">
        <v>46083</v>
      </c>
      <c r="G725" s="12">
        <v>46076</v>
      </c>
      <c r="H725" s="11" t="s">
        <v>846</v>
      </c>
      <c r="I725" s="11" t="s">
        <v>264</v>
      </c>
      <c r="J725" s="55" t="s">
        <v>850</v>
      </c>
      <c r="K725" s="14" t="s">
        <v>1017</v>
      </c>
      <c r="L725" s="15" t="s">
        <v>27</v>
      </c>
      <c r="M725" s="29" t="s">
        <v>1120</v>
      </c>
      <c r="N725" s="57">
        <v>46231</v>
      </c>
      <c r="O725" s="15">
        <f>NETWORKDAYS.INTL(WFTracker[[#This Row],[Start date]],WFTracker[[#This Row],[RM]],1,Holidays!D728:D743)</f>
        <v>16</v>
      </c>
      <c r="P725" s="12">
        <v>46062</v>
      </c>
      <c r="Q725" s="12">
        <v>46070</v>
      </c>
      <c r="R725" s="12">
        <v>46070</v>
      </c>
      <c r="S725" s="12" t="b">
        <f>ISBLANK(WFTracker[[#This Row],[Completion Date]])</f>
        <v>0</v>
      </c>
      <c r="T725" s="12" t="str">
        <f>TEXT(WFTracker[[#This Row],[Start date]],"mmm-yyyy")</f>
        <v>Feb-2026</v>
      </c>
      <c r="U725" s="11">
        <v>10</v>
      </c>
      <c r="V725" s="11">
        <f>NETWORKDAYS.INTL(WFTracker[[#This Row],[Start date]],WFTracker[[#This Row],[Due date]],1,Holidays!D728:D743)</f>
        <v>7</v>
      </c>
      <c r="W7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25" s="24">
        <f ca="1">WFTracker[[#This Row],[Active Time]]-WFTracker[[#This Row],[Completion Days Template]]</f>
        <v>0</v>
      </c>
      <c r="Y725" s="16" t="str">
        <f ca="1" xml:space="preserve"> IF(WFTracker[[#This Row],[Overdue Time '[Expected-Completion']]]&gt;0, "LATE","ON TIME")</f>
        <v>ON TIME</v>
      </c>
      <c r="Z725" s="16" t="str">
        <f ca="1">IF(WFTracker[[#This Row],[Overdue Time '[Expected-Completion']]] &gt;= 15, "SUPER LATE", Y725)</f>
        <v>ON TIME</v>
      </c>
      <c r="AA725" s="37" t="str">
        <f>IF(WFTracker[[#This Row],[Pre RM Opening Time]]&lt;WFTracker[[#This Row],[Old vs New Order Lead Time WF dead line]], "LATE BY ENG", "ON TIME BY ENG")</f>
        <v>ON TIME BY ENG</v>
      </c>
      <c r="AB725" s="37"/>
      <c r="AC725" s="928" t="str" cm="1">
        <f t="array" ref="AC725">_xlfn.IFS(
    WFTracker[[#This Row],[Cancelation Cause]]&lt;&gt;"", "X",
    WFTracker[[#This Row],[Competion Date Content]] = FALSE, "C",
    TRUE, "I"
)</f>
        <v>C</v>
      </c>
      <c r="AD7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725" s="25" t="str">
        <f ca="1">IF(WFTracker[[#This Row],[Impact Time Post RM]]&gt;0, "IMPACTED", "NOT IMPACTED")</f>
        <v>NOT IMPACTED</v>
      </c>
      <c r="AF725" s="15"/>
      <c r="AG725" s="18"/>
      <c r="AH725" s="14" t="str">
        <f>IF(WFTracker[[#This Row],[Status]]="C", "Closed", IF(WFTracker[[#This Row],[Status]] = "x", "Cancelled", WFTracker[[#This Row],[Impact Time Post RM]]))</f>
        <v>Closed</v>
      </c>
      <c r="AI725" s="14" t="str">
        <f ca="1">IF(WFTracker[[#This Row],[Impact Time Post RM]]&lt;=0,"ON TIME","LATE")</f>
        <v>ON TIME</v>
      </c>
      <c r="AJ725" s="14" t="s">
        <v>984</v>
      </c>
      <c r="AK725" s="14">
        <v>18</v>
      </c>
      <c r="AL725" s="915">
        <f>IF(WFTracker[[#This Row],[Type]]="MAKE", WFTracker[[#This Row],[Due date]]+Filters!$J$111, WFTracker[[#This Row],[Due date]]+Filters!$J$135)</f>
        <v>46073.072512647552</v>
      </c>
      <c r="AM725" s="102" cm="1">
        <f t="array" ref="AM7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6" spans="1:39" ht="15" customHeight="1">
      <c r="A726" t="str">
        <f>IF(WFTracker[[#This Row],[Order Number]]="SWBD", "QED2", "PZ4")</f>
        <v>PZ4</v>
      </c>
      <c r="B726" s="21" t="s">
        <v>782</v>
      </c>
      <c r="C726" s="26" t="s">
        <v>783</v>
      </c>
      <c r="D726" s="11" t="str">
        <f>WFTracker[[#This Row],[Order Number]]  &amp; "-" &amp; WFTracker[[#This Row],[Item]]</f>
        <v>0051008484-000500</v>
      </c>
      <c r="E726" s="23" t="s">
        <v>784</v>
      </c>
      <c r="F726" s="12">
        <v>46066</v>
      </c>
      <c r="G726" s="12">
        <v>46059</v>
      </c>
      <c r="H726" s="11" t="s">
        <v>113</v>
      </c>
      <c r="I726" s="11" t="s">
        <v>429</v>
      </c>
      <c r="J726" s="55" t="s">
        <v>840</v>
      </c>
      <c r="K726" s="14" t="s">
        <v>1017</v>
      </c>
      <c r="L726" s="15" t="s">
        <v>27</v>
      </c>
      <c r="M726" s="29" t="s">
        <v>1120</v>
      </c>
      <c r="N726" s="57">
        <v>46149</v>
      </c>
      <c r="O726" s="15">
        <f>NETWORKDAYS.INTL(WFTracker[[#This Row],[Start date]],WFTracker[[#This Row],[RM]],1,Holidays!D730:D745)</f>
        <v>5</v>
      </c>
      <c r="P726" s="12">
        <v>46062</v>
      </c>
      <c r="Q726" s="12">
        <v>46071</v>
      </c>
      <c r="R726" s="12">
        <v>46067</v>
      </c>
      <c r="S726" s="12" t="b">
        <f>ISBLANK(WFTracker[[#This Row],[Completion Date]])</f>
        <v>0</v>
      </c>
      <c r="T726" s="12" t="str">
        <f>TEXT(WFTracker[[#This Row],[Start date]],"mmm-yyyy")</f>
        <v>Feb-2026</v>
      </c>
      <c r="U726" s="11">
        <v>10</v>
      </c>
      <c r="V726" s="11">
        <f>NETWORKDAYS.INTL(WFTracker[[#This Row],[Start date]],WFTracker[[#This Row],[Due date]],1,Holidays!D730:D745)</f>
        <v>8</v>
      </c>
      <c r="W7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26" s="24">
        <f ca="1">WFTracker[[#This Row],[Active Time]]-WFTracker[[#This Row],[Completion Days Template]]</f>
        <v>-3</v>
      </c>
      <c r="Y726" s="16" t="str">
        <f ca="1" xml:space="preserve"> IF(WFTracker[[#This Row],[Overdue Time '[Expected-Completion']]]&gt;0, "LATE","ON TIME")</f>
        <v>ON TIME</v>
      </c>
      <c r="Z726" s="16" t="str">
        <f ca="1">IF(WFTracker[[#This Row],[Overdue Time '[Expected-Completion']]] &gt;= 15, "SUPER LATE", Y726)</f>
        <v>ON TIME</v>
      </c>
      <c r="AA726" s="37" t="str">
        <f>IF(WFTracker[[#This Row],[Pre RM Opening Time]]&lt;WFTracker[[#This Row],[Old vs New Order Lead Time WF dead line]], "LATE BY ENG", "ON TIME BY ENG")</f>
        <v>LATE BY ENG</v>
      </c>
      <c r="AB726" s="37"/>
      <c r="AC726" s="928" t="str" cm="1">
        <f t="array" ref="AC726">_xlfn.IFS(
    WFTracker[[#This Row],[Cancelation Cause]]&lt;&gt;"", "X",
    WFTracker[[#This Row],[Competion Date Content]] = FALSE, "C",
    TRUE, "I"
)</f>
        <v>C</v>
      </c>
      <c r="AD7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726" s="25" t="str">
        <f ca="1">IF(WFTracker[[#This Row],[Impact Time Post RM]]&gt;0, "IMPACTED", "NOT IMPACTED")</f>
        <v>IMPACTED</v>
      </c>
      <c r="AF726" s="15"/>
      <c r="AG726" s="18"/>
      <c r="AH726" s="14" t="str">
        <f>IF(WFTracker[[#This Row],[Status]]="C", "Closed", IF(WFTracker[[#This Row],[Status]] = "x", "Cancelled", WFTracker[[#This Row],[Impact Time Post RM]]))</f>
        <v>Closed</v>
      </c>
      <c r="AI726" s="14" t="str">
        <f ca="1">IF(WFTracker[[#This Row],[Impact Time Post RM]]&lt;=0,"ON TIME","LATE")</f>
        <v>LATE</v>
      </c>
      <c r="AJ726" s="14" t="s">
        <v>984</v>
      </c>
      <c r="AK726" s="14">
        <v>18</v>
      </c>
      <c r="AL726" s="915">
        <f>IF(WFTracker[[#This Row],[Type]]="MAKE", WFTracker[[#This Row],[Due date]]+Filters!$J$111, WFTracker[[#This Row],[Due date]]+Filters!$J$135)</f>
        <v>46074.072512647552</v>
      </c>
      <c r="AM726" s="102" cm="1">
        <f t="array" ref="AM7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7" spans="1:39" ht="15" customHeight="1">
      <c r="A727" t="str">
        <f>IF(WFTracker[[#This Row],[Order Number]]="SWBD", "QED2", "PZ4")</f>
        <v>PZ4</v>
      </c>
      <c r="B727" s="21" t="s">
        <v>706</v>
      </c>
      <c r="C727" s="26" t="s">
        <v>1467</v>
      </c>
      <c r="D727" s="11" t="str">
        <f>WFTracker[[#This Row],[Order Number]]  &amp; "-" &amp; WFTracker[[#This Row],[Item]]</f>
        <v>0051129914-000750&amp;760</v>
      </c>
      <c r="E727" s="23" t="s">
        <v>708</v>
      </c>
      <c r="F727" s="12">
        <v>46063</v>
      </c>
      <c r="G727" s="12">
        <v>46056</v>
      </c>
      <c r="H727" s="11" t="s">
        <v>709</v>
      </c>
      <c r="I727" s="11" t="s">
        <v>1555</v>
      </c>
      <c r="J727" s="55" t="s">
        <v>1608</v>
      </c>
      <c r="K727" s="14" t="s">
        <v>1023</v>
      </c>
      <c r="L727" s="15" t="s">
        <v>27</v>
      </c>
      <c r="M727" s="29" t="s">
        <v>1120</v>
      </c>
      <c r="N727" s="57">
        <v>46175</v>
      </c>
      <c r="O727" s="15">
        <f>NETWORKDAYS.INTL(WFTracker[[#This Row],[Start date]],WFTracker[[#This Row],[RM]],1,Holidays!D731:D746)</f>
        <v>2</v>
      </c>
      <c r="P727" s="12">
        <v>46062</v>
      </c>
      <c r="Q727" s="12">
        <v>46071</v>
      </c>
      <c r="R727" s="12">
        <v>46073</v>
      </c>
      <c r="S727" s="12" t="b">
        <f>ISBLANK(WFTracker[[#This Row],[Completion Date]])</f>
        <v>0</v>
      </c>
      <c r="T727" s="12" t="str">
        <f>TEXT(WFTracker[[#This Row],[Start date]],"mmm-yyyy")</f>
        <v>Feb-2026</v>
      </c>
      <c r="U727" s="11">
        <v>10</v>
      </c>
      <c r="V727" s="11">
        <f>NETWORKDAYS.INTL(WFTracker[[#This Row],[Start date]],WFTracker[[#This Row],[Due date]],1,Holidays!D731:D746)</f>
        <v>8</v>
      </c>
      <c r="W7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727" s="24">
        <f ca="1">WFTracker[[#This Row],[Active Time]]-WFTracker[[#This Row],[Completion Days Template]]</f>
        <v>2</v>
      </c>
      <c r="Y727" s="16" t="str">
        <f ca="1" xml:space="preserve"> IF(WFTracker[[#This Row],[Overdue Time '[Expected-Completion']]]&gt;0, "LATE","ON TIME")</f>
        <v>LATE</v>
      </c>
      <c r="Z727" s="16" t="str">
        <f ca="1">IF(WFTracker[[#This Row],[Overdue Time '[Expected-Completion']]] &gt;= 15, "SUPER LATE", Y727)</f>
        <v>LATE</v>
      </c>
      <c r="AA727" s="37" t="str">
        <f>IF(WFTracker[[#This Row],[Pre RM Opening Time]]&lt;WFTracker[[#This Row],[Old vs New Order Lead Time WF dead line]], "LATE BY ENG", "ON TIME BY ENG")</f>
        <v>LATE BY ENG</v>
      </c>
      <c r="AB727" s="37"/>
      <c r="AC727" s="928" t="str" cm="1">
        <f t="array" ref="AC727">_xlfn.IFS(
    WFTracker[[#This Row],[Cancelation Cause]]&lt;&gt;"", "X",
    WFTracker[[#This Row],[Competion Date Content]] = FALSE, "C",
    TRUE, "I"
)</f>
        <v>C</v>
      </c>
      <c r="AD7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727" s="25" t="str">
        <f ca="1">IF(WFTracker[[#This Row],[Impact Time Post RM]]&gt;0, "IMPACTED", "NOT IMPACTED")</f>
        <v>IMPACTED</v>
      </c>
      <c r="AF727" s="15"/>
      <c r="AG727" s="18"/>
      <c r="AH727" s="14" t="str">
        <f>IF(WFTracker[[#This Row],[Status]]="C", "Closed", IF(WFTracker[[#This Row],[Status]] = "x", "Cancelled", WFTracker[[#This Row],[Impact Time Post RM]]))</f>
        <v>Closed</v>
      </c>
      <c r="AI727" s="14" t="str">
        <f ca="1">IF(WFTracker[[#This Row],[Impact Time Post RM]]&lt;=0,"ON TIME","LATE")</f>
        <v>LATE</v>
      </c>
      <c r="AJ727" s="14" t="s">
        <v>984</v>
      </c>
      <c r="AK727" s="14">
        <v>18</v>
      </c>
      <c r="AL727" s="915">
        <f>IF(WFTracker[[#This Row],[Type]]="MAKE", WFTracker[[#This Row],[Due date]]+Filters!$J$111, WFTracker[[#This Row],[Due date]]+Filters!$J$135)</f>
        <v>46074.072512647552</v>
      </c>
      <c r="AM727" s="102" cm="1">
        <f t="array" ref="AM72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8" spans="1:39" ht="15" customHeight="1">
      <c r="A728" t="str">
        <f>IF(WFTracker[[#This Row],[Order Number]]="SWBD", "QED2", "PZ4")</f>
        <v>PZ4</v>
      </c>
      <c r="B728" s="21" t="s">
        <v>1609</v>
      </c>
      <c r="C728" s="26" t="s">
        <v>1610</v>
      </c>
      <c r="D728" s="11" t="str">
        <f>WFTracker[[#This Row],[Order Number]]  &amp; "-" &amp; WFTracker[[#This Row],[Item]]</f>
        <v>0051251730-001110</v>
      </c>
      <c r="E728" s="11" t="s">
        <v>1064</v>
      </c>
      <c r="F728" s="12">
        <v>46066</v>
      </c>
      <c r="G728" s="12"/>
      <c r="H728" s="11" t="s">
        <v>1611</v>
      </c>
      <c r="I728" s="11"/>
      <c r="J728" s="55" t="s">
        <v>1612</v>
      </c>
      <c r="K728" s="14" t="s">
        <v>1023</v>
      </c>
      <c r="L728" s="15" t="s">
        <v>40</v>
      </c>
      <c r="M728" s="29" t="s">
        <v>1120</v>
      </c>
      <c r="N728" s="57">
        <v>46265</v>
      </c>
      <c r="O728" s="15">
        <f>NETWORKDAYS.INTL(WFTracker[[#This Row],[Start date]],WFTracker[[#This Row],[RM]],1,Holidays!D753:D768)</f>
        <v>5</v>
      </c>
      <c r="P728" s="12">
        <v>46062</v>
      </c>
      <c r="Q728" s="12">
        <v>46072</v>
      </c>
      <c r="R728" s="12">
        <v>46083</v>
      </c>
      <c r="S728" s="12" t="b">
        <f>ISBLANK(WFTracker[[#This Row],[Completion Date]])</f>
        <v>0</v>
      </c>
      <c r="T728" s="12" t="str">
        <f>TEXT(WFTracker[[#This Row],[Start date]],"mmm-yyyy")</f>
        <v>Feb-2026</v>
      </c>
      <c r="U728" s="11">
        <v>10</v>
      </c>
      <c r="V728" s="11">
        <f>NETWORKDAYS.INTL(WFTracker[[#This Row],[Start date]],WFTracker[[#This Row],[Due date]],1,Holidays!D753:D768)</f>
        <v>9</v>
      </c>
      <c r="W7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16</v>
      </c>
      <c r="X728" s="24">
        <f ca="1">WFTracker[[#This Row],[Active Time]]-WFTracker[[#This Row],[Completion Days Template]]</f>
        <v>7</v>
      </c>
      <c r="Y728" s="16" t="str">
        <f ca="1" xml:space="preserve"> IF(WFTracker[[#This Row],[Overdue Time '[Expected-Completion']]]&gt;0, "LATE","ON TIME")</f>
        <v>LATE</v>
      </c>
      <c r="Z728" s="16" t="str">
        <f ca="1">IF(WFTracker[[#This Row],[Overdue Time '[Expected-Completion']]] &gt;= 15, "SUPER LATE", Y728)</f>
        <v>LATE</v>
      </c>
      <c r="AA728" s="37" t="str">
        <f>IF(WFTracker[[#This Row],[Pre RM Opening Time]]&lt;WFTracker[[#This Row],[Old vs New Order Lead Time WF dead line]], "LATE BY ENG", "ON TIME BY ENG")</f>
        <v>LATE BY ENG</v>
      </c>
      <c r="AB728" s="37"/>
      <c r="AC728" s="928" t="str" cm="1">
        <f t="array" ref="AC728">_xlfn.IFS(
    WFTracker[[#This Row],[Cancelation Cause]]&lt;&gt;"", "X",
    WFTracker[[#This Row],[Competion Date Content]] = FALSE, "C",
    TRUE, "I"
)</f>
        <v>C</v>
      </c>
      <c r="AD7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12</v>
      </c>
      <c r="AE728" s="25" t="str">
        <f ca="1">IF(WFTracker[[#This Row],[Impact Time Post RM]]&gt;0, "IMPACTED", "NOT IMPACTED")</f>
        <v>IMPACTED</v>
      </c>
      <c r="AF728" s="15"/>
      <c r="AG728" s="18"/>
      <c r="AH728" s="14" t="str">
        <f>IF(WFTracker[[#This Row],[Status]]="C", "Closed", IF(WFTracker[[#This Row],[Status]] = "x", "Cancelled", WFTracker[[#This Row],[Impact Time Post RM]]))</f>
        <v>Closed</v>
      </c>
      <c r="AI728" s="14" t="str">
        <f ca="1">IF(WFTracker[[#This Row],[Impact Time Post RM]]&lt;=0,"ON TIME","LATE")</f>
        <v>LATE</v>
      </c>
      <c r="AJ728" s="14" t="s">
        <v>984</v>
      </c>
      <c r="AK728" s="14">
        <v>17</v>
      </c>
      <c r="AL728" s="915">
        <f>IF(WFTracker[[#This Row],[Type]]="MAKE", WFTracker[[#This Row],[Due date]]+Filters!$J$111, WFTracker[[#This Row],[Due date]]+Filters!$J$135)</f>
        <v>46072.415686274508</v>
      </c>
      <c r="AM728" s="102" cm="1">
        <f t="array" ref="AM72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29" spans="1:39" ht="15" customHeight="1">
      <c r="A729" t="str">
        <f>IF(WFTracker[[#This Row],[Order Number]]="SWBD", "QED2", "PZ4")</f>
        <v>PZ4</v>
      </c>
      <c r="B729" s="968" t="s">
        <v>673</v>
      </c>
      <c r="C729" s="26" t="s">
        <v>674</v>
      </c>
      <c r="D729" s="11" t="str">
        <f>WFTracker[[#This Row],[Order Number]]  &amp; "-" &amp; WFTracker[[#This Row],[Item]]</f>
        <v>0051611250-003280</v>
      </c>
      <c r="E729" s="23" t="s">
        <v>675</v>
      </c>
      <c r="F729" s="12">
        <v>46013</v>
      </c>
      <c r="G729" s="12">
        <v>45993</v>
      </c>
      <c r="H729" s="11" t="s">
        <v>676</v>
      </c>
      <c r="I729" s="11" t="s">
        <v>241</v>
      </c>
      <c r="J729" s="55" t="s">
        <v>1613</v>
      </c>
      <c r="K729" s="14" t="s">
        <v>1023</v>
      </c>
      <c r="L729" s="15" t="s">
        <v>40</v>
      </c>
      <c r="M729" s="29" t="s">
        <v>1120</v>
      </c>
      <c r="N729" s="57">
        <v>46073</v>
      </c>
      <c r="O729" s="15">
        <f>NETWORKDAYS.INTL(WFTracker[[#This Row],[Start date]],WFTracker[[#This Row],[RM]],1,Holidays!D733:D748)</f>
        <v>-37</v>
      </c>
      <c r="P729" s="12">
        <v>46063</v>
      </c>
      <c r="Q729" s="12">
        <v>46076</v>
      </c>
      <c r="R729" s="12">
        <v>46071</v>
      </c>
      <c r="S729" s="12" t="b">
        <f>ISBLANK(WFTracker[[#This Row],[Completion Date]])</f>
        <v>0</v>
      </c>
      <c r="T729" s="12" t="str">
        <f>TEXT(WFTracker[[#This Row],[Start date]],"mmm-yyyy")</f>
        <v>Feb-2026</v>
      </c>
      <c r="U729" s="11">
        <v>10</v>
      </c>
      <c r="V729" s="11">
        <f>NETWORKDAYS.INTL(WFTracker[[#This Row],[Start date]],WFTracker[[#This Row],[Due date]],1,Holidays!D733:D748)</f>
        <v>10</v>
      </c>
      <c r="W7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29" s="24">
        <f ca="1">WFTracker[[#This Row],[Active Time]]-WFTracker[[#This Row],[Completion Days Template]]</f>
        <v>-3</v>
      </c>
      <c r="Y729" s="16" t="str">
        <f ca="1" xml:space="preserve"> IF(WFTracker[[#This Row],[Overdue Time '[Expected-Completion']]]&gt;0, "LATE","ON TIME")</f>
        <v>ON TIME</v>
      </c>
      <c r="Z729" s="16" t="str">
        <f ca="1">IF(WFTracker[[#This Row],[Overdue Time '[Expected-Completion']]] &gt;= 15, "SUPER LATE", Y729)</f>
        <v>ON TIME</v>
      </c>
      <c r="AA729" s="37" t="str">
        <f>IF(WFTracker[[#This Row],[Pre RM Opening Time]]&lt;WFTracker[[#This Row],[Old vs New Order Lead Time WF dead line]], "LATE BY ENG", "ON TIME BY ENG")</f>
        <v>LATE BY ENG</v>
      </c>
      <c r="AB729" s="37"/>
      <c r="AC729" s="928" t="str" cm="1">
        <f t="array" ref="AC729">_xlfn.IFS(
    WFTracker[[#This Row],[Cancelation Cause]]&lt;&gt;"", "X",
    WFTracker[[#This Row],[Competion Date Content]] = FALSE, "C",
    TRUE, "I"
)</f>
        <v>C</v>
      </c>
      <c r="AD7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40</v>
      </c>
      <c r="AE729" s="25" t="str">
        <f ca="1">IF(WFTracker[[#This Row],[Impact Time Post RM]]&gt;0, "IMPACTED", "NOT IMPACTED")</f>
        <v>IMPACTED</v>
      </c>
      <c r="AF729" s="15"/>
      <c r="AG729" s="18"/>
      <c r="AH729" s="14" t="str">
        <f>IF(WFTracker[[#This Row],[Status]]="C", "Closed", IF(WFTracker[[#This Row],[Status]] = "x", "Cancelled", WFTracker[[#This Row],[Impact Time Post RM]]))</f>
        <v>Closed</v>
      </c>
      <c r="AI729" s="14" t="str">
        <f ca="1">IF(WFTracker[[#This Row],[Impact Time Post RM]]&lt;=0,"ON TIME","LATE")</f>
        <v>LATE</v>
      </c>
      <c r="AJ729" s="14" t="s">
        <v>984</v>
      </c>
      <c r="AK729" s="14">
        <v>17</v>
      </c>
      <c r="AL729" s="915">
        <f>IF(WFTracker[[#This Row],[Type]]="MAKE", WFTracker[[#This Row],[Due date]]+Filters!$J$111, WFTracker[[#This Row],[Due date]]+Filters!$J$135)</f>
        <v>46076.415686274508</v>
      </c>
      <c r="AM729" s="102" cm="1">
        <f t="array" ref="AM72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0" spans="1:39" ht="15" customHeight="1">
      <c r="A730" t="str">
        <f>IF(WFTracker[[#This Row],[Order Number]]="SWBD", "QED2", "PZ4")</f>
        <v>PZ4</v>
      </c>
      <c r="B730" s="968" t="s">
        <v>837</v>
      </c>
      <c r="C730" s="26" t="s">
        <v>135</v>
      </c>
      <c r="D730" s="11" t="str">
        <f>WFTracker[[#This Row],[Order Number]]  &amp; "-" &amp; WFTracker[[#This Row],[Item]]</f>
        <v>0051791572-000010</v>
      </c>
      <c r="E730" s="23" t="s">
        <v>838</v>
      </c>
      <c r="F730" s="12">
        <v>46078</v>
      </c>
      <c r="G730" s="12">
        <v>46071</v>
      </c>
      <c r="H730" s="11" t="s">
        <v>676</v>
      </c>
      <c r="I730" s="11" t="s">
        <v>216</v>
      </c>
      <c r="J730" s="55" t="s">
        <v>1614</v>
      </c>
      <c r="K730" s="14" t="s">
        <v>1023</v>
      </c>
      <c r="L730" s="15" t="s">
        <v>27</v>
      </c>
      <c r="M730" s="29" t="s">
        <v>1120</v>
      </c>
      <c r="N730" s="57">
        <v>46240</v>
      </c>
      <c r="O730" s="15">
        <f>NETWORKDAYS.INTL(WFTracker[[#This Row],[Start date]],WFTracker[[#This Row],[RM]],1,Holidays!D734:D749)</f>
        <v>12</v>
      </c>
      <c r="P730" s="12">
        <v>46063</v>
      </c>
      <c r="Q730" s="12">
        <v>46072</v>
      </c>
      <c r="R730" s="12">
        <v>46073</v>
      </c>
      <c r="S730" s="12" t="b">
        <f>ISBLANK(WFTracker[[#This Row],[Completion Date]])</f>
        <v>0</v>
      </c>
      <c r="T730" s="12" t="str">
        <f>TEXT(WFTracker[[#This Row],[Start date]],"mmm-yyyy")</f>
        <v>Feb-2026</v>
      </c>
      <c r="U730" s="11">
        <v>10</v>
      </c>
      <c r="V730" s="11">
        <f>NETWORKDAYS.INTL(WFTracker[[#This Row],[Start date]],WFTracker[[#This Row],[Due date]],1,Holidays!D734:D749)</f>
        <v>8</v>
      </c>
      <c r="W7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30" s="24">
        <f ca="1">WFTracker[[#This Row],[Active Time]]-WFTracker[[#This Row],[Completion Days Template]]</f>
        <v>1</v>
      </c>
      <c r="Y730" s="16" t="str">
        <f ca="1" xml:space="preserve"> IF(WFTracker[[#This Row],[Overdue Time '[Expected-Completion']]]&gt;0, "LATE","ON TIME")</f>
        <v>LATE</v>
      </c>
      <c r="Z730" s="16" t="str">
        <f ca="1">IF(WFTracker[[#This Row],[Overdue Time '[Expected-Completion']]] &gt;= 15, "SUPER LATE", Y730)</f>
        <v>LATE</v>
      </c>
      <c r="AA730" s="37" t="str">
        <f>IF(WFTracker[[#This Row],[Pre RM Opening Time]]&lt;WFTracker[[#This Row],[Old vs New Order Lead Time WF dead line]], "LATE BY ENG", "ON TIME BY ENG")</f>
        <v>ON TIME BY ENG</v>
      </c>
      <c r="AB730" s="37"/>
      <c r="AC730" s="928" t="str" cm="1">
        <f t="array" ref="AC730">_xlfn.IFS(
    WFTracker[[#This Row],[Cancelation Cause]]&lt;&gt;"", "X",
    WFTracker[[#This Row],[Competion Date Content]] = FALSE, "C",
    TRUE, "I"
)</f>
        <v>C</v>
      </c>
      <c r="AD7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30" s="25" t="str">
        <f ca="1">IF(WFTracker[[#This Row],[Impact Time Post RM]]&gt;0, "IMPACTED", "NOT IMPACTED")</f>
        <v>NOT IMPACTED</v>
      </c>
      <c r="AF730" s="15"/>
      <c r="AG730" s="18"/>
      <c r="AH730" s="14" t="str">
        <f>IF(WFTracker[[#This Row],[Status]]="C", "Closed", IF(WFTracker[[#This Row],[Status]] = "x", "Cancelled", WFTracker[[#This Row],[Impact Time Post RM]]))</f>
        <v>Closed</v>
      </c>
      <c r="AI730" s="14" t="str">
        <f ca="1">IF(WFTracker[[#This Row],[Impact Time Post RM]]&lt;=0,"ON TIME","LATE")</f>
        <v>ON TIME</v>
      </c>
      <c r="AJ730" s="14" t="s">
        <v>984</v>
      </c>
      <c r="AK730" s="14">
        <v>18</v>
      </c>
      <c r="AL730" s="915">
        <f>IF(WFTracker[[#This Row],[Type]]="MAKE", WFTracker[[#This Row],[Due date]]+Filters!$J$111, WFTracker[[#This Row],[Due date]]+Filters!$J$135)</f>
        <v>46075.072512647552</v>
      </c>
      <c r="AM730" s="102" cm="1">
        <f t="array" ref="AM73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1" spans="1:39" ht="15" customHeight="1">
      <c r="A731" t="str">
        <f>IF(WFTracker[[#This Row],[Order Number]]="SWBD", "QED2", "PZ4")</f>
        <v>PZ4</v>
      </c>
      <c r="B731" s="919" t="s">
        <v>843</v>
      </c>
      <c r="C731" s="26" t="s">
        <v>844</v>
      </c>
      <c r="D731" s="11" t="str">
        <f>WFTracker[[#This Row],[Order Number]]  &amp; "-" &amp; WFTracker[[#This Row],[Item]]</f>
        <v>0051212323-010200</v>
      </c>
      <c r="E731" s="23" t="s">
        <v>1062</v>
      </c>
      <c r="F731" s="12">
        <v>46083</v>
      </c>
      <c r="G731" s="12">
        <v>46076</v>
      </c>
      <c r="H731" s="11" t="s">
        <v>846</v>
      </c>
      <c r="I731" s="11" t="s">
        <v>24</v>
      </c>
      <c r="J731" s="55" t="s">
        <v>848</v>
      </c>
      <c r="K731" s="14" t="s">
        <v>1017</v>
      </c>
      <c r="L731" s="15" t="s">
        <v>40</v>
      </c>
      <c r="M731" s="29" t="s">
        <v>1120</v>
      </c>
      <c r="N731" s="57">
        <v>46254</v>
      </c>
      <c r="O731" s="15">
        <f>NETWORKDAYS.INTL(WFTracker[[#This Row],[Start date]],WFTracker[[#This Row],[RM]],1,Holidays!D732:D747)</f>
        <v>15</v>
      </c>
      <c r="P731" s="12">
        <v>46063</v>
      </c>
      <c r="Q731" s="12">
        <v>46073</v>
      </c>
      <c r="R731" s="12">
        <v>46077</v>
      </c>
      <c r="S731" s="12" t="b">
        <f>ISBLANK(WFTracker[[#This Row],[Completion Date]])</f>
        <v>0</v>
      </c>
      <c r="T731" s="12" t="str">
        <f>TEXT(WFTracker[[#This Row],[Start date]],"mmm-yyyy")</f>
        <v>Feb-2026</v>
      </c>
      <c r="U731" s="11">
        <v>10</v>
      </c>
      <c r="V731" s="11">
        <f>NETWORKDAYS.INTL(WFTracker[[#This Row],[Start date]],WFTracker[[#This Row],[Due date]],1,Holidays!D732:D747)</f>
        <v>9</v>
      </c>
      <c r="W7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31" s="24">
        <f ca="1">WFTracker[[#This Row],[Active Time]]-WFTracker[[#This Row],[Completion Days Template]]</f>
        <v>2</v>
      </c>
      <c r="Y731" s="16" t="str">
        <f ca="1" xml:space="preserve"> IF(WFTracker[[#This Row],[Overdue Time '[Expected-Completion']]]&gt;0, "LATE","ON TIME")</f>
        <v>LATE</v>
      </c>
      <c r="Z731" s="16" t="str">
        <f ca="1">IF(WFTracker[[#This Row],[Overdue Time '[Expected-Completion']]] &gt;= 15, "SUPER LATE", Y731)</f>
        <v>LATE</v>
      </c>
      <c r="AA731" s="37" t="str">
        <f>IF(WFTracker[[#This Row],[Pre RM Opening Time]]&lt;WFTracker[[#This Row],[Old vs New Order Lead Time WF dead line]], "LATE BY ENG", "ON TIME BY ENG")</f>
        <v>ON TIME BY ENG</v>
      </c>
      <c r="AB731" s="37"/>
      <c r="AC731" s="928" t="str" cm="1">
        <f t="array" ref="AC731">_xlfn.IFS(
    WFTracker[[#This Row],[Cancelation Cause]]&lt;&gt;"", "X",
    WFTracker[[#This Row],[Competion Date Content]] = FALSE, "C",
    TRUE, "I"
)</f>
        <v>C</v>
      </c>
      <c r="AD7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731" s="25" t="str">
        <f ca="1">IF(WFTracker[[#This Row],[Impact Time Post RM]]&gt;0, "IMPACTED", "NOT IMPACTED")</f>
        <v>NOT IMPACTED</v>
      </c>
      <c r="AF731" s="15"/>
      <c r="AG731" s="18"/>
      <c r="AH731" s="14" t="str">
        <f>IF(WFTracker[[#This Row],[Status]]="C", "Closed", IF(WFTracker[[#This Row],[Status]] = "x", "Cancelled", WFTracker[[#This Row],[Impact Time Post RM]]))</f>
        <v>Closed</v>
      </c>
      <c r="AI731" s="14" t="str">
        <f ca="1">IF(WFTracker[[#This Row],[Impact Time Post RM]]&lt;=0,"ON TIME","LATE")</f>
        <v>ON TIME</v>
      </c>
      <c r="AJ731" s="14" t="s">
        <v>984</v>
      </c>
      <c r="AK731" s="14">
        <v>17</v>
      </c>
      <c r="AL731" s="915">
        <f>IF(WFTracker[[#This Row],[Type]]="MAKE", WFTracker[[#This Row],[Due date]]+Filters!$J$111, WFTracker[[#This Row],[Due date]]+Filters!$J$135)</f>
        <v>46073.415686274508</v>
      </c>
      <c r="AM731" s="102" cm="1">
        <f t="array" ref="AM73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2" spans="1:39" ht="15" customHeight="1">
      <c r="A732" t="str">
        <f>IF(WFTracker[[#This Row],[Order Number]]="SWBD", "QED2", "PZ4")</f>
        <v>PZ4</v>
      </c>
      <c r="B732" s="21" t="s">
        <v>826</v>
      </c>
      <c r="C732" s="26" t="s">
        <v>851</v>
      </c>
      <c r="D732" s="11" t="str">
        <f>WFTracker[[#This Row],[Order Number]]  &amp; "-" &amp; WFTracker[[#This Row],[Item]]</f>
        <v>0050384250-001250</v>
      </c>
      <c r="E732" s="23" t="s">
        <v>1027</v>
      </c>
      <c r="F732" s="12">
        <v>46087</v>
      </c>
      <c r="G732" s="12">
        <v>46080</v>
      </c>
      <c r="H732" s="11" t="s">
        <v>237</v>
      </c>
      <c r="I732" s="11" t="s">
        <v>111</v>
      </c>
      <c r="J732" s="55" t="s">
        <v>855</v>
      </c>
      <c r="K732" s="14" t="s">
        <v>1017</v>
      </c>
      <c r="L732" s="15" t="s">
        <v>27</v>
      </c>
      <c r="M732" s="29" t="s">
        <v>1120</v>
      </c>
      <c r="N732" s="57">
        <v>46178</v>
      </c>
      <c r="O732" s="15">
        <f>NETWORKDAYS.INTL(WFTracker[[#This Row],[Start date]],WFTracker[[#This Row],[RM]],1,Holidays!D735:D750)</f>
        <v>18</v>
      </c>
      <c r="P732" s="12">
        <v>46064</v>
      </c>
      <c r="Q732" s="12">
        <v>46071</v>
      </c>
      <c r="R732" s="12">
        <v>46073</v>
      </c>
      <c r="S732" s="12" t="b">
        <f>ISBLANK(WFTracker[[#This Row],[Completion Date]])</f>
        <v>0</v>
      </c>
      <c r="T732" s="12" t="str">
        <f>TEXT(WFTracker[[#This Row],[Start date]],"mmm-yyyy")</f>
        <v>Feb-2026</v>
      </c>
      <c r="U732" s="11">
        <v>10</v>
      </c>
      <c r="V732" s="11">
        <f>NETWORKDAYS.INTL(WFTracker[[#This Row],[Start date]],WFTracker[[#This Row],[Due date]],1,Holidays!D735:D750)</f>
        <v>6</v>
      </c>
      <c r="W7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32" s="24">
        <f ca="1">WFTracker[[#This Row],[Active Time]]-WFTracker[[#This Row],[Completion Days Template]]</f>
        <v>2</v>
      </c>
      <c r="Y732" s="16" t="str">
        <f ca="1" xml:space="preserve"> IF(WFTracker[[#This Row],[Overdue Time '[Expected-Completion']]]&gt;0, "LATE","ON TIME")</f>
        <v>LATE</v>
      </c>
      <c r="Z732" s="16" t="str">
        <f ca="1">IF(WFTracker[[#This Row],[Overdue Time '[Expected-Completion']]] &gt;= 15, "SUPER LATE", Y732)</f>
        <v>LATE</v>
      </c>
      <c r="AA732" s="37" t="str">
        <f>IF(WFTracker[[#This Row],[Pre RM Opening Time]]&lt;WFTracker[[#This Row],[Old vs New Order Lead Time WF dead line]], "LATE BY ENG", "ON TIME BY ENG")</f>
        <v>ON TIME BY ENG</v>
      </c>
      <c r="AB732" s="37"/>
      <c r="AC732" s="928" t="str" cm="1">
        <f t="array" ref="AC732">_xlfn.IFS(
    WFTracker[[#This Row],[Cancelation Cause]]&lt;&gt;"", "X",
    WFTracker[[#This Row],[Competion Date Content]] = FALSE, "C",
    TRUE, "I"
)</f>
        <v>C</v>
      </c>
      <c r="AD7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732" s="25" t="str">
        <f ca="1">IF(WFTracker[[#This Row],[Impact Time Post RM]]&gt;0, "IMPACTED", "NOT IMPACTED")</f>
        <v>NOT IMPACTED</v>
      </c>
      <c r="AF732" s="15"/>
      <c r="AG732" s="18"/>
      <c r="AH732" s="14" t="str">
        <f>IF(WFTracker[[#This Row],[Status]]="C", "Closed", IF(WFTracker[[#This Row],[Status]] = "x", "Cancelled", WFTracker[[#This Row],[Impact Time Post RM]]))</f>
        <v>Closed</v>
      </c>
      <c r="AI732" s="14" t="str">
        <f ca="1">IF(WFTracker[[#This Row],[Impact Time Post RM]]&lt;=0,"ON TIME","LATE")</f>
        <v>ON TIME</v>
      </c>
      <c r="AJ732" s="14" t="s">
        <v>984</v>
      </c>
      <c r="AK732" s="14">
        <v>18</v>
      </c>
      <c r="AL732" s="915">
        <f>IF(WFTracker[[#This Row],[Type]]="MAKE", WFTracker[[#This Row],[Due date]]+Filters!$J$111, WFTracker[[#This Row],[Due date]]+Filters!$J$135)</f>
        <v>46074.072512647552</v>
      </c>
      <c r="AM732" s="102" cm="1">
        <f t="array" ref="AM73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3" spans="1:39" ht="15" customHeight="1">
      <c r="A733" t="str">
        <f>IF(WFTracker[[#This Row],[Order Number]]="SWBD", "QED2", "PZ4")</f>
        <v>PZ4</v>
      </c>
      <c r="B733" s="21" t="s">
        <v>826</v>
      </c>
      <c r="C733" s="26" t="s">
        <v>851</v>
      </c>
      <c r="D733" s="11" t="str">
        <f>WFTracker[[#This Row],[Order Number]]  &amp; "-" &amp; WFTracker[[#This Row],[Item]]</f>
        <v>0050384250-001250</v>
      </c>
      <c r="E733" s="23" t="s">
        <v>1027</v>
      </c>
      <c r="F733" s="12">
        <v>46087</v>
      </c>
      <c r="G733" s="12">
        <v>46080</v>
      </c>
      <c r="H733" s="11" t="s">
        <v>237</v>
      </c>
      <c r="I733" s="11" t="s">
        <v>111</v>
      </c>
      <c r="J733" s="55" t="s">
        <v>854</v>
      </c>
      <c r="K733" s="14" t="s">
        <v>1017</v>
      </c>
      <c r="L733" s="15" t="s">
        <v>27</v>
      </c>
      <c r="M733" s="29" t="s">
        <v>1120</v>
      </c>
      <c r="N733" s="57">
        <v>46178</v>
      </c>
      <c r="O733" s="15">
        <f>NETWORKDAYS.INTL(WFTracker[[#This Row],[Start date]],WFTracker[[#This Row],[RM]],1,Holidays!D736:D751)</f>
        <v>18</v>
      </c>
      <c r="P733" s="12">
        <v>46064</v>
      </c>
      <c r="Q733" s="12">
        <v>46071</v>
      </c>
      <c r="R733" s="12">
        <v>46072</v>
      </c>
      <c r="S733" s="12" t="b">
        <f>ISBLANK(WFTracker[[#This Row],[Completion Date]])</f>
        <v>0</v>
      </c>
      <c r="T733" s="12" t="str">
        <f>TEXT(WFTracker[[#This Row],[Start date]],"mmm-yyyy")</f>
        <v>Feb-2026</v>
      </c>
      <c r="U733" s="11">
        <v>10</v>
      </c>
      <c r="V733" s="11">
        <f>NETWORKDAYS.INTL(WFTracker[[#This Row],[Start date]],WFTracker[[#This Row],[Due date]],1,Holidays!D736:D751)</f>
        <v>6</v>
      </c>
      <c r="W7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33" s="24">
        <f ca="1">WFTracker[[#This Row],[Active Time]]-WFTracker[[#This Row],[Completion Days Template]]</f>
        <v>1</v>
      </c>
      <c r="Y733" s="16" t="str">
        <f ca="1" xml:space="preserve"> IF(WFTracker[[#This Row],[Overdue Time '[Expected-Completion']]]&gt;0, "LATE","ON TIME")</f>
        <v>LATE</v>
      </c>
      <c r="Z733" s="16" t="str">
        <f ca="1">IF(WFTracker[[#This Row],[Overdue Time '[Expected-Completion']]] &gt;= 15, "SUPER LATE", Y733)</f>
        <v>LATE</v>
      </c>
      <c r="AA733" s="37" t="str">
        <f>IF(WFTracker[[#This Row],[Pre RM Opening Time]]&lt;WFTracker[[#This Row],[Old vs New Order Lead Time WF dead line]], "LATE BY ENG", "ON TIME BY ENG")</f>
        <v>ON TIME BY ENG</v>
      </c>
      <c r="AB733" s="37"/>
      <c r="AC733" s="928" t="str" cm="1">
        <f t="array" ref="AC733">_xlfn.IFS(
    WFTracker[[#This Row],[Cancelation Cause]]&lt;&gt;"", "X",
    WFTracker[[#This Row],[Competion Date Content]] = FALSE, "C",
    TRUE, "I"
)</f>
        <v>C</v>
      </c>
      <c r="AD7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733" s="25" t="str">
        <f ca="1">IF(WFTracker[[#This Row],[Impact Time Post RM]]&gt;0, "IMPACTED", "NOT IMPACTED")</f>
        <v>NOT IMPACTED</v>
      </c>
      <c r="AF733" s="15"/>
      <c r="AG733" s="18"/>
      <c r="AH733" s="14" t="str">
        <f>IF(WFTracker[[#This Row],[Status]]="C", "Closed", IF(WFTracker[[#This Row],[Status]] = "x", "Cancelled", WFTracker[[#This Row],[Impact Time Post RM]]))</f>
        <v>Closed</v>
      </c>
      <c r="AI733" s="14" t="str">
        <f ca="1">IF(WFTracker[[#This Row],[Impact Time Post RM]]&lt;=0,"ON TIME","LATE")</f>
        <v>ON TIME</v>
      </c>
      <c r="AJ733" s="14" t="s">
        <v>984</v>
      </c>
      <c r="AK733" s="14">
        <v>18</v>
      </c>
      <c r="AL733" s="915">
        <f>IF(WFTracker[[#This Row],[Type]]="MAKE", WFTracker[[#This Row],[Due date]]+Filters!$J$111, WFTracker[[#This Row],[Due date]]+Filters!$J$135)</f>
        <v>46074.072512647552</v>
      </c>
      <c r="AM733" s="102" cm="1">
        <f t="array" ref="AM73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4" spans="1:39" ht="15" customHeight="1">
      <c r="A734" t="s">
        <v>1605</v>
      </c>
      <c r="B734" s="21" t="s">
        <v>826</v>
      </c>
      <c r="C734" s="26" t="s">
        <v>851</v>
      </c>
      <c r="D734" s="11" t="str">
        <f>WFTracker[[#This Row],[Order Number]]  &amp; "-" &amp; WFTracker[[#This Row],[Item]]</f>
        <v>0050384250-001250</v>
      </c>
      <c r="E734" s="23" t="s">
        <v>1027</v>
      </c>
      <c r="F734" s="12">
        <v>46087</v>
      </c>
      <c r="G734" s="12">
        <v>46080</v>
      </c>
      <c r="H734" s="11" t="s">
        <v>237</v>
      </c>
      <c r="I734" s="11" t="s">
        <v>111</v>
      </c>
      <c r="J734" s="55" t="s">
        <v>853</v>
      </c>
      <c r="K734" s="14" t="s">
        <v>1017</v>
      </c>
      <c r="L734" s="15" t="s">
        <v>27</v>
      </c>
      <c r="M734" s="29" t="s">
        <v>1120</v>
      </c>
      <c r="N734" s="57">
        <v>46178</v>
      </c>
      <c r="O734" s="15">
        <f>NETWORKDAYS.INTL(WFTracker[[#This Row],[Start date]],WFTracker[[#This Row],[RM]],1,Holidays!D738:D753)</f>
        <v>18</v>
      </c>
      <c r="P734" s="12">
        <v>46064</v>
      </c>
      <c r="Q734" s="12">
        <v>46071</v>
      </c>
      <c r="R734" s="12">
        <v>46078</v>
      </c>
      <c r="S734" s="12" t="b">
        <f>ISBLANK(WFTracker[[#This Row],[Completion Date]])</f>
        <v>0</v>
      </c>
      <c r="T734" s="12" t="str">
        <f>TEXT(WFTracker[[#This Row],[Start date]],"mmm-yyyy")</f>
        <v>Feb-2026</v>
      </c>
      <c r="U734" s="11">
        <v>10</v>
      </c>
      <c r="V734" s="11">
        <f>NETWORKDAYS.INTL(WFTracker[[#This Row],[Start date]],WFTracker[[#This Row],[Due date]],1,Holidays!D738:D753)</f>
        <v>6</v>
      </c>
      <c r="W7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34" s="24">
        <f ca="1">WFTracker[[#This Row],[Active Time]]-WFTracker[[#This Row],[Completion Days Template]]</f>
        <v>5</v>
      </c>
      <c r="Y734" s="16" t="str">
        <f ca="1" xml:space="preserve"> IF(WFTracker[[#This Row],[Overdue Time '[Expected-Completion']]]&gt;0, "LATE","ON TIME")</f>
        <v>LATE</v>
      </c>
      <c r="Z734" s="16" t="str">
        <f ca="1">IF(WFTracker[[#This Row],[Overdue Time '[Expected-Completion']]] &gt;= 15, "SUPER LATE", Y734)</f>
        <v>LATE</v>
      </c>
      <c r="AA734" s="37" t="str">
        <f>IF(WFTracker[[#This Row],[Pre RM Opening Time]]&lt;WFTracker[[#This Row],[Old vs New Order Lead Time WF dead line]], "LATE BY ENG", "ON TIME BY ENG")</f>
        <v>ON TIME BY ENG</v>
      </c>
      <c r="AB734" s="37"/>
      <c r="AC734" s="928" t="str" cm="1">
        <f t="array" ref="AC734">_xlfn.IFS(
    WFTracker[[#This Row],[Cancelation Cause]]&lt;&gt;"", "X",
    WFTracker[[#This Row],[Competion Date Content]] = FALSE, "C",
    TRUE, "I"
)</f>
        <v>C</v>
      </c>
      <c r="AD7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734" s="25" t="str">
        <f ca="1">IF(WFTracker[[#This Row],[Impact Time Post RM]]&gt;0, "IMPACTED", "NOT IMPACTED")</f>
        <v>NOT IMPACTED</v>
      </c>
      <c r="AF734" s="15"/>
      <c r="AG734" s="18"/>
      <c r="AH734" s="14" t="str">
        <f>IF(WFTracker[[#This Row],[Status]]="C", "Closed", IF(WFTracker[[#This Row],[Status]] = "x", "Cancelled", WFTracker[[#This Row],[Impact Time Post RM]]))</f>
        <v>Closed</v>
      </c>
      <c r="AI734" s="14" t="str">
        <f ca="1">IF(WFTracker[[#This Row],[Impact Time Post RM]]&lt;=0,"ON TIME","LATE")</f>
        <v>ON TIME</v>
      </c>
      <c r="AJ734" s="14" t="s">
        <v>984</v>
      </c>
      <c r="AK734" s="14">
        <v>18</v>
      </c>
      <c r="AL734" s="915">
        <f>IF(WFTracker[[#This Row],[Type]]="MAKE", WFTracker[[#This Row],[Due date]]+Filters!$J$111, WFTracker[[#This Row],[Due date]]+Filters!$J$135)</f>
        <v>46074.072512647552</v>
      </c>
      <c r="AM734" s="102" cm="1">
        <f t="array" ref="AM7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5" spans="1:39" ht="15" customHeight="1">
      <c r="A735" t="str">
        <f>IF(WFTracker[[#This Row],[Order Number]]="SWBD", "QED2", "PZ4")</f>
        <v>PZ4</v>
      </c>
      <c r="B735" s="21" t="s">
        <v>856</v>
      </c>
      <c r="C735" s="26" t="s">
        <v>165</v>
      </c>
      <c r="D735" s="11" t="str">
        <f>WFTracker[[#This Row],[Order Number]]  &amp; "-" &amp; WFTracker[[#This Row],[Item]]</f>
        <v>0051842216-000030</v>
      </c>
      <c r="E735" s="23" t="s">
        <v>1063</v>
      </c>
      <c r="F735" s="12">
        <v>46087</v>
      </c>
      <c r="G735" s="12">
        <v>46080</v>
      </c>
      <c r="H735" s="11" t="s">
        <v>252</v>
      </c>
      <c r="I735" s="11" t="s">
        <v>216</v>
      </c>
      <c r="J735" s="55" t="s">
        <v>858</v>
      </c>
      <c r="K735" s="14" t="s">
        <v>1017</v>
      </c>
      <c r="L735" s="15" t="s">
        <v>27</v>
      </c>
      <c r="M735" s="29" t="s">
        <v>1120</v>
      </c>
      <c r="N735" s="57">
        <v>46198</v>
      </c>
      <c r="O735" s="15">
        <f>NETWORKDAYS.INTL(WFTracker[[#This Row],[Start date]],WFTracker[[#This Row],[RM]],1,Holidays!D740:D755)</f>
        <v>18</v>
      </c>
      <c r="P735" s="12">
        <v>46064</v>
      </c>
      <c r="Q735" s="12">
        <v>46072</v>
      </c>
      <c r="R735" s="12">
        <v>46072</v>
      </c>
      <c r="S735" s="12" t="b">
        <f>ISBLANK(WFTracker[[#This Row],[Completion Date]])</f>
        <v>0</v>
      </c>
      <c r="T735" s="12" t="str">
        <f>TEXT(WFTracker[[#This Row],[Start date]],"mmm-yyyy")</f>
        <v>Feb-2026</v>
      </c>
      <c r="U735" s="11">
        <v>10</v>
      </c>
      <c r="V735" s="11">
        <f>NETWORKDAYS.INTL(WFTracker[[#This Row],[Start date]],WFTracker[[#This Row],[Due date]],1,Holidays!D740:D755)</f>
        <v>7</v>
      </c>
      <c r="W7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35" s="24">
        <f ca="1">WFTracker[[#This Row],[Active Time]]-WFTracker[[#This Row],[Completion Days Template]]</f>
        <v>0</v>
      </c>
      <c r="Y735" s="16" t="str">
        <f ca="1" xml:space="preserve"> IF(WFTracker[[#This Row],[Overdue Time '[Expected-Completion']]]&gt;0, "LATE","ON TIME")</f>
        <v>ON TIME</v>
      </c>
      <c r="Z735" s="16" t="str">
        <f ca="1">IF(WFTracker[[#This Row],[Overdue Time '[Expected-Completion']]] &gt;= 15, "SUPER LATE", Y735)</f>
        <v>ON TIME</v>
      </c>
      <c r="AA735" s="37" t="str">
        <f>IF(WFTracker[[#This Row],[Pre RM Opening Time]]&lt;WFTracker[[#This Row],[Old vs New Order Lead Time WF dead line]], "LATE BY ENG", "ON TIME BY ENG")</f>
        <v>ON TIME BY ENG</v>
      </c>
      <c r="AB735" s="37"/>
      <c r="AC735" s="928" t="str" cm="1">
        <f t="array" ref="AC735">_xlfn.IFS(
    WFTracker[[#This Row],[Cancelation Cause]]&lt;&gt;"", "X",
    WFTracker[[#This Row],[Competion Date Content]] = FALSE, "C",
    TRUE, "I"
)</f>
        <v>C</v>
      </c>
      <c r="AD7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735" s="25" t="str">
        <f ca="1">IF(WFTracker[[#This Row],[Impact Time Post RM]]&gt;0, "IMPACTED", "NOT IMPACTED")</f>
        <v>NOT IMPACTED</v>
      </c>
      <c r="AF735" s="15"/>
      <c r="AG735" s="18"/>
      <c r="AH735" s="14" t="str">
        <f>IF(WFTracker[[#This Row],[Status]]="C", "Closed", IF(WFTracker[[#This Row],[Status]] = "x", "Cancelled", WFTracker[[#This Row],[Impact Time Post RM]]))</f>
        <v>Closed</v>
      </c>
      <c r="AI735" s="14" t="str">
        <f ca="1">IF(WFTracker[[#This Row],[Impact Time Post RM]]&lt;=0,"ON TIME","LATE")</f>
        <v>ON TIME</v>
      </c>
      <c r="AJ735" s="14" t="s">
        <v>984</v>
      </c>
      <c r="AK735" s="14">
        <v>18</v>
      </c>
      <c r="AL735" s="915">
        <f>IF(WFTracker[[#This Row],[Type]]="MAKE", WFTracker[[#This Row],[Due date]]+Filters!$J$111, WFTracker[[#This Row],[Due date]]+Filters!$J$135)</f>
        <v>46075.072512647552</v>
      </c>
      <c r="AM735" s="102" cm="1">
        <f t="array" ref="AM73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6" spans="1:39" ht="15" customHeight="1">
      <c r="A736" t="str">
        <f>IF(WFTracker[[#This Row],[Order Number]]="SWBD", "QED2", "PZ4")</f>
        <v>PZ4</v>
      </c>
      <c r="B736" s="21" t="s">
        <v>826</v>
      </c>
      <c r="C736" s="26" t="s">
        <v>851</v>
      </c>
      <c r="D736" s="11" t="str">
        <f>WFTracker[[#This Row],[Order Number]]  &amp; "-" &amp; WFTracker[[#This Row],[Item]]</f>
        <v>0050384250-001250</v>
      </c>
      <c r="E736" s="23" t="s">
        <v>1027</v>
      </c>
      <c r="F736" s="12">
        <v>46087</v>
      </c>
      <c r="G736" s="12">
        <v>46080</v>
      </c>
      <c r="H736" s="11" t="s">
        <v>237</v>
      </c>
      <c r="I736" s="11" t="s">
        <v>111</v>
      </c>
      <c r="J736" s="55" t="s">
        <v>852</v>
      </c>
      <c r="K736" s="14" t="s">
        <v>1017</v>
      </c>
      <c r="L736" s="15" t="s">
        <v>27</v>
      </c>
      <c r="M736" s="29" t="s">
        <v>1120</v>
      </c>
      <c r="N736" s="57">
        <v>46178</v>
      </c>
      <c r="O736" s="15">
        <f>NETWORKDAYS.INTL(WFTracker[[#This Row],[Start date]],WFTracker[[#This Row],[RM]],1,Holidays!D739:D754)</f>
        <v>18</v>
      </c>
      <c r="P736" s="12">
        <v>46064</v>
      </c>
      <c r="Q736" s="12">
        <v>46071</v>
      </c>
      <c r="R736" s="12">
        <v>46076</v>
      </c>
      <c r="S736" s="12" t="b">
        <f>ISBLANK(WFTracker[[#This Row],[Completion Date]])</f>
        <v>0</v>
      </c>
      <c r="T736" s="12" t="str">
        <f>TEXT(WFTracker[[#This Row],[Start date]],"mmm-yyyy")</f>
        <v>Feb-2026</v>
      </c>
      <c r="U736" s="11">
        <v>10</v>
      </c>
      <c r="V736" s="11">
        <f>NETWORKDAYS.INTL(WFTracker[[#This Row],[Start date]],WFTracker[[#This Row],[Due date]],1,Holidays!D739:D754)</f>
        <v>6</v>
      </c>
      <c r="W7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36" s="24">
        <f ca="1">WFTracker[[#This Row],[Active Time]]-WFTracker[[#This Row],[Completion Days Template]]</f>
        <v>3</v>
      </c>
      <c r="Y736" s="16" t="str">
        <f ca="1" xml:space="preserve"> IF(WFTracker[[#This Row],[Overdue Time '[Expected-Completion']]]&gt;0, "LATE","ON TIME")</f>
        <v>LATE</v>
      </c>
      <c r="Z736" s="16" t="str">
        <f ca="1">IF(WFTracker[[#This Row],[Overdue Time '[Expected-Completion']]] &gt;= 15, "SUPER LATE", Y736)</f>
        <v>LATE</v>
      </c>
      <c r="AA736" s="37" t="str">
        <f>IF(WFTracker[[#This Row],[Pre RM Opening Time]]&lt;WFTracker[[#This Row],[Old vs New Order Lead Time WF dead line]], "LATE BY ENG", "ON TIME BY ENG")</f>
        <v>ON TIME BY ENG</v>
      </c>
      <c r="AB736" s="37"/>
      <c r="AC736" s="928" t="str" cm="1">
        <f t="array" ref="AC736">_xlfn.IFS(
    WFTracker[[#This Row],[Cancelation Cause]]&lt;&gt;"", "X",
    WFTracker[[#This Row],[Competion Date Content]] = FALSE, "C",
    TRUE, "I"
)</f>
        <v>C</v>
      </c>
      <c r="AD7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736" s="25" t="str">
        <f ca="1">IF(WFTracker[[#This Row],[Impact Time Post RM]]&gt;0, "IMPACTED", "NOT IMPACTED")</f>
        <v>NOT IMPACTED</v>
      </c>
      <c r="AF736" s="15"/>
      <c r="AG736" s="18"/>
      <c r="AH736" s="14" t="str">
        <f>IF(WFTracker[[#This Row],[Status]]="C", "Closed", IF(WFTracker[[#This Row],[Status]] = "x", "Cancelled", WFTracker[[#This Row],[Impact Time Post RM]]))</f>
        <v>Closed</v>
      </c>
      <c r="AI736" s="14" t="str">
        <f ca="1">IF(WFTracker[[#This Row],[Impact Time Post RM]]&lt;=0,"ON TIME","LATE")</f>
        <v>ON TIME</v>
      </c>
      <c r="AJ736" s="14" t="s">
        <v>984</v>
      </c>
      <c r="AK736" s="14">
        <v>18</v>
      </c>
      <c r="AL736" s="915">
        <f>IF(WFTracker[[#This Row],[Type]]="MAKE", WFTracker[[#This Row],[Due date]]+Filters!$J$111, WFTracker[[#This Row],[Due date]]+Filters!$J$135)</f>
        <v>46074.072512647552</v>
      </c>
      <c r="AM736" s="102" cm="1">
        <f t="array" ref="AM73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7" spans="1:39" ht="15" customHeight="1">
      <c r="A737" t="str">
        <f>IF(WFTracker[[#This Row],[Order Number]]="SWBD", "QED2", "PZ4")</f>
        <v>PZ4</v>
      </c>
      <c r="B737" s="21" t="s">
        <v>822</v>
      </c>
      <c r="C737" s="26" t="s">
        <v>448</v>
      </c>
      <c r="D737" s="11" t="str">
        <f>WFTracker[[#This Row],[Order Number]]  &amp; "-" &amp; WFTracker[[#This Row],[Item]]</f>
        <v>0050941348-000150</v>
      </c>
      <c r="E737" s="23" t="s">
        <v>1060</v>
      </c>
      <c r="F737" s="12">
        <v>46066</v>
      </c>
      <c r="G737" s="12">
        <v>46063</v>
      </c>
      <c r="H737" s="11" t="s">
        <v>80</v>
      </c>
      <c r="I737" s="11" t="s">
        <v>24</v>
      </c>
      <c r="J737" s="55" t="s">
        <v>1615</v>
      </c>
      <c r="K737" s="14" t="s">
        <v>1017</v>
      </c>
      <c r="L737" s="15" t="s">
        <v>27</v>
      </c>
      <c r="M737" s="29" t="s">
        <v>1120</v>
      </c>
      <c r="N737" s="57">
        <v>46174</v>
      </c>
      <c r="O737" s="15">
        <f>NETWORKDAYS.INTL(WFTracker[[#This Row],[Start date]],WFTracker[[#This Row],[RM]],1,Holidays!D741:D756)</f>
        <v>1</v>
      </c>
      <c r="P737" s="12">
        <v>46066</v>
      </c>
      <c r="Q737" s="12">
        <v>46073</v>
      </c>
      <c r="R737" s="12">
        <v>46078</v>
      </c>
      <c r="S737" s="12" t="b">
        <f>ISBLANK(WFTracker[[#This Row],[Completion Date]])</f>
        <v>0</v>
      </c>
      <c r="T737" s="12" t="str">
        <f>TEXT(WFTracker[[#This Row],[Start date]],"mmm-yyyy")</f>
        <v>Feb-2026</v>
      </c>
      <c r="U737" s="11">
        <v>10</v>
      </c>
      <c r="V737" s="11">
        <f>NETWORKDAYS.INTL(WFTracker[[#This Row],[Start date]],WFTracker[[#This Row],[Due date]],1,Holidays!D741:D756)</f>
        <v>6</v>
      </c>
      <c r="W73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37" s="24">
        <f ca="1">WFTracker[[#This Row],[Active Time]]-WFTracker[[#This Row],[Completion Days Template]]</f>
        <v>3</v>
      </c>
      <c r="Y737" s="16" t="str">
        <f ca="1" xml:space="preserve"> IF(WFTracker[[#This Row],[Overdue Time '[Expected-Completion']]]&gt;0, "LATE","ON TIME")</f>
        <v>LATE</v>
      </c>
      <c r="Z737" s="16" t="str">
        <f ca="1">IF(WFTracker[[#This Row],[Overdue Time '[Expected-Completion']]] &gt;= 15, "SUPER LATE", Y737)</f>
        <v>LATE</v>
      </c>
      <c r="AA737" s="37" t="str">
        <f>IF(WFTracker[[#This Row],[Pre RM Opening Time]]&lt;WFTracker[[#This Row],[Old vs New Order Lead Time WF dead line]], "LATE BY ENG", "ON TIME BY ENG")</f>
        <v>LATE BY ENG</v>
      </c>
      <c r="AB737" s="37"/>
      <c r="AC737" s="928" t="str" cm="1">
        <f t="array" ref="AC737">_xlfn.IFS(
    WFTracker[[#This Row],[Cancelation Cause]]&lt;&gt;"", "X",
    WFTracker[[#This Row],[Competion Date Content]] = FALSE, "C",
    TRUE, "I"
)</f>
        <v>C</v>
      </c>
      <c r="AD73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9</v>
      </c>
      <c r="AE737" s="25" t="str">
        <f ca="1">IF(WFTracker[[#This Row],[Impact Time Post RM]]&gt;0, "IMPACTED", "NOT IMPACTED")</f>
        <v>IMPACTED</v>
      </c>
      <c r="AF737" s="15"/>
      <c r="AG737" s="18"/>
      <c r="AH737" s="14" t="str">
        <f>IF(WFTracker[[#This Row],[Status]]="C", "Closed", IF(WFTracker[[#This Row],[Status]] = "x", "Cancelled", WFTracker[[#This Row],[Impact Time Post RM]]))</f>
        <v>Closed</v>
      </c>
      <c r="AI737" s="14" t="str">
        <f ca="1">IF(WFTracker[[#This Row],[Impact Time Post RM]]&lt;=0,"ON TIME","LATE")</f>
        <v>LATE</v>
      </c>
      <c r="AJ737" s="14" t="s">
        <v>984</v>
      </c>
      <c r="AK737" s="14">
        <v>18</v>
      </c>
      <c r="AL737" s="915">
        <f>IF(WFTracker[[#This Row],[Type]]="MAKE", WFTracker[[#This Row],[Due date]]+Filters!$J$111, WFTracker[[#This Row],[Due date]]+Filters!$J$135)</f>
        <v>46076.072512647552</v>
      </c>
      <c r="AM737" s="102" cm="1">
        <f t="array" ref="AM7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38" spans="1:39" ht="15" customHeight="1">
      <c r="A738" t="str">
        <f>IF(WFTracker[[#This Row],[Order Number]]="SWBD", "QED2", "PZ4")</f>
        <v>PZ4</v>
      </c>
      <c r="B738" s="21" t="s">
        <v>887</v>
      </c>
      <c r="C738" s="26" t="s">
        <v>135</v>
      </c>
      <c r="D738" s="11" t="str">
        <f>WFTracker[[#This Row],[Order Number]]  &amp; "-" &amp; WFTracker[[#This Row],[Item]]</f>
        <v>0051829783-000010</v>
      </c>
      <c r="E738" s="23" t="s">
        <v>888</v>
      </c>
      <c r="F738" s="12">
        <v>46094</v>
      </c>
      <c r="G738" s="12">
        <v>46087</v>
      </c>
      <c r="H738" s="11"/>
      <c r="I738" s="11"/>
      <c r="J738" s="55" t="s">
        <v>1616</v>
      </c>
      <c r="K738" s="14" t="s">
        <v>1023</v>
      </c>
      <c r="L738" s="15" t="s">
        <v>40</v>
      </c>
      <c r="M738" s="29" t="s">
        <v>1120</v>
      </c>
      <c r="N738" s="57">
        <v>46227</v>
      </c>
      <c r="O738" s="15">
        <f>NETWORKDAYS.INTL(WFTracker[[#This Row],[Start date]],WFTracker[[#This Row],[RM]],1,Holidays!D744:D759)</f>
        <v>21</v>
      </c>
      <c r="P738" s="12">
        <v>46066</v>
      </c>
      <c r="Q738" s="12">
        <v>46079</v>
      </c>
      <c r="R738" s="12">
        <v>46073</v>
      </c>
      <c r="S738" s="12" t="b">
        <f>ISBLANK(WFTracker[[#This Row],[Completion Date]])</f>
        <v>0</v>
      </c>
      <c r="T738" s="12" t="str">
        <f>TEXT(WFTracker[[#This Row],[Start date]],"mmm-yyyy")</f>
        <v>Feb-2026</v>
      </c>
      <c r="U738" s="11">
        <v>10</v>
      </c>
      <c r="V738" s="11">
        <f>NETWORKDAYS.INTL(WFTracker[[#This Row],[Start date]],WFTracker[[#This Row],[Due date]],1,Holidays!D744:D759)</f>
        <v>10</v>
      </c>
      <c r="W73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38" s="24">
        <f ca="1">WFTracker[[#This Row],[Active Time]]-WFTracker[[#This Row],[Completion Days Template]]</f>
        <v>-4</v>
      </c>
      <c r="Y738" s="16" t="str">
        <f ca="1" xml:space="preserve"> IF(WFTracker[[#This Row],[Overdue Time '[Expected-Completion']]]&gt;0, "LATE","ON TIME")</f>
        <v>ON TIME</v>
      </c>
      <c r="Z738" s="16" t="str">
        <f ca="1">IF(WFTracker[[#This Row],[Overdue Time '[Expected-Completion']]] &gt;= 15, "SUPER LATE", Y738)</f>
        <v>ON TIME</v>
      </c>
      <c r="AA738" s="37" t="str">
        <f>IF(WFTracker[[#This Row],[Pre RM Opening Time]]&lt;WFTracker[[#This Row],[Old vs New Order Lead Time WF dead line]], "LATE BY ENG", "ON TIME BY ENG")</f>
        <v>ON TIME BY ENG</v>
      </c>
      <c r="AB738" s="37"/>
      <c r="AC738" s="928" t="s">
        <v>1011</v>
      </c>
      <c r="AD73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738" s="25" t="str">
        <f ca="1">IF(WFTracker[[#This Row],[Impact Time Post RM]]&gt;0, "IMPACTED", "NOT IMPACTED")</f>
        <v>NOT IMPACTED</v>
      </c>
      <c r="AF738" s="15"/>
      <c r="AG738" s="18"/>
      <c r="AH738" s="14" t="str">
        <f>IF(WFTracker[[#This Row],[Status]]="C", "Closed", IF(WFTracker[[#This Row],[Status]] = "x", "Cancelled", WFTracker[[#This Row],[Impact Time Post RM]]))</f>
        <v>Cancelled</v>
      </c>
      <c r="AI738" s="14" t="str">
        <f ca="1">IF(WFTracker[[#This Row],[Impact Time Post RM]]&lt;=0,"ON TIME","LATE")</f>
        <v>ON TIME</v>
      </c>
      <c r="AJ738" s="14" t="s">
        <v>984</v>
      </c>
      <c r="AK738" s="14">
        <v>2</v>
      </c>
      <c r="AL738" s="915">
        <f>IF(WFTracker[[#This Row],[Type]]="MAKE", WFTracker[[#This Row],[Due date]]+Filters!$J$111, WFTracker[[#This Row],[Due date]]+Filters!$J$135)</f>
        <v>46079.415686274508</v>
      </c>
      <c r="AM738" s="102" cm="1">
        <f t="array" ref="AM738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739" spans="1:39" ht="15" customHeight="1">
      <c r="A739" t="str">
        <f>IF(WFTracker[[#This Row],[Order Number]]="SWBD", "QED2", "PZ4")</f>
        <v>PZ4</v>
      </c>
      <c r="B739" s="21" t="s">
        <v>887</v>
      </c>
      <c r="C739" s="26" t="s">
        <v>135</v>
      </c>
      <c r="D739" s="11" t="str">
        <f>WFTracker[[#This Row],[Order Number]]  &amp; "-" &amp; WFTracker[[#This Row],[Item]]</f>
        <v>0051829783-000010</v>
      </c>
      <c r="E739" s="23" t="s">
        <v>888</v>
      </c>
      <c r="F739" s="12">
        <v>46094</v>
      </c>
      <c r="G739" s="12">
        <v>46087</v>
      </c>
      <c r="H739" s="11" t="s">
        <v>80</v>
      </c>
      <c r="I739" s="11" t="s">
        <v>889</v>
      </c>
      <c r="J739" s="55" t="s">
        <v>1617</v>
      </c>
      <c r="K739" s="14" t="s">
        <v>1023</v>
      </c>
      <c r="L739" s="15" t="s">
        <v>40</v>
      </c>
      <c r="M739" s="29" t="s">
        <v>1120</v>
      </c>
      <c r="N739" s="57">
        <v>46227</v>
      </c>
      <c r="O739" s="15">
        <f>NETWORKDAYS.INTL(WFTracker[[#This Row],[Start date]],WFTracker[[#This Row],[RM]],1,Holidays!D745:D760)</f>
        <v>21</v>
      </c>
      <c r="P739" s="12">
        <v>46066</v>
      </c>
      <c r="Q739" s="12">
        <v>46079</v>
      </c>
      <c r="R739" s="12">
        <v>46083</v>
      </c>
      <c r="S739" s="12" t="b">
        <f>ISBLANK(WFTracker[[#This Row],[Completion Date]])</f>
        <v>0</v>
      </c>
      <c r="T739" s="12" t="str">
        <f>TEXT(WFTracker[[#This Row],[Start date]],"mmm-yyyy")</f>
        <v>Feb-2026</v>
      </c>
      <c r="U739" s="11">
        <v>10</v>
      </c>
      <c r="V739" s="11">
        <f>NETWORKDAYS.INTL(WFTracker[[#This Row],[Start date]],WFTracker[[#This Row],[Due date]],1,Holidays!D745:D760)</f>
        <v>10</v>
      </c>
      <c r="W73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739" s="24">
        <f ca="1">WFTracker[[#This Row],[Active Time]]-WFTracker[[#This Row],[Completion Days Template]]</f>
        <v>2</v>
      </c>
      <c r="Y739" s="16" t="str">
        <f ca="1" xml:space="preserve"> IF(WFTracker[[#This Row],[Overdue Time '[Expected-Completion']]]&gt;0, "LATE","ON TIME")</f>
        <v>LATE</v>
      </c>
      <c r="Z739" s="16" t="str">
        <f ca="1">IF(WFTracker[[#This Row],[Overdue Time '[Expected-Completion']]] &gt;= 15, "SUPER LATE", Y739)</f>
        <v>LATE</v>
      </c>
      <c r="AA739" s="37" t="str">
        <f>IF(WFTracker[[#This Row],[Pre RM Opening Time]]&lt;WFTracker[[#This Row],[Old vs New Order Lead Time WF dead line]], "LATE BY ENG", "ON TIME BY ENG")</f>
        <v>ON TIME BY ENG</v>
      </c>
      <c r="AB739" s="37"/>
      <c r="AC739" s="928" t="str" cm="1">
        <f t="array" ref="AC739">_xlfn.IFS(
    WFTracker[[#This Row],[Cancelation Cause]]&lt;&gt;"", "X",
    WFTracker[[#This Row],[Competion Date Content]] = FALSE, "C",
    TRUE, "I"
)</f>
        <v>C</v>
      </c>
      <c r="AD73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739" s="25" t="str">
        <f ca="1">IF(WFTracker[[#This Row],[Impact Time Post RM]]&gt;0, "IMPACTED", "NOT IMPACTED")</f>
        <v>NOT IMPACTED</v>
      </c>
      <c r="AF739" s="15"/>
      <c r="AG739" s="18"/>
      <c r="AH739" s="14" t="str">
        <f>IF(WFTracker[[#This Row],[Status]]="C", "Closed", IF(WFTracker[[#This Row],[Status]] = "x", "Cancelled", WFTracker[[#This Row],[Impact Time Post RM]]))</f>
        <v>Closed</v>
      </c>
      <c r="AI739" s="14" t="str">
        <f ca="1">IF(WFTracker[[#This Row],[Impact Time Post RM]]&lt;=0,"ON TIME","LATE")</f>
        <v>ON TIME</v>
      </c>
      <c r="AJ739" s="14" t="s">
        <v>984</v>
      </c>
      <c r="AK739" s="14">
        <v>17</v>
      </c>
      <c r="AL739" s="915">
        <f>IF(WFTracker[[#This Row],[Type]]="MAKE", WFTracker[[#This Row],[Due date]]+Filters!$J$111, WFTracker[[#This Row],[Due date]]+Filters!$J$135)</f>
        <v>46079.415686274508</v>
      </c>
      <c r="AM739" s="102" cm="1">
        <f t="array" ref="AM7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0" spans="1:39" ht="15" customHeight="1">
      <c r="A740" t="str">
        <f>IF(WFTracker[[#This Row],[Order Number]]="SWBD", "QED2", "PZ4")</f>
        <v>PZ4</v>
      </c>
      <c r="B740" s="21" t="s">
        <v>843</v>
      </c>
      <c r="C740" s="26" t="s">
        <v>844</v>
      </c>
      <c r="D740" s="11" t="str">
        <f>WFTracker[[#This Row],[Order Number]]  &amp; "-" &amp; WFTracker[[#This Row],[Item]]</f>
        <v>0051212323-010200</v>
      </c>
      <c r="E740" s="23" t="s">
        <v>1062</v>
      </c>
      <c r="F740" s="12">
        <v>46083</v>
      </c>
      <c r="G740" s="12">
        <v>46076</v>
      </c>
      <c r="H740" s="11" t="s">
        <v>1618</v>
      </c>
      <c r="I740" s="11" t="s">
        <v>24</v>
      </c>
      <c r="J740" s="55" t="s">
        <v>1619</v>
      </c>
      <c r="K740" s="14" t="s">
        <v>1017</v>
      </c>
      <c r="L740" s="15" t="s">
        <v>40</v>
      </c>
      <c r="M740" s="29" t="s">
        <v>1120</v>
      </c>
      <c r="N740" s="57">
        <v>46230</v>
      </c>
      <c r="O740" s="15">
        <f>NETWORKDAYS.INTL(WFTracker[[#This Row],[Start date]],WFTracker[[#This Row],[RM]],1,Holidays!D801:D816)</f>
        <v>3</v>
      </c>
      <c r="P740" s="12">
        <v>46079</v>
      </c>
      <c r="Q740" s="12">
        <v>46093</v>
      </c>
      <c r="R740" s="12">
        <v>46086</v>
      </c>
      <c r="S740" s="12" t="b">
        <f>ISBLANK(WFTracker[[#This Row],[Completion Date]])</f>
        <v>0</v>
      </c>
      <c r="T740" s="12" t="str">
        <f>TEXT(WFTracker[[#This Row],[Start date]],"mmm-yyyy")</f>
        <v>Feb-2026</v>
      </c>
      <c r="U740" s="11">
        <v>10</v>
      </c>
      <c r="V740" s="11">
        <f>NETWORKDAYS.INTL(WFTracker[[#This Row],[Start date]],WFTracker[[#This Row],[Due date]],1,Holidays!D801:D816)</f>
        <v>11</v>
      </c>
      <c r="W74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40" s="24">
        <f ca="1">WFTracker[[#This Row],[Active Time]]-WFTracker[[#This Row],[Completion Days Template]]</f>
        <v>-5</v>
      </c>
      <c r="Y740" s="16" t="str">
        <f ca="1" xml:space="preserve"> IF(WFTracker[[#This Row],[Overdue Time '[Expected-Completion']]]&gt;0, "LATE","ON TIME")</f>
        <v>ON TIME</v>
      </c>
      <c r="Z740" s="16" t="str">
        <f ca="1">IF(WFTracker[[#This Row],[Overdue Time '[Expected-Completion']]] &gt;= 15, "SUPER LATE", Y740)</f>
        <v>ON TIME</v>
      </c>
      <c r="AA740" s="37" t="str">
        <f>IF(WFTracker[[#This Row],[Pre RM Opening Time]]&lt;WFTracker[[#This Row],[Old vs New Order Lead Time WF dead line]], "LATE BY ENG", "ON TIME BY ENG")</f>
        <v>LATE BY ENG</v>
      </c>
      <c r="AB740" s="37"/>
      <c r="AC740" s="928" t="str" cm="1">
        <f t="array" ref="AC740">_xlfn.IFS(
    WFTracker[[#This Row],[Cancelation Cause]]&lt;&gt;"", "X",
    WFTracker[[#This Row],[Competion Date Content]] = FALSE, "C",
    TRUE, "I"
)</f>
        <v>C</v>
      </c>
      <c r="AD74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740" s="25" t="str">
        <f ca="1">IF(WFTracker[[#This Row],[Impact Time Post RM]]&gt;0, "IMPACTED", "NOT IMPACTED")</f>
        <v>IMPACTED</v>
      </c>
      <c r="AF740" s="15"/>
      <c r="AG740" s="18"/>
      <c r="AH740" s="14" t="str">
        <f>IF(WFTracker[[#This Row],[Status]]="C", "Closed", IF(WFTracker[[#This Row],[Status]] = "x", "Cancelled", WFTracker[[#This Row],[Impact Time Post RM]]))</f>
        <v>Closed</v>
      </c>
      <c r="AI740" s="14" t="str">
        <f ca="1">IF(WFTracker[[#This Row],[Impact Time Post RM]]&lt;=0,"ON TIME","LATE")</f>
        <v>LATE</v>
      </c>
      <c r="AJ740" s="14" t="s">
        <v>984</v>
      </c>
      <c r="AK740" s="14">
        <v>17</v>
      </c>
      <c r="AL740" s="915">
        <f>IF(WFTracker[[#This Row],[Type]]="MAKE", WFTracker[[#This Row],[Due date]]+Filters!$J$111, WFTracker[[#This Row],[Due date]]+Filters!$J$135)</f>
        <v>46093.415686274508</v>
      </c>
      <c r="AM740" s="102" cm="1">
        <f t="array" ref="AM74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1" spans="1:39" ht="15" customHeight="1">
      <c r="A741" t="str">
        <f>IF(WFTracker[[#This Row],[Order Number]]="SWBD", "QED2", "PZ4")</f>
        <v>PZ4</v>
      </c>
      <c r="B741" s="21" t="s">
        <v>944</v>
      </c>
      <c r="C741" s="26" t="s">
        <v>945</v>
      </c>
      <c r="D741" s="11" t="str">
        <f>WFTracker[[#This Row],[Order Number]]  &amp; "-" &amp; WFTracker[[#This Row],[Item]]</f>
        <v>0051035589-000210</v>
      </c>
      <c r="E741" s="23" t="s">
        <v>1029</v>
      </c>
      <c r="F741" s="12">
        <v>46087</v>
      </c>
      <c r="G741" s="12">
        <v>46078</v>
      </c>
      <c r="H741" s="11" t="s">
        <v>947</v>
      </c>
      <c r="I741" s="11" t="s">
        <v>593</v>
      </c>
      <c r="J741" s="55" t="s">
        <v>1620</v>
      </c>
      <c r="K741" s="14" t="s">
        <v>1023</v>
      </c>
      <c r="L741" s="15" t="s">
        <v>27</v>
      </c>
      <c r="M741" s="29" t="s">
        <v>1120</v>
      </c>
      <c r="N741" s="57">
        <v>46197</v>
      </c>
      <c r="O741" s="15">
        <f>NETWORKDAYS.INTL(WFTracker[[#This Row],[Start date]],WFTracker[[#This Row],[RM]],1,Holidays!D809:D824)</f>
        <v>5</v>
      </c>
      <c r="P741" s="12">
        <v>46083</v>
      </c>
      <c r="Q741" s="12">
        <v>46092</v>
      </c>
      <c r="R741" s="12">
        <v>46090</v>
      </c>
      <c r="S741" s="12" t="b">
        <f>ISBLANK(WFTracker[[#This Row],[Completion Date]])</f>
        <v>0</v>
      </c>
      <c r="T741" s="12" t="str">
        <f>TEXT(WFTracker[[#This Row],[Start date]],"mmm-yyyy")</f>
        <v>Mar-2026</v>
      </c>
      <c r="U741" s="11">
        <v>10</v>
      </c>
      <c r="V741" s="11">
        <f>NETWORKDAYS.INTL(WFTracker[[#This Row],[Start date]],WFTracker[[#This Row],[Due date]],1,Holidays!D809:D824)</f>
        <v>8</v>
      </c>
      <c r="W7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41" s="24">
        <f ca="1">WFTracker[[#This Row],[Active Time]]-WFTracker[[#This Row],[Completion Days Template]]</f>
        <v>-2</v>
      </c>
      <c r="Y741" s="16" t="str">
        <f ca="1" xml:space="preserve"> IF(WFTracker[[#This Row],[Overdue Time '[Expected-Completion']]]&gt;0, "LATE","ON TIME")</f>
        <v>ON TIME</v>
      </c>
      <c r="Z741" s="16" t="str">
        <f ca="1">IF(WFTracker[[#This Row],[Overdue Time '[Expected-Completion']]] &gt;= 15, "SUPER LATE", Y741)</f>
        <v>ON TIME</v>
      </c>
      <c r="AA741" s="37" t="str">
        <f>IF(WFTracker[[#This Row],[Pre RM Opening Time]]&lt;WFTracker[[#This Row],[Old vs New Order Lead Time WF dead line]], "LATE BY ENG", "ON TIME BY ENG")</f>
        <v>LATE BY ENG</v>
      </c>
      <c r="AB741" s="37"/>
      <c r="AC741" s="928" t="str" cm="1">
        <f t="array" ref="AC741">_xlfn.IFS(
    WFTracker[[#This Row],[Cancelation Cause]]&lt;&gt;"", "X",
    WFTracker[[#This Row],[Competion Date Content]] = FALSE, "C",
    TRUE, "I"
)</f>
        <v>C</v>
      </c>
      <c r="AD7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741" s="25" t="str">
        <f ca="1">IF(WFTracker[[#This Row],[Impact Time Post RM]]&gt;0, "IMPACTED", "NOT IMPACTED")</f>
        <v>IMPACTED</v>
      </c>
      <c r="AF741" s="15"/>
      <c r="AG741" s="18"/>
      <c r="AH741" s="14" t="str">
        <f>IF(WFTracker[[#This Row],[Status]]="C", "Closed", IF(WFTracker[[#This Row],[Status]] = "x", "Cancelled", WFTracker[[#This Row],[Impact Time Post RM]]))</f>
        <v>Closed</v>
      </c>
      <c r="AI741" s="14" t="str">
        <f ca="1">IF(WFTracker[[#This Row],[Impact Time Post RM]]&lt;=0,"ON TIME","LATE")</f>
        <v>LATE</v>
      </c>
      <c r="AJ741" s="14" t="s">
        <v>984</v>
      </c>
      <c r="AK741" s="14">
        <v>18</v>
      </c>
      <c r="AL741" s="915">
        <f>IF(WFTracker[[#This Row],[Type]]="MAKE", WFTracker[[#This Row],[Due date]]+Filters!$J$111, WFTracker[[#This Row],[Due date]]+Filters!$J$135)</f>
        <v>46095.072512647552</v>
      </c>
      <c r="AM741" s="102" cm="1">
        <f t="array" ref="AM74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2" spans="1:39" ht="15" customHeight="1">
      <c r="A742" t="str">
        <f>IF(WFTracker[[#This Row],[Order Number]]="SWBD", "QED2", "PZ4")</f>
        <v>PZ4</v>
      </c>
      <c r="B742" s="21" t="s">
        <v>1621</v>
      </c>
      <c r="C742" s="26" t="s">
        <v>352</v>
      </c>
      <c r="D742" s="11" t="str">
        <f>WFTracker[[#This Row],[Order Number]]  &amp; "-" &amp; WFTracker[[#This Row],[Item]]</f>
        <v>0051428029-000290</v>
      </c>
      <c r="E742" s="23" t="s">
        <v>1622</v>
      </c>
      <c r="F742" s="12">
        <v>46080</v>
      </c>
      <c r="G742" s="12">
        <v>46069</v>
      </c>
      <c r="H742" s="11" t="s">
        <v>36</v>
      </c>
      <c r="I742" s="11" t="s">
        <v>216</v>
      </c>
      <c r="J742" s="55" t="s">
        <v>1623</v>
      </c>
      <c r="K742" s="14" t="s">
        <v>1023</v>
      </c>
      <c r="L742" s="15" t="s">
        <v>40</v>
      </c>
      <c r="M742" s="29" t="s">
        <v>1120</v>
      </c>
      <c r="N742" s="57">
        <v>46172</v>
      </c>
      <c r="O742" s="15">
        <f>NETWORKDAYS.INTL(WFTracker[[#This Row],[Start date]],WFTracker[[#This Row],[RM]],1,Holidays!D746:D761)</f>
        <v>10</v>
      </c>
      <c r="P742" s="12">
        <v>46068</v>
      </c>
      <c r="Q742" s="12">
        <v>46079</v>
      </c>
      <c r="R742" s="12">
        <v>46079</v>
      </c>
      <c r="S742" s="12" t="b">
        <f>ISBLANK(WFTracker[[#This Row],[Completion Date]])</f>
        <v>0</v>
      </c>
      <c r="T742" s="12" t="str">
        <f>TEXT(WFTracker[[#This Row],[Start date]],"mmm-yyyy")</f>
        <v>Feb-2026</v>
      </c>
      <c r="U742" s="11">
        <v>10</v>
      </c>
      <c r="V742" s="11">
        <f>NETWORKDAYS.INTL(WFTracker[[#This Row],[Start date]],WFTracker[[#This Row],[Due date]],1,Holidays!D746:D761)</f>
        <v>9</v>
      </c>
      <c r="W7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42" s="24">
        <f ca="1">WFTracker[[#This Row],[Active Time]]-WFTracker[[#This Row],[Completion Days Template]]</f>
        <v>0</v>
      </c>
      <c r="Y742" s="16" t="str">
        <f ca="1" xml:space="preserve"> IF(WFTracker[[#This Row],[Overdue Time '[Expected-Completion']]]&gt;0, "LATE","ON TIME")</f>
        <v>ON TIME</v>
      </c>
      <c r="Z742" s="16" t="str">
        <f ca="1">IF(WFTracker[[#This Row],[Overdue Time '[Expected-Completion']]] &gt;= 15, "SUPER LATE", Y742)</f>
        <v>ON TIME</v>
      </c>
      <c r="AA742" s="37" t="str">
        <f>IF(WFTracker[[#This Row],[Pre RM Opening Time]]&lt;WFTracker[[#This Row],[Old vs New Order Lead Time WF dead line]], "LATE BY ENG", "ON TIME BY ENG")</f>
        <v>ON TIME BY ENG</v>
      </c>
      <c r="AB742" s="37"/>
      <c r="AC742" s="928" t="str" cm="1">
        <f t="array" ref="AC742">_xlfn.IFS(
    WFTracker[[#This Row],[Cancelation Cause]]&lt;&gt;"", "X",
    WFTracker[[#This Row],[Competion Date Content]] = FALSE, "C",
    TRUE, "I"
)</f>
        <v>C</v>
      </c>
      <c r="AD7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742" s="25" t="str">
        <f ca="1">IF(WFTracker[[#This Row],[Impact Time Post RM]]&gt;0, "IMPACTED", "NOT IMPACTED")</f>
        <v>NOT IMPACTED</v>
      </c>
      <c r="AF742" s="15"/>
      <c r="AG742" s="18"/>
      <c r="AH742" s="14" t="str">
        <f>IF(WFTracker[[#This Row],[Status]]="C", "Closed", IF(WFTracker[[#This Row],[Status]] = "x", "Cancelled", WFTracker[[#This Row],[Impact Time Post RM]]))</f>
        <v>Closed</v>
      </c>
      <c r="AI742" s="14" t="str">
        <f ca="1">IF(WFTracker[[#This Row],[Impact Time Post RM]]&lt;=0,"ON TIME","LATE")</f>
        <v>ON TIME</v>
      </c>
      <c r="AJ742" s="14" t="s">
        <v>984</v>
      </c>
      <c r="AK742" s="14">
        <v>16</v>
      </c>
      <c r="AL742" s="915">
        <f>IF(WFTracker[[#This Row],[Type]]="MAKE", WFTracker[[#This Row],[Due date]]+Filters!$J$111, WFTracker[[#This Row],[Due date]]+Filters!$J$135)</f>
        <v>46079.415686274508</v>
      </c>
      <c r="AM742" s="102" cm="1">
        <f t="array" ref="AM742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743" spans="1:39" ht="15" customHeight="1">
      <c r="A743" t="str">
        <f>IF(WFTracker[[#This Row],[Order Number]]="SWBD", "QED2", "PZ4")</f>
        <v>PZ4</v>
      </c>
      <c r="B743" s="21" t="s">
        <v>843</v>
      </c>
      <c r="C743" s="26" t="s">
        <v>849</v>
      </c>
      <c r="D743" s="11" t="str">
        <f>WFTracker[[#This Row],[Order Number]]  &amp; "-" &amp; WFTracker[[#This Row],[Item]]</f>
        <v>0051212323-010170</v>
      </c>
      <c r="E743" s="23" t="s">
        <v>1062</v>
      </c>
      <c r="F743" s="12">
        <v>46083</v>
      </c>
      <c r="G743" s="12">
        <v>46076</v>
      </c>
      <c r="H743" s="11" t="s">
        <v>1624</v>
      </c>
      <c r="I743" s="11" t="s">
        <v>264</v>
      </c>
      <c r="J743" s="55" t="s">
        <v>1625</v>
      </c>
      <c r="K743" s="14" t="s">
        <v>1023</v>
      </c>
      <c r="L743" s="15" t="s">
        <v>27</v>
      </c>
      <c r="M743" s="29" t="s">
        <v>1120</v>
      </c>
      <c r="N743" s="57">
        <v>46244</v>
      </c>
      <c r="O743" s="15">
        <f>NETWORKDAYS.INTL(WFTracker[[#This Row],[Start date]],WFTracker[[#This Row],[RM]],1,Holidays!D747:D762)</f>
        <v>11</v>
      </c>
      <c r="P743" s="12">
        <v>46069</v>
      </c>
      <c r="Q743" s="12">
        <v>46076</v>
      </c>
      <c r="R743" s="12">
        <v>46078</v>
      </c>
      <c r="S743" s="12" t="b">
        <f>ISBLANK(WFTracker[[#This Row],[Completion Date]])</f>
        <v>0</v>
      </c>
      <c r="T743" s="12" t="str">
        <f>TEXT(WFTracker[[#This Row],[Start date]],"mmm-yyyy")</f>
        <v>Feb-2026</v>
      </c>
      <c r="U743" s="11">
        <v>10</v>
      </c>
      <c r="V743" s="11">
        <f>NETWORKDAYS.INTL(WFTracker[[#This Row],[Start date]],WFTracker[[#This Row],[Due date]],1,Holidays!D747:D762)</f>
        <v>6</v>
      </c>
      <c r="W7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43" s="24">
        <f ca="1">WFTracker[[#This Row],[Active Time]]-WFTracker[[#This Row],[Completion Days Template]]</f>
        <v>2</v>
      </c>
      <c r="Y743" s="16" t="str">
        <f ca="1" xml:space="preserve"> IF(WFTracker[[#This Row],[Overdue Time '[Expected-Completion']]]&gt;0, "LATE","ON TIME")</f>
        <v>LATE</v>
      </c>
      <c r="Z743" s="16" t="str">
        <f ca="1">IF(WFTracker[[#This Row],[Overdue Time '[Expected-Completion']]] &gt;= 15, "SUPER LATE", Y743)</f>
        <v>LATE</v>
      </c>
      <c r="AA743" s="37" t="str">
        <f>IF(WFTracker[[#This Row],[Pre RM Opening Time]]&lt;WFTracker[[#This Row],[Old vs New Order Lead Time WF dead line]], "LATE BY ENG", "ON TIME BY ENG")</f>
        <v>ON TIME BY ENG</v>
      </c>
      <c r="AB743" s="37"/>
      <c r="AC743" s="928" t="str" cm="1">
        <f t="array" ref="AC743">_xlfn.IFS(
    WFTracker[[#This Row],[Cancelation Cause]]&lt;&gt;"", "X",
    WFTracker[[#This Row],[Competion Date Content]] = FALSE, "C",
    TRUE, "I"
)</f>
        <v>C</v>
      </c>
      <c r="AD7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43" s="25" t="str">
        <f ca="1">IF(WFTracker[[#This Row],[Impact Time Post RM]]&gt;0, "IMPACTED", "NOT IMPACTED")</f>
        <v>NOT IMPACTED</v>
      </c>
      <c r="AF743" s="15"/>
      <c r="AG743" s="18"/>
      <c r="AH743" s="14" t="str">
        <f>IF(WFTracker[[#This Row],[Status]]="C", "Closed", IF(WFTracker[[#This Row],[Status]] = "x", "Cancelled", WFTracker[[#This Row],[Impact Time Post RM]]))</f>
        <v>Closed</v>
      </c>
      <c r="AI743" s="14" t="str">
        <f ca="1">IF(WFTracker[[#This Row],[Impact Time Post RM]]&lt;=0,"ON TIME","LATE")</f>
        <v>ON TIME</v>
      </c>
      <c r="AJ743" s="14" t="s">
        <v>984</v>
      </c>
      <c r="AK743" s="14">
        <v>18</v>
      </c>
      <c r="AL743" s="915">
        <f>IF(WFTracker[[#This Row],[Type]]="MAKE", WFTracker[[#This Row],[Due date]]+Filters!$J$111, WFTracker[[#This Row],[Due date]]+Filters!$J$135)</f>
        <v>46079.072512647552</v>
      </c>
      <c r="AM743" s="102" cm="1">
        <f t="array" ref="AM74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4" spans="1:39" ht="15" customHeight="1">
      <c r="A744" t="str">
        <f>IF(WFTracker[[#This Row],[Order Number]]="SWBD", "QED2", "PZ4")</f>
        <v>PZ4</v>
      </c>
      <c r="B744" s="21" t="s">
        <v>843</v>
      </c>
      <c r="C744" s="26" t="s">
        <v>849</v>
      </c>
      <c r="D744" s="11" t="str">
        <f>WFTracker[[#This Row],[Order Number]]  &amp; "-" &amp; WFTracker[[#This Row],[Item]]</f>
        <v>0051212323-010170</v>
      </c>
      <c r="E744" s="23" t="s">
        <v>1062</v>
      </c>
      <c r="F744" s="12">
        <v>46083</v>
      </c>
      <c r="G744" s="12">
        <v>46076</v>
      </c>
      <c r="H744" s="11" t="s">
        <v>1624</v>
      </c>
      <c r="I744" s="11" t="s">
        <v>264</v>
      </c>
      <c r="J744" s="55" t="s">
        <v>1626</v>
      </c>
      <c r="K744" s="14" t="s">
        <v>1023</v>
      </c>
      <c r="L744" s="15" t="s">
        <v>27</v>
      </c>
      <c r="M744" s="29" t="s">
        <v>1120</v>
      </c>
      <c r="N744" s="57">
        <v>46244</v>
      </c>
      <c r="O744" s="15">
        <f>NETWORKDAYS.INTL(WFTracker[[#This Row],[Start date]],WFTracker[[#This Row],[RM]],1,Holidays!D749:D764)</f>
        <v>11</v>
      </c>
      <c r="P744" s="12">
        <v>46069</v>
      </c>
      <c r="Q744" s="12">
        <v>46076</v>
      </c>
      <c r="R744" s="12">
        <v>46076</v>
      </c>
      <c r="S744" s="12" t="b">
        <f>ISBLANK(WFTracker[[#This Row],[Completion Date]])</f>
        <v>0</v>
      </c>
      <c r="T744" s="12" t="str">
        <f>TEXT(WFTracker[[#This Row],[Start date]],"mmm-yyyy")</f>
        <v>Feb-2026</v>
      </c>
      <c r="U744" s="11">
        <v>10</v>
      </c>
      <c r="V744" s="11">
        <f>NETWORKDAYS.INTL(WFTracker[[#This Row],[Start date]],WFTracker[[#This Row],[Due date]],1,Holidays!D749:D764)</f>
        <v>6</v>
      </c>
      <c r="W7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44" s="24">
        <f ca="1">WFTracker[[#This Row],[Active Time]]-WFTracker[[#This Row],[Completion Days Template]]</f>
        <v>0</v>
      </c>
      <c r="Y744" s="16" t="str">
        <f ca="1" xml:space="preserve"> IF(WFTracker[[#This Row],[Overdue Time '[Expected-Completion']]]&gt;0, "LATE","ON TIME")</f>
        <v>ON TIME</v>
      </c>
      <c r="Z744" s="16" t="str">
        <f ca="1">IF(WFTracker[[#This Row],[Overdue Time '[Expected-Completion']]] &gt;= 15, "SUPER LATE", Y744)</f>
        <v>ON TIME</v>
      </c>
      <c r="AA744" s="37" t="str">
        <f>IF(WFTracker[[#This Row],[Pre RM Opening Time]]&lt;WFTracker[[#This Row],[Old vs New Order Lead Time WF dead line]], "LATE BY ENG", "ON TIME BY ENG")</f>
        <v>ON TIME BY ENG</v>
      </c>
      <c r="AB744" s="37"/>
      <c r="AC744" s="928" t="str" cm="1">
        <f t="array" ref="AC744">_xlfn.IFS(
    WFTracker[[#This Row],[Cancelation Cause]]&lt;&gt;"", "X",
    WFTracker[[#This Row],[Competion Date Content]] = FALSE, "C",
    TRUE, "I"
)</f>
        <v>C</v>
      </c>
      <c r="AD7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744" s="25" t="str">
        <f ca="1">IF(WFTracker[[#This Row],[Impact Time Post RM]]&gt;0, "IMPACTED", "NOT IMPACTED")</f>
        <v>NOT IMPACTED</v>
      </c>
      <c r="AF744" s="15"/>
      <c r="AG744" s="18"/>
      <c r="AH744" s="14" t="str">
        <f>IF(WFTracker[[#This Row],[Status]]="C", "Closed", IF(WFTracker[[#This Row],[Status]] = "x", "Cancelled", WFTracker[[#This Row],[Impact Time Post RM]]))</f>
        <v>Closed</v>
      </c>
      <c r="AI744" s="14" t="str">
        <f ca="1">IF(WFTracker[[#This Row],[Impact Time Post RM]]&lt;=0,"ON TIME","LATE")</f>
        <v>ON TIME</v>
      </c>
      <c r="AJ744" s="14" t="s">
        <v>984</v>
      </c>
      <c r="AK744" s="14">
        <v>18</v>
      </c>
      <c r="AL744" s="915">
        <f>IF(WFTracker[[#This Row],[Type]]="MAKE", WFTracker[[#This Row],[Due date]]+Filters!$J$111, WFTracker[[#This Row],[Due date]]+Filters!$J$135)</f>
        <v>46079.072512647552</v>
      </c>
      <c r="AM744" s="102" cm="1">
        <f t="array" ref="AM74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5" spans="1:39" ht="15" customHeight="1">
      <c r="A745" t="str">
        <f>IF(WFTracker[[#This Row],[Order Number]]="SWBD", "QED2", "PZ4")</f>
        <v>PZ4</v>
      </c>
      <c r="B745" s="21" t="s">
        <v>843</v>
      </c>
      <c r="C745" s="26" t="s">
        <v>849</v>
      </c>
      <c r="D745" s="11" t="str">
        <f>WFTracker[[#This Row],[Order Number]]  &amp; "-" &amp; WFTracker[[#This Row],[Item]]</f>
        <v>0051212323-010170</v>
      </c>
      <c r="E745" s="23" t="s">
        <v>1062</v>
      </c>
      <c r="F745" s="12">
        <v>46083</v>
      </c>
      <c r="G745" s="12">
        <v>46076</v>
      </c>
      <c r="H745" s="11" t="s">
        <v>1624</v>
      </c>
      <c r="I745" s="11" t="s">
        <v>264</v>
      </c>
      <c r="J745" s="55" t="s">
        <v>860</v>
      </c>
      <c r="K745" s="14" t="s">
        <v>1017</v>
      </c>
      <c r="L745" s="15" t="s">
        <v>27</v>
      </c>
      <c r="M745" s="29" t="s">
        <v>1120</v>
      </c>
      <c r="N745" s="57">
        <v>46244</v>
      </c>
      <c r="O745" s="15">
        <f>NETWORKDAYS.INTL(WFTracker[[#This Row],[Start date]],WFTracker[[#This Row],[RM]],1,Holidays!D751:D766)</f>
        <v>11</v>
      </c>
      <c r="P745" s="12">
        <v>46069</v>
      </c>
      <c r="Q745" s="12">
        <v>46076</v>
      </c>
      <c r="R745" s="12">
        <v>46073</v>
      </c>
      <c r="S745" s="12" t="b">
        <f>ISBLANK(WFTracker[[#This Row],[Completion Date]])</f>
        <v>0</v>
      </c>
      <c r="T745" s="12" t="str">
        <f>TEXT(WFTracker[[#This Row],[Start date]],"mmm-yyyy")</f>
        <v>Feb-2026</v>
      </c>
      <c r="U745" s="11">
        <v>10</v>
      </c>
      <c r="V745" s="11">
        <f>NETWORKDAYS.INTL(WFTracker[[#This Row],[Start date]],WFTracker[[#This Row],[Due date]],1,Holidays!D751:D766)</f>
        <v>6</v>
      </c>
      <c r="W7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45" s="24">
        <f ca="1">WFTracker[[#This Row],[Active Time]]-WFTracker[[#This Row],[Completion Days Template]]</f>
        <v>-1</v>
      </c>
      <c r="Y745" s="16" t="str">
        <f ca="1" xml:space="preserve"> IF(WFTracker[[#This Row],[Overdue Time '[Expected-Completion']]]&gt;0, "LATE","ON TIME")</f>
        <v>ON TIME</v>
      </c>
      <c r="Z745" s="16" t="str">
        <f ca="1">IF(WFTracker[[#This Row],[Overdue Time '[Expected-Completion']]] &gt;= 15, "SUPER LATE", Y745)</f>
        <v>ON TIME</v>
      </c>
      <c r="AA745" s="37" t="str">
        <f>IF(WFTracker[[#This Row],[Pre RM Opening Time]]&lt;WFTracker[[#This Row],[Old vs New Order Lead Time WF dead line]], "LATE BY ENG", "ON TIME BY ENG")</f>
        <v>ON TIME BY ENG</v>
      </c>
      <c r="AB745" s="37"/>
      <c r="AC745" s="928" t="str" cm="1">
        <f t="array" ref="AC745">_xlfn.IFS(
    WFTracker[[#This Row],[Cancelation Cause]]&lt;&gt;"", "X",
    WFTracker[[#This Row],[Competion Date Content]] = FALSE, "C",
    TRUE, "I"
)</f>
        <v>C</v>
      </c>
      <c r="AD7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745" s="25" t="str">
        <f ca="1">IF(WFTracker[[#This Row],[Impact Time Post RM]]&gt;0, "IMPACTED", "NOT IMPACTED")</f>
        <v>NOT IMPACTED</v>
      </c>
      <c r="AF745" s="15"/>
      <c r="AG745" s="18"/>
      <c r="AH745" s="14" t="str">
        <f>IF(WFTracker[[#This Row],[Status]]="C", "Closed", IF(WFTracker[[#This Row],[Status]] = "x", "Cancelled", WFTracker[[#This Row],[Impact Time Post RM]]))</f>
        <v>Closed</v>
      </c>
      <c r="AI745" s="14" t="str">
        <f ca="1">IF(WFTracker[[#This Row],[Impact Time Post RM]]&lt;=0,"ON TIME","LATE")</f>
        <v>ON TIME</v>
      </c>
      <c r="AJ745" s="14" t="s">
        <v>984</v>
      </c>
      <c r="AK745" s="14">
        <v>18</v>
      </c>
      <c r="AL745" s="915">
        <f>IF(WFTracker[[#This Row],[Type]]="MAKE", WFTracker[[#This Row],[Due date]]+Filters!$J$111, WFTracker[[#This Row],[Due date]]+Filters!$J$135)</f>
        <v>46079.072512647552</v>
      </c>
      <c r="AM745" s="102" cm="1">
        <f t="array" ref="AM74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46" spans="1:39" ht="15" customHeight="1">
      <c r="A746" t="str">
        <f>IF(WFTracker[[#This Row],[Order Number]]="SWBD", "QED2", "PZ4")</f>
        <v>PZ4</v>
      </c>
      <c r="B746" s="21" t="s">
        <v>843</v>
      </c>
      <c r="C746" s="26" t="s">
        <v>849</v>
      </c>
      <c r="D746" s="11" t="str">
        <f>WFTracker[[#This Row],[Order Number]]  &amp; "-" &amp; WFTracker[[#This Row],[Item]]</f>
        <v>0051212323-010170</v>
      </c>
      <c r="E746" s="23" t="s">
        <v>1062</v>
      </c>
      <c r="F746" s="12">
        <v>46083</v>
      </c>
      <c r="G746" s="12">
        <v>46076</v>
      </c>
      <c r="H746" s="11" t="s">
        <v>1624</v>
      </c>
      <c r="I746" s="11" t="s">
        <v>264</v>
      </c>
      <c r="J746" s="55" t="s">
        <v>861</v>
      </c>
      <c r="K746" s="14" t="s">
        <v>1017</v>
      </c>
      <c r="L746" s="15" t="s">
        <v>40</v>
      </c>
      <c r="M746" s="29" t="s">
        <v>1120</v>
      </c>
      <c r="N746" s="57">
        <v>46244</v>
      </c>
      <c r="O746" s="15">
        <f>NETWORKDAYS.INTL(WFTracker[[#This Row],[Start date]],WFTracker[[#This Row],[RM]],1,Holidays!D750:D765)</f>
        <v>11</v>
      </c>
      <c r="P746" s="12">
        <v>46069</v>
      </c>
      <c r="Q746" s="12">
        <v>46079</v>
      </c>
      <c r="R746" s="12">
        <v>46079</v>
      </c>
      <c r="S746" s="12" t="b">
        <f>ISBLANK(WFTracker[[#This Row],[Completion Date]])</f>
        <v>0</v>
      </c>
      <c r="T746" s="12" t="str">
        <f>TEXT(WFTracker[[#This Row],[Start date]],"mmm-yyyy")</f>
        <v>Feb-2026</v>
      </c>
      <c r="U746" s="11">
        <v>10</v>
      </c>
      <c r="V746" s="11">
        <f>NETWORKDAYS.INTL(WFTracker[[#This Row],[Start date]],WFTracker[[#This Row],[Due date]],1,Holidays!D750:D765)</f>
        <v>9</v>
      </c>
      <c r="W7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46" s="24">
        <f ca="1">WFTracker[[#This Row],[Active Time]]-WFTracker[[#This Row],[Completion Days Template]]</f>
        <v>0</v>
      </c>
      <c r="Y746" s="16" t="str">
        <f ca="1" xml:space="preserve"> IF(WFTracker[[#This Row],[Overdue Time '[Expected-Completion']]]&gt;0, "LATE","ON TIME")</f>
        <v>ON TIME</v>
      </c>
      <c r="Z746" s="16" t="str">
        <f ca="1">IF(WFTracker[[#This Row],[Overdue Time '[Expected-Completion']]] &gt;= 15, "SUPER LATE", Y746)</f>
        <v>ON TIME</v>
      </c>
      <c r="AA746" s="37" t="str">
        <f>IF(WFTracker[[#This Row],[Pre RM Opening Time]]&lt;WFTracker[[#This Row],[Old vs New Order Lead Time WF dead line]], "LATE BY ENG", "ON TIME BY ENG")</f>
        <v>ON TIME BY ENG</v>
      </c>
      <c r="AB746" s="37"/>
      <c r="AC746" s="928" t="str" cm="1">
        <f t="array" ref="AC746">_xlfn.IFS(
    WFTracker[[#This Row],[Cancelation Cause]]&lt;&gt;"", "X",
    WFTracker[[#This Row],[Competion Date Content]] = FALSE, "C",
    TRUE, "I"
)</f>
        <v>C</v>
      </c>
      <c r="AD7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46" s="25" t="str">
        <f ca="1">IF(WFTracker[[#This Row],[Impact Time Post RM]]&gt;0, "IMPACTED", "NOT IMPACTED")</f>
        <v>NOT IMPACTED</v>
      </c>
      <c r="AF746" s="15"/>
      <c r="AG746" s="18"/>
      <c r="AH746" s="14" t="str">
        <f>IF(WFTracker[[#This Row],[Status]]="C", "Closed", IF(WFTracker[[#This Row],[Status]] = "x", "Cancelled", WFTracker[[#This Row],[Impact Time Post RM]]))</f>
        <v>Closed</v>
      </c>
      <c r="AI746" s="14" t="str">
        <f ca="1">IF(WFTracker[[#This Row],[Impact Time Post RM]]&lt;=0,"ON TIME","LATE")</f>
        <v>ON TIME</v>
      </c>
      <c r="AJ746" s="14" t="s">
        <v>984</v>
      </c>
      <c r="AK746" s="14">
        <v>15</v>
      </c>
      <c r="AL746" s="915">
        <f>IF(WFTracker[[#This Row],[Type]]="MAKE", WFTracker[[#This Row],[Due date]]+Filters!$J$111, WFTracker[[#This Row],[Due date]]+Filters!$J$135)</f>
        <v>46079.415686274508</v>
      </c>
      <c r="AM746" s="102" cm="1">
        <f t="array" ref="AM746">_xlfn.IFS(WFTracker[[#This Row],[Type]]="BUY", WFTracker[[#This Row],[Task Number]]/17,
     WFTracker[[#This Row],[Type]]="MAKE", WFTracker[[#This Row],[Task Number]]/18,
     WFTracker[[#This Row],[Type]]="CNG-BOM", WFTracker[[#This Row],[Task Number]]/11)</f>
        <v>0.88235294117647056</v>
      </c>
    </row>
    <row r="747" spans="1:39" ht="15" customHeight="1">
      <c r="A747" t="str">
        <f>IF(WFTracker[[#This Row],[Order Number]]="SWBD", "QED2", "PZ4")</f>
        <v>PZ4</v>
      </c>
      <c r="B747" s="21" t="s">
        <v>843</v>
      </c>
      <c r="C747" s="26" t="s">
        <v>849</v>
      </c>
      <c r="D747" s="11" t="str">
        <f>WFTracker[[#This Row],[Order Number]]  &amp; "-" &amp; WFTracker[[#This Row],[Item]]</f>
        <v>0051212323-010170</v>
      </c>
      <c r="E747" s="21" t="s">
        <v>1062</v>
      </c>
      <c r="F747" s="12">
        <v>46083</v>
      </c>
      <c r="G747" s="12">
        <v>46076</v>
      </c>
      <c r="H747" s="11" t="s">
        <v>1624</v>
      </c>
      <c r="I747" s="11" t="s">
        <v>264</v>
      </c>
      <c r="J747" s="55" t="s">
        <v>1627</v>
      </c>
      <c r="K747" s="14" t="s">
        <v>1023</v>
      </c>
      <c r="L747" s="15" t="s">
        <v>40</v>
      </c>
      <c r="M747" s="29" t="s">
        <v>1120</v>
      </c>
      <c r="N747" s="57">
        <v>46244</v>
      </c>
      <c r="O747" s="15">
        <f>NETWORKDAYS.INTL(WFTracker[[#This Row],[Start date]],WFTracker[[#This Row],[RM]],1,Holidays!D752:D767)</f>
        <v>11</v>
      </c>
      <c r="P747" s="12">
        <v>46069</v>
      </c>
      <c r="Q747" s="12">
        <v>46079</v>
      </c>
      <c r="R747" s="12">
        <v>46079</v>
      </c>
      <c r="S747" s="12" t="b">
        <f>ISBLANK(WFTracker[[#This Row],[Completion Date]])</f>
        <v>0</v>
      </c>
      <c r="T747" s="12" t="str">
        <f>TEXT(WFTracker[[#This Row],[Start date]],"mmm-yyyy")</f>
        <v>Feb-2026</v>
      </c>
      <c r="U747" s="11">
        <v>10</v>
      </c>
      <c r="V747" s="11">
        <f>NETWORKDAYS.INTL(WFTracker[[#This Row],[Start date]],WFTracker[[#This Row],[Due date]],1,Holidays!D752:D767)</f>
        <v>9</v>
      </c>
      <c r="W7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47" s="24">
        <f ca="1">WFTracker[[#This Row],[Active Time]]-WFTracker[[#This Row],[Completion Days Template]]</f>
        <v>0</v>
      </c>
      <c r="Y747" s="16" t="str">
        <f ca="1" xml:space="preserve"> IF(WFTracker[[#This Row],[Overdue Time '[Expected-Completion']]]&gt;0, "LATE","ON TIME")</f>
        <v>ON TIME</v>
      </c>
      <c r="Z747" s="16" t="str">
        <f ca="1">IF(WFTracker[[#This Row],[Overdue Time '[Expected-Completion']]] &gt;= 15, "SUPER LATE", Y747)</f>
        <v>ON TIME</v>
      </c>
      <c r="AA747" s="37" t="str">
        <f>IF(WFTracker[[#This Row],[Pre RM Opening Time]]&lt;WFTracker[[#This Row],[Old vs New Order Lead Time WF dead line]], "LATE BY ENG", "ON TIME BY ENG")</f>
        <v>ON TIME BY ENG</v>
      </c>
      <c r="AB747" s="37"/>
      <c r="AC747" s="928" t="str" cm="1">
        <f t="array" ref="AC747">_xlfn.IFS(
    WFTracker[[#This Row],[Cancelation Cause]]&lt;&gt;"", "X",
    WFTracker[[#This Row],[Competion Date Content]] = FALSE, "C",
    TRUE, "I"
)</f>
        <v>C</v>
      </c>
      <c r="AD7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47" s="25" t="str">
        <f ca="1">IF(WFTracker[[#This Row],[Impact Time Post RM]]&gt;0, "IMPACTED", "NOT IMPACTED")</f>
        <v>NOT IMPACTED</v>
      </c>
      <c r="AF747" s="15"/>
      <c r="AG747" s="18"/>
      <c r="AH747" s="14" t="str">
        <f>IF(WFTracker[[#This Row],[Status]]="C", "Closed", IF(WFTracker[[#This Row],[Status]] = "x", "Cancelled", WFTracker[[#This Row],[Impact Time Post RM]]))</f>
        <v>Closed</v>
      </c>
      <c r="AI747" s="14" t="str">
        <f ca="1">IF(WFTracker[[#This Row],[Impact Time Post RM]]&lt;=0,"ON TIME","LATE")</f>
        <v>ON TIME</v>
      </c>
      <c r="AJ747" s="14" t="s">
        <v>984</v>
      </c>
      <c r="AK747" s="14">
        <v>15</v>
      </c>
      <c r="AL747" s="915">
        <f>IF(WFTracker[[#This Row],[Type]]="MAKE", WFTracker[[#This Row],[Due date]]+Filters!$J$111, WFTracker[[#This Row],[Due date]]+Filters!$J$135)</f>
        <v>46079.415686274508</v>
      </c>
      <c r="AM747" s="102" cm="1">
        <f t="array" ref="AM747">_xlfn.IFS(WFTracker[[#This Row],[Type]]="BUY", WFTracker[[#This Row],[Task Number]]/17,
     WFTracker[[#This Row],[Type]]="MAKE", WFTracker[[#This Row],[Task Number]]/18,
     WFTracker[[#This Row],[Type]]="CNG-BOM", WFTracker[[#This Row],[Task Number]]/11)</f>
        <v>0.88235294117647056</v>
      </c>
    </row>
    <row r="748" spans="1:39" ht="15" customHeight="1">
      <c r="A748" t="str">
        <f>IF(WFTracker[[#This Row],[Order Number]]="SWBD", "QED2", "PZ4")</f>
        <v>PZ4</v>
      </c>
      <c r="B748" s="891" t="s">
        <v>1506</v>
      </c>
      <c r="C748" s="26" t="s">
        <v>97</v>
      </c>
      <c r="D748" s="11" t="str">
        <f>WFTracker[[#This Row],[Order Number]]  &amp; "-" &amp; WFTracker[[#This Row],[Item]]</f>
        <v xml:space="preserve">
0051436816-000130</v>
      </c>
      <c r="E748" s="23" t="s">
        <v>437</v>
      </c>
      <c r="F748" s="12">
        <v>46018</v>
      </c>
      <c r="G748" s="12">
        <v>46010</v>
      </c>
      <c r="H748" s="11" t="s">
        <v>113</v>
      </c>
      <c r="I748" s="11" t="s">
        <v>241</v>
      </c>
      <c r="J748" s="1051" t="s">
        <v>1628</v>
      </c>
      <c r="K748" s="14" t="s">
        <v>1023</v>
      </c>
      <c r="L748" s="15" t="s">
        <v>40</v>
      </c>
      <c r="M748" s="29" t="s">
        <v>1120</v>
      </c>
      <c r="N748" s="57">
        <v>46227</v>
      </c>
      <c r="O748" s="15">
        <f>NETWORKDAYS.INTL(WFTracker[[#This Row],[Start date]],WFTracker[[#This Row],[RM]],1,Holidays!D759:D774)</f>
        <v>-37</v>
      </c>
      <c r="P748" s="12">
        <v>46070</v>
      </c>
      <c r="Q748" s="12">
        <v>46080</v>
      </c>
      <c r="R748" s="12">
        <v>46079</v>
      </c>
      <c r="S748" s="12" t="b">
        <f>ISBLANK(WFTracker[[#This Row],[Completion Date]])</f>
        <v>0</v>
      </c>
      <c r="T748" s="12" t="str">
        <f>TEXT(WFTracker[[#This Row],[Start date]],"mmm-yyyy")</f>
        <v>Feb-2026</v>
      </c>
      <c r="U748" s="11">
        <v>10</v>
      </c>
      <c r="V748" s="11">
        <f>NETWORKDAYS.INTL(WFTracker[[#This Row],[Start date]],WFTracker[[#This Row],[Due date]],1,Holidays!D759:D774)</f>
        <v>9</v>
      </c>
      <c r="W7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48" s="24">
        <f ca="1">WFTracker[[#This Row],[Active Time]]-WFTracker[[#This Row],[Completion Days Template]]</f>
        <v>-1</v>
      </c>
      <c r="Y748" s="16" t="str">
        <f ca="1" xml:space="preserve"> IF(WFTracker[[#This Row],[Overdue Time '[Expected-Completion']]]&gt;0, "LATE","ON TIME")</f>
        <v>ON TIME</v>
      </c>
      <c r="Z748" s="16" t="str">
        <f ca="1">IF(WFTracker[[#This Row],[Overdue Time '[Expected-Completion']]] &gt;= 15, "SUPER LATE", Y748)</f>
        <v>ON TIME</v>
      </c>
      <c r="AA748" s="37" t="str">
        <f>IF(WFTracker[[#This Row],[Pre RM Opening Time]]&lt;WFTracker[[#This Row],[Old vs New Order Lead Time WF dead line]], "LATE BY ENG", "ON TIME BY ENG")</f>
        <v>LATE BY ENG</v>
      </c>
      <c r="AB748" s="37"/>
      <c r="AC748" s="928" t="str" cm="1">
        <f t="array" ref="AC748">_xlfn.IFS(
    WFTracker[[#This Row],[Cancelation Cause]]&lt;&gt;"", "X",
    WFTracker[[#This Row],[Competion Date Content]] = FALSE, "C",
    TRUE, "I"
)</f>
        <v>C</v>
      </c>
      <c r="AD7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43</v>
      </c>
      <c r="AE748" s="25" t="str">
        <f ca="1">IF(WFTracker[[#This Row],[Impact Time Post RM]]&gt;0, "IMPACTED", "NOT IMPACTED")</f>
        <v>IMPACTED</v>
      </c>
      <c r="AF748" s="15"/>
      <c r="AG748" s="18"/>
      <c r="AH748" s="14" t="str">
        <f>IF(WFTracker[[#This Row],[Status]]="C", "Closed", IF(WFTracker[[#This Row],[Status]] = "x", "Cancelled", WFTracker[[#This Row],[Impact Time Post RM]]))</f>
        <v>Closed</v>
      </c>
      <c r="AI748" s="14" t="str">
        <f ca="1">IF(WFTracker[[#This Row],[Impact Time Post RM]]&lt;=0,"ON TIME","LATE")</f>
        <v>LATE</v>
      </c>
      <c r="AJ748" s="14" t="s">
        <v>984</v>
      </c>
      <c r="AK748" s="14">
        <v>16</v>
      </c>
      <c r="AL748" s="915">
        <f>IF(WFTracker[[#This Row],[Type]]="MAKE", WFTracker[[#This Row],[Due date]]+Filters!$J$111, WFTracker[[#This Row],[Due date]]+Filters!$J$135)</f>
        <v>46080.415686274508</v>
      </c>
      <c r="AM748" s="102" cm="1">
        <f t="array" ref="AM748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749" spans="1:39" ht="15" customHeight="1">
      <c r="A749" t="str">
        <f>IF(WFTracker[[#This Row],[Order Number]]="SWBD", "QED2", "PZ4")</f>
        <v>PZ4</v>
      </c>
      <c r="B749" s="891" t="s">
        <v>1629</v>
      </c>
      <c r="C749" s="26" t="s">
        <v>135</v>
      </c>
      <c r="D749" s="11" t="str">
        <f>WFTracker[[#This Row],[Order Number]]  &amp; "-" &amp; WFTracker[[#This Row],[Item]]</f>
        <v xml:space="preserve">
0051848516-000010</v>
      </c>
      <c r="E749" s="23" t="s">
        <v>1630</v>
      </c>
      <c r="F749" s="12">
        <v>46087</v>
      </c>
      <c r="G749" s="12">
        <v>46080</v>
      </c>
      <c r="H749" s="11" t="s">
        <v>36</v>
      </c>
      <c r="I749" s="11" t="s">
        <v>732</v>
      </c>
      <c r="J749" s="55" t="s">
        <v>1631</v>
      </c>
      <c r="K749" s="14" t="s">
        <v>1023</v>
      </c>
      <c r="L749" s="15" t="s">
        <v>40</v>
      </c>
      <c r="M749" s="29" t="s">
        <v>1120</v>
      </c>
      <c r="N749" s="57">
        <v>46203</v>
      </c>
      <c r="O749" s="15">
        <f>NETWORKDAYS.INTL(WFTracker[[#This Row],[Start date]],WFTracker[[#This Row],[RM]],1,Holidays!D756:D771)</f>
        <v>14</v>
      </c>
      <c r="P749" s="1060">
        <v>46070</v>
      </c>
      <c r="Q749" s="12">
        <v>46080</v>
      </c>
      <c r="R749" s="12">
        <v>46080</v>
      </c>
      <c r="S749" s="12" t="b">
        <f>ISBLANK(WFTracker[[#This Row],[Completion Date]])</f>
        <v>0</v>
      </c>
      <c r="T749" s="12" t="str">
        <f>TEXT(WFTracker[[#This Row],[Start date]],"mmm-yyyy")</f>
        <v>Feb-2026</v>
      </c>
      <c r="U749" s="11">
        <v>10</v>
      </c>
      <c r="V749" s="11">
        <f>NETWORKDAYS.INTL(WFTracker[[#This Row],[Start date]],WFTracker[[#This Row],[Due date]],1,Holidays!D756:D771)</f>
        <v>9</v>
      </c>
      <c r="W7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49" s="24">
        <f ca="1">WFTracker[[#This Row],[Active Time]]-WFTracker[[#This Row],[Completion Days Template]]</f>
        <v>0</v>
      </c>
      <c r="Y749" s="16" t="str">
        <f ca="1" xml:space="preserve"> IF(WFTracker[[#This Row],[Overdue Time '[Expected-Completion']]]&gt;0, "LATE","ON TIME")</f>
        <v>ON TIME</v>
      </c>
      <c r="Z749" s="16" t="str">
        <f ca="1">IF(WFTracker[[#This Row],[Overdue Time '[Expected-Completion']]] &gt;= 15, "SUPER LATE", Y749)</f>
        <v>ON TIME</v>
      </c>
      <c r="AA749" s="37" t="str">
        <f>IF(WFTracker[[#This Row],[Pre RM Opening Time]]&lt;WFTracker[[#This Row],[Old vs New Order Lead Time WF dead line]], "LATE BY ENG", "ON TIME BY ENG")</f>
        <v>ON TIME BY ENG</v>
      </c>
      <c r="AB749" s="37"/>
      <c r="AC749" s="928" t="str" cm="1">
        <f t="array" ref="AC749">_xlfn.IFS(
    WFTracker[[#This Row],[Cancelation Cause]]&lt;&gt;"", "X",
    WFTracker[[#This Row],[Competion Date Content]] = FALSE, "C",
    TRUE, "I"
)</f>
        <v>C</v>
      </c>
      <c r="AD7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749" s="25" t="str">
        <f ca="1">IF(WFTracker[[#This Row],[Impact Time Post RM]]&gt;0, "IMPACTED", "NOT IMPACTED")</f>
        <v>NOT IMPACTED</v>
      </c>
      <c r="AF749" s="15"/>
      <c r="AG749" s="18"/>
      <c r="AH749" s="14" t="str">
        <f>IF(WFTracker[[#This Row],[Status]]="C", "Closed", IF(WFTracker[[#This Row],[Status]] = "x", "Cancelled", WFTracker[[#This Row],[Impact Time Post RM]]))</f>
        <v>Closed</v>
      </c>
      <c r="AI749" s="14" t="str">
        <f ca="1">IF(WFTracker[[#This Row],[Impact Time Post RM]]&lt;=0,"ON TIME","LATE")</f>
        <v>ON TIME</v>
      </c>
      <c r="AJ749" s="14" t="s">
        <v>984</v>
      </c>
      <c r="AK749" s="14">
        <v>17</v>
      </c>
      <c r="AL749" s="915">
        <f>IF(WFTracker[[#This Row],[Type]]="MAKE", WFTracker[[#This Row],[Due date]]+Filters!$J$111, WFTracker[[#This Row],[Due date]]+Filters!$J$135)</f>
        <v>46080.415686274508</v>
      </c>
      <c r="AM749" s="102" cm="1">
        <f t="array" ref="AM74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0" spans="1:39" ht="15" customHeight="1">
      <c r="A750" t="str">
        <f>IF(WFTracker[[#This Row],[Order Number]]="SWBD", "QED2", "PZ4")</f>
        <v>PZ4</v>
      </c>
      <c r="B750" s="21" t="s">
        <v>944</v>
      </c>
      <c r="C750" s="26" t="s">
        <v>945</v>
      </c>
      <c r="D750" s="11" t="str">
        <f>WFTracker[[#This Row],[Order Number]]  &amp; "-" &amp; WFTracker[[#This Row],[Item]]</f>
        <v>0051035589-000210</v>
      </c>
      <c r="E750" s="23" t="s">
        <v>1029</v>
      </c>
      <c r="F750" s="12">
        <v>46087</v>
      </c>
      <c r="G750" s="12">
        <v>46078</v>
      </c>
      <c r="H750" s="11" t="s">
        <v>947</v>
      </c>
      <c r="I750" s="11" t="s">
        <v>593</v>
      </c>
      <c r="J750" s="55" t="s">
        <v>1632</v>
      </c>
      <c r="K750" s="14" t="s">
        <v>1023</v>
      </c>
      <c r="L750" s="15" t="s">
        <v>40</v>
      </c>
      <c r="M750" s="29" t="s">
        <v>1120</v>
      </c>
      <c r="N750" s="57">
        <v>46197</v>
      </c>
      <c r="O750" s="15">
        <f>NETWORKDAYS.INTL(WFTracker[[#This Row],[Start date]],WFTracker[[#This Row],[RM]],1,Holidays!D811:D826)</f>
        <v>5</v>
      </c>
      <c r="P750" s="27">
        <v>46083</v>
      </c>
      <c r="Q750" s="12">
        <v>46093</v>
      </c>
      <c r="R750" s="12">
        <v>46090</v>
      </c>
      <c r="S750" s="12" t="b">
        <f>ISBLANK(WFTracker[[#This Row],[Completion Date]])</f>
        <v>0</v>
      </c>
      <c r="T750" s="12" t="str">
        <f>TEXT(WFTracker[[#This Row],[Start date]],"mmm-yyyy")</f>
        <v>Mar-2026</v>
      </c>
      <c r="U750" s="11">
        <v>10</v>
      </c>
      <c r="V750" s="11">
        <f>NETWORKDAYS.INTL(WFTracker[[#This Row],[Start date]],WFTracker[[#This Row],[Due date]],1,Holidays!D811:D826)</f>
        <v>9</v>
      </c>
      <c r="W7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50" s="24">
        <f ca="1">WFTracker[[#This Row],[Active Time]]-WFTracker[[#This Row],[Completion Days Template]]</f>
        <v>-3</v>
      </c>
      <c r="Y750" s="16" t="str">
        <f ca="1" xml:space="preserve"> IF(WFTracker[[#This Row],[Overdue Time '[Expected-Completion']]]&gt;0, "LATE","ON TIME")</f>
        <v>ON TIME</v>
      </c>
      <c r="Z750" s="16" t="str">
        <f ca="1">IF(WFTracker[[#This Row],[Overdue Time '[Expected-Completion']]] &gt;= 15, "SUPER LATE", Y750)</f>
        <v>ON TIME</v>
      </c>
      <c r="AA750" s="37" t="str">
        <f>IF(WFTracker[[#This Row],[Pre RM Opening Time]]&lt;WFTracker[[#This Row],[Old vs New Order Lead Time WF dead line]], "LATE BY ENG", "ON TIME BY ENG")</f>
        <v>LATE BY ENG</v>
      </c>
      <c r="AB750" s="37"/>
      <c r="AC750" s="928" t="str" cm="1">
        <f t="array" ref="AC750">_xlfn.IFS(
    WFTracker[[#This Row],[Cancelation Cause]]&lt;&gt;"", "X",
    WFTracker[[#This Row],[Competion Date Content]] = FALSE, "C",
    TRUE, "I"
)</f>
        <v>C</v>
      </c>
      <c r="AD7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2</v>
      </c>
      <c r="AE750" s="25" t="str">
        <f ca="1">IF(WFTracker[[#This Row],[Impact Time Post RM]]&gt;0, "IMPACTED", "NOT IMPACTED")</f>
        <v>IMPACTED</v>
      </c>
      <c r="AF750" s="15"/>
      <c r="AG750" s="18"/>
      <c r="AH750" s="14" t="str">
        <f>IF(WFTracker[[#This Row],[Status]]="C", "Closed", IF(WFTracker[[#This Row],[Status]] = "x", "Cancelled", WFTracker[[#This Row],[Impact Time Post RM]]))</f>
        <v>Closed</v>
      </c>
      <c r="AI750" s="14" t="str">
        <f ca="1">IF(WFTracker[[#This Row],[Impact Time Post RM]]&lt;=0,"ON TIME","LATE")</f>
        <v>LATE</v>
      </c>
      <c r="AJ750" s="14" t="s">
        <v>984</v>
      </c>
      <c r="AK750" s="14">
        <v>16</v>
      </c>
      <c r="AL750" s="915">
        <f>IF(WFTracker[[#This Row],[Type]]="MAKE", WFTracker[[#This Row],[Due date]]+Filters!$J$111, WFTracker[[#This Row],[Due date]]+Filters!$J$135)</f>
        <v>46093.415686274508</v>
      </c>
      <c r="AM750" s="102" cm="1">
        <f t="array" ref="AM750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751" spans="1:39" ht="15" customHeight="1">
      <c r="A751" t="str">
        <f>IF(WFTracker[[#This Row],[Order Number]]="SWBD", "QED2", "PZ4")</f>
        <v>PZ4</v>
      </c>
      <c r="B751" s="21" t="s">
        <v>447</v>
      </c>
      <c r="C751" s="26" t="s">
        <v>219</v>
      </c>
      <c r="D751" s="11" t="str">
        <f>WFTracker[[#This Row],[Order Number]]  &amp; "-" &amp; WFTracker[[#This Row],[Item]]</f>
        <v>0051536680-000120</v>
      </c>
      <c r="E751" s="23" t="s">
        <v>621</v>
      </c>
      <c r="F751" s="12">
        <v>46094</v>
      </c>
      <c r="G751" s="12"/>
      <c r="H751" s="11" t="s">
        <v>24</v>
      </c>
      <c r="I751" s="11" t="s">
        <v>264</v>
      </c>
      <c r="J751" s="55" t="s">
        <v>909</v>
      </c>
      <c r="K751" s="14" t="s">
        <v>1017</v>
      </c>
      <c r="L751" s="15" t="s">
        <v>27</v>
      </c>
      <c r="M751" s="29" t="s">
        <v>1120</v>
      </c>
      <c r="N751" s="57">
        <v>46188</v>
      </c>
      <c r="O751" s="15">
        <f>NETWORKDAYS.INTL(WFTracker[[#This Row],[Start date]],WFTracker[[#This Row],[RM]],1,Holidays!D803:D818)</f>
        <v>12</v>
      </c>
      <c r="P751" s="12">
        <v>46079</v>
      </c>
      <c r="Q751" s="12">
        <v>46090</v>
      </c>
      <c r="R751" s="12">
        <v>46085</v>
      </c>
      <c r="S751" s="12" t="b">
        <f>ISBLANK(WFTracker[[#This Row],[Completion Date]])</f>
        <v>0</v>
      </c>
      <c r="T751" s="12" t="str">
        <f>TEXT(WFTracker[[#This Row],[Start date]],"mmm-yyyy")</f>
        <v>Feb-2026</v>
      </c>
      <c r="U751" s="11">
        <v>10</v>
      </c>
      <c r="V751" s="11">
        <f>NETWORKDAYS.INTL(WFTracker[[#This Row],[Start date]],WFTracker[[#This Row],[Due date]],1,Holidays!D803:D818)</f>
        <v>8</v>
      </c>
      <c r="W7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751" s="24">
        <f ca="1">WFTracker[[#This Row],[Active Time]]-WFTracker[[#This Row],[Completion Days Template]]</f>
        <v>-3</v>
      </c>
      <c r="Y751" s="16" t="str">
        <f ca="1" xml:space="preserve"> IF(WFTracker[[#This Row],[Overdue Time '[Expected-Completion']]]&gt;0, "LATE","ON TIME")</f>
        <v>ON TIME</v>
      </c>
      <c r="Z751" s="16" t="str">
        <f ca="1">IF(WFTracker[[#This Row],[Overdue Time '[Expected-Completion']]] &gt;= 15, "SUPER LATE", Y751)</f>
        <v>ON TIME</v>
      </c>
      <c r="AA751" s="37" t="str">
        <f>IF(WFTracker[[#This Row],[Pre RM Opening Time]]&lt;WFTracker[[#This Row],[Old vs New Order Lead Time WF dead line]], "LATE BY ENG", "ON TIME BY ENG")</f>
        <v>ON TIME BY ENG</v>
      </c>
      <c r="AB751" s="37"/>
      <c r="AC751" s="928" t="str" cm="1">
        <f t="array" ref="AC751">_xlfn.IFS(
    WFTracker[[#This Row],[Cancelation Cause]]&lt;&gt;"", "X",
    WFTracker[[#This Row],[Competion Date Content]] = FALSE, "C",
    TRUE, "I"
)</f>
        <v>C</v>
      </c>
      <c r="AD7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751" s="25" t="str">
        <f ca="1">IF(WFTracker[[#This Row],[Impact Time Post RM]]&gt;0, "IMPACTED", "NOT IMPACTED")</f>
        <v>NOT IMPACTED</v>
      </c>
      <c r="AF751" s="15"/>
      <c r="AG751" s="18"/>
      <c r="AH751" s="14" t="str">
        <f>IF(WFTracker[[#This Row],[Status]]="C", "Closed", IF(WFTracker[[#This Row],[Status]] = "x", "Cancelled", WFTracker[[#This Row],[Impact Time Post RM]]))</f>
        <v>Closed</v>
      </c>
      <c r="AI751" s="14" t="str">
        <f ca="1">IF(WFTracker[[#This Row],[Impact Time Post RM]]&lt;=0,"ON TIME","LATE")</f>
        <v>ON TIME</v>
      </c>
      <c r="AJ751" s="14" t="s">
        <v>984</v>
      </c>
      <c r="AK751" s="14">
        <v>18</v>
      </c>
      <c r="AL751" s="915">
        <f>IF(WFTracker[[#This Row],[Type]]="MAKE", WFTracker[[#This Row],[Due date]]+Filters!$J$111, WFTracker[[#This Row],[Due date]]+Filters!$J$135)</f>
        <v>46093.072512647552</v>
      </c>
      <c r="AM751" s="102" cm="1">
        <f t="array" ref="AM75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2" spans="1:39" ht="15" customHeight="1">
      <c r="A752" t="str">
        <f>IF(WFTracker[[#This Row],[Order Number]]="SWBD", "QED2", "PZ4")</f>
        <v>PZ4</v>
      </c>
      <c r="B752" s="21" t="s">
        <v>905</v>
      </c>
      <c r="C752" s="26" t="s">
        <v>214</v>
      </c>
      <c r="D752" s="11" t="str">
        <f>WFTracker[[#This Row],[Order Number]]  &amp; "-" &amp; WFTracker[[#This Row],[Item]]</f>
        <v>0051631924-000020</v>
      </c>
      <c r="E752" s="23" t="s">
        <v>1633</v>
      </c>
      <c r="F752" s="12">
        <v>46094</v>
      </c>
      <c r="G752" s="12">
        <v>46090</v>
      </c>
      <c r="H752" s="11" t="s">
        <v>113</v>
      </c>
      <c r="I752" s="11" t="s">
        <v>732</v>
      </c>
      <c r="J752" s="55" t="s">
        <v>1634</v>
      </c>
      <c r="K752" s="14" t="s">
        <v>1023</v>
      </c>
      <c r="L752" s="15" t="s">
        <v>27</v>
      </c>
      <c r="M752" s="29" t="s">
        <v>1120</v>
      </c>
      <c r="N752" s="57">
        <v>46203</v>
      </c>
      <c r="O752" s="15">
        <f>NETWORKDAYS.INTL(WFTracker[[#This Row],[Start date]],WFTracker[[#This Row],[RM]],1,Holidays!D787:D802)</f>
        <v>13</v>
      </c>
      <c r="P752" s="12">
        <v>46078</v>
      </c>
      <c r="Q752" s="12">
        <v>46085</v>
      </c>
      <c r="R752" s="12">
        <v>46085</v>
      </c>
      <c r="S752" s="12" t="b">
        <f>ISBLANK(WFTracker[[#This Row],[Completion Date]])</f>
        <v>0</v>
      </c>
      <c r="T752" s="12" t="str">
        <f>TEXT(WFTracker[[#This Row],[Start date]],"mmm-yyyy")</f>
        <v>Feb-2026</v>
      </c>
      <c r="U752" s="11">
        <v>10</v>
      </c>
      <c r="V752" s="11">
        <f>NETWORKDAYS.INTL(WFTracker[[#This Row],[Start date]],WFTracker[[#This Row],[Due date]],1,Holidays!D787:D802)</f>
        <v>6</v>
      </c>
      <c r="W7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52" s="24">
        <f ca="1">WFTracker[[#This Row],[Active Time]]-WFTracker[[#This Row],[Completion Days Template]]</f>
        <v>0</v>
      </c>
      <c r="Y752" s="16" t="str">
        <f ca="1" xml:space="preserve"> IF(WFTracker[[#This Row],[Overdue Time '[Expected-Completion']]]&gt;0, "LATE","ON TIME")</f>
        <v>ON TIME</v>
      </c>
      <c r="Z752" s="16" t="str">
        <f ca="1">IF(WFTracker[[#This Row],[Overdue Time '[Expected-Completion']]] &gt;= 15, "SUPER LATE", Y752)</f>
        <v>ON TIME</v>
      </c>
      <c r="AA752" s="37" t="str">
        <f>IF(WFTracker[[#This Row],[Pre RM Opening Time]]&lt;WFTracker[[#This Row],[Old vs New Order Lead Time WF dead line]], "LATE BY ENG", "ON TIME BY ENG")</f>
        <v>ON TIME BY ENG</v>
      </c>
      <c r="AB752" s="37"/>
      <c r="AC752" s="928" t="str" cm="1">
        <f t="array" ref="AC752">_xlfn.IFS(
    WFTracker[[#This Row],[Cancelation Cause]]&lt;&gt;"", "X",
    WFTracker[[#This Row],[Competion Date Content]] = FALSE, "C",
    TRUE, "I"
)</f>
        <v>C</v>
      </c>
      <c r="AD7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752" s="25" t="str">
        <f ca="1">IF(WFTracker[[#This Row],[Impact Time Post RM]]&gt;0, "IMPACTED", "NOT IMPACTED")</f>
        <v>NOT IMPACTED</v>
      </c>
      <c r="AF752" s="15"/>
      <c r="AG752" s="18"/>
      <c r="AH752" s="14" t="str">
        <f>IF(WFTracker[[#This Row],[Status]]="C", "Closed", IF(WFTracker[[#This Row],[Status]] = "x", "Cancelled", WFTracker[[#This Row],[Impact Time Post RM]]))</f>
        <v>Closed</v>
      </c>
      <c r="AI752" s="14" t="str">
        <f ca="1">IF(WFTracker[[#This Row],[Impact Time Post RM]]&lt;=0,"ON TIME","LATE")</f>
        <v>ON TIME</v>
      </c>
      <c r="AJ752" s="14" t="s">
        <v>984</v>
      </c>
      <c r="AK752" s="14">
        <v>18</v>
      </c>
      <c r="AL752" s="915">
        <f>IF(WFTracker[[#This Row],[Type]]="MAKE", WFTracker[[#This Row],[Due date]]+Filters!$J$111, WFTracker[[#This Row],[Due date]]+Filters!$J$135)</f>
        <v>46088.072512647552</v>
      </c>
      <c r="AM752" s="102" cm="1">
        <f t="array" ref="AM75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3" spans="1:39" ht="15" customHeight="1">
      <c r="A753" t="str">
        <f>IF(WFTracker[[#This Row],[Order Number]]="SWBD", "QED2", "PZ4")</f>
        <v>PZ4</v>
      </c>
      <c r="B753" s="891" t="s">
        <v>1635</v>
      </c>
      <c r="C753" s="26" t="s">
        <v>135</v>
      </c>
      <c r="D753" s="11" t="str">
        <f>WFTracker[[#This Row],[Order Number]]  &amp; "-" &amp; WFTracker[[#This Row],[Item]]</f>
        <v xml:space="preserve">
0051829783-000010</v>
      </c>
      <c r="E753" s="23" t="s">
        <v>888</v>
      </c>
      <c r="F753" s="12">
        <v>46094</v>
      </c>
      <c r="G753" s="12">
        <v>46087</v>
      </c>
      <c r="H753" s="11" t="s">
        <v>80</v>
      </c>
      <c r="I753" s="11" t="s">
        <v>889</v>
      </c>
      <c r="J753" s="55" t="s">
        <v>1636</v>
      </c>
      <c r="K753" s="14" t="s">
        <v>1023</v>
      </c>
      <c r="L753" s="15" t="s">
        <v>40</v>
      </c>
      <c r="M753" s="29" t="s">
        <v>1120</v>
      </c>
      <c r="N753" s="57">
        <v>46227</v>
      </c>
      <c r="O753" s="15">
        <f>NETWORKDAYS.INTL(WFTracker[[#This Row],[Start date]],WFTracker[[#This Row],[RM]],1,Holidays!D742:D757)</f>
        <v>21</v>
      </c>
      <c r="P753" s="12">
        <v>46066</v>
      </c>
      <c r="Q753" s="12">
        <v>46079</v>
      </c>
      <c r="R753" s="12">
        <v>46099</v>
      </c>
      <c r="S753" s="12" t="b">
        <f>ISBLANK(WFTracker[[#This Row],[Completion Date]])</f>
        <v>0</v>
      </c>
      <c r="T753" s="12" t="str">
        <f>TEXT(WFTracker[[#This Row],[Start date]],"mmm-yyyy")</f>
        <v>Feb-2026</v>
      </c>
      <c r="U753" s="11">
        <v>10</v>
      </c>
      <c r="V753" s="11">
        <f>NETWORKDAYS.INTL(WFTracker[[#This Row],[Start date]],WFTracker[[#This Row],[Due date]],1,Holidays!D742:D757)</f>
        <v>10</v>
      </c>
      <c r="W7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24</v>
      </c>
      <c r="X753" s="24">
        <f ca="1">WFTracker[[#This Row],[Active Time]]-WFTracker[[#This Row],[Completion Days Template]]</f>
        <v>14</v>
      </c>
      <c r="Y753" s="16" t="str">
        <f ca="1" xml:space="preserve"> IF(WFTracker[[#This Row],[Overdue Time '[Expected-Completion']]]&gt;0, "LATE","ON TIME")</f>
        <v>LATE</v>
      </c>
      <c r="Z753" s="16" t="str">
        <f ca="1">IF(WFTracker[[#This Row],[Overdue Time '[Expected-Completion']]] &gt;= 15, "SUPER LATE", Y753)</f>
        <v>LATE</v>
      </c>
      <c r="AA753" s="37" t="str">
        <f>IF(WFTracker[[#This Row],[Pre RM Opening Time]]&lt;WFTracker[[#This Row],[Old vs New Order Lead Time WF dead line]], "LATE BY ENG", "ON TIME BY ENG")</f>
        <v>ON TIME BY ENG</v>
      </c>
      <c r="AB753" s="37"/>
      <c r="AC753" s="928" t="str" cm="1">
        <f t="array" ref="AC753">_xlfn.IFS(
    WFTracker[[#This Row],[Cancelation Cause]]&lt;&gt;"", "X",
    WFTracker[[#This Row],[Competion Date Content]] = FALSE, "C",
    TRUE, "I"
)</f>
        <v>C</v>
      </c>
      <c r="AD7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753" s="25" t="str">
        <f ca="1">IF(WFTracker[[#This Row],[Impact Time Post RM]]&gt;0, "IMPACTED", "NOT IMPACTED")</f>
        <v>IMPACTED</v>
      </c>
      <c r="AF753" s="15"/>
      <c r="AG753" s="18"/>
      <c r="AH753" s="14" t="str">
        <f>IF(WFTracker[[#This Row],[Status]]="C", "Closed", IF(WFTracker[[#This Row],[Status]] = "x", "Cancelled", WFTracker[[#This Row],[Impact Time Post RM]]))</f>
        <v>Closed</v>
      </c>
      <c r="AI753" s="14" t="str">
        <f ca="1">IF(WFTracker[[#This Row],[Impact Time Post RM]]&lt;=0,"ON TIME","LATE")</f>
        <v>LATE</v>
      </c>
      <c r="AJ753" s="14" t="s">
        <v>981</v>
      </c>
      <c r="AK753" s="14">
        <v>17</v>
      </c>
      <c r="AL753" s="915">
        <f>IF(WFTracker[[#This Row],[Type]]="MAKE", WFTracker[[#This Row],[Due date]]+Filters!$J$111, WFTracker[[#This Row],[Due date]]+Filters!$J$135)</f>
        <v>46079.415686274508</v>
      </c>
      <c r="AM753" s="102" cm="1">
        <f t="array" ref="AM75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4" spans="1:39" ht="15" customHeight="1">
      <c r="A754" t="str">
        <f>IF(WFTracker[[#This Row],[Order Number]]="SWBD", "QED2", "PZ4")</f>
        <v>PZ4</v>
      </c>
      <c r="B754" s="21" t="s">
        <v>650</v>
      </c>
      <c r="C754" s="26" t="s">
        <v>656</v>
      </c>
      <c r="D754" s="11" t="str">
        <f>WFTracker[[#This Row],[Order Number]]  &amp; "-" &amp; WFTracker[[#This Row],[Item]]</f>
        <v>0051095105-000400</v>
      </c>
      <c r="E754" s="23" t="s">
        <v>652</v>
      </c>
      <c r="F754" s="12">
        <v>46000</v>
      </c>
      <c r="G754" s="12"/>
      <c r="H754" s="11" t="s">
        <v>80</v>
      </c>
      <c r="I754" s="11" t="s">
        <v>186</v>
      </c>
      <c r="J754" s="55" t="s">
        <v>1637</v>
      </c>
      <c r="K754" s="14" t="s">
        <v>1023</v>
      </c>
      <c r="L754" s="15" t="s">
        <v>40</v>
      </c>
      <c r="M754" s="29" t="s">
        <v>1120</v>
      </c>
      <c r="N754" s="57">
        <v>46073</v>
      </c>
      <c r="O754" s="15">
        <f>NETWORKDAYS.INTL(WFTracker[[#This Row],[Start date]],WFTracker[[#This Row],[RM]],1,Holidays!D761:D776)</f>
        <v>-52</v>
      </c>
      <c r="P754" s="12">
        <v>46071</v>
      </c>
      <c r="Q754" s="12">
        <v>46083</v>
      </c>
      <c r="R754" s="12">
        <v>46079</v>
      </c>
      <c r="S754" s="12" t="b">
        <f>ISBLANK(WFTracker[[#This Row],[Completion Date]])</f>
        <v>0</v>
      </c>
      <c r="T754" s="12" t="str">
        <f>TEXT(WFTracker[[#This Row],[Start date]],"mmm-yyyy")</f>
        <v>Feb-2026</v>
      </c>
      <c r="U754" s="11">
        <v>10</v>
      </c>
      <c r="V754" s="11">
        <f>NETWORKDAYS.INTL(WFTracker[[#This Row],[Start date]],WFTracker[[#This Row],[Due date]],1,Holidays!D761:D776)</f>
        <v>9</v>
      </c>
      <c r="W7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54" s="24">
        <f ca="1">WFTracker[[#This Row],[Active Time]]-WFTracker[[#This Row],[Completion Days Template]]</f>
        <v>-2</v>
      </c>
      <c r="Y754" s="16" t="str">
        <f ca="1" xml:space="preserve"> IF(WFTracker[[#This Row],[Overdue Time '[Expected-Completion']]]&gt;0, "LATE","ON TIME")</f>
        <v>ON TIME</v>
      </c>
      <c r="Z754" s="16" t="str">
        <f ca="1">IF(WFTracker[[#This Row],[Overdue Time '[Expected-Completion']]] &gt;= 15, "SUPER LATE", Y754)</f>
        <v>ON TIME</v>
      </c>
      <c r="AA754" s="37" t="str">
        <f>IF(WFTracker[[#This Row],[Pre RM Opening Time]]&lt;WFTracker[[#This Row],[Old vs New Order Lead Time WF dead line]], "LATE BY ENG", "ON TIME BY ENG")</f>
        <v>LATE BY ENG</v>
      </c>
      <c r="AB754" s="37"/>
      <c r="AC754" s="928" t="str" cm="1">
        <f t="array" ref="AC754">_xlfn.IFS(
    WFTracker[[#This Row],[Cancelation Cause]]&lt;&gt;"", "X",
    WFTracker[[#This Row],[Competion Date Content]] = FALSE, "C",
    TRUE, "I"
)</f>
        <v>C</v>
      </c>
      <c r="AD7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54</v>
      </c>
      <c r="AE754" s="25" t="str">
        <f ca="1">IF(WFTracker[[#This Row],[Impact Time Post RM]]&gt;0, "IMPACTED", "NOT IMPACTED")</f>
        <v>IMPACTED</v>
      </c>
      <c r="AF754" s="15"/>
      <c r="AG754" s="18"/>
      <c r="AH754" s="14" t="str">
        <f>IF(WFTracker[[#This Row],[Status]]="C", "Closed", IF(WFTracker[[#This Row],[Status]] = "x", "Cancelled", WFTracker[[#This Row],[Impact Time Post RM]]))</f>
        <v>Closed</v>
      </c>
      <c r="AI754" s="14" t="str">
        <f ca="1">IF(WFTracker[[#This Row],[Impact Time Post RM]]&lt;=0,"ON TIME","LATE")</f>
        <v>LATE</v>
      </c>
      <c r="AJ754" s="14" t="s">
        <v>984</v>
      </c>
      <c r="AK754" s="14">
        <v>17</v>
      </c>
      <c r="AL754" s="915">
        <f>IF(WFTracker[[#This Row],[Type]]="MAKE", WFTracker[[#This Row],[Due date]]+Filters!$J$111, WFTracker[[#This Row],[Due date]]+Filters!$J$135)</f>
        <v>46083.415686274508</v>
      </c>
      <c r="AM754" s="102" cm="1">
        <f t="array" ref="AM75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5" spans="1:39" ht="15" customHeight="1">
      <c r="A755" t="str">
        <f>IF(WFTracker[[#This Row],[Order Number]]="SWBD", "QED2", "PZ4")</f>
        <v>PZ4</v>
      </c>
      <c r="B755" s="21" t="s">
        <v>803</v>
      </c>
      <c r="C755" s="26" t="s">
        <v>183</v>
      </c>
      <c r="D755" s="11" t="str">
        <f>WFTracker[[#This Row],[Order Number]]  &amp; "-" &amp; WFTracker[[#This Row],[Item]]</f>
        <v>0051787649-000050</v>
      </c>
      <c r="E755" s="23" t="s">
        <v>805</v>
      </c>
      <c r="F755" s="12">
        <v>46062</v>
      </c>
      <c r="G755" s="12"/>
      <c r="H755" s="11" t="s">
        <v>806</v>
      </c>
      <c r="I755" s="11" t="s">
        <v>593</v>
      </c>
      <c r="J755" s="1051" t="s">
        <v>1638</v>
      </c>
      <c r="K755" s="14" t="s">
        <v>1017</v>
      </c>
      <c r="L755" s="15" t="s">
        <v>1639</v>
      </c>
      <c r="M755" s="29" t="s">
        <v>1120</v>
      </c>
      <c r="N755" s="57">
        <v>46184</v>
      </c>
      <c r="O755" s="15">
        <f>NETWORKDAYS.INTL(WFTracker[[#This Row],[Start date]],WFTracker[[#This Row],[RM]],1,Holidays!D760:D775)</f>
        <v>-8</v>
      </c>
      <c r="P755" s="12">
        <v>46071</v>
      </c>
      <c r="Q755" s="12">
        <v>46078</v>
      </c>
      <c r="R755" s="12">
        <v>46073</v>
      </c>
      <c r="S755" s="12" t="b">
        <f>ISBLANK(WFTracker[[#This Row],[Completion Date]])</f>
        <v>0</v>
      </c>
      <c r="T755" s="12" t="str">
        <f>TEXT(WFTracker[[#This Row],[Start date]],"mmm-yyyy")</f>
        <v>Feb-2026</v>
      </c>
      <c r="U755" s="11">
        <v>10</v>
      </c>
      <c r="V755" s="11">
        <f>NETWORKDAYS.INTL(WFTracker[[#This Row],[Start date]],WFTracker[[#This Row],[Due date]],1,Holidays!D760:D775)</f>
        <v>6</v>
      </c>
      <c r="W7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755" s="24">
        <f ca="1">WFTracker[[#This Row],[Active Time]]-WFTracker[[#This Row],[Completion Days Template]]</f>
        <v>-3</v>
      </c>
      <c r="Y755" s="16" t="str">
        <f ca="1" xml:space="preserve"> IF(WFTracker[[#This Row],[Overdue Time '[Expected-Completion']]]&gt;0, "LATE","ON TIME")</f>
        <v>ON TIME</v>
      </c>
      <c r="Z755" s="16" t="str">
        <f ca="1">IF(WFTracker[[#This Row],[Overdue Time '[Expected-Completion']]] &gt;= 15, "SUPER LATE", Y755)</f>
        <v>ON TIME</v>
      </c>
      <c r="AA755" s="37" t="str">
        <f>IF(WFTracker[[#This Row],[Pre RM Opening Time]]&lt;WFTracker[[#This Row],[Old vs New Order Lead Time WF dead line]], "LATE BY ENG", "ON TIME BY ENG")</f>
        <v>LATE BY ENG</v>
      </c>
      <c r="AB755" s="37"/>
      <c r="AC755" s="928" t="str" cm="1">
        <f t="array" ref="AC755">_xlfn.IFS(
    WFTracker[[#This Row],[Cancelation Cause]]&lt;&gt;"", "X",
    WFTracker[[#This Row],[Competion Date Content]] = FALSE, "C",
    TRUE, "I"
)</f>
        <v>C</v>
      </c>
      <c r="AD7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755" s="25" t="str">
        <f ca="1">IF(WFTracker[[#This Row],[Impact Time Post RM]]&gt;0, "IMPACTED", "NOT IMPACTED")</f>
        <v>IMPACTED</v>
      </c>
      <c r="AF755" s="15"/>
      <c r="AG755" s="18"/>
      <c r="AH755" s="14" t="str">
        <f>IF(WFTracker[[#This Row],[Status]]="C", "Closed", IF(WFTracker[[#This Row],[Status]] = "x", "Cancelled", WFTracker[[#This Row],[Impact Time Post RM]]))</f>
        <v>Closed</v>
      </c>
      <c r="AI755" s="14" t="str">
        <f ca="1">IF(WFTracker[[#This Row],[Impact Time Post RM]]&lt;=0,"ON TIME","LATE")</f>
        <v>LATE</v>
      </c>
      <c r="AJ755" s="14" t="s">
        <v>984</v>
      </c>
      <c r="AK755" s="14">
        <v>18</v>
      </c>
      <c r="AL755" s="915">
        <f>IF(WFTracker[[#This Row],[Type]]="MAKE", WFTracker[[#This Row],[Due date]]+Filters!$J$111, WFTracker[[#This Row],[Due date]]+Filters!$J$135)</f>
        <v>46081.072512647552</v>
      </c>
      <c r="AM755" s="102" cm="1">
        <f t="array" ref="AM75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6" spans="1:39" ht="15" customHeight="1">
      <c r="A756" t="str">
        <f>IF(WFTracker[[#This Row],[Order Number]]="SWBD", "QED2", "PZ4")</f>
        <v>PZ4</v>
      </c>
      <c r="B756" s="21" t="s">
        <v>1601</v>
      </c>
      <c r="C756" s="26" t="s">
        <v>135</v>
      </c>
      <c r="D756" s="11" t="str">
        <f>WFTracker[[#This Row],[Order Number]]  &amp; "-" &amp; WFTracker[[#This Row],[Item]]</f>
        <v>0051818022-000010</v>
      </c>
      <c r="E756" s="23" t="s">
        <v>1061</v>
      </c>
      <c r="F756" s="12">
        <v>46080</v>
      </c>
      <c r="G756" s="12">
        <v>46073</v>
      </c>
      <c r="H756" s="11" t="s">
        <v>1602</v>
      </c>
      <c r="I756" s="11" t="s">
        <v>429</v>
      </c>
      <c r="J756" s="55" t="s">
        <v>1640</v>
      </c>
      <c r="K756" s="14" t="s">
        <v>1023</v>
      </c>
      <c r="L756" s="15" t="s">
        <v>40</v>
      </c>
      <c r="M756" s="29" t="s">
        <v>1120</v>
      </c>
      <c r="N756" s="57">
        <v>46195</v>
      </c>
      <c r="O756" s="15">
        <f>NETWORKDAYS.INTL(WFTracker[[#This Row],[Start date]],WFTracker[[#This Row],[RM]],1,Holidays!D762:D777)</f>
        <v>8</v>
      </c>
      <c r="P756" s="12">
        <v>46071</v>
      </c>
      <c r="Q756" s="12">
        <v>46083</v>
      </c>
      <c r="R756" s="12">
        <v>46080</v>
      </c>
      <c r="S756" s="12" t="b">
        <f>ISBLANK(WFTracker[[#This Row],[Completion Date]])</f>
        <v>0</v>
      </c>
      <c r="T756" s="12" t="str">
        <f>TEXT(WFTracker[[#This Row],[Start date]],"mmm-yyyy")</f>
        <v>Feb-2026</v>
      </c>
      <c r="U756" s="11">
        <v>10</v>
      </c>
      <c r="V756" s="11">
        <f>NETWORKDAYS.INTL(WFTracker[[#This Row],[Start date]],WFTracker[[#This Row],[Due date]],1,Holidays!D762:D777)</f>
        <v>9</v>
      </c>
      <c r="W7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56" s="24">
        <f ca="1">WFTracker[[#This Row],[Active Time]]-WFTracker[[#This Row],[Completion Days Template]]</f>
        <v>-1</v>
      </c>
      <c r="Y756" s="16" t="str">
        <f ca="1" xml:space="preserve"> IF(WFTracker[[#This Row],[Overdue Time '[Expected-Completion']]]&gt;0, "LATE","ON TIME")</f>
        <v>ON TIME</v>
      </c>
      <c r="Z756" s="16" t="str">
        <f ca="1">IF(WFTracker[[#This Row],[Overdue Time '[Expected-Completion']]] &gt;= 15, "SUPER LATE", Y756)</f>
        <v>ON TIME</v>
      </c>
      <c r="AA756" s="37" t="str">
        <f>IF(WFTracker[[#This Row],[Pre RM Opening Time]]&lt;WFTracker[[#This Row],[Old vs New Order Lead Time WF dead line]], "LATE BY ENG", "ON TIME BY ENG")</f>
        <v>LATE BY ENG</v>
      </c>
      <c r="AB756" s="37"/>
      <c r="AC756" s="928" t="str" cm="1">
        <f t="array" ref="AC756">_xlfn.IFS(
    WFTracker[[#This Row],[Cancelation Cause]]&lt;&gt;"", "X",
    WFTracker[[#This Row],[Competion Date Content]] = FALSE, "C",
    TRUE, "I"
)</f>
        <v>C</v>
      </c>
      <c r="AD7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756" s="25" t="str">
        <f ca="1">IF(WFTracker[[#This Row],[Impact Time Post RM]]&gt;0, "IMPACTED", "NOT IMPACTED")</f>
        <v>IMPACTED</v>
      </c>
      <c r="AF756" s="15"/>
      <c r="AG756" s="18"/>
      <c r="AH756" s="14" t="str">
        <f>IF(WFTracker[[#This Row],[Status]]="C", "Closed", IF(WFTracker[[#This Row],[Status]] = "x", "Cancelled", WFTracker[[#This Row],[Impact Time Post RM]]))</f>
        <v>Closed</v>
      </c>
      <c r="AI756" s="14" t="str">
        <f ca="1">IF(WFTracker[[#This Row],[Impact Time Post RM]]&lt;=0,"ON TIME","LATE")</f>
        <v>LATE</v>
      </c>
      <c r="AJ756" s="14" t="s">
        <v>984</v>
      </c>
      <c r="AK756" s="14">
        <v>17</v>
      </c>
      <c r="AL756" s="915">
        <f>IF(WFTracker[[#This Row],[Type]]="MAKE", WFTracker[[#This Row],[Due date]]+Filters!$J$111, WFTracker[[#This Row],[Due date]]+Filters!$J$135)</f>
        <v>46083.415686274508</v>
      </c>
      <c r="AM756" s="102" cm="1">
        <f t="array" ref="AM75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7" spans="1:39" ht="15" customHeight="1">
      <c r="A757" t="str">
        <f>IF(WFTracker[[#This Row],[Order Number]]="SWBD", "QED2", "PZ4")</f>
        <v>PZ4</v>
      </c>
      <c r="B757" s="21" t="s">
        <v>843</v>
      </c>
      <c r="C757" s="26" t="s">
        <v>870</v>
      </c>
      <c r="D757" s="11" t="str">
        <f>WFTracker[[#This Row],[Order Number]]  &amp; "-" &amp; WFTracker[[#This Row],[Item]]</f>
        <v>0051212323-010190</v>
      </c>
      <c r="E757" s="23" t="s">
        <v>1062</v>
      </c>
      <c r="F757" s="12">
        <v>46083</v>
      </c>
      <c r="G757" s="12">
        <v>46076</v>
      </c>
      <c r="H757" s="11" t="s">
        <v>1624</v>
      </c>
      <c r="I757" s="11" t="s">
        <v>24</v>
      </c>
      <c r="J757" s="55" t="s">
        <v>872</v>
      </c>
      <c r="K757" s="14" t="s">
        <v>1017</v>
      </c>
      <c r="L757" s="15" t="s">
        <v>27</v>
      </c>
      <c r="M757" s="29" t="s">
        <v>1120</v>
      </c>
      <c r="N757" s="57">
        <v>46244</v>
      </c>
      <c r="O757" s="15">
        <f>NETWORKDAYS.INTL(WFTracker[[#This Row],[Start date]],WFTracker[[#This Row],[RM]],1,Holidays!D764:D779)</f>
        <v>9</v>
      </c>
      <c r="P757" s="12">
        <v>46071</v>
      </c>
      <c r="Q757" s="12">
        <v>46079</v>
      </c>
      <c r="R757" s="12">
        <v>46079</v>
      </c>
      <c r="S757" s="12" t="b">
        <f>ISBLANK(WFTracker[[#This Row],[Completion Date]])</f>
        <v>0</v>
      </c>
      <c r="T757" s="12" t="str">
        <f>TEXT(WFTracker[[#This Row],[Start date]],"mmm-yyyy")</f>
        <v>Feb-2026</v>
      </c>
      <c r="U757" s="11">
        <v>10</v>
      </c>
      <c r="V757" s="11">
        <f>NETWORKDAYS.INTL(WFTracker[[#This Row],[Start date]],WFTracker[[#This Row],[Due date]],1,Holidays!D764:D779)</f>
        <v>7</v>
      </c>
      <c r="W7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57" s="24">
        <f ca="1">WFTracker[[#This Row],[Active Time]]-WFTracker[[#This Row],[Completion Days Template]]</f>
        <v>0</v>
      </c>
      <c r="Y757" s="16" t="str">
        <f ca="1" xml:space="preserve"> IF(WFTracker[[#This Row],[Overdue Time '[Expected-Completion']]]&gt;0, "LATE","ON TIME")</f>
        <v>ON TIME</v>
      </c>
      <c r="Z757" s="16" t="str">
        <f ca="1">IF(WFTracker[[#This Row],[Overdue Time '[Expected-Completion']]] &gt;= 15, "SUPER LATE", Y757)</f>
        <v>ON TIME</v>
      </c>
      <c r="AA757" s="37" t="str">
        <f>IF(WFTracker[[#This Row],[Pre RM Opening Time]]&lt;WFTracker[[#This Row],[Old vs New Order Lead Time WF dead line]], "LATE BY ENG", "ON TIME BY ENG")</f>
        <v>LATE BY ENG</v>
      </c>
      <c r="AB757" s="37"/>
      <c r="AC757" s="928" t="str" cm="1">
        <f t="array" ref="AC757">_xlfn.IFS(
    WFTracker[[#This Row],[Cancelation Cause]]&lt;&gt;"", "X",
    WFTracker[[#This Row],[Competion Date Content]] = FALSE, "C",
    TRUE, "I"
)</f>
        <v>C</v>
      </c>
      <c r="AD7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57" s="25" t="str">
        <f ca="1">IF(WFTracker[[#This Row],[Impact Time Post RM]]&gt;0, "IMPACTED", "NOT IMPACTED")</f>
        <v>NOT IMPACTED</v>
      </c>
      <c r="AF757" s="15"/>
      <c r="AG757" s="18"/>
      <c r="AH757" s="14" t="str">
        <f>IF(WFTracker[[#This Row],[Status]]="C", "Closed", IF(WFTracker[[#This Row],[Status]] = "x", "Cancelled", WFTracker[[#This Row],[Impact Time Post RM]]))</f>
        <v>Closed</v>
      </c>
      <c r="AI757" s="14" t="str">
        <f ca="1">IF(WFTracker[[#This Row],[Impact Time Post RM]]&lt;=0,"ON TIME","LATE")</f>
        <v>ON TIME</v>
      </c>
      <c r="AJ757" s="14" t="s">
        <v>984</v>
      </c>
      <c r="AK757" s="14">
        <v>18</v>
      </c>
      <c r="AL757" s="915">
        <f>IF(WFTracker[[#This Row],[Type]]="MAKE", WFTracker[[#This Row],[Due date]]+Filters!$J$111, WFTracker[[#This Row],[Due date]]+Filters!$J$135)</f>
        <v>46082.072512647552</v>
      </c>
      <c r="AM757" s="102" cm="1">
        <f t="array" ref="AM75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8" spans="1:39" ht="15" customHeight="1">
      <c r="A758" t="str">
        <f>IF(WFTracker[[#This Row],[Order Number]]="SWBD", "QED2", "PZ4")</f>
        <v>PZ4</v>
      </c>
      <c r="B758" s="21" t="s">
        <v>843</v>
      </c>
      <c r="C758" s="26" t="s">
        <v>870</v>
      </c>
      <c r="D758" s="11" t="str">
        <f>WFTracker[[#This Row],[Order Number]]  &amp; "-" &amp; WFTracker[[#This Row],[Item]]</f>
        <v>0051212323-010190</v>
      </c>
      <c r="E758" s="23" t="s">
        <v>1062</v>
      </c>
      <c r="F758" s="12">
        <v>46083</v>
      </c>
      <c r="G758" s="12">
        <v>46076</v>
      </c>
      <c r="H758" s="11" t="s">
        <v>1624</v>
      </c>
      <c r="I758" s="11" t="s">
        <v>24</v>
      </c>
      <c r="J758" s="55" t="s">
        <v>871</v>
      </c>
      <c r="K758" s="14" t="s">
        <v>1017</v>
      </c>
      <c r="L758" s="15" t="s">
        <v>27</v>
      </c>
      <c r="M758" s="29" t="s">
        <v>1120</v>
      </c>
      <c r="N758" s="57">
        <v>46244</v>
      </c>
      <c r="O758" s="15">
        <f>NETWORKDAYS.INTL(WFTracker[[#This Row],[Start date]],WFTracker[[#This Row],[RM]],1,Holidays!D763:D778)</f>
        <v>9</v>
      </c>
      <c r="P758" s="12">
        <v>46071</v>
      </c>
      <c r="Q758" s="12">
        <v>46079</v>
      </c>
      <c r="R758" s="12">
        <v>46079</v>
      </c>
      <c r="S758" s="12" t="b">
        <f>ISBLANK(WFTracker[[#This Row],[Completion Date]])</f>
        <v>0</v>
      </c>
      <c r="T758" s="12" t="str">
        <f>TEXT(WFTracker[[#This Row],[Start date]],"mmm-yyyy")</f>
        <v>Feb-2026</v>
      </c>
      <c r="U758" s="11">
        <v>10</v>
      </c>
      <c r="V758" s="11">
        <f>NETWORKDAYS.INTL(WFTracker[[#This Row],[Start date]],WFTracker[[#This Row],[Due date]],1,Holidays!D763:D778)</f>
        <v>7</v>
      </c>
      <c r="W75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58" s="24">
        <f ca="1">WFTracker[[#This Row],[Active Time]]-WFTracker[[#This Row],[Completion Days Template]]</f>
        <v>0</v>
      </c>
      <c r="Y758" s="16" t="str">
        <f ca="1" xml:space="preserve"> IF(WFTracker[[#This Row],[Overdue Time '[Expected-Completion']]]&gt;0, "LATE","ON TIME")</f>
        <v>ON TIME</v>
      </c>
      <c r="Z758" s="16" t="str">
        <f ca="1">IF(WFTracker[[#This Row],[Overdue Time '[Expected-Completion']]] &gt;= 15, "SUPER LATE", Y758)</f>
        <v>ON TIME</v>
      </c>
      <c r="AA758" s="37" t="str">
        <f>IF(WFTracker[[#This Row],[Pre RM Opening Time]]&lt;WFTracker[[#This Row],[Old vs New Order Lead Time WF dead line]], "LATE BY ENG", "ON TIME BY ENG")</f>
        <v>LATE BY ENG</v>
      </c>
      <c r="AB758" s="37"/>
      <c r="AC758" s="928" t="str" cm="1">
        <f t="array" ref="AC758">_xlfn.IFS(
    WFTracker[[#This Row],[Cancelation Cause]]&lt;&gt;"", "X",
    WFTracker[[#This Row],[Competion Date Content]] = FALSE, "C",
    TRUE, "I"
)</f>
        <v>C</v>
      </c>
      <c r="AD75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58" s="25" t="str">
        <f ca="1">IF(WFTracker[[#This Row],[Impact Time Post RM]]&gt;0, "IMPACTED", "NOT IMPACTED")</f>
        <v>NOT IMPACTED</v>
      </c>
      <c r="AF758" s="15"/>
      <c r="AG758" s="18"/>
      <c r="AH758" s="14" t="str">
        <f>IF(WFTracker[[#This Row],[Status]]="C", "Closed", IF(WFTracker[[#This Row],[Status]] = "x", "Cancelled", WFTracker[[#This Row],[Impact Time Post RM]]))</f>
        <v>Closed</v>
      </c>
      <c r="AI758" s="14" t="str">
        <f ca="1">IF(WFTracker[[#This Row],[Impact Time Post RM]]&lt;=0,"ON TIME","LATE")</f>
        <v>ON TIME</v>
      </c>
      <c r="AJ758" s="14" t="s">
        <v>984</v>
      </c>
      <c r="AK758" s="14">
        <v>18</v>
      </c>
      <c r="AL758" s="915">
        <f>IF(WFTracker[[#This Row],[Type]]="MAKE", WFTracker[[#This Row],[Due date]]+Filters!$J$111, WFTracker[[#This Row],[Due date]]+Filters!$J$135)</f>
        <v>46082.072512647552</v>
      </c>
      <c r="AM758" s="102" cm="1">
        <f t="array" ref="AM75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59" spans="1:39" ht="15" customHeight="1">
      <c r="A759" t="str">
        <f>IF(WFTracker[[#This Row],[Order Number]]="SWBD", "QED2", "PZ4")</f>
        <v>PZ4</v>
      </c>
      <c r="B759" s="21" t="s">
        <v>843</v>
      </c>
      <c r="C759" s="26" t="s">
        <v>870</v>
      </c>
      <c r="D759" s="11" t="str">
        <f>WFTracker[[#This Row],[Order Number]]  &amp; "-" &amp; WFTracker[[#This Row],[Item]]</f>
        <v>0051212323-010190</v>
      </c>
      <c r="E759" s="23" t="s">
        <v>1062</v>
      </c>
      <c r="F759" s="12">
        <v>46083</v>
      </c>
      <c r="G759" s="12">
        <v>46076</v>
      </c>
      <c r="H759" s="11" t="s">
        <v>1624</v>
      </c>
      <c r="I759" s="11" t="s">
        <v>24</v>
      </c>
      <c r="J759" s="55" t="s">
        <v>873</v>
      </c>
      <c r="K759" s="14" t="s">
        <v>1017</v>
      </c>
      <c r="L759" s="15" t="s">
        <v>27</v>
      </c>
      <c r="M759" s="29" t="s">
        <v>1120</v>
      </c>
      <c r="N759" s="57">
        <v>46244</v>
      </c>
      <c r="O759" s="15">
        <f>NETWORKDAYS.INTL(WFTracker[[#This Row],[Start date]],WFTracker[[#This Row],[RM]],1,Holidays!D765:D780)</f>
        <v>9</v>
      </c>
      <c r="P759" s="12">
        <v>46071</v>
      </c>
      <c r="Q759" s="12">
        <v>46079</v>
      </c>
      <c r="R759" s="12">
        <v>46079</v>
      </c>
      <c r="S759" s="12" t="b">
        <f>ISBLANK(WFTracker[[#This Row],[Completion Date]])</f>
        <v>0</v>
      </c>
      <c r="T759" s="12" t="str">
        <f>TEXT(WFTracker[[#This Row],[Start date]],"mmm-yyyy")</f>
        <v>Feb-2026</v>
      </c>
      <c r="U759" s="11">
        <v>10</v>
      </c>
      <c r="V759" s="11">
        <f>NETWORKDAYS.INTL(WFTracker[[#This Row],[Start date]],WFTracker[[#This Row],[Due date]],1,Holidays!D765:D780)</f>
        <v>7</v>
      </c>
      <c r="W75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59" s="24">
        <f ca="1">WFTracker[[#This Row],[Active Time]]-WFTracker[[#This Row],[Completion Days Template]]</f>
        <v>0</v>
      </c>
      <c r="Y759" s="16" t="str">
        <f ca="1" xml:space="preserve"> IF(WFTracker[[#This Row],[Overdue Time '[Expected-Completion']]]&gt;0, "LATE","ON TIME")</f>
        <v>ON TIME</v>
      </c>
      <c r="Z759" s="16" t="str">
        <f ca="1">IF(WFTracker[[#This Row],[Overdue Time '[Expected-Completion']]] &gt;= 15, "SUPER LATE", Y759)</f>
        <v>ON TIME</v>
      </c>
      <c r="AA759" s="37" t="str">
        <f>IF(WFTracker[[#This Row],[Pre RM Opening Time]]&lt;WFTracker[[#This Row],[Old vs New Order Lead Time WF dead line]], "LATE BY ENG", "ON TIME BY ENG")</f>
        <v>LATE BY ENG</v>
      </c>
      <c r="AB759" s="37"/>
      <c r="AC759" s="928" t="str" cm="1">
        <f t="array" ref="AC759">_xlfn.IFS(
    WFTracker[[#This Row],[Cancelation Cause]]&lt;&gt;"", "X",
    WFTracker[[#This Row],[Competion Date Content]] = FALSE, "C",
    TRUE, "I"
)</f>
        <v>C</v>
      </c>
      <c r="AD75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59" s="25" t="str">
        <f ca="1">IF(WFTracker[[#This Row],[Impact Time Post RM]]&gt;0, "IMPACTED", "NOT IMPACTED")</f>
        <v>NOT IMPACTED</v>
      </c>
      <c r="AF759" s="15"/>
      <c r="AG759" s="18"/>
      <c r="AH759" s="14" t="str">
        <f>IF(WFTracker[[#This Row],[Status]]="C", "Closed", IF(WFTracker[[#This Row],[Status]] = "x", "Cancelled", WFTracker[[#This Row],[Impact Time Post RM]]))</f>
        <v>Closed</v>
      </c>
      <c r="AI759" s="14" t="str">
        <f ca="1">IF(WFTracker[[#This Row],[Impact Time Post RM]]&lt;=0,"ON TIME","LATE")</f>
        <v>ON TIME</v>
      </c>
      <c r="AJ759" s="14" t="s">
        <v>984</v>
      </c>
      <c r="AK759" s="14">
        <v>18</v>
      </c>
      <c r="AL759" s="915">
        <f>IF(WFTracker[[#This Row],[Type]]="MAKE", WFTracker[[#This Row],[Due date]]+Filters!$J$111, WFTracker[[#This Row],[Due date]]+Filters!$J$135)</f>
        <v>46082.072512647552</v>
      </c>
      <c r="AM759" s="102" cm="1">
        <f t="array" ref="AM75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0" spans="1:39" ht="15" customHeight="1">
      <c r="A760" t="str">
        <f>IF(WFTracker[[#This Row],[Order Number]]="SWBD", "QED2", "PZ4")</f>
        <v>PZ4</v>
      </c>
      <c r="B760" s="21" t="s">
        <v>862</v>
      </c>
      <c r="C760" s="26" t="s">
        <v>863</v>
      </c>
      <c r="D760" s="11" t="str">
        <f>WFTracker[[#This Row],[Order Number]]  &amp; "-" &amp; WFTracker[[#This Row],[Item]]</f>
        <v>0051272041-002870</v>
      </c>
      <c r="E760" s="23" t="s">
        <v>864</v>
      </c>
      <c r="F760" s="12">
        <v>46087</v>
      </c>
      <c r="G760" s="12">
        <v>46080</v>
      </c>
      <c r="H760" s="11" t="s">
        <v>709</v>
      </c>
      <c r="I760" s="11" t="s">
        <v>732</v>
      </c>
      <c r="J760" s="55" t="s">
        <v>865</v>
      </c>
      <c r="K760" s="14" t="s">
        <v>1017</v>
      </c>
      <c r="L760" s="15" t="s">
        <v>27</v>
      </c>
      <c r="M760" s="29" t="s">
        <v>1120</v>
      </c>
      <c r="N760" s="57">
        <v>46191</v>
      </c>
      <c r="O760" s="15">
        <f>NETWORKDAYS.INTL(WFTracker[[#This Row],[Start date]],WFTracker[[#This Row],[RM]],1,Holidays!D766:D781)</f>
        <v>13</v>
      </c>
      <c r="P760" s="12">
        <v>46071</v>
      </c>
      <c r="Q760" s="12">
        <v>46079</v>
      </c>
      <c r="R760" s="12">
        <v>46079</v>
      </c>
      <c r="S760" s="12" t="b">
        <f>ISBLANK(WFTracker[[#This Row],[Completion Date]])</f>
        <v>0</v>
      </c>
      <c r="T760" s="12" t="str">
        <f>TEXT(WFTracker[[#This Row],[Start date]],"mmm-yyyy")</f>
        <v>Feb-2026</v>
      </c>
      <c r="U760" s="11">
        <v>10</v>
      </c>
      <c r="V760" s="11">
        <f>NETWORKDAYS.INTL(WFTracker[[#This Row],[Start date]],WFTracker[[#This Row],[Due date]],1,Holidays!D766:D781)</f>
        <v>7</v>
      </c>
      <c r="W76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60" s="24">
        <f ca="1">WFTracker[[#This Row],[Active Time]]-WFTracker[[#This Row],[Completion Days Template]]</f>
        <v>0</v>
      </c>
      <c r="Y760" s="16" t="str">
        <f ca="1" xml:space="preserve"> IF(WFTracker[[#This Row],[Overdue Time '[Expected-Completion']]]&gt;0, "LATE","ON TIME")</f>
        <v>ON TIME</v>
      </c>
      <c r="Z760" s="16" t="str">
        <f ca="1">IF(WFTracker[[#This Row],[Overdue Time '[Expected-Completion']]] &gt;= 15, "SUPER LATE", Y760)</f>
        <v>ON TIME</v>
      </c>
      <c r="AA760" s="37" t="str">
        <f>IF(WFTracker[[#This Row],[Pre RM Opening Time]]&lt;WFTracker[[#This Row],[Old vs New Order Lead Time WF dead line]], "LATE BY ENG", "ON TIME BY ENG")</f>
        <v>ON TIME BY ENG</v>
      </c>
      <c r="AB760" s="37"/>
      <c r="AC760" s="928" t="str" cm="1">
        <f t="array" ref="AC760">_xlfn.IFS(
    WFTracker[[#This Row],[Cancelation Cause]]&lt;&gt;"", "X",
    WFTracker[[#This Row],[Competion Date Content]] = FALSE, "C",
    TRUE, "I"
)</f>
        <v>C</v>
      </c>
      <c r="AD76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760" s="25" t="str">
        <f ca="1">IF(WFTracker[[#This Row],[Impact Time Post RM]]&gt;0, "IMPACTED", "NOT IMPACTED")</f>
        <v>NOT IMPACTED</v>
      </c>
      <c r="AF760" s="15"/>
      <c r="AG760" s="18"/>
      <c r="AH760" s="14" t="str">
        <f>IF(WFTracker[[#This Row],[Status]]="C", "Closed", IF(WFTracker[[#This Row],[Status]] = "x", "Cancelled", WFTracker[[#This Row],[Impact Time Post RM]]))</f>
        <v>Closed</v>
      </c>
      <c r="AI760" s="14" t="str">
        <f ca="1">IF(WFTracker[[#This Row],[Impact Time Post RM]]&lt;=0,"ON TIME","LATE")</f>
        <v>ON TIME</v>
      </c>
      <c r="AJ760" s="14" t="s">
        <v>984</v>
      </c>
      <c r="AK760" s="14">
        <v>18</v>
      </c>
      <c r="AL760" s="915">
        <f>IF(WFTracker[[#This Row],[Type]]="MAKE", WFTracker[[#This Row],[Due date]]+Filters!$J$111, WFTracker[[#This Row],[Due date]]+Filters!$J$135)</f>
        <v>46082.072512647552</v>
      </c>
      <c r="AM760" s="102" cm="1">
        <f t="array" ref="AM76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1" spans="1:39" ht="15" customHeight="1">
      <c r="A761" t="str">
        <f>IF(WFTracker[[#This Row],[Order Number]]="SWBD", "QED2", "PZ4")</f>
        <v>PZ4</v>
      </c>
      <c r="B761" s="21" t="s">
        <v>866</v>
      </c>
      <c r="C761" s="26" t="s">
        <v>867</v>
      </c>
      <c r="D761" s="11" t="str">
        <f>WFTracker[[#This Row],[Order Number]]  &amp; "-" &amp; WFTracker[[#This Row],[Item]]</f>
        <v>0051733188-000410</v>
      </c>
      <c r="E761" s="23" t="s">
        <v>1028</v>
      </c>
      <c r="F761" s="12">
        <v>46092</v>
      </c>
      <c r="G761" s="12">
        <v>46085</v>
      </c>
      <c r="H761" s="11" t="s">
        <v>1641</v>
      </c>
      <c r="I761" s="11" t="s">
        <v>241</v>
      </c>
      <c r="J761" s="55" t="s">
        <v>869</v>
      </c>
      <c r="K761" s="14" t="s">
        <v>1017</v>
      </c>
      <c r="L761" s="15" t="s">
        <v>27</v>
      </c>
      <c r="M761" s="29" t="s">
        <v>1120</v>
      </c>
      <c r="N761" s="57">
        <v>46212</v>
      </c>
      <c r="O761" s="15">
        <f>NETWORKDAYS.INTL(WFTracker[[#This Row],[Start date]],WFTracker[[#This Row],[RM]],1,Holidays!D767:D782)</f>
        <v>15</v>
      </c>
      <c r="P761" s="12">
        <v>46072</v>
      </c>
      <c r="Q761" s="12">
        <v>46079</v>
      </c>
      <c r="R761" s="12">
        <v>46080</v>
      </c>
      <c r="S761" s="12" t="b">
        <f>ISBLANK(WFTracker[[#This Row],[Completion Date]])</f>
        <v>0</v>
      </c>
      <c r="T761" s="12" t="str">
        <f>TEXT(WFTracker[[#This Row],[Start date]],"mmm-yyyy")</f>
        <v>Feb-2026</v>
      </c>
      <c r="U761" s="11">
        <v>10</v>
      </c>
      <c r="V761" s="11">
        <f>NETWORKDAYS.INTL(WFTracker[[#This Row],[Start date]],WFTracker[[#This Row],[Due date]],1,Holidays!D767:D782)</f>
        <v>6</v>
      </c>
      <c r="W76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61" s="24">
        <f ca="1">WFTracker[[#This Row],[Active Time]]-WFTracker[[#This Row],[Completion Days Template]]</f>
        <v>1</v>
      </c>
      <c r="Y761" s="16" t="str">
        <f ca="1" xml:space="preserve"> IF(WFTracker[[#This Row],[Overdue Time '[Expected-Completion']]]&gt;0, "LATE","ON TIME")</f>
        <v>LATE</v>
      </c>
      <c r="Z761" s="16" t="str">
        <f ca="1">IF(WFTracker[[#This Row],[Overdue Time '[Expected-Completion']]] &gt;= 15, "SUPER LATE", Y761)</f>
        <v>LATE</v>
      </c>
      <c r="AA761" s="37" t="str">
        <f>IF(WFTracker[[#This Row],[Pre RM Opening Time]]&lt;WFTracker[[#This Row],[Old vs New Order Lead Time WF dead line]], "LATE BY ENG", "ON TIME BY ENG")</f>
        <v>ON TIME BY ENG</v>
      </c>
      <c r="AB761" s="37"/>
      <c r="AC761" s="928" t="str" cm="1">
        <f t="array" ref="AC761">_xlfn.IFS(
    WFTracker[[#This Row],[Cancelation Cause]]&lt;&gt;"", "X",
    WFTracker[[#This Row],[Competion Date Content]] = FALSE, "C",
    TRUE, "I"
)</f>
        <v>C</v>
      </c>
      <c r="AD76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61" s="25" t="str">
        <f ca="1">IF(WFTracker[[#This Row],[Impact Time Post RM]]&gt;0, "IMPACTED", "NOT IMPACTED")</f>
        <v>NOT IMPACTED</v>
      </c>
      <c r="AF761" s="15"/>
      <c r="AG761" s="18"/>
      <c r="AH761" s="14" t="str">
        <f>IF(WFTracker[[#This Row],[Status]]="C", "Closed", IF(WFTracker[[#This Row],[Status]] = "x", "Cancelled", WFTracker[[#This Row],[Impact Time Post RM]]))</f>
        <v>Closed</v>
      </c>
      <c r="AI761" s="14" t="str">
        <f ca="1">IF(WFTracker[[#This Row],[Impact Time Post RM]]&lt;=0,"ON TIME","LATE")</f>
        <v>ON TIME</v>
      </c>
      <c r="AJ761" s="14" t="s">
        <v>984</v>
      </c>
      <c r="AK761" s="14">
        <v>18</v>
      </c>
      <c r="AL761" s="915">
        <f>IF(WFTracker[[#This Row],[Type]]="MAKE", WFTracker[[#This Row],[Due date]]+Filters!$J$111, WFTracker[[#This Row],[Due date]]+Filters!$J$135)</f>
        <v>46082.072512647552</v>
      </c>
      <c r="AM761" s="102" cm="1">
        <f t="array" ref="AM76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2" spans="1:39" ht="15" customHeight="1">
      <c r="A762" t="str">
        <f>IF(WFTracker[[#This Row],[Order Number]]="SWBD", "QED2", "PZ4")</f>
        <v>PZ4</v>
      </c>
      <c r="B762" s="1063" t="s">
        <v>436</v>
      </c>
      <c r="C762" s="26" t="s">
        <v>165</v>
      </c>
      <c r="D762" s="11" t="str">
        <f>WFTracker[[#This Row],[Order Number]]  &amp; "-" &amp; WFTracker[[#This Row],[Item]]</f>
        <v>0051436816-000030</v>
      </c>
      <c r="E762" s="23" t="s">
        <v>437</v>
      </c>
      <c r="F762" s="12">
        <v>46017</v>
      </c>
      <c r="G762" s="12">
        <v>46010</v>
      </c>
      <c r="H762" s="11" t="s">
        <v>113</v>
      </c>
      <c r="I762" s="11" t="s">
        <v>37</v>
      </c>
      <c r="J762" s="55" t="s">
        <v>1642</v>
      </c>
      <c r="K762" s="14" t="s">
        <v>1023</v>
      </c>
      <c r="L762" s="15" t="s">
        <v>40</v>
      </c>
      <c r="M762" s="29" t="s">
        <v>1120</v>
      </c>
      <c r="N762" s="57">
        <v>46108</v>
      </c>
      <c r="O762" s="15">
        <f>NETWORKDAYS.INTL(WFTracker[[#This Row],[Start date]],WFTracker[[#This Row],[RM]],1,Holidays!D854:D869)</f>
        <v>-58</v>
      </c>
      <c r="P762" s="12">
        <v>46098</v>
      </c>
      <c r="Q762" s="12">
        <v>46111</v>
      </c>
      <c r="R762" s="1093"/>
      <c r="S762" s="1093" t="b">
        <f>ISBLANK(WFTracker[[#This Row],[Completion Date]])</f>
        <v>1</v>
      </c>
      <c r="T762" s="12" t="str">
        <f>TEXT(WFTracker[[#This Row],[Start date]],"mmm-yyyy")</f>
        <v>Mar-2026</v>
      </c>
      <c r="U762" s="11">
        <v>10</v>
      </c>
      <c r="V762" s="11">
        <f>NETWORKDAYS.INTL(WFTracker[[#This Row],[Start date]],WFTracker[[#This Row],[Due date]],1,Holidays!D854:D869)</f>
        <v>10</v>
      </c>
      <c r="W76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762" s="24">
        <f ca="1">WFTracker[[#This Row],[Active Time]]-WFTracker[[#This Row],[Completion Days Template]]</f>
        <v>-7</v>
      </c>
      <c r="Y762" s="16" t="str">
        <f ca="1" xml:space="preserve"> IF(WFTracker[[#This Row],[Overdue Time '[Expected-Completion']]]&gt;0, "LATE","ON TIME")</f>
        <v>ON TIME</v>
      </c>
      <c r="Z762" s="16" t="str">
        <f ca="1">IF(WFTracker[[#This Row],[Overdue Time '[Expected-Completion']]] &gt;= 15, "SUPER LATE", Y762)</f>
        <v>ON TIME</v>
      </c>
      <c r="AA762" s="37" t="str">
        <f>IF(WFTracker[[#This Row],[Pre RM Opening Time]]&lt;WFTracker[[#This Row],[Old vs New Order Lead Time WF dead line]], "LATE BY ENG", "ON TIME BY ENG")</f>
        <v>LATE BY ENG</v>
      </c>
      <c r="AB762" s="37"/>
      <c r="AC762" s="928" t="str" cm="1">
        <f t="array" ref="AC762">_xlfn.IFS(
    WFTracker[[#This Row],[Cancelation Cause]]&lt;&gt;"", "X",
    WFTracker[[#This Row],[Competion Date Content]] = FALSE, "C",
    TRUE, "I"
)</f>
        <v>I</v>
      </c>
      <c r="AD76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59</v>
      </c>
      <c r="AE762" s="25" t="str">
        <f ca="1">IF(WFTracker[[#This Row],[Impact Time Post RM]]&gt;0, "IMPACTED", "NOT IMPACTED")</f>
        <v>IMPACTED</v>
      </c>
      <c r="AF762" s="15"/>
      <c r="AG762" s="18"/>
      <c r="AH762" s="14">
        <f ca="1">IF(WFTracker[[#This Row],[Status]]="C", "Closed", IF(WFTracker[[#This Row],[Status]] = "x", "Cancelled", WFTracker[[#This Row],[Impact Time Post RM]]))</f>
        <v>59</v>
      </c>
      <c r="AI762" s="14" t="str">
        <f ca="1">IF(WFTracker[[#This Row],[Impact Time Post RM]]&lt;=0,"ON TIME","LATE")</f>
        <v>LATE</v>
      </c>
      <c r="AJ762" s="14" t="s">
        <v>970</v>
      </c>
      <c r="AK762" s="14">
        <v>1</v>
      </c>
      <c r="AL762" s="915">
        <f>IF(WFTracker[[#This Row],[Type]]="MAKE", WFTracker[[#This Row],[Due date]]+Filters!$J$111, WFTracker[[#This Row],[Due date]]+Filters!$J$135)</f>
        <v>46111.415686274508</v>
      </c>
      <c r="AM762" s="102" cm="1">
        <f t="array" ref="AM762">_xlfn.IFS(WFTracker[[#This Row],[Type]]="BUY", WFTracker[[#This Row],[Task Number]]/17,
     WFTracker[[#This Row],[Type]]="MAKE", WFTracker[[#This Row],[Task Number]]/18,
     WFTracker[[#This Row],[Type]]="CNG-BOM", WFTracker[[#This Row],[Task Number]]/11)</f>
        <v>5.8823529411764705E-2</v>
      </c>
    </row>
    <row r="763" spans="1:39" ht="15" customHeight="1">
      <c r="A763" t="str">
        <f>IF(WFTracker[[#This Row],[Order Number]]="SWBD", "QED2", "PZ4")</f>
        <v>PZ4</v>
      </c>
      <c r="B763" s="21" t="s">
        <v>905</v>
      </c>
      <c r="C763" s="26" t="s">
        <v>214</v>
      </c>
      <c r="D763" s="11" t="str">
        <f>WFTracker[[#This Row],[Order Number]]  &amp; "-" &amp; WFTracker[[#This Row],[Item]]</f>
        <v>0051631924-000020</v>
      </c>
      <c r="E763" s="23" t="s">
        <v>1633</v>
      </c>
      <c r="F763" s="12">
        <v>46094</v>
      </c>
      <c r="G763" s="12">
        <v>46090</v>
      </c>
      <c r="H763" s="11" t="s">
        <v>113</v>
      </c>
      <c r="I763" s="11" t="s">
        <v>732</v>
      </c>
      <c r="J763" s="55" t="s">
        <v>907</v>
      </c>
      <c r="K763" s="14" t="s">
        <v>1017</v>
      </c>
      <c r="L763" s="15" t="s">
        <v>27</v>
      </c>
      <c r="M763" s="29" t="s">
        <v>1120</v>
      </c>
      <c r="N763" s="57">
        <v>46203</v>
      </c>
      <c r="O763" s="15">
        <f>NETWORKDAYS.INTL(WFTracker[[#This Row],[Start date]],WFTracker[[#This Row],[RM]],1,Holidays!D810:D825)</f>
        <v>10</v>
      </c>
      <c r="P763" s="12">
        <v>46083</v>
      </c>
      <c r="Q763" s="12">
        <v>46091</v>
      </c>
      <c r="R763" s="12">
        <v>46090</v>
      </c>
      <c r="S763" s="12" t="b">
        <f>ISBLANK(WFTracker[[#This Row],[Completion Date]])</f>
        <v>0</v>
      </c>
      <c r="T763" s="12" t="str">
        <f>TEXT(WFTracker[[#This Row],[Start date]],"mmm-yyyy")</f>
        <v>Mar-2026</v>
      </c>
      <c r="U763" s="11">
        <v>10</v>
      </c>
      <c r="V763" s="11">
        <f>NETWORKDAYS.INTL(WFTracker[[#This Row],[Start date]],WFTracker[[#This Row],[Due date]],1,Holidays!D810:D825)</f>
        <v>7</v>
      </c>
      <c r="W76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63" s="24">
        <f ca="1">WFTracker[[#This Row],[Active Time]]-WFTracker[[#This Row],[Completion Days Template]]</f>
        <v>-1</v>
      </c>
      <c r="Y763" s="16" t="str">
        <f ca="1" xml:space="preserve"> IF(WFTracker[[#This Row],[Overdue Time '[Expected-Completion']]]&gt;0, "LATE","ON TIME")</f>
        <v>ON TIME</v>
      </c>
      <c r="Z763" s="16" t="str">
        <f ca="1">IF(WFTracker[[#This Row],[Overdue Time '[Expected-Completion']]] &gt;= 15, "SUPER LATE", Y763)</f>
        <v>ON TIME</v>
      </c>
      <c r="AA763" s="37" t="str">
        <f>IF(WFTracker[[#This Row],[Pre RM Opening Time]]&lt;WFTracker[[#This Row],[Old vs New Order Lead Time WF dead line]], "LATE BY ENG", "ON TIME BY ENG")</f>
        <v>ON TIME BY ENG</v>
      </c>
      <c r="AB763" s="37"/>
      <c r="AC763" s="928" t="str" cm="1">
        <f t="array" ref="AC763">_xlfn.IFS(
    WFTracker[[#This Row],[Cancelation Cause]]&lt;&gt;"", "X",
    WFTracker[[#This Row],[Competion Date Content]] = FALSE, "C",
    TRUE, "I"
)</f>
        <v>C</v>
      </c>
      <c r="AD76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763" s="25" t="str">
        <f ca="1">IF(WFTracker[[#This Row],[Impact Time Post RM]]&gt;0, "IMPACTED", "NOT IMPACTED")</f>
        <v>NOT IMPACTED</v>
      </c>
      <c r="AF763" s="15"/>
      <c r="AG763" s="18"/>
      <c r="AH763" s="14" t="str">
        <f>IF(WFTracker[[#This Row],[Status]]="C", "Closed", IF(WFTracker[[#This Row],[Status]] = "x", "Cancelled", WFTracker[[#This Row],[Impact Time Post RM]]))</f>
        <v>Closed</v>
      </c>
      <c r="AI763" s="14" t="str">
        <f ca="1">IF(WFTracker[[#This Row],[Impact Time Post RM]]&lt;=0,"ON TIME","LATE")</f>
        <v>ON TIME</v>
      </c>
      <c r="AJ763" s="14" t="s">
        <v>984</v>
      </c>
      <c r="AK763" s="14">
        <v>18</v>
      </c>
      <c r="AL763" s="915">
        <f>IF(WFTracker[[#This Row],[Type]]="MAKE", WFTracker[[#This Row],[Due date]]+Filters!$J$111, WFTracker[[#This Row],[Due date]]+Filters!$J$135)</f>
        <v>46094.072512647552</v>
      </c>
      <c r="AM763" s="102" cm="1">
        <f t="array" ref="AM76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4" spans="1:39" ht="15" customHeight="1">
      <c r="A764" t="str">
        <f>IF(WFTracker[[#This Row],[Order Number]]="SWBD", "QED2", "PZ4")</f>
        <v>PZ4</v>
      </c>
      <c r="B764" s="21" t="s">
        <v>905</v>
      </c>
      <c r="C764" s="26" t="s">
        <v>214</v>
      </c>
      <c r="D764" s="11" t="str">
        <f>WFTracker[[#This Row],[Order Number]]  &amp; "-" &amp; WFTracker[[#This Row],[Item]]</f>
        <v>0051631924-000020</v>
      </c>
      <c r="E764" s="23" t="s">
        <v>1633</v>
      </c>
      <c r="F764" s="12">
        <v>46094</v>
      </c>
      <c r="G764" s="12">
        <v>46090</v>
      </c>
      <c r="H764" s="11" t="s">
        <v>113</v>
      </c>
      <c r="I764" s="11" t="s">
        <v>732</v>
      </c>
      <c r="J764" s="55" t="s">
        <v>1643</v>
      </c>
      <c r="K764" s="14" t="s">
        <v>1023</v>
      </c>
      <c r="L764" s="15" t="s">
        <v>27</v>
      </c>
      <c r="M764" s="29" t="s">
        <v>1120</v>
      </c>
      <c r="N764" s="57">
        <v>46203</v>
      </c>
      <c r="O764" s="15">
        <f>NETWORKDAYS.INTL(WFTracker[[#This Row],[Start date]],WFTracker[[#This Row],[RM]],1,Holidays!D812:D827)</f>
        <v>10</v>
      </c>
      <c r="P764" s="12">
        <v>46083</v>
      </c>
      <c r="Q764" s="12">
        <v>46091</v>
      </c>
      <c r="R764" s="12">
        <v>46086</v>
      </c>
      <c r="S764" s="12" t="b">
        <f>ISBLANK(WFTracker[[#This Row],[Completion Date]])</f>
        <v>0</v>
      </c>
      <c r="T764" s="12" t="str">
        <f>TEXT(WFTracker[[#This Row],[Start date]],"mmm-yyyy")</f>
        <v>Mar-2026</v>
      </c>
      <c r="U764" s="11">
        <v>10</v>
      </c>
      <c r="V764" s="11">
        <f>NETWORKDAYS.INTL(WFTracker[[#This Row],[Start date]],WFTracker[[#This Row],[Due date]],1,Holidays!D812:D827)</f>
        <v>7</v>
      </c>
      <c r="W76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764" s="24">
        <f ca="1">WFTracker[[#This Row],[Active Time]]-WFTracker[[#This Row],[Completion Days Template]]</f>
        <v>-3</v>
      </c>
      <c r="Y764" s="16" t="str">
        <f ca="1" xml:space="preserve"> IF(WFTracker[[#This Row],[Overdue Time '[Expected-Completion']]]&gt;0, "LATE","ON TIME")</f>
        <v>ON TIME</v>
      </c>
      <c r="Z764" s="16" t="str">
        <f ca="1">IF(WFTracker[[#This Row],[Overdue Time '[Expected-Completion']]] &gt;= 15, "SUPER LATE", Y764)</f>
        <v>ON TIME</v>
      </c>
      <c r="AA764" s="37" t="str">
        <f>IF(WFTracker[[#This Row],[Pre RM Opening Time]]&lt;WFTracker[[#This Row],[Old vs New Order Lead Time WF dead line]], "LATE BY ENG", "ON TIME BY ENG")</f>
        <v>ON TIME BY ENG</v>
      </c>
      <c r="AB764" s="37"/>
      <c r="AC764" s="928" t="str" cm="1">
        <f t="array" ref="AC764">_xlfn.IFS(
    WFTracker[[#This Row],[Cancelation Cause]]&lt;&gt;"", "X",
    WFTracker[[#This Row],[Competion Date Content]] = FALSE, "C",
    TRUE, "I"
)</f>
        <v>C</v>
      </c>
      <c r="AD76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764" s="25" t="str">
        <f ca="1">IF(WFTracker[[#This Row],[Impact Time Post RM]]&gt;0, "IMPACTED", "NOT IMPACTED")</f>
        <v>NOT IMPACTED</v>
      </c>
      <c r="AF764" s="15"/>
      <c r="AG764" s="18"/>
      <c r="AH764" s="14" t="str">
        <f>IF(WFTracker[[#This Row],[Status]]="C", "Closed", IF(WFTracker[[#This Row],[Status]] = "x", "Cancelled", WFTracker[[#This Row],[Impact Time Post RM]]))</f>
        <v>Closed</v>
      </c>
      <c r="AI764" s="14" t="str">
        <f ca="1">IF(WFTracker[[#This Row],[Impact Time Post RM]]&lt;=0,"ON TIME","LATE")</f>
        <v>ON TIME</v>
      </c>
      <c r="AJ764" s="14" t="s">
        <v>984</v>
      </c>
      <c r="AK764" s="14">
        <v>18</v>
      </c>
      <c r="AL764" s="915">
        <f>IF(WFTracker[[#This Row],[Type]]="MAKE", WFTracker[[#This Row],[Due date]]+Filters!$J$111, WFTracker[[#This Row],[Due date]]+Filters!$J$135)</f>
        <v>46094.072512647552</v>
      </c>
      <c r="AM764" s="102" cm="1">
        <f t="array" ref="AM76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5" spans="1:39" ht="15" customHeight="1">
      <c r="A765" t="str">
        <f>IF(WFTracker[[#This Row],[Order Number]]="SWBD", "QED2", "PZ4")</f>
        <v>PZ4</v>
      </c>
      <c r="B765" s="21" t="s">
        <v>887</v>
      </c>
      <c r="C765" s="26" t="s">
        <v>135</v>
      </c>
      <c r="D765" s="11" t="str">
        <f>WFTracker[[#This Row],[Order Number]]  &amp; "-" &amp; WFTracker[[#This Row],[Item]]</f>
        <v>0051829783-000010</v>
      </c>
      <c r="E765" s="23" t="s">
        <v>888</v>
      </c>
      <c r="F765" s="12">
        <v>46094</v>
      </c>
      <c r="G765" s="12">
        <v>46087</v>
      </c>
      <c r="H765" s="11" t="s">
        <v>80</v>
      </c>
      <c r="I765" s="11" t="s">
        <v>889</v>
      </c>
      <c r="J765" s="55" t="s">
        <v>1644</v>
      </c>
      <c r="K765" s="14" t="s">
        <v>1023</v>
      </c>
      <c r="L765" s="15" t="s">
        <v>40</v>
      </c>
      <c r="M765" s="29" t="s">
        <v>1120</v>
      </c>
      <c r="N765" s="57">
        <v>46227</v>
      </c>
      <c r="O765" s="15">
        <f>NETWORKDAYS.INTL(WFTracker[[#This Row],[Start date]],WFTracker[[#This Row],[RM]],1,Holidays!D743:D758)</f>
        <v>21</v>
      </c>
      <c r="P765" s="12">
        <v>46066</v>
      </c>
      <c r="Q765" s="12">
        <v>46079</v>
      </c>
      <c r="R765" s="12">
        <v>46085</v>
      </c>
      <c r="S765" s="12" t="b">
        <f>ISBLANK(WFTracker[[#This Row],[Completion Date]])</f>
        <v>0</v>
      </c>
      <c r="T765" s="12" t="str">
        <f>TEXT(WFTracker[[#This Row],[Start date]],"mmm-yyyy")</f>
        <v>Feb-2026</v>
      </c>
      <c r="U765" s="11">
        <v>10</v>
      </c>
      <c r="V765" s="11">
        <f>NETWORKDAYS.INTL(WFTracker[[#This Row],[Start date]],WFTracker[[#This Row],[Due date]],1,Holidays!D743:D758)</f>
        <v>10</v>
      </c>
      <c r="W76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14</v>
      </c>
      <c r="X765" s="24">
        <f ca="1">WFTracker[[#This Row],[Active Time]]-WFTracker[[#This Row],[Completion Days Template]]</f>
        <v>4</v>
      </c>
      <c r="Y765" s="16" t="str">
        <f ca="1" xml:space="preserve"> IF(WFTracker[[#This Row],[Overdue Time '[Expected-Completion']]]&gt;0, "LATE","ON TIME")</f>
        <v>LATE</v>
      </c>
      <c r="Z765" s="16" t="str">
        <f ca="1">IF(WFTracker[[#This Row],[Overdue Time '[Expected-Completion']]] &gt;= 15, "SUPER LATE", Y765)</f>
        <v>LATE</v>
      </c>
      <c r="AA765" s="37" t="str">
        <f>IF(WFTracker[[#This Row],[Pre RM Opening Time]]&lt;WFTracker[[#This Row],[Old vs New Order Lead Time WF dead line]], "LATE BY ENG", "ON TIME BY ENG")</f>
        <v>ON TIME BY ENG</v>
      </c>
      <c r="AB765" s="37"/>
      <c r="AC765" s="928" t="str" cm="1">
        <f t="array" ref="AC765">_xlfn.IFS(
    WFTracker[[#This Row],[Cancelation Cause]]&lt;&gt;"", "X",
    WFTracker[[#This Row],[Competion Date Content]] = FALSE, "C",
    TRUE, "I"
)</f>
        <v>C</v>
      </c>
      <c r="AD76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765" s="25" t="str">
        <f ca="1">IF(WFTracker[[#This Row],[Impact Time Post RM]]&gt;0, "IMPACTED", "NOT IMPACTED")</f>
        <v>NOT IMPACTED</v>
      </c>
      <c r="AF765" s="15"/>
      <c r="AG765" s="18"/>
      <c r="AH765" s="14" t="str">
        <f>IF(WFTracker[[#This Row],[Status]]="C", "Closed", IF(WFTracker[[#This Row],[Status]] = "x", "Cancelled", WFTracker[[#This Row],[Impact Time Post RM]]))</f>
        <v>Closed</v>
      </c>
      <c r="AI765" s="14" t="str">
        <f ca="1">IF(WFTracker[[#This Row],[Impact Time Post RM]]&lt;=0,"ON TIME","LATE")</f>
        <v>ON TIME</v>
      </c>
      <c r="AJ765" s="14" t="s">
        <v>984</v>
      </c>
      <c r="AK765" s="14">
        <v>17</v>
      </c>
      <c r="AL765" s="915">
        <f>IF(WFTracker[[#This Row],[Type]]="MAKE", WFTracker[[#This Row],[Due date]]+Filters!$J$111, WFTracker[[#This Row],[Due date]]+Filters!$J$135)</f>
        <v>46079.415686274508</v>
      </c>
      <c r="AM765" s="102" cm="1">
        <f t="array" ref="AM76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6" spans="1:39" ht="15" customHeight="1">
      <c r="A766" t="str">
        <f>IF(WFTracker[[#This Row],[Order Number]]="SWBD", "QED2", "PZ4")</f>
        <v>PZ4</v>
      </c>
      <c r="B766" s="21" t="s">
        <v>887</v>
      </c>
      <c r="C766" s="26" t="s">
        <v>135</v>
      </c>
      <c r="D766" s="11" t="str">
        <f>WFTracker[[#This Row],[Order Number]]  &amp; "-" &amp; WFTracker[[#This Row],[Item]]</f>
        <v>0051829783-000010</v>
      </c>
      <c r="E766" s="23" t="s">
        <v>888</v>
      </c>
      <c r="F766" s="12">
        <v>46094</v>
      </c>
      <c r="G766" s="12">
        <v>46087</v>
      </c>
      <c r="H766" s="11" t="s">
        <v>1624</v>
      </c>
      <c r="I766" s="11" t="s">
        <v>1645</v>
      </c>
      <c r="J766" s="55" t="s">
        <v>1646</v>
      </c>
      <c r="K766" s="14" t="s">
        <v>1023</v>
      </c>
      <c r="L766" s="15" t="s">
        <v>40</v>
      </c>
      <c r="M766" s="29" t="s">
        <v>1120</v>
      </c>
      <c r="N766" s="57">
        <v>46199</v>
      </c>
      <c r="O766" s="15">
        <f>NETWORKDAYS.INTL(WFTracker[[#This Row],[Start date]],WFTracker[[#This Row],[RM]],1,Holidays!D754:D769)</f>
        <v>19</v>
      </c>
      <c r="P766" s="12">
        <v>46070</v>
      </c>
      <c r="Q766" s="12">
        <v>46080</v>
      </c>
      <c r="R766" s="12">
        <v>46083</v>
      </c>
      <c r="S766" s="12" t="b">
        <f>ISBLANK(WFTracker[[#This Row],[Completion Date]])</f>
        <v>0</v>
      </c>
      <c r="T766" s="12" t="str">
        <f>TEXT(WFTracker[[#This Row],[Start date]],"mmm-yyyy")</f>
        <v>Feb-2026</v>
      </c>
      <c r="U766" s="11">
        <v>10</v>
      </c>
      <c r="V766" s="11">
        <f>NETWORKDAYS.INTL(WFTracker[[#This Row],[Start date]],WFTracker[[#This Row],[Due date]],1,Holidays!D754:D769)</f>
        <v>9</v>
      </c>
      <c r="W76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766" s="24">
        <f ca="1">WFTracker[[#This Row],[Active Time]]-WFTracker[[#This Row],[Completion Days Template]]</f>
        <v>1</v>
      </c>
      <c r="Y766" s="16" t="str">
        <f ca="1" xml:space="preserve"> IF(WFTracker[[#This Row],[Overdue Time '[Expected-Completion']]]&gt;0, "LATE","ON TIME")</f>
        <v>LATE</v>
      </c>
      <c r="Z766" s="16" t="str">
        <f ca="1">IF(WFTracker[[#This Row],[Overdue Time '[Expected-Completion']]] &gt;= 15, "SUPER LATE", Y766)</f>
        <v>LATE</v>
      </c>
      <c r="AA766" s="37" t="str">
        <f>IF(WFTracker[[#This Row],[Pre RM Opening Time]]&lt;WFTracker[[#This Row],[Old vs New Order Lead Time WF dead line]], "LATE BY ENG", "ON TIME BY ENG")</f>
        <v>ON TIME BY ENG</v>
      </c>
      <c r="AB766" s="37"/>
      <c r="AC766" s="928" t="str" cm="1">
        <f t="array" ref="AC766">_xlfn.IFS(
    WFTracker[[#This Row],[Cancelation Cause]]&lt;&gt;"", "X",
    WFTracker[[#This Row],[Competion Date Content]] = FALSE, "C",
    TRUE, "I"
)</f>
        <v>C</v>
      </c>
      <c r="AD76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766" s="25" t="str">
        <f ca="1">IF(WFTracker[[#This Row],[Impact Time Post RM]]&gt;0, "IMPACTED", "NOT IMPACTED")</f>
        <v>NOT IMPACTED</v>
      </c>
      <c r="AF766" s="15"/>
      <c r="AG766" s="18"/>
      <c r="AH766" s="14" t="str">
        <f>IF(WFTracker[[#This Row],[Status]]="C", "Closed", IF(WFTracker[[#This Row],[Status]] = "x", "Cancelled", WFTracker[[#This Row],[Impact Time Post RM]]))</f>
        <v>Closed</v>
      </c>
      <c r="AI766" s="14" t="str">
        <f ca="1">IF(WFTracker[[#This Row],[Impact Time Post RM]]&lt;=0,"ON TIME","LATE")</f>
        <v>ON TIME</v>
      </c>
      <c r="AJ766" s="14" t="s">
        <v>984</v>
      </c>
      <c r="AK766" s="14">
        <v>17</v>
      </c>
      <c r="AL766" s="915">
        <f>IF(WFTracker[[#This Row],[Type]]="MAKE", WFTracker[[#This Row],[Due date]]+Filters!$J$111, WFTracker[[#This Row],[Due date]]+Filters!$J$135)</f>
        <v>46080.415686274508</v>
      </c>
      <c r="AM766" s="102" cm="1">
        <f t="array" ref="AM76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7" spans="1:39" ht="15" customHeight="1">
      <c r="A767" t="str">
        <f>IF(WFTracker[[#This Row],[Order Number]]="SWBD", "QED2", "PZ4")</f>
        <v>PZ4</v>
      </c>
      <c r="B767" s="21" t="s">
        <v>866</v>
      </c>
      <c r="C767" s="26" t="s">
        <v>874</v>
      </c>
      <c r="D767" s="11" t="str">
        <f>WFTracker[[#This Row],[Order Number]]  &amp; "-" &amp; WFTracker[[#This Row],[Item]]</f>
        <v>0051733188-000490</v>
      </c>
      <c r="E767" s="23" t="s">
        <v>1028</v>
      </c>
      <c r="F767" s="12">
        <v>46098</v>
      </c>
      <c r="G767" s="12">
        <v>46091</v>
      </c>
      <c r="H767" s="11" t="s">
        <v>104</v>
      </c>
      <c r="I767" s="11" t="s">
        <v>37</v>
      </c>
      <c r="J767" s="55" t="s">
        <v>877</v>
      </c>
      <c r="K767" s="14" t="s">
        <v>1017</v>
      </c>
      <c r="L767" s="15" t="s">
        <v>40</v>
      </c>
      <c r="M767" s="29" t="s">
        <v>1120</v>
      </c>
      <c r="N767" s="57">
        <v>46196</v>
      </c>
      <c r="O767" s="15">
        <f>NETWORKDAYS.INTL(WFTracker[[#This Row],[Start date]],WFTracker[[#This Row],[RM]],1,Holidays!D769:D784)</f>
        <v>18</v>
      </c>
      <c r="P767" s="12">
        <v>46073</v>
      </c>
      <c r="Q767" s="12">
        <v>46057</v>
      </c>
      <c r="R767" s="12">
        <v>46083</v>
      </c>
      <c r="S767" s="12" t="b">
        <f>ISBLANK(WFTracker[[#This Row],[Completion Date]])</f>
        <v>0</v>
      </c>
      <c r="T767" s="12" t="str">
        <f>TEXT(WFTracker[[#This Row],[Start date]],"mmm-yyyy")</f>
        <v>Feb-2026</v>
      </c>
      <c r="U767" s="11">
        <v>10</v>
      </c>
      <c r="V767" s="11">
        <f>NETWORKDAYS.INTL(WFTracker[[#This Row],[Start date]],WFTracker[[#This Row],[Due date]],1,Holidays!D769:D784)</f>
        <v>-13</v>
      </c>
      <c r="W76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67" s="24">
        <f ca="1">WFTracker[[#This Row],[Active Time]]-WFTracker[[#This Row],[Completion Days Template]]</f>
        <v>20</v>
      </c>
      <c r="Y767" s="16" t="str">
        <f ca="1" xml:space="preserve"> IF(WFTracker[[#This Row],[Overdue Time '[Expected-Completion']]]&gt;0, "LATE","ON TIME")</f>
        <v>LATE</v>
      </c>
      <c r="Z767" s="16" t="str">
        <f ca="1">IF(WFTracker[[#This Row],[Overdue Time '[Expected-Completion']]] &gt;= 15, "SUPER LATE", Y767)</f>
        <v>SUPER LATE</v>
      </c>
      <c r="AA767" s="37" t="str">
        <f>IF(WFTracker[[#This Row],[Pre RM Opening Time]]&lt;WFTracker[[#This Row],[Old vs New Order Lead Time WF dead line]], "LATE BY ENG", "ON TIME BY ENG")</f>
        <v>ON TIME BY ENG</v>
      </c>
      <c r="AB767" s="37"/>
      <c r="AC767" s="928" t="str" cm="1">
        <f t="array" ref="AC767">_xlfn.IFS(
    WFTracker[[#This Row],[Cancelation Cause]]&lt;&gt;"", "X",
    WFTracker[[#This Row],[Competion Date Content]] = FALSE, "C",
    TRUE, "I"
)</f>
        <v>C</v>
      </c>
      <c r="AD76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767" s="25" t="str">
        <f ca="1">IF(WFTracker[[#This Row],[Impact Time Post RM]]&gt;0, "IMPACTED", "NOT IMPACTED")</f>
        <v>NOT IMPACTED</v>
      </c>
      <c r="AF767" s="15"/>
      <c r="AG767" s="18"/>
      <c r="AH767" s="14" t="str">
        <f>IF(WFTracker[[#This Row],[Status]]="C", "Closed", IF(WFTracker[[#This Row],[Status]] = "x", "Cancelled", WFTracker[[#This Row],[Impact Time Post RM]]))</f>
        <v>Closed</v>
      </c>
      <c r="AI767" s="14" t="str">
        <f ca="1">IF(WFTracker[[#This Row],[Impact Time Post RM]]&lt;=0,"ON TIME","LATE")</f>
        <v>ON TIME</v>
      </c>
      <c r="AJ767" s="14" t="s">
        <v>984</v>
      </c>
      <c r="AK767" s="14">
        <v>17</v>
      </c>
      <c r="AL767" s="915">
        <f>IF(WFTracker[[#This Row],[Type]]="MAKE", WFTracker[[#This Row],[Due date]]+Filters!$J$111, WFTracker[[#This Row],[Due date]]+Filters!$J$135)</f>
        <v>46057.415686274508</v>
      </c>
      <c r="AM767" s="102" cm="1">
        <f t="array" ref="AM76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8" spans="1:39" ht="15" customHeight="1">
      <c r="A768" t="str">
        <f>IF(WFTracker[[#This Row],[Order Number]]="SWBD", "QED2", "PZ4")</f>
        <v>PZ4</v>
      </c>
      <c r="B768" s="21" t="s">
        <v>887</v>
      </c>
      <c r="C768" s="26" t="s">
        <v>135</v>
      </c>
      <c r="D768" s="11" t="str">
        <f>WFTracker[[#This Row],[Order Number]]  &amp; "-" &amp; WFTracker[[#This Row],[Item]]</f>
        <v>0051829783-000010</v>
      </c>
      <c r="E768" s="23" t="s">
        <v>888</v>
      </c>
      <c r="F768" s="12">
        <v>46094</v>
      </c>
      <c r="G768" s="12">
        <v>46087</v>
      </c>
      <c r="H768" s="11" t="s">
        <v>1624</v>
      </c>
      <c r="I768" s="11" t="s">
        <v>1645</v>
      </c>
      <c r="J768" s="55" t="s">
        <v>1647</v>
      </c>
      <c r="K768" s="14" t="s">
        <v>1023</v>
      </c>
      <c r="L768" s="15" t="s">
        <v>27</v>
      </c>
      <c r="M768" s="29" t="s">
        <v>1120</v>
      </c>
      <c r="N768" s="57">
        <v>46199</v>
      </c>
      <c r="O768" s="15">
        <f>NETWORKDAYS.INTL(WFTracker[[#This Row],[Start date]],WFTracker[[#This Row],[RM]],1,Holidays!D755:D770)</f>
        <v>19</v>
      </c>
      <c r="P768" s="12">
        <v>46070</v>
      </c>
      <c r="Q768" s="12">
        <v>46077</v>
      </c>
      <c r="R768" s="12">
        <v>46084</v>
      </c>
      <c r="S768" s="12" t="b">
        <f>ISBLANK(WFTracker[[#This Row],[Completion Date]])</f>
        <v>0</v>
      </c>
      <c r="T768" s="12" t="str">
        <f>TEXT(WFTracker[[#This Row],[Start date]],"mmm-yyyy")</f>
        <v>Feb-2026</v>
      </c>
      <c r="U768" s="11">
        <v>10</v>
      </c>
      <c r="V768" s="11">
        <f>NETWORKDAYS.INTL(WFTracker[[#This Row],[Start date]],WFTracker[[#This Row],[Due date]],1,Holidays!D755:D770)</f>
        <v>6</v>
      </c>
      <c r="W76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68" s="24">
        <f ca="1">WFTracker[[#This Row],[Active Time]]-WFTracker[[#This Row],[Completion Days Template]]</f>
        <v>5</v>
      </c>
      <c r="Y768" s="16" t="str">
        <f ca="1" xml:space="preserve"> IF(WFTracker[[#This Row],[Overdue Time '[Expected-Completion']]]&gt;0, "LATE","ON TIME")</f>
        <v>LATE</v>
      </c>
      <c r="Z768" s="16" t="str">
        <f ca="1">IF(WFTracker[[#This Row],[Overdue Time '[Expected-Completion']]] &gt;= 15, "SUPER LATE", Y768)</f>
        <v>LATE</v>
      </c>
      <c r="AA768" s="37" t="str">
        <f>IF(WFTracker[[#This Row],[Pre RM Opening Time]]&lt;WFTracker[[#This Row],[Old vs New Order Lead Time WF dead line]], "LATE BY ENG", "ON TIME BY ENG")</f>
        <v>ON TIME BY ENG</v>
      </c>
      <c r="AB768" s="37"/>
      <c r="AC768" s="928" t="str" cm="1">
        <f t="array" ref="AC768">_xlfn.IFS(
    WFTracker[[#This Row],[Cancelation Cause]]&lt;&gt;"", "X",
    WFTracker[[#This Row],[Competion Date Content]] = FALSE, "C",
    TRUE, "I"
)</f>
        <v>C</v>
      </c>
      <c r="AD76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68" s="25" t="str">
        <f ca="1">IF(WFTracker[[#This Row],[Impact Time Post RM]]&gt;0, "IMPACTED", "NOT IMPACTED")</f>
        <v>NOT IMPACTED</v>
      </c>
      <c r="AF768" s="15"/>
      <c r="AG768" s="18"/>
      <c r="AH768" s="14" t="str">
        <f>IF(WFTracker[[#This Row],[Status]]="C", "Closed", IF(WFTracker[[#This Row],[Status]] = "x", "Cancelled", WFTracker[[#This Row],[Impact Time Post RM]]))</f>
        <v>Closed</v>
      </c>
      <c r="AI768" s="14" t="str">
        <f ca="1">IF(WFTracker[[#This Row],[Impact Time Post RM]]&lt;=0,"ON TIME","LATE")</f>
        <v>ON TIME</v>
      </c>
      <c r="AJ768" s="14" t="s">
        <v>984</v>
      </c>
      <c r="AK768" s="14">
        <v>18</v>
      </c>
      <c r="AL768" s="915">
        <f>IF(WFTracker[[#This Row],[Type]]="MAKE", WFTracker[[#This Row],[Due date]]+Filters!$J$111, WFTracker[[#This Row],[Due date]]+Filters!$J$135)</f>
        <v>46080.072512647552</v>
      </c>
      <c r="AM768" s="102" cm="1">
        <f t="array" ref="AM76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69" spans="1:39" ht="15" customHeight="1">
      <c r="A769" t="str">
        <f>IF(WFTracker[[#This Row],[Order Number]]="SWBD", "QED2", "PZ4")</f>
        <v>PZ4</v>
      </c>
      <c r="B769" s="21" t="s">
        <v>887</v>
      </c>
      <c r="C769" s="26" t="s">
        <v>135</v>
      </c>
      <c r="D769" s="11" t="str">
        <f>WFTracker[[#This Row],[Order Number]]  &amp; "-" &amp; WFTracker[[#This Row],[Item]]</f>
        <v>0051829783-000010</v>
      </c>
      <c r="E769" s="23" t="s">
        <v>888</v>
      </c>
      <c r="F769" s="12">
        <v>46094</v>
      </c>
      <c r="G769" s="12">
        <v>46087</v>
      </c>
      <c r="H769" s="11" t="s">
        <v>80</v>
      </c>
      <c r="I769" s="11" t="s">
        <v>889</v>
      </c>
      <c r="J769" s="55" t="s">
        <v>890</v>
      </c>
      <c r="K769" s="14" t="s">
        <v>1017</v>
      </c>
      <c r="L769" s="15" t="s">
        <v>27</v>
      </c>
      <c r="M769" s="29" t="s">
        <v>1120</v>
      </c>
      <c r="N769" s="57">
        <v>46199</v>
      </c>
      <c r="O769" s="15">
        <f>NETWORKDAYS.INTL(WFTracker[[#This Row],[Start date]],WFTracker[[#This Row],[RM]],1,Holidays!D766:D781)</f>
        <v>17</v>
      </c>
      <c r="P769" s="12">
        <v>46072</v>
      </c>
      <c r="Q769" s="12">
        <v>46079</v>
      </c>
      <c r="R769" s="12">
        <v>46083</v>
      </c>
      <c r="S769" s="12" t="b">
        <f>ISBLANK(WFTracker[[#This Row],[Completion Date]])</f>
        <v>0</v>
      </c>
      <c r="T769" s="12" t="str">
        <f>TEXT(WFTracker[[#This Row],[Start date]],"mmm-yyyy")</f>
        <v>Feb-2026</v>
      </c>
      <c r="U769" s="11">
        <v>10</v>
      </c>
      <c r="V769" s="11">
        <f>NETWORKDAYS.INTL(WFTracker[[#This Row],[Start date]],WFTracker[[#This Row],[Due date]],1,Holidays!D766:D781)</f>
        <v>6</v>
      </c>
      <c r="W76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69" s="24">
        <f ca="1">WFTracker[[#This Row],[Active Time]]-WFTracker[[#This Row],[Completion Days Template]]</f>
        <v>2</v>
      </c>
      <c r="Y769" s="16" t="str">
        <f ca="1" xml:space="preserve"> IF(WFTracker[[#This Row],[Overdue Time '[Expected-Completion']]]&gt;0, "LATE","ON TIME")</f>
        <v>LATE</v>
      </c>
      <c r="Z769" s="16" t="str">
        <f ca="1">IF(WFTracker[[#This Row],[Overdue Time '[Expected-Completion']]] &gt;= 15, "SUPER LATE", Y769)</f>
        <v>LATE</v>
      </c>
      <c r="AA769" s="37" t="str">
        <f>IF(WFTracker[[#This Row],[Pre RM Opening Time]]&lt;WFTracker[[#This Row],[Old vs New Order Lead Time WF dead line]], "LATE BY ENG", "ON TIME BY ENG")</f>
        <v>ON TIME BY ENG</v>
      </c>
      <c r="AB769" s="37"/>
      <c r="AC769" s="928" t="str" cm="1">
        <f t="array" ref="AC769">_xlfn.IFS(
    WFTracker[[#This Row],[Cancelation Cause]]&lt;&gt;"", "X",
    WFTracker[[#This Row],[Competion Date Content]] = FALSE, "C",
    TRUE, "I"
)</f>
        <v>C</v>
      </c>
      <c r="AD76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769" s="25" t="str">
        <f ca="1">IF(WFTracker[[#This Row],[Impact Time Post RM]]&gt;0, "IMPACTED", "NOT IMPACTED")</f>
        <v>NOT IMPACTED</v>
      </c>
      <c r="AF769" s="15"/>
      <c r="AG769" s="18"/>
      <c r="AH769" s="14" t="str">
        <f>IF(WFTracker[[#This Row],[Status]]="C", "Closed", IF(WFTracker[[#This Row],[Status]] = "x", "Cancelled", WFTracker[[#This Row],[Impact Time Post RM]]))</f>
        <v>Closed</v>
      </c>
      <c r="AI769" s="14" t="str">
        <f ca="1">IF(WFTracker[[#This Row],[Impact Time Post RM]]&lt;=0,"ON TIME","LATE")</f>
        <v>ON TIME</v>
      </c>
      <c r="AJ769" s="14" t="s">
        <v>984</v>
      </c>
      <c r="AK769" s="14">
        <v>18</v>
      </c>
      <c r="AL769" s="915">
        <f>IF(WFTracker[[#This Row],[Type]]="MAKE", WFTracker[[#This Row],[Due date]]+Filters!$J$111, WFTracker[[#This Row],[Due date]]+Filters!$J$135)</f>
        <v>46082.072512647552</v>
      </c>
      <c r="AM769" s="102" cm="1">
        <f t="array" ref="AM76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0" spans="1:39" ht="15" customHeight="1">
      <c r="A770" t="str">
        <f>IF(WFTracker[[#This Row],[Order Number]]="SWBD", "QED2", "PZ4")</f>
        <v>PZ4</v>
      </c>
      <c r="B770" s="21" t="s">
        <v>884</v>
      </c>
      <c r="C770" s="26" t="s">
        <v>135</v>
      </c>
      <c r="D770" s="11" t="str">
        <f>WFTracker[[#This Row],[Order Number]]  &amp; "-" &amp; WFTracker[[#This Row],[Item]]</f>
        <v>0051735870-000010</v>
      </c>
      <c r="E770" s="23" t="s">
        <v>885</v>
      </c>
      <c r="F770" s="12">
        <v>46111</v>
      </c>
      <c r="G770" s="12">
        <v>46098</v>
      </c>
      <c r="H770" s="11" t="s">
        <v>80</v>
      </c>
      <c r="I770" s="11" t="s">
        <v>429</v>
      </c>
      <c r="J770" s="55" t="s">
        <v>1648</v>
      </c>
      <c r="K770" s="14" t="s">
        <v>1023</v>
      </c>
      <c r="L770" s="15" t="s">
        <v>27</v>
      </c>
      <c r="M770" s="29" t="s">
        <v>1120</v>
      </c>
      <c r="N770" s="57">
        <v>46227</v>
      </c>
      <c r="O770" s="15">
        <f>NETWORKDAYS.INTL(WFTracker[[#This Row],[Start date]],WFTracker[[#This Row],[RM]],1,Holidays!D757:D772)</f>
        <v>30</v>
      </c>
      <c r="P770" s="12">
        <v>46070</v>
      </c>
      <c r="Q770" s="12">
        <v>46077</v>
      </c>
      <c r="R770" s="12">
        <v>46099</v>
      </c>
      <c r="S770" s="12" t="b">
        <f>ISBLANK(WFTracker[[#This Row],[Completion Date]])</f>
        <v>0</v>
      </c>
      <c r="T770" s="12" t="str">
        <f>TEXT(WFTracker[[#This Row],[Start date]],"mmm-yyyy")</f>
        <v>Feb-2026</v>
      </c>
      <c r="U770" s="11">
        <v>10</v>
      </c>
      <c r="V770" s="11">
        <f>NETWORKDAYS.INTL(WFTracker[[#This Row],[Start date]],WFTracker[[#This Row],[Due date]],1,Holidays!D757:D772)</f>
        <v>6</v>
      </c>
      <c r="W77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22</v>
      </c>
      <c r="X770" s="24">
        <f ca="1">WFTracker[[#This Row],[Active Time]]-WFTracker[[#This Row],[Completion Days Template]]</f>
        <v>16</v>
      </c>
      <c r="Y770" s="16" t="str">
        <f ca="1" xml:space="preserve"> IF(WFTracker[[#This Row],[Overdue Time '[Expected-Completion']]]&gt;0, "LATE","ON TIME")</f>
        <v>LATE</v>
      </c>
      <c r="Z770" s="16" t="str">
        <f ca="1">IF(WFTracker[[#This Row],[Overdue Time '[Expected-Completion']]] &gt;= 15, "SUPER LATE", Y770)</f>
        <v>SUPER LATE</v>
      </c>
      <c r="AA770" s="37" t="str">
        <f>IF(WFTracker[[#This Row],[Pre RM Opening Time]]&lt;WFTracker[[#This Row],[Old vs New Order Lead Time WF dead line]], "LATE BY ENG", "ON TIME BY ENG")</f>
        <v>ON TIME BY ENG</v>
      </c>
      <c r="AB770" s="37"/>
      <c r="AC770" s="928" t="str" cm="1">
        <f t="array" ref="AC770">_xlfn.IFS(
    WFTracker[[#This Row],[Cancelation Cause]]&lt;&gt;"", "X",
    WFTracker[[#This Row],[Competion Date Content]] = FALSE, "C",
    TRUE, "I"
)</f>
        <v>C</v>
      </c>
      <c r="AD77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70" s="25" t="str">
        <f ca="1">IF(WFTracker[[#This Row],[Impact Time Post RM]]&gt;0, "IMPACTED", "NOT IMPACTED")</f>
        <v>NOT IMPACTED</v>
      </c>
      <c r="AF770" s="15"/>
      <c r="AG770" s="18"/>
      <c r="AH770" s="14" t="str">
        <f>IF(WFTracker[[#This Row],[Status]]="C", "Closed", IF(WFTracker[[#This Row],[Status]] = "x", "Cancelled", WFTracker[[#This Row],[Impact Time Post RM]]))</f>
        <v>Closed</v>
      </c>
      <c r="AI770" s="14" t="str">
        <f ca="1">IF(WFTracker[[#This Row],[Impact Time Post RM]]&lt;=0,"ON TIME","LATE")</f>
        <v>ON TIME</v>
      </c>
      <c r="AJ770" s="14" t="s">
        <v>970</v>
      </c>
      <c r="AK770" s="14">
        <v>18</v>
      </c>
      <c r="AL770" s="915">
        <f>IF(WFTracker[[#This Row],[Type]]="MAKE", WFTracker[[#This Row],[Due date]]+Filters!$J$111, WFTracker[[#This Row],[Due date]]+Filters!$J$135)</f>
        <v>46080.072512647552</v>
      </c>
      <c r="AM770" s="102" cm="1">
        <f t="array" ref="AM77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1" spans="1:39" ht="15" customHeight="1">
      <c r="A771" t="str">
        <f>IF(WFTracker[[#This Row],[Order Number]]="SWBD", "QED2", "PZ4")</f>
        <v>PZ4</v>
      </c>
      <c r="B771" s="21" t="s">
        <v>887</v>
      </c>
      <c r="C771" s="26" t="s">
        <v>135</v>
      </c>
      <c r="D771" s="11" t="str">
        <f>WFTracker[[#This Row],[Order Number]]  &amp; "-" &amp; WFTracker[[#This Row],[Item]]</f>
        <v>0051829783-000010</v>
      </c>
      <c r="E771" s="23" t="s">
        <v>888</v>
      </c>
      <c r="F771" s="12">
        <v>46094</v>
      </c>
      <c r="G771" s="12">
        <v>46087</v>
      </c>
      <c r="H771" s="11" t="s">
        <v>80</v>
      </c>
      <c r="I771" s="11" t="s">
        <v>889</v>
      </c>
      <c r="J771" s="55" t="s">
        <v>893</v>
      </c>
      <c r="K771" s="14" t="s">
        <v>1017</v>
      </c>
      <c r="L771" s="15" t="s">
        <v>27</v>
      </c>
      <c r="M771" s="29" t="s">
        <v>1120</v>
      </c>
      <c r="N771" s="57">
        <v>46199</v>
      </c>
      <c r="O771" s="15">
        <f>NETWORKDAYS.INTL(WFTracker[[#This Row],[Start date]],WFTracker[[#This Row],[RM]],1,Holidays!D771:D786)</f>
        <v>16</v>
      </c>
      <c r="P771" s="12">
        <v>46073</v>
      </c>
      <c r="Q771" s="12">
        <v>46080</v>
      </c>
      <c r="R771" s="12">
        <v>46099</v>
      </c>
      <c r="S771" s="12" t="b">
        <f>ISBLANK(WFTracker[[#This Row],[Completion Date]])</f>
        <v>0</v>
      </c>
      <c r="T771" s="12" t="str">
        <f>TEXT(WFTracker[[#This Row],[Start date]],"mmm-yyyy")</f>
        <v>Feb-2026</v>
      </c>
      <c r="U771" s="11">
        <v>10</v>
      </c>
      <c r="V771" s="11">
        <f>NETWORKDAYS.INTL(WFTracker[[#This Row],[Start date]],WFTracker[[#This Row],[Due date]],1,Holidays!D771:D786)</f>
        <v>6</v>
      </c>
      <c r="W77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771" s="24">
        <f ca="1">WFTracker[[#This Row],[Active Time]]-WFTracker[[#This Row],[Completion Days Template]]</f>
        <v>13</v>
      </c>
      <c r="Y771" s="16" t="str">
        <f ca="1" xml:space="preserve"> IF(WFTracker[[#This Row],[Overdue Time '[Expected-Completion']]]&gt;0, "LATE","ON TIME")</f>
        <v>LATE</v>
      </c>
      <c r="Z771" s="16" t="str">
        <f ca="1">IF(WFTracker[[#This Row],[Overdue Time '[Expected-Completion']]] &gt;= 15, "SUPER LATE", Y771)</f>
        <v>LATE</v>
      </c>
      <c r="AA771" s="37" t="str">
        <f>IF(WFTracker[[#This Row],[Pre RM Opening Time]]&lt;WFTracker[[#This Row],[Old vs New Order Lead Time WF dead line]], "LATE BY ENG", "ON TIME BY ENG")</f>
        <v>ON TIME BY ENG</v>
      </c>
      <c r="AB771" s="37"/>
      <c r="AC771" s="928" t="str" cm="1">
        <f t="array" ref="AC771">_xlfn.IFS(
    WFTracker[[#This Row],[Cancelation Cause]]&lt;&gt;"", "X",
    WFTracker[[#This Row],[Competion Date Content]] = FALSE, "C",
    TRUE, "I"
)</f>
        <v>C</v>
      </c>
      <c r="AD77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771" s="25" t="str">
        <f ca="1">IF(WFTracker[[#This Row],[Impact Time Post RM]]&gt;0, "IMPACTED", "NOT IMPACTED")</f>
        <v>IMPACTED</v>
      </c>
      <c r="AF771" s="15"/>
      <c r="AG771" s="18"/>
      <c r="AH771" s="14" t="str">
        <f>IF(WFTracker[[#This Row],[Status]]="C", "Closed", IF(WFTracker[[#This Row],[Status]] = "x", "Cancelled", WFTracker[[#This Row],[Impact Time Post RM]]))</f>
        <v>Closed</v>
      </c>
      <c r="AI771" s="14" t="str">
        <f ca="1">IF(WFTracker[[#This Row],[Impact Time Post RM]]&lt;=0,"ON TIME","LATE")</f>
        <v>LATE</v>
      </c>
      <c r="AJ771" s="14" t="s">
        <v>977</v>
      </c>
      <c r="AK771" s="14">
        <v>18</v>
      </c>
      <c r="AL771" s="915">
        <f>IF(WFTracker[[#This Row],[Type]]="MAKE", WFTracker[[#This Row],[Due date]]+Filters!$J$111, WFTracker[[#This Row],[Due date]]+Filters!$J$135)</f>
        <v>46083.072512647552</v>
      </c>
      <c r="AM771" s="102" cm="1">
        <f t="array" ref="AM77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2" spans="1:39" ht="15" customHeight="1">
      <c r="A772" t="str">
        <f>IF(WFTracker[[#This Row],[Order Number]]="SWBD", "QED2", "PZ4")</f>
        <v>PZ4</v>
      </c>
      <c r="B772" s="21" t="s">
        <v>887</v>
      </c>
      <c r="C772" s="26" t="s">
        <v>135</v>
      </c>
      <c r="D772" s="11" t="str">
        <f>WFTracker[[#This Row],[Order Number]]  &amp; "-" &amp; WFTracker[[#This Row],[Item]]</f>
        <v>0051829783-000010</v>
      </c>
      <c r="E772" s="23" t="s">
        <v>888</v>
      </c>
      <c r="F772" s="12">
        <v>46094</v>
      </c>
      <c r="G772" s="12">
        <v>46087</v>
      </c>
      <c r="H772" s="11" t="s">
        <v>80</v>
      </c>
      <c r="I772" s="11" t="s">
        <v>889</v>
      </c>
      <c r="J772" s="55" t="s">
        <v>891</v>
      </c>
      <c r="K772" s="14" t="s">
        <v>1017</v>
      </c>
      <c r="L772" s="15" t="s">
        <v>27</v>
      </c>
      <c r="M772" s="29" t="s">
        <v>1120</v>
      </c>
      <c r="N772" s="57">
        <v>46199</v>
      </c>
      <c r="O772" s="15">
        <f>NETWORKDAYS.INTL(WFTracker[[#This Row],[Start date]],WFTracker[[#This Row],[RM]],1,Holidays!D773:D788)</f>
        <v>16</v>
      </c>
      <c r="P772" s="12">
        <v>46073</v>
      </c>
      <c r="Q772" s="12">
        <v>46080</v>
      </c>
      <c r="R772" s="12">
        <v>46091</v>
      </c>
      <c r="S772" s="12" t="b">
        <f>ISBLANK(WFTracker[[#This Row],[Completion Date]])</f>
        <v>0</v>
      </c>
      <c r="T772" s="12" t="str">
        <f>TEXT(WFTracker[[#This Row],[Start date]],"mmm-yyyy")</f>
        <v>Feb-2026</v>
      </c>
      <c r="U772" s="11">
        <v>10</v>
      </c>
      <c r="V772" s="11">
        <f>NETWORKDAYS.INTL(WFTracker[[#This Row],[Start date]],WFTracker[[#This Row],[Due date]],1,Holidays!D773:D788)</f>
        <v>6</v>
      </c>
      <c r="W77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772" s="24">
        <f ca="1">WFTracker[[#This Row],[Active Time]]-WFTracker[[#This Row],[Completion Days Template]]</f>
        <v>7</v>
      </c>
      <c r="Y772" s="16" t="str">
        <f ca="1" xml:space="preserve"> IF(WFTracker[[#This Row],[Overdue Time '[Expected-Completion']]]&gt;0, "LATE","ON TIME")</f>
        <v>LATE</v>
      </c>
      <c r="Z772" s="16" t="str">
        <f ca="1">IF(WFTracker[[#This Row],[Overdue Time '[Expected-Completion']]] &gt;= 15, "SUPER LATE", Y772)</f>
        <v>LATE</v>
      </c>
      <c r="AA772" s="37" t="str">
        <f>IF(WFTracker[[#This Row],[Pre RM Opening Time]]&lt;WFTracker[[#This Row],[Old vs New Order Lead Time WF dead line]], "LATE BY ENG", "ON TIME BY ENG")</f>
        <v>ON TIME BY ENG</v>
      </c>
      <c r="AB772" s="37"/>
      <c r="AC772" s="928" t="str" cm="1">
        <f t="array" ref="AC772">_xlfn.IFS(
    WFTracker[[#This Row],[Cancelation Cause]]&lt;&gt;"", "X",
    WFTracker[[#This Row],[Competion Date Content]] = FALSE, "C",
    TRUE, "I"
)</f>
        <v>C</v>
      </c>
      <c r="AD77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72" s="25" t="str">
        <f ca="1">IF(WFTracker[[#This Row],[Impact Time Post RM]]&gt;0, "IMPACTED", "NOT IMPACTED")</f>
        <v>NOT IMPACTED</v>
      </c>
      <c r="AF772" s="15"/>
      <c r="AG772" s="18"/>
      <c r="AH772" s="14" t="str">
        <f>IF(WFTracker[[#This Row],[Status]]="C", "Closed", IF(WFTracker[[#This Row],[Status]] = "x", "Cancelled", WFTracker[[#This Row],[Impact Time Post RM]]))</f>
        <v>Closed</v>
      </c>
      <c r="AI772" s="14" t="str">
        <f ca="1">IF(WFTracker[[#This Row],[Impact Time Post RM]]&lt;=0,"ON TIME","LATE")</f>
        <v>ON TIME</v>
      </c>
      <c r="AJ772" s="14" t="s">
        <v>984</v>
      </c>
      <c r="AK772" s="14">
        <v>18</v>
      </c>
      <c r="AL772" s="915">
        <f>IF(WFTracker[[#This Row],[Type]]="MAKE", WFTracker[[#This Row],[Due date]]+Filters!$J$111, WFTracker[[#This Row],[Due date]]+Filters!$J$135)</f>
        <v>46083.072512647552</v>
      </c>
      <c r="AM772" s="102" cm="1">
        <f t="array" ref="AM77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3" spans="1:39" ht="15" customHeight="1">
      <c r="A773" t="str">
        <f>IF(WFTracker[[#This Row],[Order Number]]="SWBD", "QED2", "PZ4")</f>
        <v>PZ4</v>
      </c>
      <c r="B773" s="21" t="s">
        <v>887</v>
      </c>
      <c r="C773" s="26" t="s">
        <v>135</v>
      </c>
      <c r="D773" s="11" t="str">
        <f>WFTracker[[#This Row],[Order Number]]  &amp; "-" &amp; WFTracker[[#This Row],[Item]]</f>
        <v>0051829783-000010</v>
      </c>
      <c r="E773" s="23" t="s">
        <v>888</v>
      </c>
      <c r="F773" s="12">
        <v>46094</v>
      </c>
      <c r="G773" s="12">
        <v>46087</v>
      </c>
      <c r="H773" s="11" t="s">
        <v>80</v>
      </c>
      <c r="I773" s="11" t="s">
        <v>889</v>
      </c>
      <c r="J773" s="55" t="s">
        <v>894</v>
      </c>
      <c r="K773" s="14" t="s">
        <v>1017</v>
      </c>
      <c r="L773" s="15" t="s">
        <v>40</v>
      </c>
      <c r="M773" s="29" t="s">
        <v>1120</v>
      </c>
      <c r="N773" s="57">
        <v>46199</v>
      </c>
      <c r="O773" s="15">
        <f>NETWORKDAYS.INTL(WFTracker[[#This Row],[Start date]],WFTracker[[#This Row],[RM]],1,Holidays!D775:D790)</f>
        <v>16</v>
      </c>
      <c r="P773" s="12">
        <v>46073</v>
      </c>
      <c r="Q773" s="12">
        <v>46085</v>
      </c>
      <c r="R773" s="12">
        <v>46085</v>
      </c>
      <c r="S773" s="12" t="b">
        <f>ISBLANK(WFTracker[[#This Row],[Completion Date]])</f>
        <v>0</v>
      </c>
      <c r="T773" s="12" t="str">
        <f>TEXT(WFTracker[[#This Row],[Start date]],"mmm-yyyy")</f>
        <v>Feb-2026</v>
      </c>
      <c r="U773" s="11">
        <v>10</v>
      </c>
      <c r="V773" s="11">
        <f>NETWORKDAYS.INTL(WFTracker[[#This Row],[Start date]],WFTracker[[#This Row],[Due date]],1,Holidays!D775:D790)</f>
        <v>9</v>
      </c>
      <c r="W77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73" s="24">
        <f ca="1">WFTracker[[#This Row],[Active Time]]-WFTracker[[#This Row],[Completion Days Template]]</f>
        <v>0</v>
      </c>
      <c r="Y773" s="16" t="str">
        <f ca="1" xml:space="preserve"> IF(WFTracker[[#This Row],[Overdue Time '[Expected-Completion']]]&gt;0, "LATE","ON TIME")</f>
        <v>ON TIME</v>
      </c>
      <c r="Z773" s="16" t="str">
        <f ca="1">IF(WFTracker[[#This Row],[Overdue Time '[Expected-Completion']]] &gt;= 15, "SUPER LATE", Y773)</f>
        <v>ON TIME</v>
      </c>
      <c r="AA773" s="37" t="str">
        <f>IF(WFTracker[[#This Row],[Pre RM Opening Time]]&lt;WFTracker[[#This Row],[Old vs New Order Lead Time WF dead line]], "LATE BY ENG", "ON TIME BY ENG")</f>
        <v>ON TIME BY ENG</v>
      </c>
      <c r="AB773" s="37"/>
      <c r="AC773" s="928" t="str" cm="1">
        <f t="array" ref="AC773">_xlfn.IFS(
    WFTracker[[#This Row],[Cancelation Cause]]&lt;&gt;"", "X",
    WFTracker[[#This Row],[Competion Date Content]] = FALSE, "C",
    TRUE, "I"
)</f>
        <v>C</v>
      </c>
      <c r="AD77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773" s="25" t="str">
        <f ca="1">IF(WFTracker[[#This Row],[Impact Time Post RM]]&gt;0, "IMPACTED", "NOT IMPACTED")</f>
        <v>NOT IMPACTED</v>
      </c>
      <c r="AF773" s="15"/>
      <c r="AG773" s="18"/>
      <c r="AH773" s="14" t="str">
        <f>IF(WFTracker[[#This Row],[Status]]="C", "Closed", IF(WFTracker[[#This Row],[Status]] = "x", "Cancelled", WFTracker[[#This Row],[Impact Time Post RM]]))</f>
        <v>Closed</v>
      </c>
      <c r="AI773" s="14" t="str">
        <f ca="1">IF(WFTracker[[#This Row],[Impact Time Post RM]]&lt;=0,"ON TIME","LATE")</f>
        <v>ON TIME</v>
      </c>
      <c r="AJ773" s="14" t="s">
        <v>984</v>
      </c>
      <c r="AK773" s="14">
        <v>17</v>
      </c>
      <c r="AL773" s="915">
        <f>IF(WFTracker[[#This Row],[Type]]="MAKE", WFTracker[[#This Row],[Due date]]+Filters!$J$111, WFTracker[[#This Row],[Due date]]+Filters!$J$135)</f>
        <v>46085.415686274508</v>
      </c>
      <c r="AM773" s="102" cm="1">
        <f t="array" ref="AM77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4" spans="1:39" ht="15" customHeight="1">
      <c r="A774" t="str">
        <f>IF(WFTracker[[#This Row],[Order Number]]="SWBD", "QED2", "PZ4")</f>
        <v>PZ4</v>
      </c>
      <c r="B774" s="21" t="s">
        <v>866</v>
      </c>
      <c r="C774" s="26" t="s">
        <v>874</v>
      </c>
      <c r="D774" s="11" t="str">
        <f>WFTracker[[#This Row],[Order Number]]  &amp; "-" &amp; WFTracker[[#This Row],[Item]]</f>
        <v>0051733188-000490</v>
      </c>
      <c r="E774" s="23" t="s">
        <v>1028</v>
      </c>
      <c r="F774" s="12">
        <v>46097</v>
      </c>
      <c r="G774" s="12">
        <v>46092</v>
      </c>
      <c r="H774" s="11" t="s">
        <v>104</v>
      </c>
      <c r="I774" s="11" t="s">
        <v>37</v>
      </c>
      <c r="J774" s="55" t="s">
        <v>876</v>
      </c>
      <c r="K774" s="14" t="s">
        <v>1017</v>
      </c>
      <c r="L774" s="15" t="s">
        <v>27</v>
      </c>
      <c r="M774" s="29" t="s">
        <v>1120</v>
      </c>
      <c r="N774" s="57">
        <v>46196</v>
      </c>
      <c r="O774" s="15">
        <f>NETWORKDAYS.INTL(WFTracker[[#This Row],[Start date]],WFTracker[[#This Row],[RM]],1,Holidays!D770:D785)</f>
        <v>17</v>
      </c>
      <c r="P774" s="12">
        <v>46073</v>
      </c>
      <c r="Q774" s="12">
        <v>46080</v>
      </c>
      <c r="R774" s="12">
        <v>46093</v>
      </c>
      <c r="S774" s="12" t="b">
        <f>ISBLANK(WFTracker[[#This Row],[Completion Date]])</f>
        <v>0</v>
      </c>
      <c r="T774" s="12" t="str">
        <f>TEXT(WFTracker[[#This Row],[Start date]],"mmm-yyyy")</f>
        <v>Feb-2026</v>
      </c>
      <c r="U774" s="11">
        <v>10</v>
      </c>
      <c r="V774" s="11">
        <f>NETWORKDAYS.INTL(WFTracker[[#This Row],[Start date]],WFTracker[[#This Row],[Due date]],1,Holidays!D770:D785)</f>
        <v>6</v>
      </c>
      <c r="W77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774" s="24">
        <f ca="1">WFTracker[[#This Row],[Active Time]]-WFTracker[[#This Row],[Completion Days Template]]</f>
        <v>9</v>
      </c>
      <c r="Y774" s="16" t="str">
        <f ca="1" xml:space="preserve"> IF(WFTracker[[#This Row],[Overdue Time '[Expected-Completion']]]&gt;0, "LATE","ON TIME")</f>
        <v>LATE</v>
      </c>
      <c r="Z774" s="16" t="str">
        <f ca="1">IF(WFTracker[[#This Row],[Overdue Time '[Expected-Completion']]] &gt;= 15, "SUPER LATE", Y774)</f>
        <v>LATE</v>
      </c>
      <c r="AA774" s="37" t="str">
        <f>IF(WFTracker[[#This Row],[Pre RM Opening Time]]&lt;WFTracker[[#This Row],[Old vs New Order Lead Time WF dead line]], "LATE BY ENG", "ON TIME BY ENG")</f>
        <v>ON TIME BY ENG</v>
      </c>
      <c r="AB774" s="37"/>
      <c r="AC774" s="928" t="str" cm="1">
        <f t="array" ref="AC774">_xlfn.IFS(
    WFTracker[[#This Row],[Cancelation Cause]]&lt;&gt;"", "X",
    WFTracker[[#This Row],[Competion Date Content]] = FALSE, "C",
    TRUE, "I"
)</f>
        <v>C</v>
      </c>
      <c r="AD77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774" s="25" t="str">
        <f ca="1">IF(WFTracker[[#This Row],[Impact Time Post RM]]&gt;0, "IMPACTED", "NOT IMPACTED")</f>
        <v>NOT IMPACTED</v>
      </c>
      <c r="AF774" s="15"/>
      <c r="AG774" s="18"/>
      <c r="AH774" s="14" t="str">
        <f>IF(WFTracker[[#This Row],[Status]]="C", "Closed", IF(WFTracker[[#This Row],[Status]] = "x", "Cancelled", WFTracker[[#This Row],[Impact Time Post RM]]))</f>
        <v>Closed</v>
      </c>
      <c r="AI774" s="14" t="str">
        <f ca="1">IF(WFTracker[[#This Row],[Impact Time Post RM]]&lt;=0,"ON TIME","LATE")</f>
        <v>ON TIME</v>
      </c>
      <c r="AJ774" s="14" t="s">
        <v>984</v>
      </c>
      <c r="AK774" s="14">
        <v>18</v>
      </c>
      <c r="AL774" s="915">
        <f>IF(WFTracker[[#This Row],[Type]]="MAKE", WFTracker[[#This Row],[Due date]]+Filters!$J$111, WFTracker[[#This Row],[Due date]]+Filters!$J$135)</f>
        <v>46083.072512647552</v>
      </c>
      <c r="AM774" s="102" cm="1">
        <f t="array" ref="AM77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5" spans="1:39" ht="15" customHeight="1">
      <c r="A775" t="str">
        <f>IF(WFTracker[[#This Row],[Order Number]]="SWBD", "QED2", "PZ4")</f>
        <v>PZ4</v>
      </c>
      <c r="B775" s="21" t="s">
        <v>887</v>
      </c>
      <c r="C775" s="26" t="s">
        <v>135</v>
      </c>
      <c r="D775" s="11" t="str">
        <f>WFTracker[[#This Row],[Order Number]]  &amp; "-" &amp; WFTracker[[#This Row],[Item]]</f>
        <v>0051829783-000010</v>
      </c>
      <c r="E775" s="23" t="s">
        <v>888</v>
      </c>
      <c r="F775" s="12">
        <v>46094</v>
      </c>
      <c r="G775" s="12">
        <v>46087</v>
      </c>
      <c r="H775" s="11" t="s">
        <v>80</v>
      </c>
      <c r="I775" s="11" t="s">
        <v>889</v>
      </c>
      <c r="J775" s="55" t="s">
        <v>892</v>
      </c>
      <c r="K775" s="14" t="s">
        <v>1017</v>
      </c>
      <c r="L775" s="15" t="s">
        <v>27</v>
      </c>
      <c r="M775" s="29" t="s">
        <v>1120</v>
      </c>
      <c r="N775" s="57">
        <v>46199</v>
      </c>
      <c r="O775" s="15">
        <f>NETWORKDAYS.INTL(WFTracker[[#This Row],[Start date]],WFTracker[[#This Row],[RM]],1,Holidays!D774:D789)</f>
        <v>16</v>
      </c>
      <c r="P775" s="12">
        <v>46073</v>
      </c>
      <c r="Q775" s="12">
        <v>46080</v>
      </c>
      <c r="R775" s="12">
        <v>46087</v>
      </c>
      <c r="S775" s="12" t="b">
        <f>ISBLANK(WFTracker[[#This Row],[Completion Date]])</f>
        <v>0</v>
      </c>
      <c r="T775" s="12" t="str">
        <f>TEXT(WFTracker[[#This Row],[Start date]],"mmm-yyyy")</f>
        <v>Feb-2026</v>
      </c>
      <c r="U775" s="11">
        <v>10</v>
      </c>
      <c r="V775" s="11">
        <f>NETWORKDAYS.INTL(WFTracker[[#This Row],[Start date]],WFTracker[[#This Row],[Due date]],1,Holidays!D774:D789)</f>
        <v>6</v>
      </c>
      <c r="W77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75" s="24">
        <f ca="1">WFTracker[[#This Row],[Active Time]]-WFTracker[[#This Row],[Completion Days Template]]</f>
        <v>5</v>
      </c>
      <c r="Y775" s="16" t="str">
        <f ca="1" xml:space="preserve"> IF(WFTracker[[#This Row],[Overdue Time '[Expected-Completion']]]&gt;0, "LATE","ON TIME")</f>
        <v>LATE</v>
      </c>
      <c r="Z775" s="16" t="str">
        <f ca="1">IF(WFTracker[[#This Row],[Overdue Time '[Expected-Completion']]] &gt;= 15, "SUPER LATE", Y775)</f>
        <v>LATE</v>
      </c>
      <c r="AA775" s="37" t="str">
        <f>IF(WFTracker[[#This Row],[Pre RM Opening Time]]&lt;WFTracker[[#This Row],[Old vs New Order Lead Time WF dead line]], "LATE BY ENG", "ON TIME BY ENG")</f>
        <v>ON TIME BY ENG</v>
      </c>
      <c r="AB775" s="37"/>
      <c r="AC775" s="928" t="str" cm="1">
        <f t="array" ref="AC775">_xlfn.IFS(
    WFTracker[[#This Row],[Cancelation Cause]]&lt;&gt;"", "X",
    WFTracker[[#This Row],[Competion Date Content]] = FALSE, "C",
    TRUE, "I"
)</f>
        <v>C</v>
      </c>
      <c r="AD77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775" s="25" t="str">
        <f ca="1">IF(WFTracker[[#This Row],[Impact Time Post RM]]&gt;0, "IMPACTED", "NOT IMPACTED")</f>
        <v>NOT IMPACTED</v>
      </c>
      <c r="AF775" s="15"/>
      <c r="AG775" s="18"/>
      <c r="AH775" s="14" t="str">
        <f>IF(WFTracker[[#This Row],[Status]]="C", "Closed", IF(WFTracker[[#This Row],[Status]] = "x", "Cancelled", WFTracker[[#This Row],[Impact Time Post RM]]))</f>
        <v>Closed</v>
      </c>
      <c r="AI775" s="14" t="str">
        <f ca="1">IF(WFTracker[[#This Row],[Impact Time Post RM]]&lt;=0,"ON TIME","LATE")</f>
        <v>ON TIME</v>
      </c>
      <c r="AJ775" s="14" t="s">
        <v>984</v>
      </c>
      <c r="AK775" s="14">
        <v>18</v>
      </c>
      <c r="AL775" s="915">
        <f>IF(WFTracker[[#This Row],[Type]]="MAKE", WFTracker[[#This Row],[Due date]]+Filters!$J$111, WFTracker[[#This Row],[Due date]]+Filters!$J$135)</f>
        <v>46083.072512647552</v>
      </c>
      <c r="AM775" s="102" cm="1">
        <f t="array" ref="AM77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6" spans="1:39" ht="15" customHeight="1">
      <c r="A776" t="str">
        <f>IF(WFTracker[[#This Row],[Order Number]]="SWBD", "QED2", "PZ4")</f>
        <v>PZ4</v>
      </c>
      <c r="B776" s="21" t="s">
        <v>1649</v>
      </c>
      <c r="C776" s="26" t="s">
        <v>282</v>
      </c>
      <c r="D776" s="11" t="str">
        <f>WFTracker[[#This Row],[Order Number]]  &amp; "-" &amp; WFTracker[[#This Row],[Item]]</f>
        <v>0050365418-000070</v>
      </c>
      <c r="E776" s="23" t="s">
        <v>1065</v>
      </c>
      <c r="F776" s="12">
        <v>46067</v>
      </c>
      <c r="G776" s="12"/>
      <c r="H776" s="11" t="s">
        <v>295</v>
      </c>
      <c r="I776" s="11" t="s">
        <v>1650</v>
      </c>
      <c r="J776" s="55" t="s">
        <v>1651</v>
      </c>
      <c r="K776" s="14" t="s">
        <v>1023</v>
      </c>
      <c r="L776" s="15" t="s">
        <v>40</v>
      </c>
      <c r="M776" s="29" t="s">
        <v>1120</v>
      </c>
      <c r="N776" s="57">
        <v>46242</v>
      </c>
      <c r="O776" s="15">
        <f>NETWORKDAYS.INTL(WFTracker[[#This Row],[Start date]],WFTracker[[#This Row],[RM]],1,Holidays!D782:D797)</f>
        <v>-7</v>
      </c>
      <c r="P776" s="12">
        <v>46077</v>
      </c>
      <c r="Q776" s="12">
        <v>46087</v>
      </c>
      <c r="R776" s="12">
        <v>46108</v>
      </c>
      <c r="S776" s="12" t="b">
        <f>ISBLANK(WFTracker[[#This Row],[Completion Date]])</f>
        <v>0</v>
      </c>
      <c r="T776" s="12" t="str">
        <f>TEXT(WFTracker[[#This Row],[Start date]],"mmm-yyyy")</f>
        <v>Feb-2026</v>
      </c>
      <c r="U776" s="11">
        <v>10</v>
      </c>
      <c r="V776" s="11">
        <f>NETWORKDAYS.INTL(WFTracker[[#This Row],[Start date]],WFTracker[[#This Row],[Due date]],1,Holidays!D782:D797)</f>
        <v>9</v>
      </c>
      <c r="W77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24</v>
      </c>
      <c r="X776" s="24">
        <f ca="1">WFTracker[[#This Row],[Active Time]]-WFTracker[[#This Row],[Completion Days Template]]</f>
        <v>15</v>
      </c>
      <c r="Y776" s="16" t="str">
        <f ca="1" xml:space="preserve"> IF(WFTracker[[#This Row],[Overdue Time '[Expected-Completion']]]&gt;0, "LATE","ON TIME")</f>
        <v>LATE</v>
      </c>
      <c r="Z776" s="16" t="str">
        <f ca="1">IF(WFTracker[[#This Row],[Overdue Time '[Expected-Completion']]] &gt;= 15, "SUPER LATE", Y776)</f>
        <v>SUPER LATE</v>
      </c>
      <c r="AA776" s="37" t="str">
        <f>IF(WFTracker[[#This Row],[Pre RM Opening Time]]&lt;WFTracker[[#This Row],[Old vs New Order Lead Time WF dead line]], "LATE BY ENG", "ON TIME BY ENG")</f>
        <v>LATE BY ENG</v>
      </c>
      <c r="AB776" s="37"/>
      <c r="AC776" s="928" t="str" cm="1">
        <f t="array" ref="AC776">_xlfn.IFS(
    WFTracker[[#This Row],[Cancelation Cause]]&lt;&gt;"", "X",
    WFTracker[[#This Row],[Competion Date Content]] = FALSE, "C",
    TRUE, "I"
)</f>
        <v>C</v>
      </c>
      <c r="AD77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30</v>
      </c>
      <c r="AE776" s="25" t="str">
        <f ca="1">IF(WFTracker[[#This Row],[Impact Time Post RM]]&gt;0, "IMPACTED", "NOT IMPACTED")</f>
        <v>IMPACTED</v>
      </c>
      <c r="AF776" s="15"/>
      <c r="AG776" s="18"/>
      <c r="AH776" s="14" t="str">
        <f>IF(WFTracker[[#This Row],[Status]]="C", "Closed", IF(WFTracker[[#This Row],[Status]] = "x", "Cancelled", WFTracker[[#This Row],[Impact Time Post RM]]))</f>
        <v>Closed</v>
      </c>
      <c r="AI776" s="14" t="str">
        <f ca="1">IF(WFTracker[[#This Row],[Impact Time Post RM]]&lt;=0,"ON TIME","LATE")</f>
        <v>LATE</v>
      </c>
      <c r="AJ776" s="14" t="s">
        <v>984</v>
      </c>
      <c r="AK776" s="14">
        <v>17</v>
      </c>
      <c r="AL776" s="915">
        <f>IF(WFTracker[[#This Row],[Type]]="MAKE", WFTracker[[#This Row],[Due date]]+Filters!$J$111, WFTracker[[#This Row],[Due date]]+Filters!$J$135)</f>
        <v>46087.415686274508</v>
      </c>
      <c r="AM776" s="102" cm="1">
        <f t="array" ref="AM77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7" spans="1:39" ht="15" customHeight="1">
      <c r="A777" t="str">
        <f>IF(WFTracker[[#This Row],[Order Number]]="SWBD", "QED2", "PZ4")</f>
        <v>PZ4</v>
      </c>
      <c r="B777" s="21" t="s">
        <v>887</v>
      </c>
      <c r="C777" s="26" t="s">
        <v>135</v>
      </c>
      <c r="D777" s="11" t="str">
        <f>WFTracker[[#This Row],[Order Number]]  &amp; "-" &amp; WFTracker[[#This Row],[Item]]</f>
        <v>0051829783-000010</v>
      </c>
      <c r="E777" s="23" t="s">
        <v>888</v>
      </c>
      <c r="F777" s="12">
        <v>46094</v>
      </c>
      <c r="G777" s="12">
        <v>46087</v>
      </c>
      <c r="H777" s="11" t="s">
        <v>80</v>
      </c>
      <c r="I777" s="11" t="s">
        <v>889</v>
      </c>
      <c r="J777" s="55" t="s">
        <v>898</v>
      </c>
      <c r="K777" s="14" t="s">
        <v>1017</v>
      </c>
      <c r="L777" s="15" t="s">
        <v>27</v>
      </c>
      <c r="M777" s="29" t="s">
        <v>1120</v>
      </c>
      <c r="N777" s="57">
        <v>46199</v>
      </c>
      <c r="O777" s="15">
        <f>NETWORKDAYS.INTL(WFTracker[[#This Row],[Start date]],WFTracker[[#This Row],[RM]],1,Holidays!D780:D795)</f>
        <v>15</v>
      </c>
      <c r="P777" s="12">
        <v>46076</v>
      </c>
      <c r="Q777" s="12">
        <v>46085</v>
      </c>
      <c r="R777" s="12">
        <v>46084</v>
      </c>
      <c r="S777" s="12" t="b">
        <f>ISBLANK(WFTracker[[#This Row],[Completion Date]])</f>
        <v>0</v>
      </c>
      <c r="T777" s="12" t="str">
        <f>TEXT(WFTracker[[#This Row],[Start date]],"mmm-yyyy")</f>
        <v>Feb-2026</v>
      </c>
      <c r="U777" s="11">
        <v>10</v>
      </c>
      <c r="V777" s="11">
        <f>NETWORKDAYS.INTL(WFTracker[[#This Row],[Start date]],WFTracker[[#This Row],[Due date]],1,Holidays!D780:D795)</f>
        <v>8</v>
      </c>
      <c r="W77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77" s="24">
        <f ca="1">WFTracker[[#This Row],[Active Time]]-WFTracker[[#This Row],[Completion Days Template]]</f>
        <v>-1</v>
      </c>
      <c r="Y777" s="16" t="str">
        <f ca="1" xml:space="preserve"> IF(WFTracker[[#This Row],[Overdue Time '[Expected-Completion']]]&gt;0, "LATE","ON TIME")</f>
        <v>ON TIME</v>
      </c>
      <c r="Z777" s="16" t="str">
        <f ca="1">IF(WFTracker[[#This Row],[Overdue Time '[Expected-Completion']]] &gt;= 15, "SUPER LATE", Y777)</f>
        <v>ON TIME</v>
      </c>
      <c r="AA777" s="37" t="str">
        <f>IF(WFTracker[[#This Row],[Pre RM Opening Time]]&lt;WFTracker[[#This Row],[Old vs New Order Lead Time WF dead line]], "LATE BY ENG", "ON TIME BY ENG")</f>
        <v>ON TIME BY ENG</v>
      </c>
      <c r="AB777" s="37"/>
      <c r="AC777" s="928" t="str" cm="1">
        <f t="array" ref="AC777">_xlfn.IFS(
    WFTracker[[#This Row],[Cancelation Cause]]&lt;&gt;"", "X",
    WFTracker[[#This Row],[Competion Date Content]] = FALSE, "C",
    TRUE, "I"
)</f>
        <v>C</v>
      </c>
      <c r="AD77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77" s="25" t="str">
        <f ca="1">IF(WFTracker[[#This Row],[Impact Time Post RM]]&gt;0, "IMPACTED", "NOT IMPACTED")</f>
        <v>NOT IMPACTED</v>
      </c>
      <c r="AF777" s="15"/>
      <c r="AG777" s="18"/>
      <c r="AH777" s="14" t="str">
        <f>IF(WFTracker[[#This Row],[Status]]="C", "Closed", IF(WFTracker[[#This Row],[Status]] = "x", "Cancelled", WFTracker[[#This Row],[Impact Time Post RM]]))</f>
        <v>Closed</v>
      </c>
      <c r="AI777" s="14" t="str">
        <f ca="1">IF(WFTracker[[#This Row],[Impact Time Post RM]]&lt;=0,"ON TIME","LATE")</f>
        <v>ON TIME</v>
      </c>
      <c r="AJ777" s="14" t="s">
        <v>984</v>
      </c>
      <c r="AK777" s="14">
        <v>18</v>
      </c>
      <c r="AL777" s="915">
        <f>IF(WFTracker[[#This Row],[Type]]="MAKE", WFTracker[[#This Row],[Due date]]+Filters!$J$111, WFTracker[[#This Row],[Due date]]+Filters!$J$135)</f>
        <v>46088.072512647552</v>
      </c>
      <c r="AM777" s="102" cm="1">
        <f t="array" ref="AM77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78" spans="1:39" ht="15" customHeight="1">
      <c r="A778" t="str">
        <f>IF(WFTracker[[#This Row],[Order Number]]="SWBD", "QED2", "PZ4")</f>
        <v>PZ4</v>
      </c>
      <c r="B778" s="21" t="s">
        <v>884</v>
      </c>
      <c r="C778" s="26" t="s">
        <v>1652</v>
      </c>
      <c r="D778" s="11" t="str">
        <f>WFTracker[[#This Row],[Order Number]]  &amp; "-" &amp; WFTracker[[#This Row],[Item]]</f>
        <v>0051735870-000010&amp;20</v>
      </c>
      <c r="E778" s="23" t="s">
        <v>885</v>
      </c>
      <c r="F778" s="12">
        <v>46111</v>
      </c>
      <c r="G778" s="12">
        <v>46098</v>
      </c>
      <c r="H778" s="11" t="s">
        <v>80</v>
      </c>
      <c r="I778" s="11" t="s">
        <v>429</v>
      </c>
      <c r="J778" s="55" t="s">
        <v>1653</v>
      </c>
      <c r="K778" s="14" t="s">
        <v>1023</v>
      </c>
      <c r="L778" s="15" t="s">
        <v>27</v>
      </c>
      <c r="M778" s="29" t="s">
        <v>1120</v>
      </c>
      <c r="N778" s="57">
        <v>46227</v>
      </c>
      <c r="O778" s="15">
        <f>NETWORKDAYS.INTL(WFTracker[[#This Row],[Start date]],WFTracker[[#This Row],[RM]],1,Holidays!D784:D799)</f>
        <v>25</v>
      </c>
      <c r="P778" s="12">
        <v>46077</v>
      </c>
      <c r="Q778" s="12">
        <v>46085</v>
      </c>
      <c r="R778" s="12">
        <v>46078</v>
      </c>
      <c r="S778" s="12" t="b">
        <f>ISBLANK(WFTracker[[#This Row],[Completion Date]])</f>
        <v>0</v>
      </c>
      <c r="T778" s="12" t="str">
        <f>TEXT(WFTracker[[#This Row],[Start date]],"mmm-yyyy")</f>
        <v>Feb-2026</v>
      </c>
      <c r="U778" s="11">
        <v>10</v>
      </c>
      <c r="V778" s="11">
        <f>NETWORKDAYS.INTL(WFTracker[[#This Row],[Start date]],WFTracker[[#This Row],[Due date]],1,Holidays!D784:D799)</f>
        <v>7</v>
      </c>
      <c r="W77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778" s="24">
        <f ca="1">WFTracker[[#This Row],[Active Time]]-WFTracker[[#This Row],[Completion Days Template]]</f>
        <v>-5</v>
      </c>
      <c r="Y778" s="16" t="str">
        <f ca="1" xml:space="preserve"> IF(WFTracker[[#This Row],[Overdue Time '[Expected-Completion']]]&gt;0, "LATE","ON TIME")</f>
        <v>ON TIME</v>
      </c>
      <c r="Z778" s="16" t="str">
        <f ca="1">IF(WFTracker[[#This Row],[Overdue Time '[Expected-Completion']]] &gt;= 15, "SUPER LATE", Y778)</f>
        <v>ON TIME</v>
      </c>
      <c r="AA778" s="37" t="str">
        <f>IF(WFTracker[[#This Row],[Pre RM Opening Time]]&lt;WFTracker[[#This Row],[Old vs New Order Lead Time WF dead line]], "LATE BY ENG", "ON TIME BY ENG")</f>
        <v>ON TIME BY ENG</v>
      </c>
      <c r="AB778" s="37"/>
      <c r="AC778" s="15" t="s">
        <v>1011</v>
      </c>
      <c r="AD77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-24</v>
      </c>
      <c r="AE778" s="25" t="str">
        <f ca="1">IF(WFTracker[[#This Row],[Impact Time Post RM]]&gt;0, "IMPACTED", "NOT IMPACTED")</f>
        <v>NOT IMPACTED</v>
      </c>
      <c r="AF778" s="15"/>
      <c r="AG778" s="18"/>
      <c r="AH778" s="14" t="str">
        <f>IF(WFTracker[[#This Row],[Status]]="C", "Closed", IF(WFTracker[[#This Row],[Status]] = "x", "Cancelled", WFTracker[[#This Row],[Impact Time Post RM]]))</f>
        <v>Cancelled</v>
      </c>
      <c r="AI778" s="14" t="str">
        <f ca="1">IF(WFTracker[[#This Row],[Impact Time Post RM]]&lt;=0,"ON TIME","LATE")</f>
        <v>ON TIME</v>
      </c>
      <c r="AJ778" s="14" t="s">
        <v>984</v>
      </c>
      <c r="AK778" s="14">
        <v>0</v>
      </c>
      <c r="AL778" s="915">
        <f>IF(WFTracker[[#This Row],[Type]]="MAKE", WFTracker[[#This Row],[Due date]]+Filters!$J$111, WFTracker[[#This Row],[Due date]]+Filters!$J$135)</f>
        <v>46088.072512647552</v>
      </c>
      <c r="AM778" s="102" cm="1">
        <f t="array" ref="AM778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779" spans="1:39" ht="15" customHeight="1">
      <c r="A779" t="str">
        <f>IF(WFTracker[[#This Row],[Order Number]]="SWBD", "QED2", "PZ4")</f>
        <v>PZ4</v>
      </c>
      <c r="B779" s="21" t="s">
        <v>887</v>
      </c>
      <c r="C779" s="26" t="s">
        <v>135</v>
      </c>
      <c r="D779" s="11" t="str">
        <f>WFTracker[[#This Row],[Order Number]]  &amp; "-" &amp; WFTracker[[#This Row],[Item]]</f>
        <v>0051829783-000010</v>
      </c>
      <c r="E779" s="23" t="s">
        <v>888</v>
      </c>
      <c r="F779" s="12">
        <v>46094</v>
      </c>
      <c r="G779" s="12">
        <v>46087</v>
      </c>
      <c r="H779" s="11" t="s">
        <v>80</v>
      </c>
      <c r="I779" s="11" t="s">
        <v>889</v>
      </c>
      <c r="J779" s="55" t="s">
        <v>895</v>
      </c>
      <c r="K779" s="14" t="s">
        <v>1017</v>
      </c>
      <c r="L779" s="15" t="s">
        <v>27</v>
      </c>
      <c r="M779" s="29" t="s">
        <v>1120</v>
      </c>
      <c r="N779" s="57">
        <v>46199</v>
      </c>
      <c r="O779" s="15">
        <f>NETWORKDAYS.INTL(WFTracker[[#This Row],[Start date]],WFTracker[[#This Row],[RM]],1,Holidays!D776:D791)</f>
        <v>16</v>
      </c>
      <c r="P779" s="12">
        <v>46073</v>
      </c>
      <c r="Q779" s="12">
        <v>46083</v>
      </c>
      <c r="R779" s="12">
        <v>46087</v>
      </c>
      <c r="S779" s="12" t="b">
        <f>ISBLANK(WFTracker[[#This Row],[Completion Date]])</f>
        <v>0</v>
      </c>
      <c r="T779" s="12" t="str">
        <f>TEXT(WFTracker[[#This Row],[Start date]],"mmm-yyyy")</f>
        <v>Feb-2026</v>
      </c>
      <c r="U779" s="11">
        <v>10</v>
      </c>
      <c r="V779" s="11">
        <f>NETWORKDAYS.INTL(WFTracker[[#This Row],[Start date]],WFTracker[[#This Row],[Due date]],1,Holidays!D776:D791)</f>
        <v>7</v>
      </c>
      <c r="W77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79" s="24">
        <f ca="1">WFTracker[[#This Row],[Active Time]]-WFTracker[[#This Row],[Completion Days Template]]</f>
        <v>4</v>
      </c>
      <c r="Y779" s="16" t="str">
        <f ca="1" xml:space="preserve"> IF(WFTracker[[#This Row],[Overdue Time '[Expected-Completion']]]&gt;0, "LATE","ON TIME")</f>
        <v>LATE</v>
      </c>
      <c r="Z779" s="16" t="str">
        <f ca="1">IF(WFTracker[[#This Row],[Overdue Time '[Expected-Completion']]] &gt;= 15, "SUPER LATE", Y779)</f>
        <v>LATE</v>
      </c>
      <c r="AA779" s="37" t="str">
        <f>IF(WFTracker[[#This Row],[Pre RM Opening Time]]&lt;WFTracker[[#This Row],[Old vs New Order Lead Time WF dead line]], "LATE BY ENG", "ON TIME BY ENG")</f>
        <v>ON TIME BY ENG</v>
      </c>
      <c r="AB779" s="37"/>
      <c r="AC779" s="928" t="str" cm="1">
        <f t="array" ref="AC779">_xlfn.IFS(
    WFTracker[[#This Row],[Cancelation Cause]]&lt;&gt;"", "X",
    WFTracker[[#This Row],[Competion Date Content]] = FALSE, "C",
    TRUE, "I"
)</f>
        <v>C</v>
      </c>
      <c r="AD77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779" s="25" t="str">
        <f ca="1">IF(WFTracker[[#This Row],[Impact Time Post RM]]&gt;0, "IMPACTED", "NOT IMPACTED")</f>
        <v>NOT IMPACTED</v>
      </c>
      <c r="AF779" s="15"/>
      <c r="AG779" s="18"/>
      <c r="AH779" s="14" t="str">
        <f>IF(WFTracker[[#This Row],[Status]]="C", "Closed", IF(WFTracker[[#This Row],[Status]] = "x", "Cancelled", WFTracker[[#This Row],[Impact Time Post RM]]))</f>
        <v>Closed</v>
      </c>
      <c r="AI779" s="14" t="str">
        <f ca="1">IF(WFTracker[[#This Row],[Impact Time Post RM]]&lt;=0,"ON TIME","LATE")</f>
        <v>ON TIME</v>
      </c>
      <c r="AJ779" s="14" t="s">
        <v>984</v>
      </c>
      <c r="AK779" s="14">
        <v>18</v>
      </c>
      <c r="AL779" s="915">
        <f>IF(WFTracker[[#This Row],[Type]]="MAKE", WFTracker[[#This Row],[Due date]]+Filters!$J$111, WFTracker[[#This Row],[Due date]]+Filters!$J$135)</f>
        <v>46086.072512647552</v>
      </c>
      <c r="AM779" s="102" cm="1">
        <f t="array" ref="AM77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0" spans="1:39" ht="15" customHeight="1">
      <c r="A780" t="str">
        <f>IF(WFTracker[[#This Row],[Order Number]]="SWBD", "QED2", "PZ4")</f>
        <v>PZ4</v>
      </c>
      <c r="B780" s="21" t="s">
        <v>1462</v>
      </c>
      <c r="C780" s="26" t="s">
        <v>1463</v>
      </c>
      <c r="D780" s="11" t="str">
        <f>WFTracker[[#This Row],[Order Number]]  &amp; "-" &amp; WFTracker[[#This Row],[Item]]</f>
        <v>0051275480-000950</v>
      </c>
      <c r="E780" s="23" t="s">
        <v>1050</v>
      </c>
      <c r="F780" s="12">
        <v>46020</v>
      </c>
      <c r="G780" s="12">
        <v>46009</v>
      </c>
      <c r="H780" s="11" t="s">
        <v>110</v>
      </c>
      <c r="I780" s="11" t="s">
        <v>429</v>
      </c>
      <c r="J780" s="55" t="s">
        <v>1654</v>
      </c>
      <c r="K780" s="14" t="s">
        <v>1017</v>
      </c>
      <c r="L780" s="15" t="s">
        <v>1430</v>
      </c>
      <c r="M780" s="29" t="s">
        <v>1120</v>
      </c>
      <c r="N780" s="57">
        <v>46094</v>
      </c>
      <c r="O780" s="15">
        <f>NETWORKDAYS.INTL(WFTracker[[#This Row],[Start date]],WFTracker[[#This Row],[RM]],1,Holidays!D781:D796)</f>
        <v>-42</v>
      </c>
      <c r="P780" s="12">
        <v>46077</v>
      </c>
      <c r="Q780" s="12">
        <v>46080</v>
      </c>
      <c r="R780" s="12">
        <v>46080</v>
      </c>
      <c r="S780" s="12" t="b">
        <f>ISBLANK(WFTracker[[#This Row],[Completion Date]])</f>
        <v>0</v>
      </c>
      <c r="T780" s="12" t="str">
        <f>TEXT(WFTracker[[#This Row],[Start date]],"mmm-yyyy")</f>
        <v>Feb-2026</v>
      </c>
      <c r="U780" s="11">
        <v>10</v>
      </c>
      <c r="V780" s="11">
        <f>NETWORKDAYS.INTL(WFTracker[[#This Row],[Start date]],WFTracker[[#This Row],[Due date]],1,Holidays!D781:D796)</f>
        <v>4</v>
      </c>
      <c r="W78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780" s="24">
        <f ca="1">WFTracker[[#This Row],[Active Time]]-WFTracker[[#This Row],[Completion Days Template]]</f>
        <v>0</v>
      </c>
      <c r="Y780" s="16" t="str">
        <f ca="1" xml:space="preserve"> IF(WFTracker[[#This Row],[Overdue Time '[Expected-Completion']]]&gt;0, "LATE","ON TIME")</f>
        <v>ON TIME</v>
      </c>
      <c r="Z780" s="16" t="str">
        <f ca="1">IF(WFTracker[[#This Row],[Overdue Time '[Expected-Completion']]] &gt;= 15, "SUPER LATE", Y780)</f>
        <v>ON TIME</v>
      </c>
      <c r="AA780" s="37" t="str">
        <f>IF(WFTracker[[#This Row],[Pre RM Opening Time]]&lt;WFTracker[[#This Row],[Old vs New Order Lead Time WF dead line]], "LATE BY ENG", "ON TIME BY ENG")</f>
        <v>LATE BY ENG</v>
      </c>
      <c r="AB780" s="37"/>
      <c r="AC780" s="928" t="str" cm="1">
        <f t="array" ref="AC780">_xlfn.IFS(
    WFTracker[[#This Row],[Cancelation Cause]]&lt;&gt;"", "X",
    WFTracker[[#This Row],[Competion Date Content]] = FALSE, "C",
    TRUE, "I"
)</f>
        <v>C</v>
      </c>
      <c r="AD78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44</v>
      </c>
      <c r="AE780" s="25" t="str">
        <f ca="1">IF(WFTracker[[#This Row],[Impact Time Post RM]]&gt;0, "IMPACTED", "NOT IMPACTED")</f>
        <v>IMPACTED</v>
      </c>
      <c r="AF780" s="15"/>
      <c r="AG780" s="18"/>
      <c r="AH780" s="14" t="str">
        <f>IF(WFTracker[[#This Row],[Status]]="C", "Closed", IF(WFTracker[[#This Row],[Status]] = "x", "Cancelled", WFTracker[[#This Row],[Impact Time Post RM]]))</f>
        <v>Closed</v>
      </c>
      <c r="AI780" s="14" t="str">
        <f ca="1">IF(WFTracker[[#This Row],[Impact Time Post RM]]&lt;=0,"ON TIME","LATE")</f>
        <v>LATE</v>
      </c>
      <c r="AJ780" s="14" t="s">
        <v>984</v>
      </c>
      <c r="AK780" s="14">
        <v>11</v>
      </c>
      <c r="AL780" s="915">
        <f>IF(WFTracker[[#This Row],[Type]]="MAKE", WFTracker[[#This Row],[Due date]]+Filters!$J$111, WFTracker[[#This Row],[Due date]]+Filters!$J$135)</f>
        <v>46080.415686274508</v>
      </c>
      <c r="AM780" s="102" cm="1">
        <f t="array" ref="AM78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1" spans="1:39" ht="15" customHeight="1">
      <c r="A781" t="str">
        <f>IF(WFTracker[[#This Row],[Order Number]]="SWBD", "QED2", "PZ4")</f>
        <v>PZ4</v>
      </c>
      <c r="B781" s="21" t="s">
        <v>944</v>
      </c>
      <c r="C781" s="26" t="s">
        <v>1655</v>
      </c>
      <c r="D781" s="11" t="str">
        <f>WFTracker[[#This Row],[Order Number]]  &amp; "-" &amp; WFTracker[[#This Row],[Item]]</f>
        <v>0051035589-000220</v>
      </c>
      <c r="E781" s="23" t="s">
        <v>1029</v>
      </c>
      <c r="F781" s="12">
        <v>46087</v>
      </c>
      <c r="G781" s="12">
        <v>46078</v>
      </c>
      <c r="H781" s="11" t="s">
        <v>947</v>
      </c>
      <c r="I781" s="11" t="s">
        <v>111</v>
      </c>
      <c r="J781" s="55" t="s">
        <v>948</v>
      </c>
      <c r="K781" s="14" t="s">
        <v>1017</v>
      </c>
      <c r="L781" s="15" t="s">
        <v>27</v>
      </c>
      <c r="M781" s="29" t="s">
        <v>1120</v>
      </c>
      <c r="N781" s="57">
        <v>46197</v>
      </c>
      <c r="O781" s="15">
        <f>NETWORKDAYS.INTL(WFTracker[[#This Row],[Start date]],WFTracker[[#This Row],[RM]],1,Holidays!D843:D858)</f>
        <v>-5</v>
      </c>
      <c r="P781" s="12">
        <v>46093</v>
      </c>
      <c r="Q781" s="12">
        <v>46104</v>
      </c>
      <c r="R781" s="12"/>
      <c r="S781" s="12" t="b">
        <f>ISBLANK(WFTracker[[#This Row],[Completion Date]])</f>
        <v>1</v>
      </c>
      <c r="T781" s="12" t="str">
        <f>TEXT(WFTracker[[#This Row],[Start date]],"mmm-yyyy")</f>
        <v>Mar-2026</v>
      </c>
      <c r="U781" s="11">
        <v>10</v>
      </c>
      <c r="V781" s="11">
        <f>NETWORKDAYS.INTL(WFTracker[[#This Row],[Start date]],WFTracker[[#This Row],[Due date]],1,Holidays!D843:D858)</f>
        <v>8</v>
      </c>
      <c r="W78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781" s="24">
        <f ca="1">WFTracker[[#This Row],[Active Time]]-WFTracker[[#This Row],[Completion Days Template]]</f>
        <v>-2</v>
      </c>
      <c r="Y781" s="16" t="str">
        <f ca="1" xml:space="preserve"> IF(WFTracker[[#This Row],[Overdue Time '[Expected-Completion']]]&gt;0, "LATE","ON TIME")</f>
        <v>ON TIME</v>
      </c>
      <c r="Z781" s="16" t="str">
        <f ca="1">IF(WFTracker[[#This Row],[Overdue Time '[Expected-Completion']]] &gt;= 15, "SUPER LATE", Y781)</f>
        <v>ON TIME</v>
      </c>
      <c r="AA781" s="37" t="str">
        <f>IF(WFTracker[[#This Row],[Pre RM Opening Time]]&lt;WFTracker[[#This Row],[Old vs New Order Lead Time WF dead line]], "LATE BY ENG", "ON TIME BY ENG")</f>
        <v>LATE BY ENG</v>
      </c>
      <c r="AB781" s="37"/>
      <c r="AC781" s="928" t="str" cm="1">
        <f t="array" ref="AC781">_xlfn.IFS(
    WFTracker[[#This Row],[Cancelation Cause]]&lt;&gt;"", "X",
    WFTracker[[#This Row],[Competion Date Content]] = FALSE, "C",
    TRUE, "I"
)</f>
        <v>I</v>
      </c>
      <c r="AD78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10</v>
      </c>
      <c r="AE781" s="25" t="str">
        <f ca="1">IF(WFTracker[[#This Row],[Impact Time Post RM]]&gt;0, "IMPACTED", "NOT IMPACTED")</f>
        <v>IMPACTED</v>
      </c>
      <c r="AF781" s="15"/>
      <c r="AG781" s="18"/>
      <c r="AH781" s="14">
        <f ca="1">IF(WFTracker[[#This Row],[Status]]="C", "Closed", IF(WFTracker[[#This Row],[Status]] = "x", "Cancelled", WFTracker[[#This Row],[Impact Time Post RM]]))</f>
        <v>10</v>
      </c>
      <c r="AI781" s="14" t="str">
        <f ca="1">IF(WFTracker[[#This Row],[Impact Time Post RM]]&lt;=0,"ON TIME","LATE")</f>
        <v>LATE</v>
      </c>
      <c r="AJ781" s="14" t="s">
        <v>975</v>
      </c>
      <c r="AK781" s="14">
        <v>11</v>
      </c>
      <c r="AL781" s="915">
        <f>IF(WFTracker[[#This Row],[Type]]="MAKE", WFTracker[[#This Row],[Due date]]+Filters!$J$111, WFTracker[[#This Row],[Due date]]+Filters!$J$135)</f>
        <v>46107.072512647552</v>
      </c>
      <c r="AM781" s="102" cm="1">
        <f t="array" ref="AM781">_xlfn.IFS(WFTracker[[#This Row],[Type]]="BUY", WFTracker[[#This Row],[Task Number]]/17,
     WFTracker[[#This Row],[Type]]="MAKE", WFTracker[[#This Row],[Task Number]]/18,
     WFTracker[[#This Row],[Type]]="CNG-BOM", WFTracker[[#This Row],[Task Number]]/11)</f>
        <v>0.61111111111111116</v>
      </c>
    </row>
    <row r="782" spans="1:39" ht="15" customHeight="1">
      <c r="A782" t="str">
        <f>IF(WFTracker[[#This Row],[Order Number]]="SWBD", "QED2", "PZ4")</f>
        <v>PZ4</v>
      </c>
      <c r="B782" s="21" t="s">
        <v>887</v>
      </c>
      <c r="C782" s="26" t="s">
        <v>135</v>
      </c>
      <c r="D782" s="11" t="str">
        <f>WFTracker[[#This Row],[Order Number]]  &amp; "-" &amp; WFTracker[[#This Row],[Item]]</f>
        <v>0051829783-000010</v>
      </c>
      <c r="E782" s="23" t="s">
        <v>888</v>
      </c>
      <c r="F782" s="12">
        <v>46094</v>
      </c>
      <c r="G782" s="12">
        <v>46087</v>
      </c>
      <c r="H782" s="11" t="s">
        <v>80</v>
      </c>
      <c r="I782" s="11" t="s">
        <v>889</v>
      </c>
      <c r="J782" s="55" t="s">
        <v>900</v>
      </c>
      <c r="K782" s="14" t="s">
        <v>1017</v>
      </c>
      <c r="L782" s="15" t="s">
        <v>27</v>
      </c>
      <c r="M782" s="29" t="s">
        <v>1120</v>
      </c>
      <c r="N782" s="57">
        <v>46209</v>
      </c>
      <c r="O782" s="15">
        <f>NETWORKDAYS.INTL(WFTracker[[#This Row],[Start date]],WFTracker[[#This Row],[RM]],1,Holidays!D800:D815)</f>
        <v>12</v>
      </c>
      <c r="P782" s="12">
        <v>46079</v>
      </c>
      <c r="Q782" s="12">
        <v>46086</v>
      </c>
      <c r="R782" s="12">
        <v>46084</v>
      </c>
      <c r="S782" s="12" t="b">
        <f>ISBLANK(WFTracker[[#This Row],[Completion Date]])</f>
        <v>0</v>
      </c>
      <c r="T782" s="12" t="str">
        <f>TEXT(WFTracker[[#This Row],[Start date]],"mmm-yyyy")</f>
        <v>Feb-2026</v>
      </c>
      <c r="U782" s="11">
        <v>10</v>
      </c>
      <c r="V782" s="11">
        <f>NETWORKDAYS.INTL(WFTracker[[#This Row],[Start date]],WFTracker[[#This Row],[Due date]],1,Holidays!D800:D815)</f>
        <v>6</v>
      </c>
      <c r="W78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782" s="24">
        <f ca="1">WFTracker[[#This Row],[Active Time]]-WFTracker[[#This Row],[Completion Days Template]]</f>
        <v>-2</v>
      </c>
      <c r="Y782" s="16" t="str">
        <f ca="1" xml:space="preserve"> IF(WFTracker[[#This Row],[Overdue Time '[Expected-Completion']]]&gt;0, "LATE","ON TIME")</f>
        <v>ON TIME</v>
      </c>
      <c r="Z782" s="16" t="str">
        <f ca="1">IF(WFTracker[[#This Row],[Overdue Time '[Expected-Completion']]] &gt;= 15, "SUPER LATE", Y782)</f>
        <v>ON TIME</v>
      </c>
      <c r="AA782" s="37" t="str">
        <f>IF(WFTracker[[#This Row],[Pre RM Opening Time]]&lt;WFTracker[[#This Row],[Old vs New Order Lead Time WF dead line]], "LATE BY ENG", "ON TIME BY ENG")</f>
        <v>ON TIME BY ENG</v>
      </c>
      <c r="AB782" s="37"/>
      <c r="AC782" s="928" t="str" cm="1">
        <f t="array" ref="AC782">_xlfn.IFS(
    WFTracker[[#This Row],[Cancelation Cause]]&lt;&gt;"", "X",
    WFTracker[[#This Row],[Competion Date Content]] = FALSE, "C",
    TRUE, "I"
)</f>
        <v>C</v>
      </c>
      <c r="AD78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782" s="25" t="str">
        <f ca="1">IF(WFTracker[[#This Row],[Impact Time Post RM]]&gt;0, "IMPACTED", "NOT IMPACTED")</f>
        <v>NOT IMPACTED</v>
      </c>
      <c r="AF782" s="15"/>
      <c r="AG782" s="18"/>
      <c r="AH782" s="14" t="str">
        <f>IF(WFTracker[[#This Row],[Status]]="C", "Closed", IF(WFTracker[[#This Row],[Status]] = "x", "Cancelled", WFTracker[[#This Row],[Impact Time Post RM]]))</f>
        <v>Closed</v>
      </c>
      <c r="AI782" s="14" t="str">
        <f ca="1">IF(WFTracker[[#This Row],[Impact Time Post RM]]&lt;=0,"ON TIME","LATE")</f>
        <v>ON TIME</v>
      </c>
      <c r="AJ782" s="14" t="s">
        <v>984</v>
      </c>
      <c r="AK782" s="14">
        <v>18</v>
      </c>
      <c r="AL782" s="915">
        <f>IF(WFTracker[[#This Row],[Type]]="MAKE", WFTracker[[#This Row],[Due date]]+Filters!$J$111, WFTracker[[#This Row],[Due date]]+Filters!$J$135)</f>
        <v>46089.072512647552</v>
      </c>
      <c r="AM782" s="102" cm="1">
        <f t="array" ref="AM78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3" spans="1:39" ht="15" customHeight="1">
      <c r="A783" t="str">
        <f>IF(WFTracker[[#This Row],[Order Number]]="SWBD", "QED2", "PZ4")</f>
        <v>PZ4</v>
      </c>
      <c r="B783" s="21" t="s">
        <v>887</v>
      </c>
      <c r="C783" s="26" t="s">
        <v>135</v>
      </c>
      <c r="D783" s="11" t="str">
        <f>WFTracker[[#This Row],[Order Number]]  &amp; "-" &amp; WFTracker[[#This Row],[Item]]</f>
        <v>0051829783-000010</v>
      </c>
      <c r="E783" s="23" t="s">
        <v>888</v>
      </c>
      <c r="F783" s="12">
        <v>46094</v>
      </c>
      <c r="G783" s="12">
        <v>46087</v>
      </c>
      <c r="H783" s="11" t="s">
        <v>80</v>
      </c>
      <c r="I783" s="11" t="s">
        <v>889</v>
      </c>
      <c r="J783" s="55" t="s">
        <v>896</v>
      </c>
      <c r="K783" s="14" t="s">
        <v>1017</v>
      </c>
      <c r="L783" s="15" t="s">
        <v>27</v>
      </c>
      <c r="M783" s="29" t="s">
        <v>1120</v>
      </c>
      <c r="N783" s="57">
        <v>46199</v>
      </c>
      <c r="O783" s="15">
        <f>NETWORKDAYS.INTL(WFTracker[[#This Row],[Start date]],WFTracker[[#This Row],[RM]],1,Holidays!D778:D793)</f>
        <v>15</v>
      </c>
      <c r="P783" s="12">
        <v>46076</v>
      </c>
      <c r="Q783" s="12">
        <v>46084</v>
      </c>
      <c r="R783" s="12"/>
      <c r="S783" s="12" t="b">
        <f>ISBLANK(WFTracker[[#This Row],[Completion Date]])</f>
        <v>1</v>
      </c>
      <c r="T783" s="12" t="str">
        <f>TEXT(WFTracker[[#This Row],[Start date]],"mmm-yyyy")</f>
        <v>Feb-2026</v>
      </c>
      <c r="U783" s="11">
        <v>10</v>
      </c>
      <c r="V783" s="11">
        <f>NETWORKDAYS.INTL(WFTracker[[#This Row],[Start date]],WFTracker[[#This Row],[Due date]],1,Holidays!D778:D793)</f>
        <v>7</v>
      </c>
      <c r="W78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19</v>
      </c>
      <c r="X783" s="24">
        <f ca="1">WFTracker[[#This Row],[Active Time]]-WFTracker[[#This Row],[Completion Days Template]]</f>
        <v>12</v>
      </c>
      <c r="Y783" s="16" t="str">
        <f ca="1" xml:space="preserve"> IF(WFTracker[[#This Row],[Overdue Time '[Expected-Completion']]]&gt;0, "LATE","ON TIME")</f>
        <v>LATE</v>
      </c>
      <c r="Z783" s="16" t="str">
        <f ca="1">IF(WFTracker[[#This Row],[Overdue Time '[Expected-Completion']]] &gt;= 15, "SUPER LATE", Y783)</f>
        <v>LATE</v>
      </c>
      <c r="AA783" s="37" t="str">
        <f>IF(WFTracker[[#This Row],[Pre RM Opening Time]]&lt;WFTracker[[#This Row],[Old vs New Order Lead Time WF dead line]], "LATE BY ENG", "ON TIME BY ENG")</f>
        <v>ON TIME BY ENG</v>
      </c>
      <c r="AB783" s="37"/>
      <c r="AC783" s="928" t="str" cm="1">
        <f t="array" ref="AC783">_xlfn.IFS(
    WFTracker[[#This Row],[Cancelation Cause]]&lt;&gt;"", "X",
    WFTracker[[#This Row],[Competion Date Content]] = FALSE, "C",
    TRUE, "I"
)</f>
        <v>I</v>
      </c>
      <c r="AD78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83" s="25" t="str">
        <f ca="1">IF(WFTracker[[#This Row],[Impact Time Post RM]]&gt;0, "IMPACTED", "NOT IMPACTED")</f>
        <v>IMPACTED</v>
      </c>
      <c r="AF783" s="15"/>
      <c r="AG783" s="18"/>
      <c r="AH783" s="14">
        <f ca="1">IF(WFTracker[[#This Row],[Status]]="C", "Closed", IF(WFTracker[[#This Row],[Status]] = "x", "Cancelled", WFTracker[[#This Row],[Impact Time Post RM]]))</f>
        <v>5</v>
      </c>
      <c r="AI783" s="14" t="str">
        <f ca="1">IF(WFTracker[[#This Row],[Impact Time Post RM]]&lt;=0,"ON TIME","LATE")</f>
        <v>LATE</v>
      </c>
      <c r="AJ783" s="14" t="s">
        <v>970</v>
      </c>
      <c r="AK783" s="14">
        <v>17</v>
      </c>
      <c r="AL783" s="915">
        <f>IF(WFTracker[[#This Row],[Type]]="MAKE", WFTracker[[#This Row],[Due date]]+Filters!$J$111, WFTracker[[#This Row],[Due date]]+Filters!$J$135)</f>
        <v>46087.072512647552</v>
      </c>
      <c r="AM783" s="102" cm="1">
        <f t="array" ref="AM783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0.94444444444444442</v>
      </c>
    </row>
    <row r="784" spans="1:39" ht="15" customHeight="1">
      <c r="A784" t="str">
        <f>IF(WFTracker[[#This Row],[Order Number]]="SWBD", "QED2", "PZ4")</f>
        <v>PZ4</v>
      </c>
      <c r="B784" s="21" t="s">
        <v>887</v>
      </c>
      <c r="C784" s="26" t="s">
        <v>135</v>
      </c>
      <c r="D784" s="11" t="str">
        <f>WFTracker[[#This Row],[Order Number]]  &amp; "-" &amp; WFTracker[[#This Row],[Item]]</f>
        <v>0051829783-000010</v>
      </c>
      <c r="E784" s="23" t="s">
        <v>888</v>
      </c>
      <c r="F784" s="12">
        <v>46094</v>
      </c>
      <c r="G784" s="12">
        <v>46087</v>
      </c>
      <c r="H784" s="11" t="s">
        <v>80</v>
      </c>
      <c r="I784" s="11" t="s">
        <v>889</v>
      </c>
      <c r="J784" s="55" t="s">
        <v>1656</v>
      </c>
      <c r="K784" s="14" t="s">
        <v>1023</v>
      </c>
      <c r="L784" s="15" t="s">
        <v>40</v>
      </c>
      <c r="M784" s="29" t="s">
        <v>1120</v>
      </c>
      <c r="N784" s="57">
        <v>46199</v>
      </c>
      <c r="O784" s="15">
        <f>NETWORKDAYS.INTL(WFTracker[[#This Row],[Start date]],WFTracker[[#This Row],[RM]],1,Holidays!D785:D800)</f>
        <v>14</v>
      </c>
      <c r="P784" s="12">
        <v>46077</v>
      </c>
      <c r="Q784" s="12">
        <v>46091</v>
      </c>
      <c r="R784" s="12">
        <v>46086</v>
      </c>
      <c r="S784" s="12" t="b">
        <f>ISBLANK(WFTracker[[#This Row],[Completion Date]])</f>
        <v>0</v>
      </c>
      <c r="T784" s="12" t="str">
        <f>TEXT(WFTracker[[#This Row],[Start date]],"mmm-yyyy")</f>
        <v>Feb-2026</v>
      </c>
      <c r="U784" s="11">
        <v>10</v>
      </c>
      <c r="V784" s="11">
        <f>NETWORKDAYS.INTL(WFTracker[[#This Row],[Start date]],WFTracker[[#This Row],[Due date]],1,Holidays!D785:D800)</f>
        <v>11</v>
      </c>
      <c r="W78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84" s="24">
        <f ca="1">WFTracker[[#This Row],[Active Time]]-WFTracker[[#This Row],[Completion Days Template]]</f>
        <v>-3</v>
      </c>
      <c r="Y784" s="16" t="str">
        <f ca="1" xml:space="preserve"> IF(WFTracker[[#This Row],[Overdue Time '[Expected-Completion']]]&gt;0, "LATE","ON TIME")</f>
        <v>ON TIME</v>
      </c>
      <c r="Z784" s="16" t="str">
        <f ca="1">IF(WFTracker[[#This Row],[Overdue Time '[Expected-Completion']]] &gt;= 15, "SUPER LATE", Y784)</f>
        <v>ON TIME</v>
      </c>
      <c r="AA784" s="37" t="str">
        <f>IF(WFTracker[[#This Row],[Pre RM Opening Time]]&lt;WFTracker[[#This Row],[Old vs New Order Lead Time WF dead line]], "LATE BY ENG", "ON TIME BY ENG")</f>
        <v>ON TIME BY ENG</v>
      </c>
      <c r="AB784" s="37"/>
      <c r="AC784" s="928" t="str" cm="1">
        <f t="array" ref="AC784">_xlfn.IFS(
    WFTracker[[#This Row],[Cancelation Cause]]&lt;&gt;"", "X",
    WFTracker[[#This Row],[Competion Date Content]] = FALSE, "C",
    TRUE, "I"
)</f>
        <v>C</v>
      </c>
      <c r="AD78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784" s="25" t="str">
        <f ca="1">IF(WFTracker[[#This Row],[Impact Time Post RM]]&gt;0, "IMPACTED", "NOT IMPACTED")</f>
        <v>NOT IMPACTED</v>
      </c>
      <c r="AF784" s="15"/>
      <c r="AG784" s="18"/>
      <c r="AH784" s="14" t="str">
        <f>IF(WFTracker[[#This Row],[Status]]="C", "Closed", IF(WFTracker[[#This Row],[Status]] = "x", "Cancelled", WFTracker[[#This Row],[Impact Time Post RM]]))</f>
        <v>Closed</v>
      </c>
      <c r="AI784" s="14" t="str">
        <f ca="1">IF(WFTracker[[#This Row],[Impact Time Post RM]]&lt;=0,"ON TIME","LATE")</f>
        <v>ON TIME</v>
      </c>
      <c r="AJ784" s="14" t="s">
        <v>984</v>
      </c>
      <c r="AK784" s="14">
        <v>17</v>
      </c>
      <c r="AL784" s="915">
        <f>IF(WFTracker[[#This Row],[Type]]="MAKE", WFTracker[[#This Row],[Due date]]+Filters!$J$111, WFTracker[[#This Row],[Due date]]+Filters!$J$135)</f>
        <v>46091.415686274508</v>
      </c>
      <c r="AM784" s="102" cm="1">
        <f t="array" ref="AM78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5" spans="1:39" ht="15" customHeight="1">
      <c r="A785" t="str">
        <f>IF(WFTracker[[#This Row],[Order Number]]="SWBD", "QED2", "PZ4")</f>
        <v>PZ4</v>
      </c>
      <c r="B785" s="21" t="s">
        <v>826</v>
      </c>
      <c r="C785" s="26" t="s">
        <v>882</v>
      </c>
      <c r="D785" s="11" t="str">
        <f>WFTracker[[#This Row],[Order Number]]  &amp; "-" &amp; WFTracker[[#This Row],[Item]]</f>
        <v>0050384250-001230</v>
      </c>
      <c r="E785" s="23" t="s">
        <v>1027</v>
      </c>
      <c r="F785" s="12">
        <v>46094</v>
      </c>
      <c r="G785" s="12">
        <v>46059</v>
      </c>
      <c r="H785" s="11" t="s">
        <v>237</v>
      </c>
      <c r="I785" s="11" t="s">
        <v>593</v>
      </c>
      <c r="J785" s="55" t="s">
        <v>883</v>
      </c>
      <c r="K785" s="14" t="s">
        <v>1017</v>
      </c>
      <c r="L785" s="15" t="s">
        <v>27</v>
      </c>
      <c r="M785" s="29" t="s">
        <v>1120</v>
      </c>
      <c r="N785" s="57">
        <v>46233</v>
      </c>
      <c r="O785" s="15">
        <f>NETWORKDAYS.INTL(WFTracker[[#This Row],[Start date]],WFTracker[[#This Row],[RM]],1,Holidays!D798:D813)</f>
        <v>13</v>
      </c>
      <c r="P785" s="12">
        <v>46078</v>
      </c>
      <c r="Q785" s="12">
        <v>46086</v>
      </c>
      <c r="R785" s="12"/>
      <c r="S785" s="12" t="b">
        <f>ISBLANK(WFTracker[[#This Row],[Completion Date]])</f>
        <v>1</v>
      </c>
      <c r="T785" s="12" t="str">
        <f>TEXT(WFTracker[[#This Row],[Start date]],"mmm-yyyy")</f>
        <v>Feb-2026</v>
      </c>
      <c r="U785" s="11">
        <v>10</v>
      </c>
      <c r="V785" s="11">
        <f>NETWORKDAYS.INTL(WFTracker[[#This Row],[Start date]],WFTracker[[#This Row],[Due date]],1,Holidays!D798:D813)</f>
        <v>7</v>
      </c>
      <c r="W78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785" s="24">
        <f ca="1">WFTracker[[#This Row],[Active Time]]-WFTracker[[#This Row],[Completion Days Template]]</f>
        <v>10</v>
      </c>
      <c r="Y785" s="16" t="str">
        <f ca="1" xml:space="preserve"> IF(WFTracker[[#This Row],[Overdue Time '[Expected-Completion']]]&gt;0, "LATE","ON TIME")</f>
        <v>LATE</v>
      </c>
      <c r="Z785" s="16" t="str">
        <f ca="1">IF(WFTracker[[#This Row],[Overdue Time '[Expected-Completion']]] &gt;= 15, "SUPER LATE", Y785)</f>
        <v>LATE</v>
      </c>
      <c r="AA785" s="37" t="str">
        <f>IF(WFTracker[[#This Row],[Pre RM Opening Time]]&lt;WFTracker[[#This Row],[Old vs New Order Lead Time WF dead line]], "LATE BY ENG", "ON TIME BY ENG")</f>
        <v>ON TIME BY ENG</v>
      </c>
      <c r="AB785" s="37"/>
      <c r="AC785" s="928" t="str" cm="1">
        <f t="array" ref="AC785">_xlfn.IFS(
    WFTracker[[#This Row],[Cancelation Cause]]&lt;&gt;"", "X",
    WFTracker[[#This Row],[Competion Date Content]] = FALSE, "C",
    TRUE, "I"
)</f>
        <v>I</v>
      </c>
      <c r="AD78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85" s="25" t="str">
        <f ca="1">IF(WFTracker[[#This Row],[Impact Time Post RM]]&gt;0, "IMPACTED", "NOT IMPACTED")</f>
        <v>IMPACTED</v>
      </c>
      <c r="AF785" s="15"/>
      <c r="AG785" s="18"/>
      <c r="AH785" s="14">
        <f ca="1">IF(WFTracker[[#This Row],[Status]]="C", "Closed", IF(WFTracker[[#This Row],[Status]] = "x", "Cancelled", WFTracker[[#This Row],[Impact Time Post RM]]))</f>
        <v>5</v>
      </c>
      <c r="AI785" s="14" t="str">
        <f ca="1">IF(WFTracker[[#This Row],[Impact Time Post RM]]&lt;=0,"ON TIME","LATE")</f>
        <v>LATE</v>
      </c>
      <c r="AJ785" s="14" t="s">
        <v>977</v>
      </c>
      <c r="AK785" s="14">
        <v>12</v>
      </c>
      <c r="AL785" s="915">
        <f>IF(WFTracker[[#This Row],[Type]]="MAKE", WFTracker[[#This Row],[Due date]]+Filters!$J$111, WFTracker[[#This Row],[Due date]]+Filters!$J$135)</f>
        <v>46089.072512647552</v>
      </c>
      <c r="AM785" s="102" cm="1">
        <f t="array" ref="AM785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786" spans="1:39" ht="15" customHeight="1">
      <c r="A786" t="str">
        <f>IF(WFTracker[[#This Row],[Order Number]]="SWBD", "QED2", "PZ4")</f>
        <v>PZ4</v>
      </c>
      <c r="B786" s="21" t="s">
        <v>887</v>
      </c>
      <c r="C786" s="26" t="s">
        <v>135</v>
      </c>
      <c r="D786" s="11" t="str">
        <f>WFTracker[[#This Row],[Order Number]]  &amp; "-" &amp; WFTracker[[#This Row],[Item]]</f>
        <v>0051829783-000010</v>
      </c>
      <c r="E786" s="23" t="s">
        <v>888</v>
      </c>
      <c r="F786" s="12">
        <v>46094</v>
      </c>
      <c r="G786" s="12">
        <v>46087</v>
      </c>
      <c r="H786" s="11" t="s">
        <v>80</v>
      </c>
      <c r="I786" s="11" t="s">
        <v>889</v>
      </c>
      <c r="J786" s="55" t="s">
        <v>897</v>
      </c>
      <c r="K786" s="14" t="s">
        <v>1017</v>
      </c>
      <c r="L786" s="15" t="s">
        <v>27</v>
      </c>
      <c r="M786" s="29" t="s">
        <v>1120</v>
      </c>
      <c r="N786" s="57">
        <v>46199</v>
      </c>
      <c r="O786" s="15">
        <f>NETWORKDAYS.INTL(WFTracker[[#This Row],[Start date]],WFTracker[[#This Row],[RM]],1,Holidays!D779:D794)</f>
        <v>15</v>
      </c>
      <c r="P786" s="12">
        <v>46076</v>
      </c>
      <c r="Q786" s="12">
        <v>46085</v>
      </c>
      <c r="R786" s="12">
        <v>46090</v>
      </c>
      <c r="S786" s="12" t="b">
        <f>ISBLANK(WFTracker[[#This Row],[Completion Date]])</f>
        <v>0</v>
      </c>
      <c r="T786" s="12" t="str">
        <f>TEXT(WFTracker[[#This Row],[Start date]],"mmm-yyyy")</f>
        <v>Feb-2026</v>
      </c>
      <c r="U786" s="11">
        <v>10</v>
      </c>
      <c r="V786" s="11">
        <f>NETWORKDAYS.INTL(WFTracker[[#This Row],[Start date]],WFTracker[[#This Row],[Due date]],1,Holidays!D779:D794)</f>
        <v>8</v>
      </c>
      <c r="W78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86" s="24">
        <f ca="1">WFTracker[[#This Row],[Active Time]]-WFTracker[[#This Row],[Completion Days Template]]</f>
        <v>3</v>
      </c>
      <c r="Y786" s="16" t="str">
        <f ca="1" xml:space="preserve"> IF(WFTracker[[#This Row],[Overdue Time '[Expected-Completion']]]&gt;0, "LATE","ON TIME")</f>
        <v>LATE</v>
      </c>
      <c r="Z786" s="16" t="str">
        <f ca="1">IF(WFTracker[[#This Row],[Overdue Time '[Expected-Completion']]] &gt;= 15, "SUPER LATE", Y786)</f>
        <v>LATE</v>
      </c>
      <c r="AA786" s="37" t="str">
        <f>IF(WFTracker[[#This Row],[Pre RM Opening Time]]&lt;WFTracker[[#This Row],[Old vs New Order Lead Time WF dead line]], "LATE BY ENG", "ON TIME BY ENG")</f>
        <v>ON TIME BY ENG</v>
      </c>
      <c r="AB786" s="37"/>
      <c r="AC786" s="928" t="str" cm="1">
        <f t="array" ref="AC786">_xlfn.IFS(
    WFTracker[[#This Row],[Cancelation Cause]]&lt;&gt;"", "X",
    WFTracker[[#This Row],[Competion Date Content]] = FALSE, "C",
    TRUE, "I"
)</f>
        <v>C</v>
      </c>
      <c r="AD78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-5</v>
      </c>
      <c r="AE786" s="25" t="str">
        <f ca="1">IF(WFTracker[[#This Row],[Impact Time Post RM]]&gt;0, "IMPACTED", "NOT IMPACTED")</f>
        <v>NOT IMPACTED</v>
      </c>
      <c r="AF786" s="15"/>
      <c r="AG786" s="18"/>
      <c r="AH786" s="14" t="str">
        <f>IF(WFTracker[[#This Row],[Status]]="C", "Closed", IF(WFTracker[[#This Row],[Status]] = "x", "Cancelled", WFTracker[[#This Row],[Impact Time Post RM]]))</f>
        <v>Closed</v>
      </c>
      <c r="AI786" s="14" t="str">
        <f ca="1">IF(WFTracker[[#This Row],[Impact Time Post RM]]&lt;=0,"ON TIME","LATE")</f>
        <v>ON TIME</v>
      </c>
      <c r="AJ786" s="14" t="s">
        <v>984</v>
      </c>
      <c r="AK786" s="14">
        <v>18</v>
      </c>
      <c r="AL786" s="915">
        <f>IF(WFTracker[[#This Row],[Type]]="MAKE", WFTracker[[#This Row],[Due date]]+Filters!$J$111, WFTracker[[#This Row],[Due date]]+Filters!$J$135)</f>
        <v>46088.072512647552</v>
      </c>
      <c r="AM786" s="102" cm="1">
        <f t="array" ref="AM78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7" spans="1:39" ht="15" customHeight="1">
      <c r="A787" t="str">
        <f>IF(WFTracker[[#This Row],[Order Number]]="SWBD", "QED2", "PZ4")</f>
        <v>PZ4</v>
      </c>
      <c r="B787" s="21" t="s">
        <v>866</v>
      </c>
      <c r="C787" s="26" t="s">
        <v>874</v>
      </c>
      <c r="D787" s="11" t="str">
        <f>WFTracker[[#This Row],[Order Number]]  &amp; "-" &amp; WFTracker[[#This Row],[Item]]</f>
        <v>0051733188-000490</v>
      </c>
      <c r="E787" s="23" t="s">
        <v>1028</v>
      </c>
      <c r="F787" s="12">
        <v>46098</v>
      </c>
      <c r="G787" s="12">
        <v>46091</v>
      </c>
      <c r="H787" s="11" t="s">
        <v>104</v>
      </c>
      <c r="I787" s="11" t="s">
        <v>37</v>
      </c>
      <c r="J787" s="55" t="s">
        <v>879</v>
      </c>
      <c r="K787" s="14" t="s">
        <v>1017</v>
      </c>
      <c r="L787" s="15" t="s">
        <v>27</v>
      </c>
      <c r="M787" s="29" t="s">
        <v>1120</v>
      </c>
      <c r="N787" s="57">
        <v>46196</v>
      </c>
      <c r="O787" s="15">
        <f>NETWORKDAYS.INTL(WFTracker[[#This Row],[Start date]],WFTracker[[#This Row],[RM]],1,Holidays!D767:D782)</f>
        <v>18</v>
      </c>
      <c r="P787" s="12">
        <v>46073</v>
      </c>
      <c r="Q787" s="12">
        <v>46080</v>
      </c>
      <c r="R787" s="12">
        <v>46084</v>
      </c>
      <c r="S787" s="12" t="b">
        <f>ISBLANK(WFTracker[[#This Row],[Completion Date]])</f>
        <v>0</v>
      </c>
      <c r="T787" s="12" t="str">
        <f>TEXT(WFTracker[[#This Row],[Start date]],"mmm-yyyy")</f>
        <v>Feb-2026</v>
      </c>
      <c r="U787" s="11">
        <v>10</v>
      </c>
      <c r="V787" s="11">
        <f>NETWORKDAYS.INTL(WFTracker[[#This Row],[Start date]],WFTracker[[#This Row],[Due date]],1,Holidays!D767:D782)</f>
        <v>6</v>
      </c>
      <c r="W78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87" s="24">
        <f ca="1">WFTracker[[#This Row],[Active Time]]-WFTracker[[#This Row],[Completion Days Template]]</f>
        <v>2</v>
      </c>
      <c r="Y787" s="16" t="str">
        <f ca="1" xml:space="preserve"> IF(WFTracker[[#This Row],[Overdue Time '[Expected-Completion']]]&gt;0, "LATE","ON TIME")</f>
        <v>LATE</v>
      </c>
      <c r="Z787" s="16" t="str">
        <f ca="1">IF(WFTracker[[#This Row],[Overdue Time '[Expected-Completion']]] &gt;= 15, "SUPER LATE", Y787)</f>
        <v>LATE</v>
      </c>
      <c r="AA787" s="37" t="str">
        <f>IF(WFTracker[[#This Row],[Pre RM Opening Time]]&lt;WFTracker[[#This Row],[Old vs New Order Lead Time WF dead line]], "LATE BY ENG", "ON TIME BY ENG")</f>
        <v>ON TIME BY ENG</v>
      </c>
      <c r="AB787" s="37"/>
      <c r="AC787" s="928" t="str" cm="1">
        <f t="array" ref="AC787">_xlfn.IFS(
    WFTracker[[#This Row],[Cancelation Cause]]&lt;&gt;"", "X",
    WFTracker[[#This Row],[Competion Date Content]] = FALSE, "C",
    TRUE, "I"
)</f>
        <v>C</v>
      </c>
      <c r="AD78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-11</v>
      </c>
      <c r="AE787" s="25" t="str">
        <f ca="1">IF(WFTracker[[#This Row],[Impact Time Post RM]]&gt;0, "IMPACTED", "NOT IMPACTED")</f>
        <v>NOT IMPACTED</v>
      </c>
      <c r="AF787" s="15"/>
      <c r="AG787" s="18"/>
      <c r="AH787" s="14" t="str">
        <f>IF(WFTracker[[#This Row],[Status]]="C", "Closed", IF(WFTracker[[#This Row],[Status]] = "x", "Cancelled", WFTracker[[#This Row],[Impact Time Post RM]]))</f>
        <v>Closed</v>
      </c>
      <c r="AI787" s="14" t="str">
        <f ca="1">IF(WFTracker[[#This Row],[Impact Time Post RM]]&lt;=0,"ON TIME","LATE")</f>
        <v>ON TIME</v>
      </c>
      <c r="AJ787" s="14" t="s">
        <v>984</v>
      </c>
      <c r="AK787" s="14">
        <v>18</v>
      </c>
      <c r="AL787" s="915">
        <f>IF(WFTracker[[#This Row],[Type]]="MAKE", WFTracker[[#This Row],[Due date]]+Filters!$J$111, WFTracker[[#This Row],[Due date]]+Filters!$J$135)</f>
        <v>46083.072512647552</v>
      </c>
      <c r="AM787" s="102" cm="1">
        <f t="array" ref="AM78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8" spans="1:39" ht="15" customHeight="1">
      <c r="A788" t="str">
        <f>IF(WFTracker[[#This Row],[Order Number]]="SWBD", "QED2", "PZ4")</f>
        <v>PZ4</v>
      </c>
      <c r="B788" s="21" t="s">
        <v>866</v>
      </c>
      <c r="C788" s="26" t="s">
        <v>874</v>
      </c>
      <c r="D788" s="11" t="str">
        <f>WFTracker[[#This Row],[Order Number]]  &amp; "-" &amp; WFTracker[[#This Row],[Item]]</f>
        <v>0051733188-000490</v>
      </c>
      <c r="E788" s="23" t="s">
        <v>1028</v>
      </c>
      <c r="F788" s="12">
        <v>46098</v>
      </c>
      <c r="G788" s="12">
        <v>46091</v>
      </c>
      <c r="H788" s="11" t="s">
        <v>104</v>
      </c>
      <c r="I788" s="11" t="s">
        <v>37</v>
      </c>
      <c r="J788" s="55" t="s">
        <v>878</v>
      </c>
      <c r="K788" s="14" t="s">
        <v>1017</v>
      </c>
      <c r="L788" s="15" t="s">
        <v>27</v>
      </c>
      <c r="M788" s="29" t="s">
        <v>1120</v>
      </c>
      <c r="N788" s="57">
        <v>46196</v>
      </c>
      <c r="O788" s="15">
        <f>NETWORKDAYS.INTL(WFTracker[[#This Row],[Start date]],WFTracker[[#This Row],[RM]],1,Holidays!D768:D783)</f>
        <v>18</v>
      </c>
      <c r="P788" s="12">
        <v>46073</v>
      </c>
      <c r="Q788" s="12">
        <v>46080</v>
      </c>
      <c r="R788" s="12">
        <v>46085</v>
      </c>
      <c r="S788" s="12" t="b">
        <f>ISBLANK(WFTracker[[#This Row],[Completion Date]])</f>
        <v>0</v>
      </c>
      <c r="T788" s="12" t="str">
        <f>TEXT(WFTracker[[#This Row],[Start date]],"mmm-yyyy")</f>
        <v>Feb-2026</v>
      </c>
      <c r="U788" s="11">
        <v>10</v>
      </c>
      <c r="V788" s="11">
        <f>NETWORKDAYS.INTL(WFTracker[[#This Row],[Start date]],WFTracker[[#This Row],[Due date]],1,Holidays!D768:D783)</f>
        <v>6</v>
      </c>
      <c r="W78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88" s="24">
        <f ca="1">WFTracker[[#This Row],[Active Time]]-WFTracker[[#This Row],[Completion Days Template]]</f>
        <v>3</v>
      </c>
      <c r="Y788" s="16" t="str">
        <f ca="1" xml:space="preserve"> IF(WFTracker[[#This Row],[Overdue Time '[Expected-Completion']]]&gt;0, "LATE","ON TIME")</f>
        <v>LATE</v>
      </c>
      <c r="Z788" s="16" t="str">
        <f ca="1">IF(WFTracker[[#This Row],[Overdue Time '[Expected-Completion']]] &gt;= 15, "SUPER LATE", Y788)</f>
        <v>LATE</v>
      </c>
      <c r="AA788" s="37" t="str">
        <f>IF(WFTracker[[#This Row],[Pre RM Opening Time]]&lt;WFTracker[[#This Row],[Old vs New Order Lead Time WF dead line]], "LATE BY ENG", "ON TIME BY ENG")</f>
        <v>ON TIME BY ENG</v>
      </c>
      <c r="AB788" s="37"/>
      <c r="AC788" s="928" t="str" cm="1">
        <f t="array" ref="AC788">_xlfn.IFS(
    WFTracker[[#This Row],[Cancelation Cause]]&lt;&gt;"", "X",
    WFTracker[[#This Row],[Competion Date Content]] = FALSE, "C",
    TRUE, "I"
)</f>
        <v>C</v>
      </c>
      <c r="AD78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-10</v>
      </c>
      <c r="AE788" s="25" t="str">
        <f ca="1">IF(WFTracker[[#This Row],[Impact Time Post RM]]&gt;0, "IMPACTED", "NOT IMPACTED")</f>
        <v>NOT IMPACTED</v>
      </c>
      <c r="AF788" s="15"/>
      <c r="AG788" s="18"/>
      <c r="AH788" s="14" t="str">
        <f>IF(WFTracker[[#This Row],[Status]]="C", "Closed", IF(WFTracker[[#This Row],[Status]] = "x", "Cancelled", WFTracker[[#This Row],[Impact Time Post RM]]))</f>
        <v>Closed</v>
      </c>
      <c r="AI788" s="14" t="str">
        <f ca="1">IF(WFTracker[[#This Row],[Impact Time Post RM]]&lt;=0,"ON TIME","LATE")</f>
        <v>ON TIME</v>
      </c>
      <c r="AJ788" s="14" t="s">
        <v>984</v>
      </c>
      <c r="AK788" s="14">
        <v>18</v>
      </c>
      <c r="AL788" s="915">
        <f>IF(WFTracker[[#This Row],[Type]]="MAKE", WFTracker[[#This Row],[Due date]]+Filters!$J$111, WFTracker[[#This Row],[Due date]]+Filters!$J$135)</f>
        <v>46083.072512647552</v>
      </c>
      <c r="AM788" s="102" cm="1">
        <f t="array" ref="AM788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89" spans="1:39" ht="15" customHeight="1">
      <c r="A789" t="str">
        <f>IF(WFTracker[[#This Row],[Order Number]]="SWBD", "QED2", "PZ4")</f>
        <v>PZ4</v>
      </c>
      <c r="B789" s="21" t="s">
        <v>902</v>
      </c>
      <c r="C789" s="26" t="s">
        <v>135</v>
      </c>
      <c r="D789" s="11" t="str">
        <f>WFTracker[[#This Row],[Order Number]]  &amp; "-" &amp; WFTracker[[#This Row],[Item]]</f>
        <v>0051674363-000010</v>
      </c>
      <c r="E789" s="23" t="s">
        <v>903</v>
      </c>
      <c r="F789" s="12">
        <v>46101</v>
      </c>
      <c r="G789" s="12">
        <v>46094</v>
      </c>
      <c r="H789" s="11" t="s">
        <v>259</v>
      </c>
      <c r="I789" s="11" t="s">
        <v>216</v>
      </c>
      <c r="J789" s="55" t="s">
        <v>1657</v>
      </c>
      <c r="K789" s="14" t="s">
        <v>1017</v>
      </c>
      <c r="L789" s="15" t="s">
        <v>40</v>
      </c>
      <c r="M789" s="29" t="s">
        <v>1120</v>
      </c>
      <c r="N789" s="57">
        <v>46029</v>
      </c>
      <c r="O789" s="15">
        <f>NETWORKDAYS.INTL(WFTracker[[#This Row],[Start date]],WFTracker[[#This Row],[RM]],1,Holidays!D800:D815)</f>
        <v>18</v>
      </c>
      <c r="P789" s="12">
        <v>46078</v>
      </c>
      <c r="Q789" s="12">
        <v>46090</v>
      </c>
      <c r="R789" s="12">
        <v>46094</v>
      </c>
      <c r="S789" s="12" t="b">
        <f>ISBLANK(WFTracker[[#This Row],[Completion Date]])</f>
        <v>0</v>
      </c>
      <c r="T789" s="12" t="str">
        <f>TEXT(WFTracker[[#This Row],[Start date]],"mmm-yyyy")</f>
        <v>Feb-2026</v>
      </c>
      <c r="U789" s="11">
        <v>10</v>
      </c>
      <c r="V789" s="11">
        <f>NETWORKDAYS.INTL(WFTracker[[#This Row],[Start date]],WFTracker[[#This Row],[Due date]],1,Holidays!D800:D815)</f>
        <v>9</v>
      </c>
      <c r="W78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789" s="24">
        <f ca="1">WFTracker[[#This Row],[Active Time]]-WFTracker[[#This Row],[Completion Days Template]]</f>
        <v>4</v>
      </c>
      <c r="Y789" s="16" t="str">
        <f ca="1" xml:space="preserve"> IF(WFTracker[[#This Row],[Overdue Time '[Expected-Completion']]]&gt;0, "LATE","ON TIME")</f>
        <v>LATE</v>
      </c>
      <c r="Z789" s="16" t="str">
        <f ca="1">IF(WFTracker[[#This Row],[Overdue Time '[Expected-Completion']]] &gt;= 15, "SUPER LATE", Y789)</f>
        <v>LATE</v>
      </c>
      <c r="AA789" s="37" t="str">
        <f>IF(WFTracker[[#This Row],[Pre RM Opening Time]]&lt;WFTracker[[#This Row],[Old vs New Order Lead Time WF dead line]], "LATE BY ENG", "ON TIME BY ENG")</f>
        <v>ON TIME BY ENG</v>
      </c>
      <c r="AB789" s="37"/>
      <c r="AC789" s="928" t="str" cm="1">
        <f t="array" ref="AC789">_xlfn.IFS(
    WFTracker[[#This Row],[Cancelation Cause]]&lt;&gt;"", "X",
    WFTracker[[#This Row],[Competion Date Content]] = FALSE, "C",
    TRUE, "I"
)</f>
        <v>C</v>
      </c>
      <c r="AD78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789" s="25" t="str">
        <f ca="1">IF(WFTracker[[#This Row],[Impact Time Post RM]]&gt;0, "IMPACTED", "NOT IMPACTED")</f>
        <v>NOT IMPACTED</v>
      </c>
      <c r="AF789" s="15"/>
      <c r="AG789" s="18"/>
      <c r="AH789" s="14" t="str">
        <f>IF(WFTracker[[#This Row],[Status]]="C", "Closed", IF(WFTracker[[#This Row],[Status]] = "x", "Cancelled", WFTracker[[#This Row],[Impact Time Post RM]]))</f>
        <v>Closed</v>
      </c>
      <c r="AI789" s="14" t="str">
        <f ca="1">IF(WFTracker[[#This Row],[Impact Time Post RM]]&lt;=0,"ON TIME","LATE")</f>
        <v>ON TIME</v>
      </c>
      <c r="AJ789" s="14" t="s">
        <v>984</v>
      </c>
      <c r="AK789" s="14">
        <v>16</v>
      </c>
      <c r="AL789" s="915">
        <f>IF(WFTracker[[#This Row],[Type]]="MAKE", WFTracker[[#This Row],[Due date]]+Filters!$J$111, WFTracker[[#This Row],[Due date]]+Filters!$J$135)</f>
        <v>46090.415686274508</v>
      </c>
      <c r="AM789" s="102" cm="1">
        <f t="array" ref="AM789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790" spans="1:39" ht="15" customHeight="1">
      <c r="A790" t="str">
        <f>IF(WFTracker[[#This Row],[Order Number]]="SWBD", "QED2", "PZ4")</f>
        <v>PZ4</v>
      </c>
      <c r="B790" s="21" t="s">
        <v>866</v>
      </c>
      <c r="C790" s="21" t="s">
        <v>874</v>
      </c>
      <c r="D790" s="11" t="str">
        <f>WFTracker[[#This Row],[Order Number]]  &amp; "-" &amp; WFTracker[[#This Row],[Item]]</f>
        <v>0051733188-000490</v>
      </c>
      <c r="E790" s="23" t="s">
        <v>1028</v>
      </c>
      <c r="F790" s="12">
        <v>46098</v>
      </c>
      <c r="G790" s="12">
        <v>46091</v>
      </c>
      <c r="H790" s="11" t="s">
        <v>104</v>
      </c>
      <c r="I790" s="11" t="s">
        <v>1392</v>
      </c>
      <c r="J790" s="55" t="s">
        <v>875</v>
      </c>
      <c r="K790" s="14" t="s">
        <v>1017</v>
      </c>
      <c r="L790" s="15" t="s">
        <v>27</v>
      </c>
      <c r="M790" s="29" t="s">
        <v>1120</v>
      </c>
      <c r="N790" s="57">
        <v>46196</v>
      </c>
      <c r="O790" s="15">
        <f>NETWORKDAYS.INTL(WFTracker[[#This Row],[Start date]],WFTracker[[#This Row],[RM]],1,Holidays!D772:D787)</f>
        <v>18</v>
      </c>
      <c r="P790" s="12">
        <v>46073</v>
      </c>
      <c r="Q790" s="12">
        <v>46080</v>
      </c>
      <c r="R790" s="12">
        <v>46083</v>
      </c>
      <c r="S790" s="12" t="b">
        <f>ISBLANK(WFTracker[[#This Row],[Completion Date]])</f>
        <v>0</v>
      </c>
      <c r="T790" s="12" t="str">
        <f>TEXT(WFTracker[[#This Row],[Start date]],"mmm-yyyy")</f>
        <v>Feb-2026</v>
      </c>
      <c r="U790" s="11">
        <v>10</v>
      </c>
      <c r="V790" s="11">
        <f>NETWORKDAYS.INTL(WFTracker[[#This Row],[Start date]],WFTracker[[#This Row],[Due date]],1,Holidays!D772:D787)</f>
        <v>6</v>
      </c>
      <c r="W79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790" s="24">
        <f ca="1">WFTracker[[#This Row],[Active Time]]-WFTracker[[#This Row],[Completion Days Template]]</f>
        <v>1</v>
      </c>
      <c r="Y790" s="16" t="str">
        <f ca="1" xml:space="preserve"> IF(WFTracker[[#This Row],[Overdue Time '[Expected-Completion']]]&gt;0, "LATE","ON TIME")</f>
        <v>LATE</v>
      </c>
      <c r="Z790" s="16" t="str">
        <f ca="1">IF(WFTracker[[#This Row],[Overdue Time '[Expected-Completion']]] &gt;= 15, "SUPER LATE", Y790)</f>
        <v>LATE</v>
      </c>
      <c r="AA790" s="37" t="str">
        <f>IF(WFTracker[[#This Row],[Pre RM Opening Time]]&lt;WFTracker[[#This Row],[Old vs New Order Lead Time WF dead line]], "LATE BY ENG", "ON TIME BY ENG")</f>
        <v>ON TIME BY ENG</v>
      </c>
      <c r="AB790" s="37"/>
      <c r="AC790" s="928" t="str" cm="1">
        <f t="array" ref="AC790">_xlfn.IFS(
    WFTracker[[#This Row],[Cancelation Cause]]&lt;&gt;"", "X",
    WFTracker[[#This Row],[Competion Date Content]] = FALSE, "C",
    TRUE, "I"
)</f>
        <v>C</v>
      </c>
      <c r="AD79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790" s="25" t="str">
        <f ca="1">IF(WFTracker[[#This Row],[Impact Time Post RM]]&gt;0, "IMPACTED", "NOT IMPACTED")</f>
        <v>NOT IMPACTED</v>
      </c>
      <c r="AF790" s="15"/>
      <c r="AG790" s="18"/>
      <c r="AH790" s="14" t="str">
        <f>IF(WFTracker[[#This Row],[Status]]="C", "Closed", IF(WFTracker[[#This Row],[Status]] = "x", "Cancelled", WFTracker[[#This Row],[Impact Time Post RM]]))</f>
        <v>Closed</v>
      </c>
      <c r="AI790" s="14" t="str">
        <f ca="1">IF(WFTracker[[#This Row],[Impact Time Post RM]]&lt;=0,"ON TIME","LATE")</f>
        <v>ON TIME</v>
      </c>
      <c r="AJ790" s="14" t="s">
        <v>984</v>
      </c>
      <c r="AK790" s="14">
        <v>18</v>
      </c>
      <c r="AL790" s="915">
        <f>IF(WFTracker[[#This Row],[Type]]="MAKE", WFTracker[[#This Row],[Due date]]+Filters!$J$111, WFTracker[[#This Row],[Due date]]+Filters!$J$135)</f>
        <v>46083.072512647552</v>
      </c>
      <c r="AM790" s="102" cm="1">
        <f t="array" ref="AM79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91" spans="1:39" ht="15" customHeight="1">
      <c r="A791" t="str">
        <f>IF(WFTracker[[#This Row],[Order Number]]="SWBD", "QED2", "PZ4")</f>
        <v>PZ4</v>
      </c>
      <c r="B791" s="21" t="s">
        <v>447</v>
      </c>
      <c r="C791" s="21" t="s">
        <v>219</v>
      </c>
      <c r="D791" s="11" t="str">
        <f>WFTracker[[#This Row],[Order Number]]  &amp; "-" &amp; WFTracker[[#This Row],[Item]]</f>
        <v>0051536680-000120</v>
      </c>
      <c r="E791" s="23" t="s">
        <v>621</v>
      </c>
      <c r="F791" s="12">
        <v>46094</v>
      </c>
      <c r="G791" s="12"/>
      <c r="H791" s="11" t="s">
        <v>110</v>
      </c>
      <c r="I791" s="11" t="s">
        <v>264</v>
      </c>
      <c r="J791" s="55" t="s">
        <v>911</v>
      </c>
      <c r="K791" s="14" t="s">
        <v>1017</v>
      </c>
      <c r="L791" s="15" t="s">
        <v>27</v>
      </c>
      <c r="M791" s="29" t="s">
        <v>1120</v>
      </c>
      <c r="N791" s="57">
        <v>46188</v>
      </c>
      <c r="O791" s="15">
        <f>NETWORKDAYS.INTL(WFTracker[[#This Row],[Start date]],WFTracker[[#This Row],[RM]],1,Holidays!D813:D828)</f>
        <v>10</v>
      </c>
      <c r="P791" s="12">
        <v>46083</v>
      </c>
      <c r="Q791" s="12">
        <v>46090</v>
      </c>
      <c r="R791" s="12">
        <v>46086</v>
      </c>
      <c r="S791" s="12" t="b">
        <f>ISBLANK(WFTracker[[#This Row],[Completion Date]])</f>
        <v>0</v>
      </c>
      <c r="T791" s="12" t="str">
        <f>TEXT(WFTracker[[#This Row],[Start date]],"mmm-yyyy")</f>
        <v>Mar-2026</v>
      </c>
      <c r="U791" s="11">
        <v>10</v>
      </c>
      <c r="V791" s="11">
        <f>NETWORKDAYS.INTL(WFTracker[[#This Row],[Start date]],WFTracker[[#This Row],[Due date]],1,Holidays!D813:D828)</f>
        <v>6</v>
      </c>
      <c r="W79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4</v>
      </c>
      <c r="X791" s="24">
        <f ca="1">WFTracker[[#This Row],[Active Time]]-WFTracker[[#This Row],[Completion Days Template]]</f>
        <v>-2</v>
      </c>
      <c r="Y791" s="16" t="str">
        <f ca="1" xml:space="preserve"> IF(WFTracker[[#This Row],[Overdue Time '[Expected-Completion']]]&gt;0, "LATE","ON TIME")</f>
        <v>ON TIME</v>
      </c>
      <c r="Z791" s="16" t="str">
        <f ca="1">IF(WFTracker[[#This Row],[Overdue Time '[Expected-Completion']]] &gt;= 15, "SUPER LATE", Y791)</f>
        <v>ON TIME</v>
      </c>
      <c r="AA791" s="37" t="str">
        <f>IF(WFTracker[[#This Row],[Pre RM Opening Time]]&lt;WFTracker[[#This Row],[Old vs New Order Lead Time WF dead line]], "LATE BY ENG", "ON TIME BY ENG")</f>
        <v>ON TIME BY ENG</v>
      </c>
      <c r="AB791" s="37"/>
      <c r="AC791" s="928" t="str" cm="1">
        <f t="array" ref="AC791">_xlfn.IFS(
    WFTracker[[#This Row],[Cancelation Cause]]&lt;&gt;"", "X",
    WFTracker[[#This Row],[Competion Date Content]] = FALSE, "C",
    TRUE, "I"
)</f>
        <v>C</v>
      </c>
      <c r="AD79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791" s="25" t="str">
        <f ca="1">IF(WFTracker[[#This Row],[Impact Time Post RM]]&gt;0, "IMPACTED", "NOT IMPACTED")</f>
        <v>NOT IMPACTED</v>
      </c>
      <c r="AF791" s="15"/>
      <c r="AG791" s="18"/>
      <c r="AH791" s="14" t="str">
        <f>IF(WFTracker[[#This Row],[Status]]="C", "Closed", IF(WFTracker[[#This Row],[Status]] = "x", "Cancelled", WFTracker[[#This Row],[Impact Time Post RM]]))</f>
        <v>Closed</v>
      </c>
      <c r="AI791" s="14" t="str">
        <f ca="1">IF(WFTracker[[#This Row],[Impact Time Post RM]]&lt;=0,"ON TIME","LATE")</f>
        <v>ON TIME</v>
      </c>
      <c r="AJ791" s="14" t="s">
        <v>984</v>
      </c>
      <c r="AK791" s="14">
        <v>18</v>
      </c>
      <c r="AL791" s="915">
        <f>IF(WFTracker[[#This Row],[Type]]="MAKE", WFTracker[[#This Row],[Due date]]+Filters!$J$111, WFTracker[[#This Row],[Due date]]+Filters!$J$135)</f>
        <v>46093.072512647552</v>
      </c>
      <c r="AM791" s="102" cm="1">
        <f t="array" ref="AM79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92" spans="1:39" ht="15" customHeight="1">
      <c r="A792" t="str">
        <f>IF(WFTracker[[#This Row],[Order Number]]="SWBD", "QED2", "PZ4")</f>
        <v>PZ4</v>
      </c>
      <c r="B792" s="21" t="s">
        <v>938</v>
      </c>
      <c r="C792" s="21" t="s">
        <v>939</v>
      </c>
      <c r="D792" s="11" t="s">
        <v>1658</v>
      </c>
      <c r="E792" s="23" t="s">
        <v>940</v>
      </c>
      <c r="F792" s="12">
        <v>46112</v>
      </c>
      <c r="G792" s="12">
        <v>46105</v>
      </c>
      <c r="H792" s="11" t="s">
        <v>80</v>
      </c>
      <c r="I792" s="11" t="s">
        <v>1132</v>
      </c>
      <c r="J792" s="55" t="s">
        <v>1659</v>
      </c>
      <c r="K792" s="14" t="s">
        <v>1023</v>
      </c>
      <c r="L792" s="15" t="s">
        <v>40</v>
      </c>
      <c r="M792" s="29" t="s">
        <v>1120</v>
      </c>
      <c r="N792" s="57">
        <v>46225</v>
      </c>
      <c r="O792" s="15">
        <f>NETWORKDAYS.INTL(WFTracker[[#This Row],[Start date]],WFTracker[[#This Row],[RM]],1,Holidays!D789:D804)</f>
        <v>25</v>
      </c>
      <c r="P792" s="12">
        <v>46078</v>
      </c>
      <c r="Q792" s="12">
        <v>46090</v>
      </c>
      <c r="R792" s="12">
        <v>46094</v>
      </c>
      <c r="S792" s="12" t="b">
        <f>ISBLANK(WFTracker[[#This Row],[Completion Date]])</f>
        <v>0</v>
      </c>
      <c r="T792" s="12" t="str">
        <f>TEXT(WFTracker[[#This Row],[Start date]],"mmm-yyyy")</f>
        <v>Feb-2026</v>
      </c>
      <c r="U792" s="11">
        <v>10</v>
      </c>
      <c r="V792" s="11">
        <f>NETWORKDAYS.INTL(WFTracker[[#This Row],[Start date]],WFTracker[[#This Row],[Due date]],1,Holidays!D789:D804)</f>
        <v>9</v>
      </c>
      <c r="W79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792" s="24">
        <f ca="1">WFTracker[[#This Row],[Active Time]]-WFTracker[[#This Row],[Completion Days Template]]</f>
        <v>4</v>
      </c>
      <c r="Y792" s="16" t="str">
        <f ca="1" xml:space="preserve"> IF(WFTracker[[#This Row],[Overdue Time '[Expected-Completion']]]&gt;0, "LATE","ON TIME")</f>
        <v>LATE</v>
      </c>
      <c r="Z792" s="16" t="str">
        <f ca="1">IF(WFTracker[[#This Row],[Overdue Time '[Expected-Completion']]] &gt;= 15, "SUPER LATE", Y792)</f>
        <v>LATE</v>
      </c>
      <c r="AA792" s="37" t="str">
        <f>IF(WFTracker[[#This Row],[Pre RM Opening Time]]&lt;WFTracker[[#This Row],[Old vs New Order Lead Time WF dead line]], "LATE BY ENG", "ON TIME BY ENG")</f>
        <v>ON TIME BY ENG</v>
      </c>
      <c r="AB792" s="37"/>
      <c r="AC792" s="928" t="str" cm="1">
        <f t="array" ref="AC792">_xlfn.IFS(
    WFTracker[[#This Row],[Cancelation Cause]]&lt;&gt;"", "X",
    WFTracker[[#This Row],[Competion Date Content]] = FALSE, "C",
    TRUE, "I"
)</f>
        <v>C</v>
      </c>
      <c r="AD79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792" s="25" t="str">
        <f ca="1">IF(WFTracker[[#This Row],[Impact Time Post RM]]&gt;0, "IMPACTED", "NOT IMPACTED")</f>
        <v>NOT IMPACTED</v>
      </c>
      <c r="AF792" s="15"/>
      <c r="AG792" s="18"/>
      <c r="AH792" s="14" t="str">
        <f>IF(WFTracker[[#This Row],[Status]]="C", "Closed", IF(WFTracker[[#This Row],[Status]] = "x", "Cancelled", WFTracker[[#This Row],[Impact Time Post RM]]))</f>
        <v>Closed</v>
      </c>
      <c r="AI792" s="14" t="str">
        <f ca="1">IF(WFTracker[[#This Row],[Impact Time Post RM]]&lt;=0,"ON TIME","LATE")</f>
        <v>ON TIME</v>
      </c>
      <c r="AJ792" s="14" t="s">
        <v>980</v>
      </c>
      <c r="AK792" s="14">
        <v>17</v>
      </c>
      <c r="AL792" s="915">
        <f>IF(WFTracker[[#This Row],[Type]]="MAKE", WFTracker[[#This Row],[Due date]]+Filters!$J$111, WFTracker[[#This Row],[Due date]]+Filters!$J$135)</f>
        <v>46090.415686274508</v>
      </c>
      <c r="AM792" s="102" cm="1">
        <f t="array" ref="AM79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93" spans="1:39" ht="15" customHeight="1">
      <c r="A793" t="str">
        <f>IF(WFTracker[[#This Row],[Order Number]]="SWBD", "QED2", "PZ4")</f>
        <v>PZ4</v>
      </c>
      <c r="B793" s="21" t="s">
        <v>1660</v>
      </c>
      <c r="C793" s="21" t="s">
        <v>135</v>
      </c>
      <c r="D793" s="11" t="str">
        <f>WFTracker[[#This Row],[Order Number]]  &amp; "-" &amp; WFTracker[[#This Row],[Item]]</f>
        <v xml:space="preserve">
0051674363-000010</v>
      </c>
      <c r="E793" s="23" t="s">
        <v>903</v>
      </c>
      <c r="F793" s="12">
        <v>46101</v>
      </c>
      <c r="G793" s="12">
        <v>46094</v>
      </c>
      <c r="H793" s="11" t="s">
        <v>259</v>
      </c>
      <c r="I793" s="11" t="s">
        <v>216</v>
      </c>
      <c r="J793" s="122" t="s">
        <v>904</v>
      </c>
      <c r="K793" s="14" t="s">
        <v>1017</v>
      </c>
      <c r="L793" s="15" t="s">
        <v>27</v>
      </c>
      <c r="M793" s="29" t="s">
        <v>1120</v>
      </c>
      <c r="N793" s="57">
        <v>46223</v>
      </c>
      <c r="O793" s="15">
        <f>NETWORKDAYS.INTL(WFTracker[[#This Row],[Start date]],WFTracker[[#This Row],[RM]],1,Holidays!D802:D817)</f>
        <v>17</v>
      </c>
      <c r="P793" s="12">
        <v>46079</v>
      </c>
      <c r="Q793" s="12">
        <v>46090</v>
      </c>
      <c r="R793" s="12">
        <v>46080</v>
      </c>
      <c r="S793" s="12" t="b">
        <f>ISBLANK(WFTracker[[#This Row],[Completion Date]])</f>
        <v>0</v>
      </c>
      <c r="T793" s="12" t="str">
        <f>TEXT(WFTracker[[#This Row],[Start date]],"mmm-yyyy")</f>
        <v>Feb-2026</v>
      </c>
      <c r="U793" s="11">
        <v>10</v>
      </c>
      <c r="V793" s="11">
        <f>NETWORKDAYS.INTL(WFTracker[[#This Row],[Start date]],WFTracker[[#This Row],[Due date]],1,Holidays!D802:D817)</f>
        <v>8</v>
      </c>
      <c r="W79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793" s="24">
        <f ca="1">WFTracker[[#This Row],[Active Time]]-WFTracker[[#This Row],[Completion Days Template]]</f>
        <v>-6</v>
      </c>
      <c r="Y793" s="16" t="str">
        <f ca="1" xml:space="preserve"> IF(WFTracker[[#This Row],[Overdue Time '[Expected-Completion']]]&gt;0, "LATE","ON TIME")</f>
        <v>ON TIME</v>
      </c>
      <c r="Z793" s="16" t="str">
        <f ca="1">IF(WFTracker[[#This Row],[Overdue Time '[Expected-Completion']]] &gt;= 15, "SUPER LATE", Y793)</f>
        <v>ON TIME</v>
      </c>
      <c r="AA793" s="37" t="str">
        <f>IF(WFTracker[[#This Row],[Pre RM Opening Time]]&lt;WFTracker[[#This Row],[Old vs New Order Lead Time WF dead line]], "LATE BY ENG", "ON TIME BY ENG")</f>
        <v>ON TIME BY ENG</v>
      </c>
      <c r="AB793" s="37"/>
      <c r="AC793" s="928" t="s">
        <v>1011</v>
      </c>
      <c r="AD79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-16</v>
      </c>
      <c r="AE793" s="25" t="str">
        <f ca="1">IF(WFTracker[[#This Row],[Impact Time Post RM]]&gt;0, "IMPACTED", "NOT IMPACTED")</f>
        <v>NOT IMPACTED</v>
      </c>
      <c r="AF793" s="15"/>
      <c r="AG793" s="18"/>
      <c r="AH793" s="14" t="str">
        <f>IF(WFTracker[[#This Row],[Status]]="C", "Closed", IF(WFTracker[[#This Row],[Status]] = "x", "Cancelled", WFTracker[[#This Row],[Impact Time Post RM]]))</f>
        <v>Cancelled</v>
      </c>
      <c r="AI793" s="14" t="str">
        <f ca="1">IF(WFTracker[[#This Row],[Impact Time Post RM]]&lt;=0,"ON TIME","LATE")</f>
        <v>ON TIME</v>
      </c>
      <c r="AJ793" s="14" t="s">
        <v>984</v>
      </c>
      <c r="AK793" s="14">
        <v>1</v>
      </c>
      <c r="AL793" s="915">
        <f>IF(WFTracker[[#This Row],[Type]]="MAKE", WFTracker[[#This Row],[Due date]]+Filters!$J$111, WFTracker[[#This Row],[Due date]]+Filters!$J$135)</f>
        <v>46093.072512647552</v>
      </c>
      <c r="AM793" s="102" cm="1">
        <f t="array" ref="AM793">_xlfn.IFS(WFTracker[[#This Row],[Type]]="BUY", WFTracker[[#This Row],[Task Number]]/17,
     WFTracker[[#This Row],[Type]]="MAKE", WFTracker[[#This Row],[Task Number]]/18,
     WFTracker[[#This Row],[Type]]="CNG-BOM", WFTracker[[#This Row],[Task Number]]/11)</f>
        <v>5.5555555555555552E-2</v>
      </c>
    </row>
    <row r="794" spans="1:39" ht="15" customHeight="1">
      <c r="A794" t="s">
        <v>1605</v>
      </c>
      <c r="B794" s="21" t="s">
        <v>887</v>
      </c>
      <c r="C794" s="1338" t="s">
        <v>135</v>
      </c>
      <c r="D794" s="11" t="s">
        <v>1661</v>
      </c>
      <c r="E794" s="23" t="s">
        <v>888</v>
      </c>
      <c r="F794" s="12">
        <v>46094</v>
      </c>
      <c r="G794" s="12">
        <v>46087</v>
      </c>
      <c r="H794" s="11" t="s">
        <v>80</v>
      </c>
      <c r="I794" s="11" t="s">
        <v>889</v>
      </c>
      <c r="J794" s="55" t="s">
        <v>899</v>
      </c>
      <c r="K794" s="14" t="s">
        <v>1017</v>
      </c>
      <c r="L794" s="15" t="s">
        <v>27</v>
      </c>
      <c r="M794" s="29" t="s">
        <v>1120</v>
      </c>
      <c r="N794" s="57">
        <v>46199</v>
      </c>
      <c r="O794" s="15">
        <f>NETWORKDAYS.INTL(WFTracker[[#This Row],[Start date]],WFTracker[[#This Row],[RM]],1,Holidays!D790:D805)</f>
        <v>13</v>
      </c>
      <c r="P794" s="12">
        <v>46078</v>
      </c>
      <c r="Q794" s="12">
        <v>46085</v>
      </c>
      <c r="R794" s="12"/>
      <c r="S794" s="12" t="b">
        <f>ISBLANK(WFTracker[[#This Row],[Completion Date]])</f>
        <v>1</v>
      </c>
      <c r="T794" s="12" t="str">
        <f>TEXT(WFTracker[[#This Row],[Start date]],"mmm-yyyy")</f>
        <v>Feb-2026</v>
      </c>
      <c r="U794" s="11">
        <v>10</v>
      </c>
      <c r="V794" s="11">
        <f>NETWORKDAYS.INTL(WFTracker[[#This Row],[Start date]],WFTracker[[#This Row],[Due date]],1,Holidays!D790:D805)</f>
        <v>6</v>
      </c>
      <c r="W79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794" s="24">
        <f ca="1">WFTracker[[#This Row],[Active Time]]-WFTracker[[#This Row],[Completion Days Template]]</f>
        <v>11</v>
      </c>
      <c r="Y794" s="16" t="str">
        <f ca="1" xml:space="preserve"> IF(WFTracker[[#This Row],[Overdue Time '[Expected-Completion']]]&gt;0, "LATE","ON TIME")</f>
        <v>LATE</v>
      </c>
      <c r="Z794" s="16" t="str">
        <f ca="1">IF(WFTracker[[#This Row],[Overdue Time '[Expected-Completion']]] &gt;= 15, "SUPER LATE", Y794)</f>
        <v>LATE</v>
      </c>
      <c r="AA794" s="37" t="str">
        <f>IF(WFTracker[[#This Row],[Pre RM Opening Time]]&lt;WFTracker[[#This Row],[Old vs New Order Lead Time WF dead line]], "LATE BY ENG", "ON TIME BY ENG")</f>
        <v>ON TIME BY ENG</v>
      </c>
      <c r="AB794" s="37"/>
      <c r="AC794" s="928" t="str" cm="1">
        <f t="array" ref="AC794">_xlfn.IFS(
    WFTracker[[#This Row],[Cancelation Cause]]&lt;&gt;"", "X",
    WFTracker[[#This Row],[Competion Date Content]] = FALSE, "C",
    TRUE, "I"
)</f>
        <v>I</v>
      </c>
      <c r="AD79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94" s="25" t="str">
        <f ca="1">IF(WFTracker[[#This Row],[Impact Time Post RM]]&gt;0, "IMPACTED", "NOT IMPACTED")</f>
        <v>IMPACTED</v>
      </c>
      <c r="AF794" s="15"/>
      <c r="AG794" s="18"/>
      <c r="AH794" s="14">
        <f ca="1">IF(WFTracker[[#This Row],[Status]]="C", "Closed", IF(WFTracker[[#This Row],[Status]] = "x", "Cancelled", WFTracker[[#This Row],[Impact Time Post RM]]))</f>
        <v>5</v>
      </c>
      <c r="AI794" s="14" t="str">
        <f ca="1">IF(WFTracker[[#This Row],[Impact Time Post RM]]&lt;=0,"ON TIME","LATE")</f>
        <v>LATE</v>
      </c>
      <c r="AJ794" s="14" t="s">
        <v>977</v>
      </c>
      <c r="AK794" s="14">
        <v>12</v>
      </c>
      <c r="AL794" s="915">
        <f>IF(WFTracker[[#This Row],[Type]]="MAKE", WFTracker[[#This Row],[Due date]]+Filters!$J$111, WFTracker[[#This Row],[Due date]]+Filters!$J$135)</f>
        <v>46088.072512647552</v>
      </c>
      <c r="AM794" s="102" cm="1">
        <f t="array" ref="AM794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795" spans="1:39" ht="15" customHeight="1">
      <c r="A795" t="str">
        <f>IF(WFTracker[[#This Row],[Order Number]]="SWBD", "QED2", "PZ4")</f>
        <v>PZ4</v>
      </c>
      <c r="B795" s="21" t="s">
        <v>1662</v>
      </c>
      <c r="C795" s="1338" t="s">
        <v>882</v>
      </c>
      <c r="D795" s="11" t="str">
        <f>WFTracker[[#This Row],[Order Number]]  &amp; "-" &amp; WFTracker[[#This Row],[Item]]</f>
        <v xml:space="preserve">
0050384250-001230</v>
      </c>
      <c r="E795" s="23" t="s">
        <v>1027</v>
      </c>
      <c r="F795" s="12">
        <v>46094</v>
      </c>
      <c r="G795" s="12">
        <v>46087</v>
      </c>
      <c r="H795" s="11" t="s">
        <v>237</v>
      </c>
      <c r="I795" s="1062" t="s">
        <v>593</v>
      </c>
      <c r="J795" s="55" t="s">
        <v>1663</v>
      </c>
      <c r="K795" s="14" t="s">
        <v>1017</v>
      </c>
      <c r="L795" s="15" t="s">
        <v>27</v>
      </c>
      <c r="M795" s="29" t="s">
        <v>1120</v>
      </c>
      <c r="N795" s="57">
        <v>46240</v>
      </c>
      <c r="O795" s="15">
        <f>NETWORKDAYS.INTL(WFTracker[[#This Row],[Start date]],WFTracker[[#This Row],[RM]],1,Holidays!D809:D824)</f>
        <v>9</v>
      </c>
      <c r="P795" s="12">
        <v>46084</v>
      </c>
      <c r="Q795" s="12">
        <v>46091</v>
      </c>
      <c r="R795" s="12"/>
      <c r="S795" s="12" t="b">
        <f>ISBLANK(WFTracker[[#This Row],[Completion Date]])</f>
        <v>1</v>
      </c>
      <c r="T795" s="12" t="str">
        <f>TEXT(WFTracker[[#This Row],[Start date]],"mmm-yyyy")</f>
        <v>Mar-2026</v>
      </c>
      <c r="U795" s="11">
        <v>10</v>
      </c>
      <c r="V795" s="11">
        <f>NETWORKDAYS.INTL(WFTracker[[#This Row],[Start date]],WFTracker[[#This Row],[Due date]],1,Holidays!D809:D824)</f>
        <v>6</v>
      </c>
      <c r="W79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795" s="24">
        <f ca="1">WFTracker[[#This Row],[Active Time]]-WFTracker[[#This Row],[Completion Days Template]]</f>
        <v>7</v>
      </c>
      <c r="Y795" s="16" t="str">
        <f ca="1" xml:space="preserve"> IF(WFTracker[[#This Row],[Overdue Time '[Expected-Completion']]]&gt;0, "LATE","ON TIME")</f>
        <v>LATE</v>
      </c>
      <c r="Z795" s="16" t="str">
        <f ca="1">IF(WFTracker[[#This Row],[Overdue Time '[Expected-Completion']]] &gt;= 15, "SUPER LATE", Y795)</f>
        <v>LATE</v>
      </c>
      <c r="AA795" s="37" t="str">
        <f>IF(WFTracker[[#This Row],[Pre RM Opening Time]]&lt;WFTracker[[#This Row],[Old vs New Order Lead Time WF dead line]], "LATE BY ENG", "ON TIME BY ENG")</f>
        <v>LATE BY ENG</v>
      </c>
      <c r="AB795" s="37"/>
      <c r="AC795" s="928" t="str" cm="1">
        <f t="array" ref="AC795">_xlfn.IFS(
    WFTracker[[#This Row],[Cancelation Cause]]&lt;&gt;"", "X",
    WFTracker[[#This Row],[Competion Date Content]] = FALSE, "C",
    TRUE, "I"
)</f>
        <v>I</v>
      </c>
      <c r="AD79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95" s="25" t="str">
        <f ca="1">IF(WFTracker[[#This Row],[Impact Time Post RM]]&gt;0, "IMPACTED", "NOT IMPACTED")</f>
        <v>IMPACTED</v>
      </c>
      <c r="AF795" s="15"/>
      <c r="AG795" s="18"/>
      <c r="AH795" s="14">
        <f ca="1">IF(WFTracker[[#This Row],[Status]]="C", "Closed", IF(WFTracker[[#This Row],[Status]] = "x", "Cancelled", WFTracker[[#This Row],[Impact Time Post RM]]))</f>
        <v>5</v>
      </c>
      <c r="AI795" s="14" t="str">
        <f ca="1">IF(WFTracker[[#This Row],[Impact Time Post RM]]&lt;=0,"ON TIME","LATE")</f>
        <v>LATE</v>
      </c>
      <c r="AJ795" s="14" t="s">
        <v>970</v>
      </c>
      <c r="AK795" s="14">
        <v>16</v>
      </c>
      <c r="AL795" s="915">
        <f>IF(WFTracker[[#This Row],[Type]]="MAKE", WFTracker[[#This Row],[Due date]]+Filters!$J$111, WFTracker[[#This Row],[Due date]]+Filters!$J$135)</f>
        <v>46094.072512647552</v>
      </c>
      <c r="AM795" s="102" cm="1">
        <f t="array" ref="AM795">_xlfn.IFS(WFTracker[[#This Row],[Type]]="BUY", WFTracker[[#This Row],[Task Number]]/17,
     WFTracker[[#This Row],[Type]]="MAKE", WFTracker[[#This Row],[Task Number]]/18,
     WFTracker[[#This Row],[Type]]="CNG-BOM", WFTracker[[#This Row],[Task Number]]/11)</f>
        <v>0.88888888888888884</v>
      </c>
    </row>
    <row r="796" spans="1:39" ht="15" customHeight="1">
      <c r="A796" t="str">
        <f>IF(WFTracker[[#This Row],[Order Number]]="SWBD", "QED2", "PZ4")</f>
        <v>PZ4</v>
      </c>
      <c r="B796" s="21" t="s">
        <v>866</v>
      </c>
      <c r="C796" s="21" t="s">
        <v>867</v>
      </c>
      <c r="D796" s="11" t="str">
        <f>WFTracker[[#This Row],[Order Number]]  &amp; "-" &amp; WFTracker[[#This Row],[Item]]</f>
        <v>0051733188-000410</v>
      </c>
      <c r="E796" s="23" t="s">
        <v>1028</v>
      </c>
      <c r="F796" s="12">
        <v>46098</v>
      </c>
      <c r="G796" s="12">
        <v>46091</v>
      </c>
      <c r="H796" s="11" t="s">
        <v>104</v>
      </c>
      <c r="I796" s="11" t="s">
        <v>37</v>
      </c>
      <c r="J796" s="55" t="s">
        <v>1664</v>
      </c>
      <c r="K796" s="14" t="s">
        <v>1023</v>
      </c>
      <c r="L796" s="15" t="s">
        <v>40</v>
      </c>
      <c r="M796" s="29" t="s">
        <v>1120</v>
      </c>
      <c r="N796" s="57">
        <v>46195</v>
      </c>
      <c r="O796" s="15">
        <f>NETWORKDAYS.INTL(WFTracker[[#This Row],[Start date]],WFTracker[[#This Row],[RM]],1,Holidays!D788:D803)</f>
        <v>15</v>
      </c>
      <c r="P796" s="12">
        <v>46078</v>
      </c>
      <c r="Q796" s="12">
        <v>46090</v>
      </c>
      <c r="R796" s="12">
        <v>46087</v>
      </c>
      <c r="S796" s="12" t="b">
        <f>ISBLANK(WFTracker[[#This Row],[Completion Date]])</f>
        <v>0</v>
      </c>
      <c r="T796" s="12" t="str">
        <f>TEXT(WFTracker[[#This Row],[Start date]],"mmm-yyyy")</f>
        <v>Feb-2026</v>
      </c>
      <c r="U796" s="11">
        <v>10</v>
      </c>
      <c r="V796" s="11">
        <f>NETWORKDAYS.INTL(WFTracker[[#This Row],[Start date]],WFTracker[[#This Row],[Due date]],1,Holidays!D788:D803)</f>
        <v>9</v>
      </c>
      <c r="W79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96" s="24">
        <f ca="1">WFTracker[[#This Row],[Active Time]]-WFTracker[[#This Row],[Completion Days Template]]</f>
        <v>-1</v>
      </c>
      <c r="Y796" s="16" t="str">
        <f ca="1" xml:space="preserve"> IF(WFTracker[[#This Row],[Overdue Time '[Expected-Completion']]]&gt;0, "LATE","ON TIME")</f>
        <v>ON TIME</v>
      </c>
      <c r="Z796" s="16" t="str">
        <f ca="1">IF(WFTracker[[#This Row],[Overdue Time '[Expected-Completion']]] &gt;= 15, "SUPER LATE", Y796)</f>
        <v>ON TIME</v>
      </c>
      <c r="AA796" s="37" t="str">
        <f>IF(WFTracker[[#This Row],[Pre RM Opening Time]]&lt;WFTracker[[#This Row],[Old vs New Order Lead Time WF dead line]], "LATE BY ENG", "ON TIME BY ENG")</f>
        <v>ON TIME BY ENG</v>
      </c>
      <c r="AB796" s="37"/>
      <c r="AC796" s="928" t="str" cm="1">
        <f t="array" ref="AC796">_xlfn.IFS(
    WFTracker[[#This Row],[Cancelation Cause]]&lt;&gt;"", "X",
    WFTracker[[#This Row],[Competion Date Content]] = FALSE, "C",
    TRUE, "I"
)</f>
        <v>C</v>
      </c>
      <c r="AD79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796" s="25" t="str">
        <f ca="1">IF(WFTracker[[#This Row],[Impact Time Post RM]]&gt;0, "IMPACTED", "NOT IMPACTED")</f>
        <v>NOT IMPACTED</v>
      </c>
      <c r="AF796" s="15"/>
      <c r="AG796" s="18"/>
      <c r="AH796" s="14" t="str">
        <f>IF(WFTracker[[#This Row],[Status]]="C", "Closed", IF(WFTracker[[#This Row],[Status]] = "x", "Cancelled", WFTracker[[#This Row],[Impact Time Post RM]]))</f>
        <v>Closed</v>
      </c>
      <c r="AI796" s="14" t="str">
        <f ca="1">IF(WFTracker[[#This Row],[Impact Time Post RM]]&lt;=0,"ON TIME","LATE")</f>
        <v>ON TIME</v>
      </c>
      <c r="AJ796" s="14" t="s">
        <v>984</v>
      </c>
      <c r="AK796" s="14">
        <v>17</v>
      </c>
      <c r="AL796" s="915">
        <f>IF(WFTracker[[#This Row],[Type]]="MAKE", WFTracker[[#This Row],[Due date]]+Filters!$J$111, WFTracker[[#This Row],[Due date]]+Filters!$J$135)</f>
        <v>46090.415686274508</v>
      </c>
      <c r="AM796" s="102" cm="1">
        <f t="array" ref="AM79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797" spans="1:39" ht="15" customHeight="1">
      <c r="A797" t="str">
        <f>IF(WFTracker[[#This Row],[Order Number]]="SWBD", "QED2", "PZ4")</f>
        <v>PZ4</v>
      </c>
      <c r="B797" s="21" t="s">
        <v>887</v>
      </c>
      <c r="C797" s="1338" t="s">
        <v>135</v>
      </c>
      <c r="D797" s="11" t="str">
        <f>WFTracker[[#This Row],[Order Number]]  &amp; "-" &amp; WFTracker[[#This Row],[Item]]</f>
        <v>0051829783-000010</v>
      </c>
      <c r="E797" s="23" t="s">
        <v>888</v>
      </c>
      <c r="F797" s="12">
        <v>46094</v>
      </c>
      <c r="G797" s="12">
        <v>46087</v>
      </c>
      <c r="H797" s="11" t="s">
        <v>80</v>
      </c>
      <c r="I797" s="11" t="s">
        <v>889</v>
      </c>
      <c r="J797" s="55" t="s">
        <v>1665</v>
      </c>
      <c r="K797" s="14" t="s">
        <v>1023</v>
      </c>
      <c r="L797" s="15" t="s">
        <v>40</v>
      </c>
      <c r="M797" s="29" t="s">
        <v>1120</v>
      </c>
      <c r="N797" s="57">
        <v>46209</v>
      </c>
      <c r="O797" s="15">
        <f>NETWORKDAYS.INTL(WFTracker[[#This Row],[Start date]],WFTracker[[#This Row],[RM]],1,Holidays!D825:D840)</f>
        <v>7</v>
      </c>
      <c r="P797" s="12">
        <v>46086</v>
      </c>
      <c r="Q797" s="12">
        <v>46100</v>
      </c>
      <c r="R797" s="12"/>
      <c r="S797" s="12" t="b">
        <f>ISBLANK(WFTracker[[#This Row],[Completion Date]])</f>
        <v>1</v>
      </c>
      <c r="T797" s="12" t="str">
        <f>TEXT(WFTracker[[#This Row],[Start date]],"mmm-yyyy")</f>
        <v>Mar-2026</v>
      </c>
      <c r="U797" s="11">
        <v>10</v>
      </c>
      <c r="V797" s="11">
        <f>NETWORKDAYS.INTL(WFTracker[[#This Row],[Start date]],WFTracker[[#This Row],[Due date]],1,Holidays!D825:D840)</f>
        <v>11</v>
      </c>
      <c r="W79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797" s="24">
        <f ca="1">WFTracker[[#This Row],[Active Time]]-WFTracker[[#This Row],[Completion Days Template]]</f>
        <v>0</v>
      </c>
      <c r="Y797" s="16" t="str">
        <f ca="1" xml:space="preserve"> IF(WFTracker[[#This Row],[Overdue Time '[Expected-Completion']]]&gt;0, "LATE","ON TIME")</f>
        <v>ON TIME</v>
      </c>
      <c r="Z797" s="16" t="str">
        <f ca="1">IF(WFTracker[[#This Row],[Overdue Time '[Expected-Completion']]] &gt;= 15, "SUPER LATE", Y797)</f>
        <v>ON TIME</v>
      </c>
      <c r="AA797" s="37" t="str">
        <f>IF(WFTracker[[#This Row],[Pre RM Opening Time]]&lt;WFTracker[[#This Row],[Old vs New Order Lead Time WF dead line]], "LATE BY ENG", "ON TIME BY ENG")</f>
        <v>LATE BY ENG</v>
      </c>
      <c r="AB797" s="37"/>
      <c r="AC797" s="928" t="str" cm="1">
        <f t="array" ref="AC797">_xlfn.IFS(
    WFTracker[[#This Row],[Cancelation Cause]]&lt;&gt;"", "X",
    WFTracker[[#This Row],[Competion Date Content]] = FALSE, "C",
    TRUE, "I"
)</f>
        <v>I</v>
      </c>
      <c r="AD79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97" s="25" t="str">
        <f ca="1">IF(WFTracker[[#This Row],[Impact Time Post RM]]&gt;0, "IMPACTED", "NOT IMPACTED")</f>
        <v>IMPACTED</v>
      </c>
      <c r="AF797" s="15"/>
      <c r="AG797" s="18"/>
      <c r="AH797" s="14">
        <f ca="1">IF(WFTracker[[#This Row],[Status]]="C", "Closed", IF(WFTracker[[#This Row],[Status]] = "x", "Cancelled", WFTracker[[#This Row],[Impact Time Post RM]]))</f>
        <v>5</v>
      </c>
      <c r="AI797" s="14" t="str">
        <f ca="1">IF(WFTracker[[#This Row],[Impact Time Post RM]]&lt;=0,"ON TIME","LATE")</f>
        <v>LATE</v>
      </c>
      <c r="AJ797" s="14" t="s">
        <v>985</v>
      </c>
      <c r="AK797" s="14">
        <v>12</v>
      </c>
      <c r="AL797" s="915">
        <f>IF(WFTracker[[#This Row],[Type]]="MAKE", WFTracker[[#This Row],[Due date]]+Filters!$J$111, WFTracker[[#This Row],[Due date]]+Filters!$J$135)</f>
        <v>46100.415686274508</v>
      </c>
      <c r="AM797" s="102" cm="1">
        <f t="array" ref="AM797">_xlfn.IFS(WFTracker[[#This Row],[Type]]="BUY", WFTracker[[#This Row],[Task Number]]/17,
     WFTracker[[#This Row],[Type]]="MAKE", WFTracker[[#This Row],[Task Number]]/18,
     WFTracker[[#This Row],[Type]]="CNG-BOM", WFTracker[[#This Row],[Task Number]]/11)</f>
        <v>0.70588235294117652</v>
      </c>
    </row>
    <row r="798" spans="1:39" ht="15" customHeight="1">
      <c r="A798" t="s">
        <v>1605</v>
      </c>
      <c r="B798" s="21" t="s">
        <v>887</v>
      </c>
      <c r="C798" s="1338" t="s">
        <v>135</v>
      </c>
      <c r="D798" s="11" t="s">
        <v>1661</v>
      </c>
      <c r="E798" s="23" t="s">
        <v>888</v>
      </c>
      <c r="F798" s="12">
        <v>46094</v>
      </c>
      <c r="G798" s="12">
        <v>46087</v>
      </c>
      <c r="H798" s="11" t="s">
        <v>80</v>
      </c>
      <c r="I798" s="11" t="s">
        <v>889</v>
      </c>
      <c r="J798" s="55" t="s">
        <v>1666</v>
      </c>
      <c r="K798" s="14" t="s">
        <v>1017</v>
      </c>
      <c r="L798" s="15" t="s">
        <v>40</v>
      </c>
      <c r="M798" s="29" t="s">
        <v>1120</v>
      </c>
      <c r="N798" s="57">
        <v>46227</v>
      </c>
      <c r="O798" s="15">
        <f>NETWORKDAYS.INTL(WFTracker[[#This Row],[Start date]],WFTracker[[#This Row],[RM]],1,Holidays!D832:D847)</f>
        <v>5</v>
      </c>
      <c r="P798" s="12">
        <v>46090</v>
      </c>
      <c r="Q798" s="12">
        <v>46104</v>
      </c>
      <c r="R798" s="12"/>
      <c r="S798" s="12" t="b">
        <f>ISBLANK(WFTracker[[#This Row],[Completion Date]])</f>
        <v>1</v>
      </c>
      <c r="T798" s="12" t="str">
        <f>TEXT(WFTracker[[#This Row],[Start date]],"mmm-yyyy")</f>
        <v>Mar-2026</v>
      </c>
      <c r="U798" s="11">
        <v>10</v>
      </c>
      <c r="V798" s="11">
        <f>NETWORKDAYS.INTL(WFTracker[[#This Row],[Start date]],WFTracker[[#This Row],[Due date]],1,Holidays!D832:D847)</f>
        <v>11</v>
      </c>
      <c r="W79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798" s="24">
        <f ca="1">WFTracker[[#This Row],[Active Time]]-WFTracker[[#This Row],[Completion Days Template]]</f>
        <v>-2</v>
      </c>
      <c r="Y798" s="16" t="str">
        <f ca="1" xml:space="preserve"> IF(WFTracker[[#This Row],[Overdue Time '[Expected-Completion']]]&gt;0, "LATE","ON TIME")</f>
        <v>ON TIME</v>
      </c>
      <c r="Z798" s="16" t="str">
        <f ca="1">IF(WFTracker[[#This Row],[Overdue Time '[Expected-Completion']]] &gt;= 15, "SUPER LATE", Y798)</f>
        <v>ON TIME</v>
      </c>
      <c r="AA798" s="37" t="str">
        <f>IF(WFTracker[[#This Row],[Pre RM Opening Time]]&lt;WFTracker[[#This Row],[Old vs New Order Lead Time WF dead line]], "LATE BY ENG", "ON TIME BY ENG")</f>
        <v>LATE BY ENG</v>
      </c>
      <c r="AB798" s="37"/>
      <c r="AC798" s="928" t="str" cm="1">
        <f t="array" ref="AC798">_xlfn.IFS(
    WFTracker[[#This Row],[Cancelation Cause]]&lt;&gt;"", "X",
    WFTracker[[#This Row],[Competion Date Content]] = FALSE, "C",
    TRUE, "I"
)</f>
        <v>I</v>
      </c>
      <c r="AD79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798" s="25" t="str">
        <f ca="1">IF(WFTracker[[#This Row],[Impact Time Post RM]]&gt;0, "IMPACTED", "NOT IMPACTED")</f>
        <v>IMPACTED</v>
      </c>
      <c r="AF798" s="15"/>
      <c r="AG798" s="18"/>
      <c r="AH798" s="14">
        <f ca="1">IF(WFTracker[[#This Row],[Status]]="C", "Closed", IF(WFTracker[[#This Row],[Status]] = "x", "Cancelled", WFTracker[[#This Row],[Impact Time Post RM]]))</f>
        <v>5</v>
      </c>
      <c r="AI798" s="14" t="str">
        <f ca="1">IF(WFTracker[[#This Row],[Impact Time Post RM]]&lt;=0,"ON TIME","LATE")</f>
        <v>LATE</v>
      </c>
      <c r="AJ798" s="14" t="s">
        <v>982</v>
      </c>
      <c r="AK798" s="14">
        <v>9</v>
      </c>
      <c r="AL798" s="915">
        <f>IF(WFTracker[[#This Row],[Type]]="MAKE", WFTracker[[#This Row],[Due date]]+Filters!$J$111, WFTracker[[#This Row],[Due date]]+Filters!$J$135)</f>
        <v>46104.415686274508</v>
      </c>
      <c r="AM798" s="102" cm="1">
        <f t="array" ref="AM798">_xlfn.IFS(WFTracker[[#This Row],[Type]]="BUY", WFTracker[[#This Row],[Task Number]]/17,
     WFTracker[[#This Row],[Type]]="MAKE", WFTracker[[#This Row],[Task Number]]/18,
     WFTracker[[#This Row],[Type]]="CNG-BOM", WFTracker[[#This Row],[Task Number]]/11)</f>
        <v>0.52941176470588236</v>
      </c>
    </row>
    <row r="799" spans="1:39" ht="15" customHeight="1">
      <c r="A799" t="str">
        <f>IF(WFTracker[[#This Row],[Order Number]]="SWBD", "QED2", "PZ4")</f>
        <v>PZ4</v>
      </c>
      <c r="B799" s="21" t="s">
        <v>447</v>
      </c>
      <c r="C799" s="21" t="s">
        <v>219</v>
      </c>
      <c r="D799" s="11" t="str">
        <f>WFTracker[[#This Row],[Order Number]]  &amp; "-" &amp; WFTracker[[#This Row],[Item]]</f>
        <v>0051536680-000120</v>
      </c>
      <c r="E799" s="23" t="s">
        <v>621</v>
      </c>
      <c r="F799" s="12">
        <v>46094</v>
      </c>
      <c r="G799" s="12"/>
      <c r="H799" s="11" t="s">
        <v>110</v>
      </c>
      <c r="I799" s="11" t="s">
        <v>264</v>
      </c>
      <c r="J799" s="55" t="s">
        <v>910</v>
      </c>
      <c r="K799" s="14" t="s">
        <v>1017</v>
      </c>
      <c r="L799" s="15" t="s">
        <v>27</v>
      </c>
      <c r="M799" s="29" t="s">
        <v>1120</v>
      </c>
      <c r="N799" s="57">
        <v>46178</v>
      </c>
      <c r="O799" s="15">
        <f>NETWORKDAYS.INTL(WFTracker[[#This Row],[Start date]],WFTracker[[#This Row],[RM]],1,Holidays!D805:D820)</f>
        <v>11</v>
      </c>
      <c r="P799" s="12">
        <v>46080</v>
      </c>
      <c r="Q799" s="12">
        <v>46090</v>
      </c>
      <c r="R799" s="12">
        <v>46091</v>
      </c>
      <c r="S799" s="12" t="b">
        <f>ISBLANK(WFTracker[[#This Row],[Completion Date]])</f>
        <v>0</v>
      </c>
      <c r="T799" s="12" t="str">
        <f>TEXT(WFTracker[[#This Row],[Start date]],"mmm-yyyy")</f>
        <v>Feb-2026</v>
      </c>
      <c r="U799" s="11">
        <v>10</v>
      </c>
      <c r="V799" s="11">
        <f>NETWORKDAYS.INTL(WFTracker[[#This Row],[Start date]],WFTracker[[#This Row],[Due date]],1,Holidays!D805:D820)</f>
        <v>7</v>
      </c>
      <c r="W79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799" s="24">
        <f ca="1">WFTracker[[#This Row],[Active Time]]-WFTracker[[#This Row],[Completion Days Template]]</f>
        <v>1</v>
      </c>
      <c r="Y799" s="16" t="str">
        <f ca="1" xml:space="preserve"> IF(WFTracker[[#This Row],[Overdue Time '[Expected-Completion']]]&gt;0, "LATE","ON TIME")</f>
        <v>LATE</v>
      </c>
      <c r="Z799" s="16" t="str">
        <f ca="1">IF(WFTracker[[#This Row],[Overdue Time '[Expected-Completion']]] &gt;= 15, "SUPER LATE", Y799)</f>
        <v>LATE</v>
      </c>
      <c r="AA799" s="37" t="str">
        <f>IF(WFTracker[[#This Row],[Pre RM Opening Time]]&lt;WFTracker[[#This Row],[Old vs New Order Lead Time WF dead line]], "LATE BY ENG", "ON TIME BY ENG")</f>
        <v>ON TIME BY ENG</v>
      </c>
      <c r="AB799" s="37"/>
      <c r="AC799" s="928" t="str" cm="1">
        <f t="array" ref="AC799">_xlfn.IFS(
    WFTracker[[#This Row],[Cancelation Cause]]&lt;&gt;"", "X",
    WFTracker[[#This Row],[Competion Date Content]] = FALSE, "C",
    TRUE, "I"
)</f>
        <v>C</v>
      </c>
      <c r="AD79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-4</v>
      </c>
      <c r="AE799" s="25" t="str">
        <f ca="1">IF(WFTracker[[#This Row],[Impact Time Post RM]]&gt;0, "IMPACTED", "NOT IMPACTED")</f>
        <v>NOT IMPACTED</v>
      </c>
      <c r="AF799" s="15"/>
      <c r="AG799" s="18"/>
      <c r="AH799" s="14" t="str">
        <f>IF(WFTracker[[#This Row],[Status]]="C", "Closed", IF(WFTracker[[#This Row],[Status]] = "x", "Cancelled", WFTracker[[#This Row],[Impact Time Post RM]]))</f>
        <v>Closed</v>
      </c>
      <c r="AI799" s="14" t="str">
        <f ca="1">IF(WFTracker[[#This Row],[Impact Time Post RM]]&lt;=0,"ON TIME","LATE")</f>
        <v>ON TIME</v>
      </c>
      <c r="AJ799" s="14" t="s">
        <v>984</v>
      </c>
      <c r="AK799" s="14">
        <v>18</v>
      </c>
      <c r="AL799" s="915">
        <f>IF(WFTracker[[#This Row],[Type]]="MAKE", WFTracker[[#This Row],[Due date]]+Filters!$J$111, WFTracker[[#This Row],[Due date]]+Filters!$J$135)</f>
        <v>46093.072512647552</v>
      </c>
      <c r="AM799" s="102" cm="1">
        <f t="array" ref="AM79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00" spans="1:39" ht="15" customHeight="1">
      <c r="A800" t="str">
        <f>IF(WFTracker[[#This Row],[Order Number]]="SWBD", "QED2", "PZ4")</f>
        <v>PZ4</v>
      </c>
      <c r="B800" s="21" t="s">
        <v>866</v>
      </c>
      <c r="C800" s="21" t="s">
        <v>880</v>
      </c>
      <c r="D800" s="11" t="str">
        <f>WFTracker[[#This Row],[Order Number]]  &amp; "-" &amp; WFTracker[[#This Row],[Item]]</f>
        <v>0051733188-000430</v>
      </c>
      <c r="E800" s="23" t="s">
        <v>1028</v>
      </c>
      <c r="F800" s="12">
        <v>46097</v>
      </c>
      <c r="G800" s="12">
        <v>46097</v>
      </c>
      <c r="H800" s="11" t="s">
        <v>104</v>
      </c>
      <c r="I800" s="11" t="s">
        <v>241</v>
      </c>
      <c r="J800" s="55" t="s">
        <v>881</v>
      </c>
      <c r="K800" s="14" t="s">
        <v>1017</v>
      </c>
      <c r="L800" s="15" t="s">
        <v>27</v>
      </c>
      <c r="M800" s="29" t="s">
        <v>1120</v>
      </c>
      <c r="N800" s="57">
        <v>46211</v>
      </c>
      <c r="O800" s="15">
        <f>NETWORKDAYS.INTL(WFTracker[[#This Row],[Start date]],WFTracker[[#This Row],[RM]],1,Holidays!D777:D792)</f>
        <v>16</v>
      </c>
      <c r="P800" s="12">
        <v>46076</v>
      </c>
      <c r="Q800" s="12">
        <v>46083</v>
      </c>
      <c r="R800" s="12">
        <v>46090</v>
      </c>
      <c r="S800" s="12" t="b">
        <f>ISBLANK(WFTracker[[#This Row],[Completion Date]])</f>
        <v>0</v>
      </c>
      <c r="T800" s="12" t="str">
        <f>TEXT(WFTracker[[#This Row],[Start date]],"mmm-yyyy")</f>
        <v>Feb-2026</v>
      </c>
      <c r="U800" s="11">
        <v>10</v>
      </c>
      <c r="V800" s="11">
        <f>NETWORKDAYS.INTL(WFTracker[[#This Row],[Start date]],WFTracker[[#This Row],[Due date]],1,Holidays!D777:D792)</f>
        <v>6</v>
      </c>
      <c r="W80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800" s="24">
        <f ca="1">WFTracker[[#This Row],[Active Time]]-WFTracker[[#This Row],[Completion Days Template]]</f>
        <v>5</v>
      </c>
      <c r="Y800" s="16" t="str">
        <f ca="1" xml:space="preserve"> IF(WFTracker[[#This Row],[Overdue Time '[Expected-Completion']]]&gt;0, "LATE","ON TIME")</f>
        <v>LATE</v>
      </c>
      <c r="Z800" s="16" t="str">
        <f ca="1">IF(WFTracker[[#This Row],[Overdue Time '[Expected-Completion']]] &gt;= 15, "SUPER LATE", Y800)</f>
        <v>LATE</v>
      </c>
      <c r="AA800" s="37" t="str">
        <f>IF(WFTracker[[#This Row],[Pre RM Opening Time]]&lt;WFTracker[[#This Row],[Old vs New Order Lead Time WF dead line]], "LATE BY ENG", "ON TIME BY ENG")</f>
        <v>ON TIME BY ENG</v>
      </c>
      <c r="AB800" s="37"/>
      <c r="AC800" s="928" t="str" cm="1">
        <f t="array" ref="AC800">_xlfn.IFS(
    WFTracker[[#This Row],[Cancelation Cause]]&lt;&gt;"", "X",
    WFTracker[[#This Row],[Competion Date Content]] = FALSE, "C",
    TRUE, "I"
)</f>
        <v>C</v>
      </c>
      <c r="AD80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-6</v>
      </c>
      <c r="AE800" s="25" t="str">
        <f ca="1">IF(WFTracker[[#This Row],[Impact Time Post RM]]&gt;0, "IMPACTED", "NOT IMPACTED")</f>
        <v>NOT IMPACTED</v>
      </c>
      <c r="AF800" s="15"/>
      <c r="AG800" s="18"/>
      <c r="AH800" s="14" t="str">
        <f>IF(WFTracker[[#This Row],[Status]]="C", "Closed", IF(WFTracker[[#This Row],[Status]] = "x", "Cancelled", WFTracker[[#This Row],[Impact Time Post RM]]))</f>
        <v>Closed</v>
      </c>
      <c r="AI800" s="14" t="str">
        <f ca="1">IF(WFTracker[[#This Row],[Impact Time Post RM]]&lt;=0,"ON TIME","LATE")</f>
        <v>ON TIME</v>
      </c>
      <c r="AJ800" s="14" t="s">
        <v>984</v>
      </c>
      <c r="AK800" s="14">
        <v>18</v>
      </c>
      <c r="AL800" s="915">
        <f>IF(WFTracker[[#This Row],[Type]]="MAKE", WFTracker[[#This Row],[Due date]]+Filters!$J$111, WFTracker[[#This Row],[Due date]]+Filters!$J$135)</f>
        <v>46086.072512647552</v>
      </c>
      <c r="AM800" s="102" cm="1">
        <f t="array" ref="AM80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01" spans="1:40" ht="15" customHeight="1">
      <c r="A801" t="str">
        <f>IF(WFTracker[[#This Row],[Order Number]]="SWBD", "QED2", "PZ4")</f>
        <v>PZ4</v>
      </c>
      <c r="B801" s="1058" t="s">
        <v>1667</v>
      </c>
      <c r="C801" s="21" t="s">
        <v>127</v>
      </c>
      <c r="D801" s="11" t="str">
        <f>WFTracker[[#This Row],[Order Number]]  &amp; "-" &amp; WFTracker[[#This Row],[Item]]</f>
        <v xml:space="preserve">	0051733188-000450</v>
      </c>
      <c r="E801" s="23" t="s">
        <v>1028</v>
      </c>
      <c r="F801" s="12">
        <v>46101</v>
      </c>
      <c r="G801" s="12">
        <v>46097</v>
      </c>
      <c r="H801" s="11" t="s">
        <v>1668</v>
      </c>
      <c r="I801" s="11" t="s">
        <v>37</v>
      </c>
      <c r="J801" s="55" t="s">
        <v>901</v>
      </c>
      <c r="K801" s="14" t="s">
        <v>1017</v>
      </c>
      <c r="L801" s="15" t="s">
        <v>27</v>
      </c>
      <c r="M801" s="29" t="s">
        <v>1120</v>
      </c>
      <c r="N801" s="57">
        <v>46209</v>
      </c>
      <c r="O801" s="15">
        <f>NETWORKDAYS.INTL(WFTracker[[#This Row],[Start date]],WFTracker[[#This Row],[RM]],1,Holidays!D804:D819)</f>
        <v>-6</v>
      </c>
      <c r="P801" s="12">
        <v>46108</v>
      </c>
      <c r="Q801" s="12">
        <v>46087</v>
      </c>
      <c r="R801" s="12">
        <v>46086</v>
      </c>
      <c r="S801" s="12" t="b">
        <f>ISBLANK(WFTracker[[#This Row],[Completion Date]])</f>
        <v>0</v>
      </c>
      <c r="T801" s="12" t="str">
        <f>TEXT(WFTracker[[#This Row],[Start date]],"mmm-yyyy")</f>
        <v>Mar-2026</v>
      </c>
      <c r="U801" s="11">
        <v>10</v>
      </c>
      <c r="V801" s="11">
        <f>NETWORKDAYS.INTL(WFTracker[[#This Row],[Start date]],WFTracker[[#This Row],[Due date]],1,Holidays!D804:D819)</f>
        <v>-16</v>
      </c>
      <c r="W80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-17</v>
      </c>
      <c r="X801" s="24">
        <f ca="1">WFTracker[[#This Row],[Active Time]]-WFTracker[[#This Row],[Completion Days Template]]</f>
        <v>-1</v>
      </c>
      <c r="Y801" s="16" t="str">
        <f ca="1" xml:space="preserve"> IF(WFTracker[[#This Row],[Overdue Time '[Expected-Completion']]]&gt;0, "LATE","ON TIME")</f>
        <v>ON TIME</v>
      </c>
      <c r="Z801" s="16" t="str">
        <f ca="1">IF(WFTracker[[#This Row],[Overdue Time '[Expected-Completion']]] &gt;= 15, "SUPER LATE", Y801)</f>
        <v>ON TIME</v>
      </c>
      <c r="AA801" s="37" t="str">
        <f>IF(WFTracker[[#This Row],[Pre RM Opening Time]]&lt;WFTracker[[#This Row],[Old vs New Order Lead Time WF dead line]], "LATE BY ENG", "ON TIME BY ENG")</f>
        <v>LATE BY ENG</v>
      </c>
      <c r="AB801" s="37"/>
      <c r="AC801" s="928" t="str" cm="1">
        <f t="array" ref="AC801">_xlfn.IFS(
    WFTracker[[#This Row],[Cancelation Cause]]&lt;&gt;"", "X",
    WFTracker[[#This Row],[Competion Date Content]] = FALSE, "C",
    TRUE, "I"
)</f>
        <v>C</v>
      </c>
      <c r="AD80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801" s="25" t="str">
        <f ca="1">IF(WFTracker[[#This Row],[Impact Time Post RM]]&gt;0, "IMPACTED", "NOT IMPACTED")</f>
        <v>NOT IMPACTED</v>
      </c>
      <c r="AF801" s="15"/>
      <c r="AG801" s="18"/>
      <c r="AH801" s="14" t="str">
        <f>IF(WFTracker[[#This Row],[Status]]="C", "Closed", IF(WFTracker[[#This Row],[Status]] = "x", "Cancelled", WFTracker[[#This Row],[Impact Time Post RM]]))</f>
        <v>Closed</v>
      </c>
      <c r="AI801" s="14" t="str">
        <f ca="1">IF(WFTracker[[#This Row],[Impact Time Post RM]]&lt;=0,"ON TIME","LATE")</f>
        <v>ON TIME</v>
      </c>
      <c r="AJ801" s="14" t="s">
        <v>984</v>
      </c>
      <c r="AK801" s="14">
        <v>18</v>
      </c>
      <c r="AL801" s="915">
        <f>IF(WFTracker[[#This Row],[Type]]="MAKE", WFTracker[[#This Row],[Due date]]+Filters!$J$111, WFTracker[[#This Row],[Due date]]+Filters!$J$135)</f>
        <v>46090.072512647552</v>
      </c>
      <c r="AM801" s="102" cm="1">
        <f t="array" ref="AM80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02" spans="1:40" ht="15" customHeight="1">
      <c r="A802" t="str">
        <f>IF(WFTracker[[#This Row],[Order Number]]="SWBD", "QED2", "PZ4")</f>
        <v>PZ4</v>
      </c>
      <c r="B802" s="21" t="s">
        <v>866</v>
      </c>
      <c r="C802" s="21" t="s">
        <v>867</v>
      </c>
      <c r="D802" s="11" t="str">
        <f>WFTracker[[#This Row],[Order Number]]  &amp; "-" &amp; WFTracker[[#This Row],[Item]]</f>
        <v>0051733188-000410</v>
      </c>
      <c r="E802" s="23" t="s">
        <v>1028</v>
      </c>
      <c r="F802" s="12">
        <v>46097</v>
      </c>
      <c r="G802" s="12">
        <v>46090</v>
      </c>
      <c r="H802" s="11" t="s">
        <v>104</v>
      </c>
      <c r="I802" s="11" t="s">
        <v>241</v>
      </c>
      <c r="J802" s="55" t="s">
        <v>925</v>
      </c>
      <c r="K802" s="14" t="s">
        <v>1017</v>
      </c>
      <c r="L802" s="15" t="s">
        <v>40</v>
      </c>
      <c r="M802" s="29" t="s">
        <v>1120</v>
      </c>
      <c r="N802" s="57">
        <v>46195</v>
      </c>
      <c r="O802" s="15">
        <f>NETWORKDAYS.INTL(WFTracker[[#This Row],[Start date]],WFTracker[[#This Row],[RM]],1,Holidays!D806:D821)</f>
        <v>12</v>
      </c>
      <c r="P802" s="12">
        <v>46080</v>
      </c>
      <c r="Q802" s="12">
        <v>46092</v>
      </c>
      <c r="R802" s="12">
        <v>46094</v>
      </c>
      <c r="S802" s="12" t="b">
        <f>ISBLANK(WFTracker[[#This Row],[Completion Date]])</f>
        <v>0</v>
      </c>
      <c r="T802" s="12" t="str">
        <f>TEXT(WFTracker[[#This Row],[Start date]],"mmm-yyyy")</f>
        <v>Feb-2026</v>
      </c>
      <c r="U802" s="11">
        <v>10</v>
      </c>
      <c r="V802" s="11">
        <f>NETWORKDAYS.INTL(WFTracker[[#This Row],[Start date]],WFTracker[[#This Row],[Due date]],1,Holidays!D806:D821)</f>
        <v>9</v>
      </c>
      <c r="W80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11</v>
      </c>
      <c r="X802" s="24">
        <f ca="1">WFTracker[[#This Row],[Active Time]]-WFTracker[[#This Row],[Completion Days Template]]</f>
        <v>2</v>
      </c>
      <c r="Y802" s="16" t="str">
        <f ca="1" xml:space="preserve"> IF(WFTracker[[#This Row],[Overdue Time '[Expected-Completion']]]&gt;0, "LATE","ON TIME")</f>
        <v>LATE</v>
      </c>
      <c r="Z802" s="16" t="str">
        <f ca="1">IF(WFTracker[[#This Row],[Overdue Time '[Expected-Completion']]] &gt;= 15, "SUPER LATE", Y802)</f>
        <v>LATE</v>
      </c>
      <c r="AA802" s="37" t="str">
        <f>IF(WFTracker[[#This Row],[Pre RM Opening Time]]&lt;WFTracker[[#This Row],[Old vs New Order Lead Time WF dead line]], "LATE BY ENG", "ON TIME BY ENG")</f>
        <v>ON TIME BY ENG</v>
      </c>
      <c r="AB802" s="37"/>
      <c r="AC802" s="928" t="str" cm="1">
        <f t="array" ref="AC802">_xlfn.IFS(
    WFTracker[[#This Row],[Cancelation Cause]]&lt;&gt;"", "X",
    WFTracker[[#This Row],[Competion Date Content]] = FALSE, "C",
    TRUE, "I"
)</f>
        <v>C</v>
      </c>
      <c r="AD80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02" s="25" t="str">
        <f ca="1">IF(WFTracker[[#This Row],[Impact Time Post RM]]&gt;0, "IMPACTED", "NOT IMPACTED")</f>
        <v>NOT IMPACTED</v>
      </c>
      <c r="AF802" s="15"/>
      <c r="AG802" s="18"/>
      <c r="AH802" s="14" t="str">
        <f>IF(WFTracker[[#This Row],[Status]]="C", "Closed", IF(WFTracker[[#This Row],[Status]] = "x", "Cancelled", WFTracker[[#This Row],[Impact Time Post RM]]))</f>
        <v>Closed</v>
      </c>
      <c r="AI802" s="14" t="str">
        <f ca="1">IF(WFTracker[[#This Row],[Impact Time Post RM]]&lt;=0,"ON TIME","LATE")</f>
        <v>ON TIME</v>
      </c>
      <c r="AJ802" s="14" t="s">
        <v>977</v>
      </c>
      <c r="AK802" s="14">
        <v>17</v>
      </c>
      <c r="AL802" s="915">
        <f>IF(WFTracker[[#This Row],[Type]]="MAKE", WFTracker[[#This Row],[Due date]]+Filters!$J$111, WFTracker[[#This Row],[Due date]]+Filters!$J$135)</f>
        <v>46092.415686274508</v>
      </c>
      <c r="AM802" s="102" cm="1">
        <f t="array" ref="AM80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  <c r="AN802" t="s">
        <v>1669</v>
      </c>
    </row>
    <row r="803" spans="1:40" ht="15" customHeight="1">
      <c r="A803" t="str">
        <f>IF(WFTracker[[#This Row],[Order Number]]="SWBD", "QED2", "PZ4")</f>
        <v>PZ4</v>
      </c>
      <c r="B803" s="1058" t="s">
        <v>1667</v>
      </c>
      <c r="C803" s="21" t="s">
        <v>867</v>
      </c>
      <c r="D803" s="11" t="str">
        <f>WFTracker[[#This Row],[Order Number]]  &amp; "-" &amp; WFTracker[[#This Row],[Item]]</f>
        <v xml:space="preserve">	0051733188-000410</v>
      </c>
      <c r="E803" s="23" t="s">
        <v>1028</v>
      </c>
      <c r="F803" s="12">
        <v>46097</v>
      </c>
      <c r="G803" s="12">
        <v>46090</v>
      </c>
      <c r="H803" s="11" t="s">
        <v>104</v>
      </c>
      <c r="I803" s="11" t="s">
        <v>241</v>
      </c>
      <c r="J803" s="55" t="s">
        <v>926</v>
      </c>
      <c r="K803" s="14" t="s">
        <v>1017</v>
      </c>
      <c r="L803" s="15" t="s">
        <v>27</v>
      </c>
      <c r="M803" s="29" t="s">
        <v>1120</v>
      </c>
      <c r="N803" s="57">
        <v>46195</v>
      </c>
      <c r="O803" s="15">
        <f>NETWORKDAYS.INTL(WFTracker[[#This Row],[Start date]],WFTracker[[#This Row],[RM]],1,Holidays!D807:D822)</f>
        <v>12</v>
      </c>
      <c r="P803" s="12">
        <v>46080</v>
      </c>
      <c r="Q803" s="12">
        <v>46092</v>
      </c>
      <c r="R803" s="12"/>
      <c r="S803" s="12" t="b">
        <f>ISBLANK(WFTracker[[#This Row],[Completion Date]])</f>
        <v>1</v>
      </c>
      <c r="T803" s="12" t="str">
        <f>TEXT(WFTracker[[#This Row],[Start date]],"mmm-yyyy")</f>
        <v>Feb-2026</v>
      </c>
      <c r="U803" s="11">
        <v>10</v>
      </c>
      <c r="V803" s="11">
        <f>NETWORKDAYS.INTL(WFTracker[[#This Row],[Start date]],WFTracker[[#This Row],[Due date]],1,Holidays!D807:D822)</f>
        <v>9</v>
      </c>
      <c r="W80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15</v>
      </c>
      <c r="X803" s="24">
        <f ca="1">WFTracker[[#This Row],[Active Time]]-WFTracker[[#This Row],[Completion Days Template]]</f>
        <v>6</v>
      </c>
      <c r="Y803" s="16" t="str">
        <f ca="1" xml:space="preserve"> IF(WFTracker[[#This Row],[Overdue Time '[Expected-Completion']]]&gt;0, "LATE","ON TIME")</f>
        <v>LATE</v>
      </c>
      <c r="Z803" s="16" t="str">
        <f ca="1">IF(WFTracker[[#This Row],[Overdue Time '[Expected-Completion']]] &gt;= 15, "SUPER LATE", Y803)</f>
        <v>LATE</v>
      </c>
      <c r="AA803" s="37" t="str">
        <f>IF(WFTracker[[#This Row],[Pre RM Opening Time]]&lt;WFTracker[[#This Row],[Old vs New Order Lead Time WF dead line]], "LATE BY ENG", "ON TIME BY ENG")</f>
        <v>ON TIME BY ENG</v>
      </c>
      <c r="AB803" s="37"/>
      <c r="AC803" s="928" t="str" cm="1">
        <f t="array" ref="AC803">_xlfn.IFS(
    WFTracker[[#This Row],[Cancelation Cause]]&lt;&gt;"", "X",
    WFTracker[[#This Row],[Competion Date Content]] = FALSE, "C",
    TRUE, "I"
)</f>
        <v>I</v>
      </c>
      <c r="AD80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4</v>
      </c>
      <c r="AE803" s="25" t="str">
        <f ca="1">IF(WFTracker[[#This Row],[Impact Time Post RM]]&gt;0, "IMPACTED", "NOT IMPACTED")</f>
        <v>IMPACTED</v>
      </c>
      <c r="AF803" s="15"/>
      <c r="AG803" s="18"/>
      <c r="AH803" s="14">
        <f ca="1">IF(WFTracker[[#This Row],[Status]]="C", "Closed", IF(WFTracker[[#This Row],[Status]] = "x", "Cancelled", WFTracker[[#This Row],[Impact Time Post RM]]))</f>
        <v>4</v>
      </c>
      <c r="AI803" s="14" t="str">
        <f ca="1">IF(WFTracker[[#This Row],[Impact Time Post RM]]&lt;=0,"ON TIME","LATE")</f>
        <v>LATE</v>
      </c>
      <c r="AJ803" s="14" t="s">
        <v>983</v>
      </c>
      <c r="AK803" s="14">
        <v>15</v>
      </c>
      <c r="AL803" s="915">
        <f>IF(WFTracker[[#This Row],[Type]]="MAKE", WFTracker[[#This Row],[Due date]]+Filters!$J$111, WFTracker[[#This Row],[Due date]]+Filters!$J$135)</f>
        <v>46095.072512647552</v>
      </c>
      <c r="AM803" s="102" cm="1">
        <f t="array" ref="AM803">_xlfn.IFS(WFTracker[[#This Row],[Type]]="BUY", WFTracker[[#This Row],[Task Number]]/17,
     WFTracker[[#This Row],[Type]]="MAKE", WFTracker[[#This Row],[Task Number]]/18,
     WFTracker[[#This Row],[Type]]="CNG-BOM", WFTracker[[#This Row],[Task Number]]/11)</f>
        <v>0.83333333333333337</v>
      </c>
    </row>
    <row r="804" spans="1:40" ht="15" customHeight="1">
      <c r="A804" t="str">
        <f>IF(WFTracker[[#This Row],[Order Number]]="SWBD", "QED2", "PZ4")</f>
        <v>PZ4</v>
      </c>
      <c r="B804" s="21" t="s">
        <v>944</v>
      </c>
      <c r="C804" s="21" t="s">
        <v>945</v>
      </c>
      <c r="D804" s="11" t="str">
        <f>WFTracker[[#This Row],[Order Number]]  &amp; "-" &amp; WFTracker[[#This Row],[Item]]</f>
        <v>0051035589-000210</v>
      </c>
      <c r="E804" s="23" t="s">
        <v>1029</v>
      </c>
      <c r="F804" s="12">
        <v>46087</v>
      </c>
      <c r="G804" s="12">
        <v>46078</v>
      </c>
      <c r="H804" s="11" t="s">
        <v>947</v>
      </c>
      <c r="I804" s="11" t="s">
        <v>593</v>
      </c>
      <c r="J804" s="55" t="s">
        <v>1670</v>
      </c>
      <c r="K804" s="14" t="s">
        <v>1023</v>
      </c>
      <c r="L804" s="15" t="s">
        <v>27</v>
      </c>
      <c r="M804" s="29" t="s">
        <v>1120</v>
      </c>
      <c r="N804" s="57">
        <v>46197</v>
      </c>
      <c r="O804" s="15">
        <f>NETWORKDAYS.INTL(WFTracker[[#This Row],[Start date]],WFTracker[[#This Row],[RM]],1,Holidays!D808:D823)</f>
        <v>5</v>
      </c>
      <c r="P804" s="12">
        <v>46083</v>
      </c>
      <c r="Q804" s="12">
        <v>46092</v>
      </c>
      <c r="R804" s="12">
        <v>46093</v>
      </c>
      <c r="S804" s="12" t="b">
        <f>ISBLANK(WFTracker[[#This Row],[Completion Date]])</f>
        <v>0</v>
      </c>
      <c r="T804" s="12" t="str">
        <f>TEXT(WFTracker[[#This Row],[Start date]],"mmm-yyyy")</f>
        <v>Mar-2026</v>
      </c>
      <c r="U804" s="11">
        <v>10</v>
      </c>
      <c r="V804" s="11">
        <f>NETWORKDAYS.INTL(WFTracker[[#This Row],[Start date]],WFTracker[[#This Row],[Due date]],1,Holidays!D808:D823)</f>
        <v>8</v>
      </c>
      <c r="W80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04" s="24">
        <f ca="1">WFTracker[[#This Row],[Active Time]]-WFTracker[[#This Row],[Completion Days Template]]</f>
        <v>1</v>
      </c>
      <c r="Y804" s="16" t="str">
        <f ca="1" xml:space="preserve"> IF(WFTracker[[#This Row],[Overdue Time '[Expected-Completion']]]&gt;0, "LATE","ON TIME")</f>
        <v>LATE</v>
      </c>
      <c r="Z804" s="16" t="str">
        <f ca="1">IF(WFTracker[[#This Row],[Overdue Time '[Expected-Completion']]] &gt;= 15, "SUPER LATE", Y804)</f>
        <v>LATE</v>
      </c>
      <c r="AA804" s="37" t="str">
        <f>IF(WFTracker[[#This Row],[Pre RM Opening Time]]&lt;WFTracker[[#This Row],[Old vs New Order Lead Time WF dead line]], "LATE BY ENG", "ON TIME BY ENG")</f>
        <v>LATE BY ENG</v>
      </c>
      <c r="AB804" s="37"/>
      <c r="AC804" s="928" t="str" cm="1">
        <f t="array" ref="AC804">_xlfn.IFS(
    WFTracker[[#This Row],[Cancelation Cause]]&lt;&gt;"", "X",
    WFTracker[[#This Row],[Competion Date Content]] = FALSE, "C",
    TRUE, "I"
)</f>
        <v>C</v>
      </c>
      <c r="AD80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804" s="25" t="str">
        <f ca="1">IF(WFTracker[[#This Row],[Impact Time Post RM]]&gt;0, "IMPACTED", "NOT IMPACTED")</f>
        <v>IMPACTED</v>
      </c>
      <c r="AF804" s="15"/>
      <c r="AG804" s="18"/>
      <c r="AH804" s="14" t="str">
        <f>IF(WFTracker[[#This Row],[Status]]="C", "Closed", IF(WFTracker[[#This Row],[Status]] = "x", "Cancelled", WFTracker[[#This Row],[Impact Time Post RM]]))</f>
        <v>Closed</v>
      </c>
      <c r="AI804" s="14" t="str">
        <f ca="1">IF(WFTracker[[#This Row],[Impact Time Post RM]]&lt;=0,"ON TIME","LATE")</f>
        <v>LATE</v>
      </c>
      <c r="AJ804" s="14" t="s">
        <v>984</v>
      </c>
      <c r="AK804" s="14">
        <v>18</v>
      </c>
      <c r="AL804" s="915">
        <f>IF(WFTracker[[#This Row],[Type]]="MAKE", WFTracker[[#This Row],[Due date]]+Filters!$J$111, WFTracker[[#This Row],[Due date]]+Filters!$J$135)</f>
        <v>46095.072512647552</v>
      </c>
      <c r="AM804" s="102" cm="1">
        <f t="array" ref="AM80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05" spans="1:40" ht="15" customHeight="1">
      <c r="A805" t="str">
        <f>IF(WFTracker[[#This Row],[Order Number]]="SWBD", "QED2", "PZ4")</f>
        <v>PZ4</v>
      </c>
      <c r="B805" s="1063" t="s">
        <v>1671</v>
      </c>
      <c r="C805" s="26" t="s">
        <v>1672</v>
      </c>
      <c r="D805" s="11" t="str">
        <f>WFTracker[[#This Row],[Order Number]]  &amp; "-" &amp; WFTracker[[#This Row],[Item]]</f>
        <v>0051425171-000660</v>
      </c>
      <c r="E805" s="23" t="s">
        <v>1673</v>
      </c>
      <c r="F805" s="12">
        <v>46098</v>
      </c>
      <c r="G805" s="12">
        <v>46087</v>
      </c>
      <c r="H805" s="11" t="s">
        <v>80</v>
      </c>
      <c r="I805" s="11" t="s">
        <v>216</v>
      </c>
      <c r="J805" s="122" t="s">
        <v>1674</v>
      </c>
      <c r="K805" s="14" t="s">
        <v>1017</v>
      </c>
      <c r="L805" s="15" t="s">
        <v>27</v>
      </c>
      <c r="M805" s="29" t="s">
        <v>1120</v>
      </c>
      <c r="N805" s="57">
        <v>46267</v>
      </c>
      <c r="O805" s="15">
        <f>NETWORKDAYS.INTL(WFTracker[[#This Row],[Start date]],WFTracker[[#This Row],[RM]],1,Holidays!D857:D872)</f>
        <v>-2</v>
      </c>
      <c r="P805" s="1093">
        <v>46099</v>
      </c>
      <c r="Q805" s="1093">
        <v>46106</v>
      </c>
      <c r="R805" s="1093"/>
      <c r="S805" s="1093" t="b">
        <f>ISBLANK(WFTracker[[#This Row],[Completion Date]])</f>
        <v>1</v>
      </c>
      <c r="T805" s="12" t="str">
        <f>TEXT(WFTracker[[#This Row],[Start date]],"mmm-yyyy")</f>
        <v>Mar-2026</v>
      </c>
      <c r="U805" s="11">
        <v>10</v>
      </c>
      <c r="V805" s="11">
        <f>NETWORKDAYS.INTL(WFTracker[[#This Row],[Start date]],WFTracker[[#This Row],[Due date]],1,Holidays!D857:D872)</f>
        <v>6</v>
      </c>
      <c r="W80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805" s="24">
        <f ca="1">WFTracker[[#This Row],[Active Time]]-WFTracker[[#This Row],[Completion Days Template]]</f>
        <v>-4</v>
      </c>
      <c r="Y805" s="16" t="str">
        <f ca="1" xml:space="preserve"> IF(WFTracker[[#This Row],[Overdue Time '[Expected-Completion']]]&gt;0, "LATE","ON TIME")</f>
        <v>ON TIME</v>
      </c>
      <c r="Z805" s="16" t="str">
        <f ca="1">IF(WFTracker[[#This Row],[Overdue Time '[Expected-Completion']]] &gt;= 15, "SUPER LATE", Y805)</f>
        <v>ON TIME</v>
      </c>
      <c r="AA805" s="37" t="str">
        <f>IF(WFTracker[[#This Row],[Pre RM Opening Time]]&lt;WFTracker[[#This Row],[Old vs New Order Lead Time WF dead line]], "LATE BY ENG", "ON TIME BY ENG")</f>
        <v>LATE BY ENG</v>
      </c>
      <c r="AB805" s="37"/>
      <c r="AC805" s="928" t="str" cm="1">
        <f t="array" ref="AC805">_xlfn.IFS(
    WFTracker[[#This Row],[Cancelation Cause]]&lt;&gt;"", "X",
    WFTracker[[#This Row],[Competion Date Content]] = FALSE, "C",
    TRUE, "I"
)</f>
        <v>I</v>
      </c>
      <c r="AD80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805" s="25" t="str">
        <f ca="1">IF(WFTracker[[#This Row],[Impact Time Post RM]]&gt;0, "IMPACTED", "NOT IMPACTED")</f>
        <v>IMPACTED</v>
      </c>
      <c r="AF805" s="15"/>
      <c r="AG805" s="18"/>
      <c r="AH805" s="14">
        <f ca="1">IF(WFTracker[[#This Row],[Status]]="C", "Closed", IF(WFTracker[[#This Row],[Status]] = "x", "Cancelled", WFTracker[[#This Row],[Impact Time Post RM]]))</f>
        <v>3</v>
      </c>
      <c r="AI805" s="14" t="str">
        <f ca="1">IF(WFTracker[[#This Row],[Impact Time Post RM]]&lt;=0,"ON TIME","LATE")</f>
        <v>LATE</v>
      </c>
      <c r="AJ805" s="14" t="s">
        <v>970</v>
      </c>
      <c r="AK805" s="14">
        <v>7</v>
      </c>
      <c r="AL805" s="915">
        <f>IF(WFTracker[[#This Row],[Type]]="MAKE", WFTracker[[#This Row],[Due date]]+Filters!$J$111, WFTracker[[#This Row],[Due date]]+Filters!$J$135)</f>
        <v>46109.072512647552</v>
      </c>
      <c r="AM805" s="102" cm="1">
        <f t="array" ref="AM805">_xlfn.IFS(WFTracker[[#This Row],[Type]]="BUY", WFTracker[[#This Row],[Task Number]]/17,
     WFTracker[[#This Row],[Type]]="MAKE", WFTracker[[#This Row],[Task Number]]/18,
     WFTracker[[#This Row],[Type]]="CNG-BOM", WFTracker[[#This Row],[Task Number]]/11)</f>
        <v>0.3888888888888889</v>
      </c>
    </row>
    <row r="806" spans="1:40" ht="15" customHeight="1">
      <c r="A806" t="str">
        <f>IF(WFTracker[[#This Row],[Order Number]]="SWBD", "QED2", "PZ4")</f>
        <v>PZ4</v>
      </c>
      <c r="B806" s="21" t="s">
        <v>1635</v>
      </c>
      <c r="C806" s="26" t="s">
        <v>135</v>
      </c>
      <c r="D806" s="11" t="str">
        <f>WFTracker[[#This Row],[Order Number]]  &amp; "-" &amp; WFTracker[[#This Row],[Item]]</f>
        <v xml:space="preserve">
0051829783-000010</v>
      </c>
      <c r="E806" s="23" t="s">
        <v>888</v>
      </c>
      <c r="F806" s="12">
        <v>46094</v>
      </c>
      <c r="G806" s="12">
        <v>46087</v>
      </c>
      <c r="H806" s="11" t="s">
        <v>80</v>
      </c>
      <c r="I806" s="11" t="s">
        <v>889</v>
      </c>
      <c r="J806" s="55" t="s">
        <v>1675</v>
      </c>
      <c r="K806" s="14" t="s">
        <v>1023</v>
      </c>
      <c r="L806" s="15" t="s">
        <v>27</v>
      </c>
      <c r="M806" s="29" t="s">
        <v>1120</v>
      </c>
      <c r="N806" s="57">
        <v>46209</v>
      </c>
      <c r="O806" s="15">
        <f>NETWORKDAYS.INTL(WFTracker[[#This Row],[Start date]],WFTracker[[#This Row],[RM]],1,Holidays!D811:D826)</f>
        <v>9</v>
      </c>
      <c r="P806" s="12">
        <v>46084</v>
      </c>
      <c r="Q806" s="12">
        <v>46094</v>
      </c>
      <c r="R806" s="12">
        <v>46094</v>
      </c>
      <c r="S806" s="12" t="b">
        <f>ISBLANK(WFTracker[[#This Row],[Completion Date]])</f>
        <v>0</v>
      </c>
      <c r="T806" s="12" t="str">
        <f>TEXT(WFTracker[[#This Row],[Start date]],"mmm-yyyy")</f>
        <v>Mar-2026</v>
      </c>
      <c r="U806" s="11">
        <v>10</v>
      </c>
      <c r="V806" s="11">
        <f>NETWORKDAYS.INTL(WFTracker[[#This Row],[Start date]],WFTracker[[#This Row],[Due date]],1,Holidays!D811:D826)</f>
        <v>9</v>
      </c>
      <c r="W80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06" s="24">
        <f ca="1">WFTracker[[#This Row],[Active Time]]-WFTracker[[#This Row],[Completion Days Template]]</f>
        <v>0</v>
      </c>
      <c r="Y806" s="16" t="str">
        <f ca="1" xml:space="preserve"> IF(WFTracker[[#This Row],[Overdue Time '[Expected-Completion']]]&gt;0, "LATE","ON TIME")</f>
        <v>ON TIME</v>
      </c>
      <c r="Z806" s="16" t="str">
        <f ca="1">IF(WFTracker[[#This Row],[Overdue Time '[Expected-Completion']]] &gt;= 15, "SUPER LATE", Y806)</f>
        <v>ON TIME</v>
      </c>
      <c r="AA806" s="37" t="str">
        <f>IF(WFTracker[[#This Row],[Pre RM Opening Time]]&lt;WFTracker[[#This Row],[Old vs New Order Lead Time WF dead line]], "LATE BY ENG", "ON TIME BY ENG")</f>
        <v>LATE BY ENG</v>
      </c>
      <c r="AB806" s="37"/>
      <c r="AC806" s="928" t="str" cm="1">
        <f t="array" ref="AC806">_xlfn.IFS(
    WFTracker[[#This Row],[Cancelation Cause]]&lt;&gt;"", "X",
    WFTracker[[#This Row],[Competion Date Content]] = FALSE, "C",
    TRUE, "I"
)</f>
        <v>C</v>
      </c>
      <c r="AD80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1</v>
      </c>
      <c r="AE806" s="25" t="str">
        <f ca="1">IF(WFTracker[[#This Row],[Impact Time Post RM]]&gt;0, "IMPACTED", "NOT IMPACTED")</f>
        <v>IMPACTED</v>
      </c>
      <c r="AF806" s="15"/>
      <c r="AG806" s="18"/>
      <c r="AH806" s="14" t="str">
        <f>IF(WFTracker[[#This Row],[Status]]="C", "Closed", IF(WFTracker[[#This Row],[Status]] = "x", "Cancelled", WFTracker[[#This Row],[Impact Time Post RM]]))</f>
        <v>Closed</v>
      </c>
      <c r="AI806" s="14" t="str">
        <f ca="1">IF(WFTracker[[#This Row],[Impact Time Post RM]]&lt;=0,"ON TIME","LATE")</f>
        <v>LATE</v>
      </c>
      <c r="AJ806" s="14" t="s">
        <v>980</v>
      </c>
      <c r="AK806" s="14">
        <v>18</v>
      </c>
      <c r="AL806" s="915">
        <f>IF(WFTracker[[#This Row],[Type]]="MAKE", WFTracker[[#This Row],[Due date]]+Filters!$J$111, WFTracker[[#This Row],[Due date]]+Filters!$J$135)</f>
        <v>46097.072512647552</v>
      </c>
      <c r="AM806" s="102" cm="1">
        <f t="array" ref="AM80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07" spans="1:40" ht="15" customHeight="1">
      <c r="A807" t="str">
        <f>IF(WFTracker[[#This Row],[Order Number]]="SWBD", "QED2", "PZ4")</f>
        <v>PZ4</v>
      </c>
      <c r="B807" s="21" t="s">
        <v>1676</v>
      </c>
      <c r="C807" s="26" t="s">
        <v>913</v>
      </c>
      <c r="D807" s="11" t="str">
        <f>WFTracker[[#This Row],[Order Number]]  &amp; "-" &amp; WFTracker[[#This Row],[Item]]</f>
        <v> 0051271091-000890</v>
      </c>
      <c r="E807" s="23" t="s">
        <v>1032</v>
      </c>
      <c r="F807" s="12">
        <v>46101</v>
      </c>
      <c r="G807" s="12">
        <v>46094</v>
      </c>
      <c r="H807" s="11" t="s">
        <v>676</v>
      </c>
      <c r="I807" s="11" t="s">
        <v>24</v>
      </c>
      <c r="J807" s="55" t="s">
        <v>915</v>
      </c>
      <c r="K807" s="14" t="s">
        <v>1017</v>
      </c>
      <c r="L807" s="15" t="s">
        <v>27</v>
      </c>
      <c r="M807" s="29" t="s">
        <v>1120</v>
      </c>
      <c r="N807" s="57">
        <v>46252</v>
      </c>
      <c r="O807" s="15">
        <f>NETWORKDAYS.INTL(WFTracker[[#This Row],[Start date]],WFTracker[[#This Row],[RM]],1,Holidays!D813:D828)</f>
        <v>14</v>
      </c>
      <c r="P807" s="12">
        <v>46084</v>
      </c>
      <c r="Q807" s="12">
        <v>46091</v>
      </c>
      <c r="R807" s="12"/>
      <c r="S807" s="12" t="b">
        <f>ISBLANK(WFTracker[[#This Row],[Completion Date]])</f>
        <v>1</v>
      </c>
      <c r="T807" s="12" t="str">
        <f>TEXT(WFTracker[[#This Row],[Start date]],"mmm-yyyy")</f>
        <v>Mar-2026</v>
      </c>
      <c r="U807" s="11">
        <v>10</v>
      </c>
      <c r="V807" s="11">
        <f>NETWORKDAYS.INTL(WFTracker[[#This Row],[Start date]],WFTracker[[#This Row],[Due date]],1,Holidays!D813:D828)</f>
        <v>6</v>
      </c>
      <c r="W80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07" s="24">
        <f ca="1">WFTracker[[#This Row],[Active Time]]-WFTracker[[#This Row],[Completion Days Template]]</f>
        <v>7</v>
      </c>
      <c r="Y807" s="16" t="str">
        <f ca="1" xml:space="preserve"> IF(WFTracker[[#This Row],[Overdue Time '[Expected-Completion']]]&gt;0, "LATE","ON TIME")</f>
        <v>LATE</v>
      </c>
      <c r="Z807" s="16" t="str">
        <f ca="1">IF(WFTracker[[#This Row],[Overdue Time '[Expected-Completion']]] &gt;= 15, "SUPER LATE", Y807)</f>
        <v>LATE</v>
      </c>
      <c r="AA807" s="37" t="str">
        <f>IF(WFTracker[[#This Row],[Pre RM Opening Time]]&lt;WFTracker[[#This Row],[Old vs New Order Lead Time WF dead line]], "LATE BY ENG", "ON TIME BY ENG")</f>
        <v>ON TIME BY ENG</v>
      </c>
      <c r="AB807" s="37"/>
      <c r="AC807" s="928" t="str" cm="1">
        <f t="array" ref="AC807">_xlfn.IFS(
    WFTracker[[#This Row],[Cancelation Cause]]&lt;&gt;"", "X",
    WFTracker[[#This Row],[Competion Date Content]] = FALSE, "C",
    TRUE, "I"
)</f>
        <v>I</v>
      </c>
      <c r="AD80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07" s="25" t="str">
        <f ca="1">IF(WFTracker[[#This Row],[Impact Time Post RM]]&gt;0, "IMPACTED", "NOT IMPACTED")</f>
        <v>NOT IMPACTED</v>
      </c>
      <c r="AF807" s="15"/>
      <c r="AG807" s="18"/>
      <c r="AH807" s="14">
        <f ca="1">IF(WFTracker[[#This Row],[Status]]="C", "Closed", IF(WFTracker[[#This Row],[Status]] = "x", "Cancelled", WFTracker[[#This Row],[Impact Time Post RM]]))</f>
        <v>-2</v>
      </c>
      <c r="AI807" s="14" t="str">
        <f ca="1">IF(WFTracker[[#This Row],[Impact Time Post RM]]&lt;=0,"ON TIME","LATE")</f>
        <v>ON TIME</v>
      </c>
      <c r="AJ807" s="14" t="s">
        <v>977</v>
      </c>
      <c r="AK807" s="14">
        <v>12</v>
      </c>
      <c r="AL807" s="915">
        <f>IF(WFTracker[[#This Row],[Type]]="MAKE", WFTracker[[#This Row],[Due date]]+Filters!$J$111, WFTracker[[#This Row],[Due date]]+Filters!$J$135)</f>
        <v>46094.072512647552</v>
      </c>
      <c r="AM807" s="102" cm="1">
        <f t="array" ref="AM807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08" spans="1:40" ht="15" customHeight="1">
      <c r="A808" t="str">
        <f>IF(WFTracker[[#This Row],[Order Number]]="SWBD", "QED2", "PZ4")</f>
        <v>PZ4</v>
      </c>
      <c r="B808" s="21" t="s">
        <v>1676</v>
      </c>
      <c r="C808" s="26" t="s">
        <v>913</v>
      </c>
      <c r="D808" s="11" t="str">
        <f>WFTracker[[#This Row],[Order Number]]  &amp; "-" &amp; WFTracker[[#This Row],[Item]]</f>
        <v> 0051271091-000890</v>
      </c>
      <c r="E808" s="23" t="s">
        <v>1032</v>
      </c>
      <c r="F808" s="12">
        <v>46101</v>
      </c>
      <c r="G808" s="12">
        <v>46094</v>
      </c>
      <c r="H808" s="11" t="s">
        <v>676</v>
      </c>
      <c r="I808" s="11" t="s">
        <v>24</v>
      </c>
      <c r="J808" s="55" t="s">
        <v>916</v>
      </c>
      <c r="K808" s="14" t="s">
        <v>1017</v>
      </c>
      <c r="L808" s="15" t="s">
        <v>27</v>
      </c>
      <c r="M808" s="29" t="s">
        <v>1120</v>
      </c>
      <c r="N808" s="57">
        <v>46252</v>
      </c>
      <c r="O808" s="15">
        <f>NETWORKDAYS.INTL(WFTracker[[#This Row],[Start date]],WFTracker[[#This Row],[RM]],1,Holidays!D814:D829)</f>
        <v>14</v>
      </c>
      <c r="P808" s="12">
        <v>46084</v>
      </c>
      <c r="Q808" s="12">
        <v>46091</v>
      </c>
      <c r="R808" s="12"/>
      <c r="S808" s="12" t="b">
        <f>ISBLANK(WFTracker[[#This Row],[Completion Date]])</f>
        <v>1</v>
      </c>
      <c r="T808" s="12" t="str">
        <f>TEXT(WFTracker[[#This Row],[Start date]],"mmm-yyyy")</f>
        <v>Mar-2026</v>
      </c>
      <c r="U808" s="11">
        <v>10</v>
      </c>
      <c r="V808" s="11">
        <f>NETWORKDAYS.INTL(WFTracker[[#This Row],[Start date]],WFTracker[[#This Row],[Due date]],1,Holidays!D814:D829)</f>
        <v>6</v>
      </c>
      <c r="W80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08" s="24">
        <f ca="1">WFTracker[[#This Row],[Active Time]]-WFTracker[[#This Row],[Completion Days Template]]</f>
        <v>7</v>
      </c>
      <c r="Y808" s="16" t="str">
        <f ca="1" xml:space="preserve"> IF(WFTracker[[#This Row],[Overdue Time '[Expected-Completion']]]&gt;0, "LATE","ON TIME")</f>
        <v>LATE</v>
      </c>
      <c r="Z808" s="16" t="str">
        <f ca="1">IF(WFTracker[[#This Row],[Overdue Time '[Expected-Completion']]] &gt;= 15, "SUPER LATE", Y808)</f>
        <v>LATE</v>
      </c>
      <c r="AA808" s="37" t="str">
        <f>IF(WFTracker[[#This Row],[Pre RM Opening Time]]&lt;WFTracker[[#This Row],[Old vs New Order Lead Time WF dead line]], "LATE BY ENG", "ON TIME BY ENG")</f>
        <v>ON TIME BY ENG</v>
      </c>
      <c r="AB808" s="37"/>
      <c r="AC808" s="928" t="str" cm="1">
        <f t="array" ref="AC808">_xlfn.IFS(
    WFTracker[[#This Row],[Cancelation Cause]]&lt;&gt;"", "X",
    WFTracker[[#This Row],[Competion Date Content]] = FALSE, "C",
    TRUE, "I"
)</f>
        <v>I</v>
      </c>
      <c r="AD80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08" s="25" t="str">
        <f ca="1">IF(WFTracker[[#This Row],[Impact Time Post RM]]&gt;0, "IMPACTED", "NOT IMPACTED")</f>
        <v>NOT IMPACTED</v>
      </c>
      <c r="AF808" s="15"/>
      <c r="AG808" s="18"/>
      <c r="AH808" s="14">
        <f ca="1">IF(WFTracker[[#This Row],[Status]]="C", "Closed", IF(WFTracker[[#This Row],[Status]] = "x", "Cancelled", WFTracker[[#This Row],[Impact Time Post RM]]))</f>
        <v>-2</v>
      </c>
      <c r="AI808" s="14" t="str">
        <f ca="1">IF(WFTracker[[#This Row],[Impact Time Post RM]]&lt;=0,"ON TIME","LATE")</f>
        <v>ON TIME</v>
      </c>
      <c r="AJ808" s="14" t="s">
        <v>983</v>
      </c>
      <c r="AK808" s="14">
        <v>15</v>
      </c>
      <c r="AL808" s="915">
        <f>IF(WFTracker[[#This Row],[Type]]="MAKE", WFTracker[[#This Row],[Due date]]+Filters!$J$111, WFTracker[[#This Row],[Due date]]+Filters!$J$135)</f>
        <v>46094.072512647552</v>
      </c>
      <c r="AM808" s="102" cm="1">
        <f t="array" ref="AM808">_xlfn.IFS(WFTracker[[#This Row],[Type]]="BUY", WFTracker[[#This Row],[Task Number]]/17,
     WFTracker[[#This Row],[Type]]="MAKE", WFTracker[[#This Row],[Task Number]]/18,
     WFTracker[[#This Row],[Type]]="CNG-BOM", WFTracker[[#This Row],[Task Number]]/11)</f>
        <v>0.83333333333333337</v>
      </c>
    </row>
    <row r="809" spans="1:40" ht="15" customHeight="1">
      <c r="A809" t="str">
        <f>IF(WFTracker[[#This Row],[Order Number]]="SWBD", "QED2", "PZ4")</f>
        <v>PZ4</v>
      </c>
      <c r="B809" s="21" t="s">
        <v>1676</v>
      </c>
      <c r="C809" s="26" t="s">
        <v>913</v>
      </c>
      <c r="D809" s="11" t="s">
        <v>1677</v>
      </c>
      <c r="E809" s="23" t="s">
        <v>1032</v>
      </c>
      <c r="F809" s="12">
        <v>46101</v>
      </c>
      <c r="G809" s="12">
        <v>46094</v>
      </c>
      <c r="H809" s="11" t="s">
        <v>676</v>
      </c>
      <c r="I809" s="11" t="s">
        <v>24</v>
      </c>
      <c r="J809" s="55" t="s">
        <v>917</v>
      </c>
      <c r="K809" s="14" t="s">
        <v>1017</v>
      </c>
      <c r="L809" s="15" t="s">
        <v>40</v>
      </c>
      <c r="M809" s="29" t="s">
        <v>1120</v>
      </c>
      <c r="N809" s="57">
        <v>46252</v>
      </c>
      <c r="O809" s="15">
        <f>NETWORKDAYS.INTL(WFTracker[[#This Row],[Start date]],WFTracker[[#This Row],[RM]],1,Holidays!D815:D830)</f>
        <v>14</v>
      </c>
      <c r="P809" s="12">
        <v>46084</v>
      </c>
      <c r="Q809" s="12">
        <v>46091</v>
      </c>
      <c r="R809" s="12"/>
      <c r="S809" s="12" t="b">
        <f>ISBLANK(WFTracker[[#This Row],[Completion Date]])</f>
        <v>1</v>
      </c>
      <c r="T809" s="12" t="str">
        <f>TEXT(WFTracker[[#This Row],[Start date]],"mmm-yyyy")</f>
        <v>Mar-2026</v>
      </c>
      <c r="U809" s="11">
        <v>10</v>
      </c>
      <c r="V809" s="11">
        <f>NETWORKDAYS.INTL(WFTracker[[#This Row],[Start date]],WFTracker[[#This Row],[Due date]],1,Holidays!D815:D830)</f>
        <v>6</v>
      </c>
      <c r="W80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09" s="24">
        <f ca="1">WFTracker[[#This Row],[Active Time]]-WFTracker[[#This Row],[Completion Days Template]]</f>
        <v>7</v>
      </c>
      <c r="Y809" s="16" t="str">
        <f ca="1" xml:space="preserve"> IF(WFTracker[[#This Row],[Overdue Time '[Expected-Completion']]]&gt;0, "LATE","ON TIME")</f>
        <v>LATE</v>
      </c>
      <c r="Z809" s="16" t="str">
        <f ca="1">IF(WFTracker[[#This Row],[Overdue Time '[Expected-Completion']]] &gt;= 15, "SUPER LATE", Y809)</f>
        <v>LATE</v>
      </c>
      <c r="AA809" s="37" t="str">
        <f>IF(WFTracker[[#This Row],[Pre RM Opening Time]]&lt;WFTracker[[#This Row],[Old vs New Order Lead Time WF dead line]], "LATE BY ENG", "ON TIME BY ENG")</f>
        <v>ON TIME BY ENG</v>
      </c>
      <c r="AB809" s="37"/>
      <c r="AC809" s="928" t="str" cm="1">
        <f t="array" ref="AC809">_xlfn.IFS(
    WFTracker[[#This Row],[Cancelation Cause]]&lt;&gt;"", "X",
    WFTracker[[#This Row],[Competion Date Content]] = FALSE, "C",
    TRUE, "I"
)</f>
        <v>I</v>
      </c>
      <c r="AD80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09" s="25" t="str">
        <f ca="1">IF(WFTracker[[#This Row],[Impact Time Post RM]]&gt;0, "IMPACTED", "NOT IMPACTED")</f>
        <v>NOT IMPACTED</v>
      </c>
      <c r="AF809" s="15"/>
      <c r="AG809" s="18"/>
      <c r="AH809" s="14">
        <f ca="1">IF(WFTracker[[#This Row],[Status]]="C", "Closed", IF(WFTracker[[#This Row],[Status]] = "x", "Cancelled", WFTracker[[#This Row],[Impact Time Post RM]]))</f>
        <v>-2</v>
      </c>
      <c r="AI809" s="14" t="str">
        <f ca="1">IF(WFTracker[[#This Row],[Impact Time Post RM]]&lt;=0,"ON TIME","LATE")</f>
        <v>ON TIME</v>
      </c>
      <c r="AJ809" s="14" t="s">
        <v>983</v>
      </c>
      <c r="AK809" s="14">
        <v>11</v>
      </c>
      <c r="AL809" s="915">
        <f>IF(WFTracker[[#This Row],[Type]]="MAKE", WFTracker[[#This Row],[Due date]]+Filters!$J$111, WFTracker[[#This Row],[Due date]]+Filters!$J$135)</f>
        <v>46091.415686274508</v>
      </c>
      <c r="AM809" s="102" cm="1">
        <f t="array" ref="AM809">_xlfn.IFS(WFTracker[[#This Row],[Type]]="BUY", WFTracker[[#This Row],[Task Number]]/17,
     WFTracker[[#This Row],[Type]]="MAKE", WFTracker[[#This Row],[Task Number]]/18,
     WFTracker[[#This Row],[Type]]="CNG-BOM", WFTracker[[#This Row],[Task Number]]/11)</f>
        <v>0.6470588235294118</v>
      </c>
    </row>
    <row r="810" spans="1:40" ht="15" customHeight="1">
      <c r="A810" t="str">
        <f>IF(WFTracker[[#This Row],[Order Number]]="SWBD", "QED2", "PZ4")</f>
        <v>PZ4</v>
      </c>
      <c r="B810" s="21" t="s">
        <v>1678</v>
      </c>
      <c r="C810" s="26" t="s">
        <v>913</v>
      </c>
      <c r="D810" s="11" t="str">
        <f>WFTracker[[#This Row],[Order Number]]  &amp; "-" &amp; WFTracker[[#This Row],[Item]]</f>
        <v xml:space="preserve">
0051271091-000890</v>
      </c>
      <c r="E810" s="23" t="s">
        <v>1032</v>
      </c>
      <c r="F810" s="12">
        <v>46101</v>
      </c>
      <c r="G810" s="12">
        <v>46094</v>
      </c>
      <c r="H810" s="11" t="s">
        <v>676</v>
      </c>
      <c r="I810" s="11" t="s">
        <v>24</v>
      </c>
      <c r="J810" s="55" t="s">
        <v>1679</v>
      </c>
      <c r="K810" s="14" t="s">
        <v>1023</v>
      </c>
      <c r="L810" s="15" t="s">
        <v>27</v>
      </c>
      <c r="M810" s="29" t="s">
        <v>1120</v>
      </c>
      <c r="N810" s="57">
        <v>46099</v>
      </c>
      <c r="O810" s="15">
        <f>NETWORKDAYS.INTL(WFTracker[[#This Row],[Start date]],WFTracker[[#This Row],[RM]],1,Holidays!D819:D834)</f>
        <v>14</v>
      </c>
      <c r="P810" s="12">
        <v>46084</v>
      </c>
      <c r="Q810" s="12">
        <v>46093</v>
      </c>
      <c r="R810" s="12">
        <v>46092</v>
      </c>
      <c r="S810" s="12" t="b">
        <f>ISBLANK(WFTracker[[#This Row],[Completion Date]])</f>
        <v>0</v>
      </c>
      <c r="T810" s="12" t="str">
        <f>TEXT(WFTracker[[#This Row],[Start date]],"mmm-yyyy")</f>
        <v>Mar-2026</v>
      </c>
      <c r="U810" s="11">
        <v>10</v>
      </c>
      <c r="V810" s="11">
        <f>NETWORKDAYS.INTL(WFTracker[[#This Row],[Start date]],WFTracker[[#This Row],[Due date]],1,Holidays!D819:D834)</f>
        <v>8</v>
      </c>
      <c r="W81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10" s="24">
        <f ca="1">WFTracker[[#This Row],[Active Time]]-WFTracker[[#This Row],[Completion Days Template]]</f>
        <v>-1</v>
      </c>
      <c r="Y810" s="16" t="str">
        <f ca="1" xml:space="preserve"> IF(WFTracker[[#This Row],[Overdue Time '[Expected-Completion']]]&gt;0, "LATE","ON TIME")</f>
        <v>ON TIME</v>
      </c>
      <c r="Z810" s="16" t="str">
        <f ca="1">IF(WFTracker[[#This Row],[Overdue Time '[Expected-Completion']]] &gt;= 15, "SUPER LATE", Y810)</f>
        <v>ON TIME</v>
      </c>
      <c r="AA810" s="37" t="str">
        <f>IF(WFTracker[[#This Row],[Pre RM Opening Time]]&lt;WFTracker[[#This Row],[Old vs New Order Lead Time WF dead line]], "LATE BY ENG", "ON TIME BY ENG")</f>
        <v>ON TIME BY ENG</v>
      </c>
      <c r="AB810" s="37"/>
      <c r="AC810" s="928" t="str" cm="1">
        <f t="array" ref="AC810">_xlfn.IFS(
    WFTracker[[#This Row],[Cancelation Cause]]&lt;&gt;"", "X",
    WFTracker[[#This Row],[Competion Date Content]] = FALSE, "C",
    TRUE, "I"
)</f>
        <v>C</v>
      </c>
      <c r="AD81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810" s="25" t="str">
        <f ca="1">IF(WFTracker[[#This Row],[Impact Time Post RM]]&gt;0, "IMPACTED", "NOT IMPACTED")</f>
        <v>NOT IMPACTED</v>
      </c>
      <c r="AF810" s="15"/>
      <c r="AG810" s="18"/>
      <c r="AH810" s="14" t="str">
        <f>IF(WFTracker[[#This Row],[Status]]="C", "Closed", IF(WFTracker[[#This Row],[Status]] = "x", "Cancelled", WFTracker[[#This Row],[Impact Time Post RM]]))</f>
        <v>Closed</v>
      </c>
      <c r="AI810" s="14" t="str">
        <f ca="1">IF(WFTracker[[#This Row],[Impact Time Post RM]]&lt;=0,"ON TIME","LATE")</f>
        <v>ON TIME</v>
      </c>
      <c r="AJ810" s="14" t="s">
        <v>984</v>
      </c>
      <c r="AK810" s="14">
        <v>18</v>
      </c>
      <c r="AL810" s="915">
        <f>IF(WFTracker[[#This Row],[Type]]="MAKE", WFTracker[[#This Row],[Due date]]+Filters!$J$111, WFTracker[[#This Row],[Due date]]+Filters!$J$135)</f>
        <v>46096.072512647552</v>
      </c>
      <c r="AM810" s="102" cm="1">
        <f t="array" ref="AM810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11" spans="1:40" ht="15" customHeight="1">
      <c r="A811" t="str">
        <f>IF(WFTracker[[#This Row],[Order Number]]="SWBD", "QED2", "PZ4")</f>
        <v>PZ4</v>
      </c>
      <c r="B811" s="21" t="s">
        <v>769</v>
      </c>
      <c r="C811" s="26" t="s">
        <v>135</v>
      </c>
      <c r="D811" s="11" t="str">
        <f>WFTracker[[#This Row],[Order Number]]  &amp; "-" &amp; WFTracker[[#This Row],[Item]]</f>
        <v>0051732952-000010</v>
      </c>
      <c r="E811" s="23" t="s">
        <v>770</v>
      </c>
      <c r="F811" s="12">
        <v>46101</v>
      </c>
      <c r="G811" s="12"/>
      <c r="H811" s="11" t="s">
        <v>104</v>
      </c>
      <c r="I811" s="11" t="s">
        <v>216</v>
      </c>
      <c r="J811" s="55" t="s">
        <v>1680</v>
      </c>
      <c r="K811" s="14" t="s">
        <v>1017</v>
      </c>
      <c r="L811" s="15" t="s">
        <v>27</v>
      </c>
      <c r="M811" s="29" t="s">
        <v>1120</v>
      </c>
      <c r="N811" s="57">
        <v>46233</v>
      </c>
      <c r="O811" s="15">
        <f>NETWORKDAYS.INTL(WFTracker[[#This Row],[Start date]],WFTracker[[#This Row],[RM]],1,Holidays!D833:D848)</f>
        <v>10</v>
      </c>
      <c r="P811" s="12">
        <v>46090</v>
      </c>
      <c r="Q811" s="12">
        <v>46100</v>
      </c>
      <c r="R811" s="12"/>
      <c r="S811" s="12" t="b">
        <f>ISBLANK(WFTracker[[#This Row],[Completion Date]])</f>
        <v>1</v>
      </c>
      <c r="T811" s="12" t="str">
        <f>TEXT(WFTracker[[#This Row],[Start date]],"mmm-yyyy")</f>
        <v>Mar-2026</v>
      </c>
      <c r="U811" s="11">
        <v>10</v>
      </c>
      <c r="V811" s="11">
        <f>NETWORKDAYS.INTL(WFTracker[[#This Row],[Start date]],WFTracker[[#This Row],[Due date]],1,Holidays!D833:D848)</f>
        <v>9</v>
      </c>
      <c r="W81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11" s="24">
        <f ca="1">WFTracker[[#This Row],[Active Time]]-WFTracker[[#This Row],[Completion Days Template]]</f>
        <v>0</v>
      </c>
      <c r="Y811" s="16" t="str">
        <f ca="1" xml:space="preserve"> IF(WFTracker[[#This Row],[Overdue Time '[Expected-Completion']]]&gt;0, "LATE","ON TIME")</f>
        <v>ON TIME</v>
      </c>
      <c r="Z811" s="16" t="str">
        <f ca="1">IF(WFTracker[[#This Row],[Overdue Time '[Expected-Completion']]] &gt;= 15, "SUPER LATE", Y811)</f>
        <v>ON TIME</v>
      </c>
      <c r="AA811" s="37" t="str">
        <f>IF(WFTracker[[#This Row],[Pre RM Opening Time]]&lt;WFTracker[[#This Row],[Old vs New Order Lead Time WF dead line]], "LATE BY ENG", "ON TIME BY ENG")</f>
        <v>ON TIME BY ENG</v>
      </c>
      <c r="AB811" s="37"/>
      <c r="AC811" s="928" t="str" cm="1">
        <f t="array" ref="AC811">_xlfn.IFS(
    WFTracker[[#This Row],[Cancelation Cause]]&lt;&gt;"", "X",
    WFTracker[[#This Row],[Competion Date Content]] = FALSE, "C",
    TRUE, "I"
)</f>
        <v>I</v>
      </c>
      <c r="AD81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</v>
      </c>
      <c r="AE811" s="25" t="str">
        <f ca="1">IF(WFTracker[[#This Row],[Impact Time Post RM]]&gt;0, "IMPACTED", "NOT IMPACTED")</f>
        <v>NOT IMPACTED</v>
      </c>
      <c r="AF811" s="15"/>
      <c r="AG811" s="18"/>
      <c r="AH811" s="14">
        <f ca="1">IF(WFTracker[[#This Row],[Status]]="C", "Closed", IF(WFTracker[[#This Row],[Status]] = "x", "Cancelled", WFTracker[[#This Row],[Impact Time Post RM]]))</f>
        <v>-2</v>
      </c>
      <c r="AI811" s="14" t="str">
        <f ca="1">IF(WFTracker[[#This Row],[Impact Time Post RM]]&lt;=0,"ON TIME","LATE")</f>
        <v>ON TIME</v>
      </c>
      <c r="AJ811" s="14" t="s">
        <v>977</v>
      </c>
      <c r="AK811" s="14">
        <v>12</v>
      </c>
      <c r="AL811" s="915">
        <f>IF(WFTracker[[#This Row],[Type]]="MAKE", WFTracker[[#This Row],[Due date]]+Filters!$J$111, WFTracker[[#This Row],[Due date]]+Filters!$J$135)</f>
        <v>46103.072512647552</v>
      </c>
      <c r="AM811" s="102" cm="1">
        <f t="array" ref="AM811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12" spans="1:40" ht="15" customHeight="1">
      <c r="A812" t="str">
        <f>IF(WFTracker[[#This Row],[Order Number]]="SWBD", "QED2", "PZ4")</f>
        <v>PZ4</v>
      </c>
      <c r="B812" s="21" t="s">
        <v>884</v>
      </c>
      <c r="C812" s="26" t="s">
        <v>1652</v>
      </c>
      <c r="D812" s="11" t="str">
        <f>WFTracker[[#This Row],[Order Number]]  &amp; "-" &amp; WFTracker[[#This Row],[Item]]</f>
        <v>0051735870-000010&amp;20</v>
      </c>
      <c r="E812" s="23" t="s">
        <v>885</v>
      </c>
      <c r="F812" s="12">
        <v>46111</v>
      </c>
      <c r="G812" s="12">
        <v>46098</v>
      </c>
      <c r="H812" s="11" t="s">
        <v>80</v>
      </c>
      <c r="I812" s="11" t="s">
        <v>429</v>
      </c>
      <c r="J812" s="55" t="s">
        <v>1681</v>
      </c>
      <c r="K812" s="14" t="s">
        <v>1023</v>
      </c>
      <c r="L812" s="15" t="s">
        <v>40</v>
      </c>
      <c r="M812" s="29" t="s">
        <v>1120</v>
      </c>
      <c r="N812" s="57">
        <v>46227</v>
      </c>
      <c r="O812" s="15">
        <f>NETWORKDAYS.INTL(WFTracker[[#This Row],[Start date]],WFTracker[[#This Row],[RM]],1,Holidays!D783:D798)</f>
        <v>25</v>
      </c>
      <c r="P812" s="12">
        <v>46077</v>
      </c>
      <c r="Q812" s="12">
        <v>46090</v>
      </c>
      <c r="R812" s="12">
        <v>46086</v>
      </c>
      <c r="S812" s="12" t="b">
        <f>ISBLANK(WFTracker[[#This Row],[Completion Date]])</f>
        <v>0</v>
      </c>
      <c r="T812" s="12" t="str">
        <f>TEXT(WFTracker[[#This Row],[Start date]],"mmm-yyyy")</f>
        <v>Feb-2026</v>
      </c>
      <c r="U812" s="11">
        <v>10</v>
      </c>
      <c r="V812" s="11">
        <f>NETWORKDAYS.INTL(WFTracker[[#This Row],[Start date]],WFTracker[[#This Row],[Due date]],1,Holidays!D783:D798)</f>
        <v>10</v>
      </c>
      <c r="W81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812" s="24">
        <f ca="1">WFTracker[[#This Row],[Active Time]]-WFTracker[[#This Row],[Completion Days Template]]</f>
        <v>-2</v>
      </c>
      <c r="Y812" s="16" t="str">
        <f ca="1" xml:space="preserve"> IF(WFTracker[[#This Row],[Overdue Time '[Expected-Completion']]]&gt;0, "LATE","ON TIME")</f>
        <v>ON TIME</v>
      </c>
      <c r="Z812" s="16" t="str">
        <f ca="1">IF(WFTracker[[#This Row],[Overdue Time '[Expected-Completion']]] &gt;= 15, "SUPER LATE", Y812)</f>
        <v>ON TIME</v>
      </c>
      <c r="AA812" s="37" t="str">
        <f>IF(WFTracker[[#This Row],[Pre RM Opening Time]]&lt;WFTracker[[#This Row],[Old vs New Order Lead Time WF dead line]], "LATE BY ENG", "ON TIME BY ENG")</f>
        <v>ON TIME BY ENG</v>
      </c>
      <c r="AB812" s="37"/>
      <c r="AC812" s="928" t="str" cm="1">
        <f t="array" ref="AC812">_xlfn.IFS(
    WFTracker[[#This Row],[Cancelation Cause]]&lt;&gt;"", "X",
    WFTracker[[#This Row],[Competion Date Content]] = FALSE, "C",
    TRUE, "I"
)</f>
        <v>C</v>
      </c>
      <c r="AD81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812" s="25" t="str">
        <f ca="1">IF(WFTracker[[#This Row],[Impact Time Post RM]]&gt;0, "IMPACTED", "NOT IMPACTED")</f>
        <v>NOT IMPACTED</v>
      </c>
      <c r="AF812" s="15"/>
      <c r="AG812" s="18"/>
      <c r="AH812" s="14" t="str">
        <f>IF(WFTracker[[#This Row],[Status]]="C", "Closed", IF(WFTracker[[#This Row],[Status]] = "x", "Cancelled", WFTracker[[#This Row],[Impact Time Post RM]]))</f>
        <v>Closed</v>
      </c>
      <c r="AI812" s="14" t="str">
        <f ca="1">IF(WFTracker[[#This Row],[Impact Time Post RM]]&lt;=0,"ON TIME","LATE")</f>
        <v>ON TIME</v>
      </c>
      <c r="AJ812" s="14" t="s">
        <v>984</v>
      </c>
      <c r="AK812" s="14">
        <v>17</v>
      </c>
      <c r="AL812" s="915">
        <f>IF(WFTracker[[#This Row],[Type]]="MAKE", WFTracker[[#This Row],[Due date]]+Filters!$J$111, WFTracker[[#This Row],[Due date]]+Filters!$J$135)</f>
        <v>46090.415686274508</v>
      </c>
      <c r="AM812" s="102" cm="1">
        <f t="array" ref="AM81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13" spans="1:40" ht="15" customHeight="1">
      <c r="A813" t="str">
        <f>IF(WFTracker[[#This Row],[Order Number]]="SWBD", "QED2", "PZ4")</f>
        <v>PZ4</v>
      </c>
      <c r="B813" s="21" t="s">
        <v>884</v>
      </c>
      <c r="C813" s="26" t="s">
        <v>135</v>
      </c>
      <c r="D813" s="11" t="str">
        <f>WFTracker[[#This Row],[Order Number]]  &amp; "-" &amp; WFTracker[[#This Row],[Item]]</f>
        <v>0051735870-000010</v>
      </c>
      <c r="E813" s="23" t="s">
        <v>885</v>
      </c>
      <c r="F813" s="12">
        <v>46111</v>
      </c>
      <c r="G813" s="12">
        <v>46098</v>
      </c>
      <c r="H813" s="11" t="s">
        <v>80</v>
      </c>
      <c r="I813" s="11" t="s">
        <v>429</v>
      </c>
      <c r="J813" s="55" t="s">
        <v>1682</v>
      </c>
      <c r="K813" s="14" t="s">
        <v>1023</v>
      </c>
      <c r="L813" s="15" t="s">
        <v>27</v>
      </c>
      <c r="M813" s="29" t="s">
        <v>1120</v>
      </c>
      <c r="N813" s="57">
        <v>46225</v>
      </c>
      <c r="O813" s="15">
        <f>NETWORKDAYS.INTL(WFTracker[[#This Row],[Start date]],WFTracker[[#This Row],[RM]],1,Holidays!D797:D812)</f>
        <v>24</v>
      </c>
      <c r="P813" s="12">
        <v>46078</v>
      </c>
      <c r="Q813" s="12">
        <v>46085</v>
      </c>
      <c r="R813" s="12">
        <v>46086</v>
      </c>
      <c r="S813" s="12" t="b">
        <f>ISBLANK(WFTracker[[#This Row],[Completion Date]])</f>
        <v>0</v>
      </c>
      <c r="T813" s="12" t="str">
        <f>TEXT(WFTracker[[#This Row],[Start date]],"mmm-yyyy")</f>
        <v>Feb-2026</v>
      </c>
      <c r="U813" s="11">
        <v>10</v>
      </c>
      <c r="V813" s="11">
        <f>NETWORKDAYS.INTL(WFTracker[[#This Row],[Start date]],WFTracker[[#This Row],[Due date]],1,Holidays!D797:D812)</f>
        <v>6</v>
      </c>
      <c r="W81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13" s="24">
        <f ca="1">WFTracker[[#This Row],[Active Time]]-WFTracker[[#This Row],[Completion Days Template]]</f>
        <v>1</v>
      </c>
      <c r="Y813" s="16" t="str">
        <f ca="1" xml:space="preserve"> IF(WFTracker[[#This Row],[Overdue Time '[Expected-Completion']]]&gt;0, "LATE","ON TIME")</f>
        <v>LATE</v>
      </c>
      <c r="Z813" s="16" t="str">
        <f ca="1">IF(WFTracker[[#This Row],[Overdue Time '[Expected-Completion']]] &gt;= 15, "SUPER LATE", Y813)</f>
        <v>LATE</v>
      </c>
      <c r="AA813" s="37" t="str">
        <f>IF(WFTracker[[#This Row],[Pre RM Opening Time]]&lt;WFTracker[[#This Row],[Old vs New Order Lead Time WF dead line]], "LATE BY ENG", "ON TIME BY ENG")</f>
        <v>ON TIME BY ENG</v>
      </c>
      <c r="AB813" s="37"/>
      <c r="AC813" s="928" t="str" cm="1">
        <f t="array" ref="AC813">_xlfn.IFS(
    WFTracker[[#This Row],[Cancelation Cause]]&lt;&gt;"", "X",
    WFTracker[[#This Row],[Competion Date Content]] = FALSE, "C",
    TRUE, "I"
)</f>
        <v>C</v>
      </c>
      <c r="AD81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-18</v>
      </c>
      <c r="AE813" s="25" t="str">
        <f ca="1">IF(WFTracker[[#This Row],[Impact Time Post RM]]&gt;0, "IMPACTED", "NOT IMPACTED")</f>
        <v>NOT IMPACTED</v>
      </c>
      <c r="AF813" s="15"/>
      <c r="AG813" s="18"/>
      <c r="AH813" s="14" t="str">
        <f>IF(WFTracker[[#This Row],[Status]]="C", "Closed", IF(WFTracker[[#This Row],[Status]] = "x", "Cancelled", WFTracker[[#This Row],[Impact Time Post RM]]))</f>
        <v>Closed</v>
      </c>
      <c r="AI813" s="14" t="str">
        <f ca="1">IF(WFTracker[[#This Row],[Impact Time Post RM]]&lt;=0,"ON TIME","LATE")</f>
        <v>ON TIME</v>
      </c>
      <c r="AJ813" s="14" t="s">
        <v>984</v>
      </c>
      <c r="AK813" s="14">
        <v>18</v>
      </c>
      <c r="AL813" s="915">
        <f>IF(WFTracker[[#This Row],[Type]]="MAKE", WFTracker[[#This Row],[Due date]]+Filters!$J$111, WFTracker[[#This Row],[Due date]]+Filters!$J$135)</f>
        <v>46088.072512647552</v>
      </c>
      <c r="AM813" s="102" cm="1">
        <f t="array" ref="AM813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14" spans="1:40" ht="15" customHeight="1">
      <c r="A814" t="str">
        <f>IF(WFTracker[[#This Row],[Order Number]]="SWBD", "QED2", "PZ4")</f>
        <v>PZ4</v>
      </c>
      <c r="B814" s="21" t="s">
        <v>1683</v>
      </c>
      <c r="C814" s="26" t="s">
        <v>135</v>
      </c>
      <c r="D814" s="11" t="str">
        <f>WFTracker[[#This Row],[Order Number]]  &amp; "-" &amp; WFTracker[[#This Row],[Item]]</f>
        <v xml:space="preserve">
0051519925-000010</v>
      </c>
      <c r="E814" s="23" t="s">
        <v>1031</v>
      </c>
      <c r="F814" s="12">
        <v>46108</v>
      </c>
      <c r="G814" s="12">
        <v>46101</v>
      </c>
      <c r="H814" s="11" t="s">
        <v>113</v>
      </c>
      <c r="I814" s="11" t="s">
        <v>260</v>
      </c>
      <c r="J814" s="55" t="s">
        <v>920</v>
      </c>
      <c r="K814" s="14" t="s">
        <v>1017</v>
      </c>
      <c r="L814" s="15" t="s">
        <v>27</v>
      </c>
      <c r="M814" s="29" t="s">
        <v>1120</v>
      </c>
      <c r="N814" s="57">
        <v>46248</v>
      </c>
      <c r="O814" s="15">
        <f>NETWORKDAYS.INTL(WFTracker[[#This Row],[Start date]],WFTracker[[#This Row],[RM]],1,Holidays!D810:D825)</f>
        <v>19</v>
      </c>
      <c r="P814" s="12">
        <v>46084</v>
      </c>
      <c r="Q814" s="12">
        <v>46091</v>
      </c>
      <c r="R814" s="12"/>
      <c r="S814" s="12" t="b">
        <f>ISBLANK(WFTracker[[#This Row],[Completion Date]])</f>
        <v>1</v>
      </c>
      <c r="T814" s="12" t="str">
        <f>TEXT(WFTracker[[#This Row],[Start date]],"mmm-yyyy")</f>
        <v>Mar-2026</v>
      </c>
      <c r="U814" s="11">
        <v>10</v>
      </c>
      <c r="V814" s="11">
        <f>NETWORKDAYS.INTL(WFTracker[[#This Row],[Start date]],WFTracker[[#This Row],[Due date]],1,Holidays!D810:D825)</f>
        <v>6</v>
      </c>
      <c r="W81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14" s="24">
        <f ca="1">WFTracker[[#This Row],[Active Time]]-WFTracker[[#This Row],[Completion Days Template]]</f>
        <v>7</v>
      </c>
      <c r="Y814" s="16" t="str">
        <f ca="1" xml:space="preserve"> IF(WFTracker[[#This Row],[Overdue Time '[Expected-Completion']]]&gt;0, "LATE","ON TIME")</f>
        <v>LATE</v>
      </c>
      <c r="Z814" s="16" t="str">
        <f ca="1">IF(WFTracker[[#This Row],[Overdue Time '[Expected-Completion']]] &gt;= 15, "SUPER LATE", Y814)</f>
        <v>LATE</v>
      </c>
      <c r="AA814" s="37" t="str">
        <f>IF(WFTracker[[#This Row],[Pre RM Opening Time]]&lt;WFTracker[[#This Row],[Old vs New Order Lead Time WF dead line]], "LATE BY ENG", "ON TIME BY ENG")</f>
        <v>ON TIME BY ENG</v>
      </c>
      <c r="AB814" s="37"/>
      <c r="AC814" s="928" t="str" cm="1">
        <f t="array" ref="AC814">_xlfn.IFS(
    WFTracker[[#This Row],[Cancelation Cause]]&lt;&gt;"", "X",
    WFTracker[[#This Row],[Competion Date Content]] = FALSE, "C",
    TRUE, "I"
)</f>
        <v>I</v>
      </c>
      <c r="AD81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14" s="25" t="str">
        <f ca="1">IF(WFTracker[[#This Row],[Impact Time Post RM]]&gt;0, "IMPACTED", "NOT IMPACTED")</f>
        <v>NOT IMPACTED</v>
      </c>
      <c r="AF814" s="15"/>
      <c r="AG814" s="18"/>
      <c r="AH814" s="14">
        <f ca="1">IF(WFTracker[[#This Row],[Status]]="C", "Closed", IF(WFTracker[[#This Row],[Status]] = "x", "Cancelled", WFTracker[[#This Row],[Impact Time Post RM]]))</f>
        <v>-7</v>
      </c>
      <c r="AI814" s="14" t="str">
        <f ca="1">IF(WFTracker[[#This Row],[Impact Time Post RM]]&lt;=0,"ON TIME","LATE")</f>
        <v>ON TIME</v>
      </c>
      <c r="AJ814" s="14" t="s">
        <v>970</v>
      </c>
      <c r="AK814" s="14">
        <v>16</v>
      </c>
      <c r="AL814" s="915">
        <f>IF(WFTracker[[#This Row],[Type]]="MAKE", WFTracker[[#This Row],[Due date]]+Filters!$J$111, WFTracker[[#This Row],[Due date]]+Filters!$J$135)</f>
        <v>46094.072512647552</v>
      </c>
      <c r="AM814" s="102" cm="1">
        <f t="array" ref="AM814">_xlfn.IFS(WFTracker[[#This Row],[Type]]="BUY", WFTracker[[#This Row],[Task Number]]/17,
     WFTracker[[#This Row],[Type]]="MAKE", WFTracker[[#This Row],[Task Number]]/18,
     WFTracker[[#This Row],[Type]]="CNG-BOM", WFTracker[[#This Row],[Task Number]]/11)</f>
        <v>0.88888888888888884</v>
      </c>
    </row>
    <row r="815" spans="1:40" ht="15" customHeight="1">
      <c r="A815" t="str">
        <f>IF(WFTracker[[#This Row],[Order Number]]="SWBD", "QED2", "PZ4")</f>
        <v>PZ4</v>
      </c>
      <c r="B815" s="21" t="s">
        <v>918</v>
      </c>
      <c r="C815" s="26" t="s">
        <v>135</v>
      </c>
      <c r="D815" s="11" t="str">
        <f>WFTracker[[#This Row],[Order Number]]  &amp; "-" &amp; WFTracker[[#This Row],[Item]]</f>
        <v>0051519925-000010</v>
      </c>
      <c r="E815" s="23" t="s">
        <v>1031</v>
      </c>
      <c r="F815" s="12">
        <v>46108</v>
      </c>
      <c r="G815" s="12">
        <v>46101</v>
      </c>
      <c r="H815" s="11" t="s">
        <v>113</v>
      </c>
      <c r="I815" s="11" t="s">
        <v>260</v>
      </c>
      <c r="J815" s="55" t="s">
        <v>921</v>
      </c>
      <c r="K815" s="14" t="s">
        <v>1017</v>
      </c>
      <c r="L815" s="15" t="s">
        <v>27</v>
      </c>
      <c r="M815" s="29" t="s">
        <v>1120</v>
      </c>
      <c r="N815" s="57">
        <v>46248</v>
      </c>
      <c r="O815" s="15">
        <f>NETWORKDAYS.INTL(WFTracker[[#This Row],[Start date]],WFTracker[[#This Row],[RM]],1,Holidays!D812:D827)</f>
        <v>19</v>
      </c>
      <c r="P815" s="12">
        <v>46084</v>
      </c>
      <c r="Q815" s="12">
        <v>46091</v>
      </c>
      <c r="R815" s="12"/>
      <c r="S815" s="12" t="b">
        <f>ISBLANK(WFTracker[[#This Row],[Completion Date]])</f>
        <v>1</v>
      </c>
      <c r="T815" s="12" t="str">
        <f>TEXT(WFTracker[[#This Row],[Start date]],"mmm-yyyy")</f>
        <v>Mar-2026</v>
      </c>
      <c r="U815" s="11">
        <v>10</v>
      </c>
      <c r="V815" s="11">
        <f>NETWORKDAYS.INTL(WFTracker[[#This Row],[Start date]],WFTracker[[#This Row],[Due date]],1,Holidays!D812:D827)</f>
        <v>6</v>
      </c>
      <c r="W81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15" s="24">
        <f ca="1">WFTracker[[#This Row],[Active Time]]-WFTracker[[#This Row],[Completion Days Template]]</f>
        <v>7</v>
      </c>
      <c r="Y815" s="16" t="str">
        <f ca="1" xml:space="preserve"> IF(WFTracker[[#This Row],[Overdue Time '[Expected-Completion']]]&gt;0, "LATE","ON TIME")</f>
        <v>LATE</v>
      </c>
      <c r="Z815" s="16" t="str">
        <f ca="1">IF(WFTracker[[#This Row],[Overdue Time '[Expected-Completion']]] &gt;= 15, "SUPER LATE", Y815)</f>
        <v>LATE</v>
      </c>
      <c r="AA815" s="37" t="str">
        <f>IF(WFTracker[[#This Row],[Pre RM Opening Time]]&lt;WFTracker[[#This Row],[Old vs New Order Lead Time WF dead line]], "LATE BY ENG", "ON TIME BY ENG")</f>
        <v>ON TIME BY ENG</v>
      </c>
      <c r="AB815" s="37"/>
      <c r="AC815" s="928" t="str" cm="1">
        <f t="array" ref="AC815">_xlfn.IFS(
    WFTracker[[#This Row],[Cancelation Cause]]&lt;&gt;"", "X",
    WFTracker[[#This Row],[Competion Date Content]] = FALSE, "C",
    TRUE, "I"
)</f>
        <v>I</v>
      </c>
      <c r="AD81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15" s="25" t="str">
        <f ca="1">IF(WFTracker[[#This Row],[Impact Time Post RM]]&gt;0, "IMPACTED", "NOT IMPACTED")</f>
        <v>NOT IMPACTED</v>
      </c>
      <c r="AF815" s="15"/>
      <c r="AG815" s="18"/>
      <c r="AH815" s="14">
        <f ca="1">IF(WFTracker[[#This Row],[Status]]="C", "Closed", IF(WFTracker[[#This Row],[Status]] = "x", "Cancelled", WFTracker[[#This Row],[Impact Time Post RM]]))</f>
        <v>-7</v>
      </c>
      <c r="AI815" s="14" t="str">
        <f ca="1">IF(WFTracker[[#This Row],[Impact Time Post RM]]&lt;=0,"ON TIME","LATE")</f>
        <v>ON TIME</v>
      </c>
      <c r="AJ815" s="14" t="s">
        <v>977</v>
      </c>
      <c r="AK815" s="14">
        <v>12</v>
      </c>
      <c r="AL815" s="915">
        <f>IF(WFTracker[[#This Row],[Type]]="MAKE", WFTracker[[#This Row],[Due date]]+Filters!$J$111, WFTracker[[#This Row],[Due date]]+Filters!$J$135)</f>
        <v>46094.072512647552</v>
      </c>
      <c r="AM815" s="102" cm="1">
        <f t="array" ref="AM815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16" spans="1:40" ht="15" customHeight="1">
      <c r="A816" t="str">
        <f>IF(WFTracker[[#This Row],[Order Number]]="SWBD", "QED2", "PZ4")</f>
        <v>PZ4</v>
      </c>
      <c r="B816" s="21" t="s">
        <v>1684</v>
      </c>
      <c r="C816" s="26" t="s">
        <v>1685</v>
      </c>
      <c r="D816" s="11" t="str">
        <f>WFTracker[[#This Row],[Order Number]]  &amp; "-" &amp; WFTracker[[#This Row],[Item]]</f>
        <v>0051460807-010720</v>
      </c>
      <c r="E816" s="23" t="s">
        <v>1033</v>
      </c>
      <c r="F816" s="12">
        <v>46108</v>
      </c>
      <c r="G816" s="12">
        <v>46101</v>
      </c>
      <c r="H816" s="11" t="s">
        <v>1686</v>
      </c>
      <c r="I816" s="11"/>
      <c r="J816" s="55" t="s">
        <v>1687</v>
      </c>
      <c r="K816" s="14" t="s">
        <v>1023</v>
      </c>
      <c r="L816" s="15" t="s">
        <v>27</v>
      </c>
      <c r="M816" s="29" t="s">
        <v>1120</v>
      </c>
      <c r="N816" s="57">
        <v>46100</v>
      </c>
      <c r="O816" s="15">
        <f>NETWORKDAYS.INTL(WFTracker[[#This Row],[Start date]],WFTracker[[#This Row],[RM]],1,Holidays!D817:D832)</f>
        <v>19</v>
      </c>
      <c r="P816" s="12">
        <v>46084</v>
      </c>
      <c r="Q816" s="12">
        <v>46091</v>
      </c>
      <c r="R816" s="12">
        <v>46092</v>
      </c>
      <c r="S816" s="12" t="b">
        <f>ISBLANK(WFTracker[[#This Row],[Completion Date]])</f>
        <v>0</v>
      </c>
      <c r="T816" s="12" t="str">
        <f>TEXT(WFTracker[[#This Row],[Start date]],"mmm-yyyy")</f>
        <v>Mar-2026</v>
      </c>
      <c r="U816" s="11">
        <v>10</v>
      </c>
      <c r="V816" s="11">
        <f>NETWORKDAYS.INTL(WFTracker[[#This Row],[Start date]],WFTracker[[#This Row],[Due date]],1,Holidays!D817:D832)</f>
        <v>6</v>
      </c>
      <c r="W81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16" s="24">
        <f ca="1">WFTracker[[#This Row],[Active Time]]-WFTracker[[#This Row],[Completion Days Template]]</f>
        <v>1</v>
      </c>
      <c r="Y816" s="16" t="str">
        <f ca="1" xml:space="preserve"> IF(WFTracker[[#This Row],[Overdue Time '[Expected-Completion']]]&gt;0, "LATE","ON TIME")</f>
        <v>LATE</v>
      </c>
      <c r="Z816" s="16" t="str">
        <f ca="1">IF(WFTracker[[#This Row],[Overdue Time '[Expected-Completion']]] &gt;= 15, "SUPER LATE", Y816)</f>
        <v>LATE</v>
      </c>
      <c r="AA816" s="37" t="str">
        <f>IF(WFTracker[[#This Row],[Pre RM Opening Time]]&lt;WFTracker[[#This Row],[Old vs New Order Lead Time WF dead line]], "LATE BY ENG", "ON TIME BY ENG")</f>
        <v>ON TIME BY ENG</v>
      </c>
      <c r="AB816" s="37"/>
      <c r="AC816" s="928" t="str" cm="1">
        <f t="array" ref="AC816">_xlfn.IFS(
    WFTracker[[#This Row],[Cancelation Cause]]&lt;&gt;"", "X",
    WFTracker[[#This Row],[Competion Date Content]] = FALSE, "C",
    TRUE, "I"
)</f>
        <v>C</v>
      </c>
      <c r="AD81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816" s="25" t="str">
        <f ca="1">IF(WFTracker[[#This Row],[Impact Time Post RM]]&gt;0, "IMPACTED", "NOT IMPACTED")</f>
        <v>NOT IMPACTED</v>
      </c>
      <c r="AF816" s="15"/>
      <c r="AG816" s="18"/>
      <c r="AH816" s="14" t="str">
        <f>IF(WFTracker[[#This Row],[Status]]="C", "Closed", IF(WFTracker[[#This Row],[Status]] = "x", "Cancelled", WFTracker[[#This Row],[Impact Time Post RM]]))</f>
        <v>Closed</v>
      </c>
      <c r="AI816" s="14" t="str">
        <f ca="1">IF(WFTracker[[#This Row],[Impact Time Post RM]]&lt;=0,"ON TIME","LATE")</f>
        <v>ON TIME</v>
      </c>
      <c r="AJ816" s="14" t="s">
        <v>984</v>
      </c>
      <c r="AK816" s="14">
        <v>18</v>
      </c>
      <c r="AL816" s="915">
        <f>IF(WFTracker[[#This Row],[Type]]="MAKE", WFTracker[[#This Row],[Due date]]+Filters!$J$111, WFTracker[[#This Row],[Due date]]+Filters!$J$135)</f>
        <v>46094.072512647552</v>
      </c>
      <c r="AM816" s="102" cm="1">
        <f t="array" ref="AM81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17" spans="1:39" ht="15" customHeight="1">
      <c r="A817" t="str">
        <f>IF(WFTracker[[#This Row],[Order Number]]="SWBD", "QED2", "PZ4")</f>
        <v>PZ4</v>
      </c>
      <c r="B817" s="21" t="s">
        <v>918</v>
      </c>
      <c r="C817" s="26" t="s">
        <v>135</v>
      </c>
      <c r="D817" s="11" t="str">
        <f>WFTracker[[#This Row],[Order Number]]  &amp; "-" &amp; WFTracker[[#This Row],[Item]]</f>
        <v>0051519925-000010</v>
      </c>
      <c r="E817" s="23" t="s">
        <v>1031</v>
      </c>
      <c r="F817" s="12">
        <v>46108</v>
      </c>
      <c r="G817" s="12">
        <v>46101</v>
      </c>
      <c r="H817" s="11" t="s">
        <v>113</v>
      </c>
      <c r="I817" s="11" t="s">
        <v>260</v>
      </c>
      <c r="J817" s="55" t="s">
        <v>922</v>
      </c>
      <c r="K817" s="14" t="s">
        <v>1017</v>
      </c>
      <c r="L817" s="15" t="s">
        <v>27</v>
      </c>
      <c r="M817" s="29" t="s">
        <v>1120</v>
      </c>
      <c r="N817" s="57">
        <v>46248</v>
      </c>
      <c r="O817" s="15">
        <f>NETWORKDAYS.INTL(WFTracker[[#This Row],[Start date]],WFTracker[[#This Row],[RM]],1,Holidays!D816:D831)</f>
        <v>19</v>
      </c>
      <c r="P817" s="12">
        <v>46084</v>
      </c>
      <c r="Q817" s="12">
        <v>46091</v>
      </c>
      <c r="R817" s="12"/>
      <c r="S817" s="12" t="b">
        <f>ISBLANK(WFTracker[[#This Row],[Completion Date]])</f>
        <v>1</v>
      </c>
      <c r="T817" s="12" t="str">
        <f>TEXT(WFTracker[[#This Row],[Start date]],"mmm-yyyy")</f>
        <v>Mar-2026</v>
      </c>
      <c r="U817" s="11">
        <v>10</v>
      </c>
      <c r="V817" s="11">
        <f>NETWORKDAYS.INTL(WFTracker[[#This Row],[Start date]],WFTracker[[#This Row],[Due date]],1,Holidays!D816:D831)</f>
        <v>6</v>
      </c>
      <c r="W81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17" s="24">
        <f ca="1">WFTracker[[#This Row],[Active Time]]-WFTracker[[#This Row],[Completion Days Template]]</f>
        <v>7</v>
      </c>
      <c r="Y817" s="16" t="str">
        <f ca="1" xml:space="preserve"> IF(WFTracker[[#This Row],[Overdue Time '[Expected-Completion']]]&gt;0, "LATE","ON TIME")</f>
        <v>LATE</v>
      </c>
      <c r="Z817" s="16" t="str">
        <f ca="1">IF(WFTracker[[#This Row],[Overdue Time '[Expected-Completion']]] &gt;= 15, "SUPER LATE", Y817)</f>
        <v>LATE</v>
      </c>
      <c r="AA817" s="37" t="str">
        <f>IF(WFTracker[[#This Row],[Pre RM Opening Time]]&lt;WFTracker[[#This Row],[Old vs New Order Lead Time WF dead line]], "LATE BY ENG", "ON TIME BY ENG")</f>
        <v>ON TIME BY ENG</v>
      </c>
      <c r="AB817" s="37"/>
      <c r="AC817" s="928" t="str" cm="1">
        <f t="array" ref="AC817">_xlfn.IFS(
    WFTracker[[#This Row],[Cancelation Cause]]&lt;&gt;"", "X",
    WFTracker[[#This Row],[Competion Date Content]] = FALSE, "C",
    TRUE, "I"
)</f>
        <v>I</v>
      </c>
      <c r="AD81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17" s="25" t="str">
        <f ca="1">IF(WFTracker[[#This Row],[Impact Time Post RM]]&gt;0, "IMPACTED", "NOT IMPACTED")</f>
        <v>NOT IMPACTED</v>
      </c>
      <c r="AF817" s="15"/>
      <c r="AG817" s="18"/>
      <c r="AH817" s="14">
        <f ca="1">IF(WFTracker[[#This Row],[Status]]="C", "Closed", IF(WFTracker[[#This Row],[Status]] = "x", "Cancelled", WFTracker[[#This Row],[Impact Time Post RM]]))</f>
        <v>-7</v>
      </c>
      <c r="AI817" s="14" t="str">
        <f ca="1">IF(WFTracker[[#This Row],[Impact Time Post RM]]&lt;=0,"ON TIME","LATE")</f>
        <v>ON TIME</v>
      </c>
      <c r="AJ817" s="14" t="s">
        <v>970</v>
      </c>
      <c r="AK817" s="14">
        <v>16</v>
      </c>
      <c r="AL817" s="915">
        <f>IF(WFTracker[[#This Row],[Type]]="MAKE", WFTracker[[#This Row],[Due date]]+Filters!$J$111, WFTracker[[#This Row],[Due date]]+Filters!$J$135)</f>
        <v>46094.072512647552</v>
      </c>
      <c r="AM817" s="102" cm="1">
        <f t="array" ref="AM817">_xlfn.IFS(WFTracker[[#This Row],[Type]]="BUY", WFTracker[[#This Row],[Task Number]]/17,
     WFTracker[[#This Row],[Type]]="MAKE", WFTracker[[#This Row],[Task Number]]/18,
     WFTracker[[#This Row],[Type]]="CNG-BOM", WFTracker[[#This Row],[Task Number]]/11)</f>
        <v>0.88888888888888884</v>
      </c>
    </row>
    <row r="818" spans="1:39" ht="15" customHeight="1">
      <c r="A818" t="str">
        <f>IF(WFTracker[[#This Row],[Order Number]]="SWBD", "QED2", "PZ4")</f>
        <v>PZ4</v>
      </c>
      <c r="B818" s="21" t="s">
        <v>490</v>
      </c>
      <c r="C818" s="26" t="s">
        <v>141</v>
      </c>
      <c r="D818" s="11" t="str">
        <f>WFTracker[[#This Row],[Order Number]]  &amp; "-" &amp; WFTracker[[#This Row],[Item]]</f>
        <v>0051442285-000110</v>
      </c>
      <c r="E818" s="23" t="s">
        <v>491</v>
      </c>
      <c r="F818" s="12">
        <v>46087</v>
      </c>
      <c r="G818" s="12"/>
      <c r="H818" s="11" t="s">
        <v>113</v>
      </c>
      <c r="I818" s="11" t="s">
        <v>593</v>
      </c>
      <c r="J818" s="55" t="s">
        <v>1688</v>
      </c>
      <c r="K818" s="14" t="s">
        <v>1023</v>
      </c>
      <c r="L818" s="15" t="s">
        <v>40</v>
      </c>
      <c r="M818" s="29" t="s">
        <v>1120</v>
      </c>
      <c r="N818" s="57">
        <v>46142</v>
      </c>
      <c r="O818" s="15">
        <f>NETWORKDAYS.INTL(WFTracker[[#This Row],[Start date]],WFTracker[[#This Row],[RM]],1,Holidays!D821:D836)</f>
        <v>3</v>
      </c>
      <c r="P818" s="12">
        <v>46085</v>
      </c>
      <c r="Q818" s="12">
        <v>46099</v>
      </c>
      <c r="R818" s="12">
        <v>46093</v>
      </c>
      <c r="S818" s="12" t="b">
        <f>ISBLANK(WFTracker[[#This Row],[Completion Date]])</f>
        <v>0</v>
      </c>
      <c r="T818" s="12" t="str">
        <f>TEXT(WFTracker[[#This Row],[Start date]],"mmm-yyyy")</f>
        <v>Mar-2026</v>
      </c>
      <c r="U818" s="11">
        <v>10</v>
      </c>
      <c r="V818" s="11">
        <f>NETWORKDAYS.INTL(WFTracker[[#This Row],[Start date]],WFTracker[[#This Row],[Due date]],1,Holidays!D821:D836)</f>
        <v>11</v>
      </c>
      <c r="W81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18" s="24">
        <f ca="1">WFTracker[[#This Row],[Active Time]]-WFTracker[[#This Row],[Completion Days Template]]</f>
        <v>-4</v>
      </c>
      <c r="Y818" s="16" t="str">
        <f ca="1" xml:space="preserve"> IF(WFTracker[[#This Row],[Overdue Time '[Expected-Completion']]]&gt;0, "LATE","ON TIME")</f>
        <v>ON TIME</v>
      </c>
      <c r="Z818" s="16" t="str">
        <f ca="1">IF(WFTracker[[#This Row],[Overdue Time '[Expected-Completion']]] &gt;= 15, "SUPER LATE", Y818)</f>
        <v>ON TIME</v>
      </c>
      <c r="AA818" s="37" t="str">
        <f>IF(WFTracker[[#This Row],[Pre RM Opening Time]]&lt;WFTracker[[#This Row],[Old vs New Order Lead Time WF dead line]], "LATE BY ENG", "ON TIME BY ENG")</f>
        <v>LATE BY ENG</v>
      </c>
      <c r="AB818" s="37"/>
      <c r="AC818" s="928" t="str" cm="1">
        <f t="array" ref="AC818">_xlfn.IFS(
    WFTracker[[#This Row],[Cancelation Cause]]&lt;&gt;"", "X",
    WFTracker[[#This Row],[Competion Date Content]] = FALSE, "C",
    TRUE, "I"
)</f>
        <v>C</v>
      </c>
      <c r="AD81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5</v>
      </c>
      <c r="AE818" s="25" t="str">
        <f ca="1">IF(WFTracker[[#This Row],[Impact Time Post RM]]&gt;0, "IMPACTED", "NOT IMPACTED")</f>
        <v>IMPACTED</v>
      </c>
      <c r="AF818" s="15"/>
      <c r="AG818" s="18"/>
      <c r="AH818" s="14" t="str">
        <f>IF(WFTracker[[#This Row],[Status]]="C", "Closed", IF(WFTracker[[#This Row],[Status]] = "x", "Cancelled", WFTracker[[#This Row],[Impact Time Post RM]]))</f>
        <v>Closed</v>
      </c>
      <c r="AI818" s="14" t="str">
        <f ca="1">IF(WFTracker[[#This Row],[Impact Time Post RM]]&lt;=0,"ON TIME","LATE")</f>
        <v>LATE</v>
      </c>
      <c r="AJ818" s="14" t="s">
        <v>984</v>
      </c>
      <c r="AK818" s="14">
        <v>16</v>
      </c>
      <c r="AL818" s="915">
        <f>IF(WFTracker[[#This Row],[Type]]="MAKE", WFTracker[[#This Row],[Due date]]+Filters!$J$111, WFTracker[[#This Row],[Due date]]+Filters!$J$135)</f>
        <v>46099.415686274508</v>
      </c>
      <c r="AM818" s="102" cm="1">
        <f t="array" ref="AM818">_xlfn.IFS(WFTracker[[#This Row],[Type]]="BUY", WFTracker[[#This Row],[Task Number]]/17,
     WFTracker[[#This Row],[Type]]="MAKE", WFTracker[[#This Row],[Task Number]]/18,
     WFTracker[[#This Row],[Type]]="CNG-BOM", WFTracker[[#This Row],[Task Number]]/11)</f>
        <v>0.94117647058823528</v>
      </c>
    </row>
    <row r="819" spans="1:39" ht="15" customHeight="1">
      <c r="A819" t="str">
        <f>IF(WFTracker[[#This Row],[Order Number]]="SWBD", "QED2", "PZ4")</f>
        <v>PZ4</v>
      </c>
      <c r="B819" s="21" t="s">
        <v>490</v>
      </c>
      <c r="C819" s="26" t="s">
        <v>141</v>
      </c>
      <c r="D819" s="11" t="str">
        <f>WFTracker[[#This Row],[Order Number]]  &amp; "-" &amp; WFTracker[[#This Row],[Item]]</f>
        <v>0051442285-000110</v>
      </c>
      <c r="E819" s="23" t="s">
        <v>491</v>
      </c>
      <c r="F819" s="27">
        <v>46087</v>
      </c>
      <c r="G819" s="12"/>
      <c r="H819" s="11" t="s">
        <v>113</v>
      </c>
      <c r="I819" s="11" t="s">
        <v>111</v>
      </c>
      <c r="J819" s="55" t="s">
        <v>927</v>
      </c>
      <c r="K819" s="14" t="s">
        <v>1017</v>
      </c>
      <c r="L819" s="15" t="s">
        <v>27</v>
      </c>
      <c r="M819" s="29" t="s">
        <v>1120</v>
      </c>
      <c r="N819" s="57">
        <v>46135</v>
      </c>
      <c r="O819" s="15">
        <f>NETWORKDAYS.INTL(WFTracker[[#This Row],[Start date]],WFTracker[[#This Row],[RM]],1,Holidays!D823:D838)</f>
        <v>3</v>
      </c>
      <c r="P819" s="12">
        <v>46085</v>
      </c>
      <c r="Q819" s="12">
        <v>46093</v>
      </c>
      <c r="R819" s="12">
        <v>46091</v>
      </c>
      <c r="S819" s="12" t="b">
        <f>ISBLANK(WFTracker[[#This Row],[Completion Date]])</f>
        <v>0</v>
      </c>
      <c r="T819" s="12" t="str">
        <f>TEXT(WFTracker[[#This Row],[Start date]],"mmm-yyyy")</f>
        <v>Mar-2026</v>
      </c>
      <c r="U819" s="11">
        <v>10</v>
      </c>
      <c r="V819" s="11">
        <f>NETWORKDAYS.INTL(WFTracker[[#This Row],[Start date]],WFTracker[[#This Row],[Due date]],1,Holidays!D823:D838)</f>
        <v>7</v>
      </c>
      <c r="W81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19" s="24">
        <f ca="1">WFTracker[[#This Row],[Active Time]]-WFTracker[[#This Row],[Completion Days Template]]</f>
        <v>-2</v>
      </c>
      <c r="Y819" s="16" t="str">
        <f ca="1" xml:space="preserve"> IF(WFTracker[[#This Row],[Overdue Time '[Expected-Completion']]]&gt;0, "LATE","ON TIME")</f>
        <v>ON TIME</v>
      </c>
      <c r="Z819" s="16" t="str">
        <f ca="1">IF(WFTracker[[#This Row],[Overdue Time '[Expected-Completion']]] &gt;= 15, "SUPER LATE", Y819)</f>
        <v>ON TIME</v>
      </c>
      <c r="AA819" s="37" t="str">
        <f>IF(WFTracker[[#This Row],[Pre RM Opening Time]]&lt;WFTracker[[#This Row],[Old vs New Order Lead Time WF dead line]], "LATE BY ENG", "ON TIME BY ENG")</f>
        <v>LATE BY ENG</v>
      </c>
      <c r="AB819" s="37"/>
      <c r="AC819" s="928" t="str" cm="1">
        <f t="array" ref="AC819">_xlfn.IFS(
    WFTracker[[#This Row],[Cancelation Cause]]&lt;&gt;"", "X",
    WFTracker[[#This Row],[Competion Date Content]] = FALSE, "C",
    TRUE, "I"
)</f>
        <v>C</v>
      </c>
      <c r="AD81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819" s="25" t="str">
        <f ca="1">IF(WFTracker[[#This Row],[Impact Time Post RM]]&gt;0, "IMPACTED", "NOT IMPACTED")</f>
        <v>IMPACTED</v>
      </c>
      <c r="AF819" s="15"/>
      <c r="AG819" s="18"/>
      <c r="AH819" s="14" t="str">
        <f>IF(WFTracker[[#This Row],[Status]]="C", "Closed", IF(WFTracker[[#This Row],[Status]] = "x", "Cancelled", WFTracker[[#This Row],[Impact Time Post RM]]))</f>
        <v>Closed</v>
      </c>
      <c r="AI819" s="14" t="str">
        <f ca="1">IF(WFTracker[[#This Row],[Impact Time Post RM]]&lt;=0,"ON TIME","LATE")</f>
        <v>LATE</v>
      </c>
      <c r="AJ819" s="14" t="s">
        <v>984</v>
      </c>
      <c r="AK819" s="14">
        <v>18</v>
      </c>
      <c r="AL819" s="915">
        <f>IF(WFTracker[[#This Row],[Type]]="MAKE", WFTracker[[#This Row],[Due date]]+Filters!$J$111, WFTracker[[#This Row],[Due date]]+Filters!$J$135)</f>
        <v>46096.072512647552</v>
      </c>
      <c r="AM819" s="102" cm="1">
        <f t="array" ref="AM81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0" spans="1:39" ht="15" customHeight="1">
      <c r="A820" t="str">
        <f>IF(WFTracker[[#This Row],[Order Number]]="SWBD", "QED2", "PZ4")</f>
        <v>PZ4</v>
      </c>
      <c r="B820" s="21" t="s">
        <v>1684</v>
      </c>
      <c r="C820" s="26" t="s">
        <v>1685</v>
      </c>
      <c r="D820" s="11" t="str">
        <f>WFTracker[[#This Row],[Order Number]]  &amp; "-" &amp; WFTracker[[#This Row],[Item]]</f>
        <v>0051460807-010720</v>
      </c>
      <c r="E820" s="23" t="s">
        <v>1033</v>
      </c>
      <c r="F820" s="1339">
        <v>46108</v>
      </c>
      <c r="G820" s="1339">
        <v>46101</v>
      </c>
      <c r="H820" s="11" t="s">
        <v>1686</v>
      </c>
      <c r="I820" s="11"/>
      <c r="J820" s="55" t="s">
        <v>1689</v>
      </c>
      <c r="K820" s="14" t="s">
        <v>1023</v>
      </c>
      <c r="L820" s="15" t="s">
        <v>40</v>
      </c>
      <c r="M820" s="29" t="s">
        <v>1120</v>
      </c>
      <c r="N820" s="57">
        <v>46100</v>
      </c>
      <c r="O820" s="15">
        <f>NETWORKDAYS.INTL(WFTracker[[#This Row],[Start date]],WFTracker[[#This Row],[RM]],1,Holidays!D818:D833)</f>
        <v>19</v>
      </c>
      <c r="P820" s="12">
        <v>46084</v>
      </c>
      <c r="Q820" s="12">
        <v>46091</v>
      </c>
      <c r="R820" s="12"/>
      <c r="S820" s="12" t="b">
        <f>ISBLANK(WFTracker[[#This Row],[Completion Date]])</f>
        <v>1</v>
      </c>
      <c r="T820" s="12" t="str">
        <f>TEXT(WFTracker[[#This Row],[Start date]],"mmm-yyyy")</f>
        <v>Mar-2026</v>
      </c>
      <c r="U820" s="11">
        <v>10</v>
      </c>
      <c r="V820" s="11">
        <f>NETWORKDAYS.INTL(WFTracker[[#This Row],[Start date]],WFTracker[[#This Row],[Due date]],1,Holidays!D818:D833)</f>
        <v>6</v>
      </c>
      <c r="W82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13</v>
      </c>
      <c r="X820" s="24">
        <f ca="1">WFTracker[[#This Row],[Active Time]]-WFTracker[[#This Row],[Completion Days Template]]</f>
        <v>7</v>
      </c>
      <c r="Y820" s="16" t="str">
        <f ca="1" xml:space="preserve"> IF(WFTracker[[#This Row],[Overdue Time '[Expected-Completion']]]&gt;0, "LATE","ON TIME")</f>
        <v>LATE</v>
      </c>
      <c r="Z820" s="16" t="str">
        <f ca="1">IF(WFTracker[[#This Row],[Overdue Time '[Expected-Completion']]] &gt;= 15, "SUPER LATE", Y820)</f>
        <v>LATE</v>
      </c>
      <c r="AA820" s="37" t="str">
        <f>IF(WFTracker[[#This Row],[Pre RM Opening Time]]&lt;WFTracker[[#This Row],[Old vs New Order Lead Time WF dead line]], "LATE BY ENG", "ON TIME BY ENG")</f>
        <v>ON TIME BY ENG</v>
      </c>
      <c r="AB820" s="37"/>
      <c r="AC820" s="928" t="str" cm="1">
        <f t="array" ref="AC820">_xlfn.IFS(
    WFTracker[[#This Row],[Cancelation Cause]]&lt;&gt;"", "X",
    WFTracker[[#This Row],[Competion Date Content]] = FALSE, "C",
    TRUE, "I"
)</f>
        <v>I</v>
      </c>
      <c r="AD82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20" s="25" t="str">
        <f ca="1">IF(WFTracker[[#This Row],[Impact Time Post RM]]&gt;0, "IMPACTED", "NOT IMPACTED")</f>
        <v>NOT IMPACTED</v>
      </c>
      <c r="AF820" s="15"/>
      <c r="AG820" s="18"/>
      <c r="AH820" s="14">
        <f ca="1">IF(WFTracker[[#This Row],[Status]]="C", "Closed", IF(WFTracker[[#This Row],[Status]] = "x", "Cancelled", WFTracker[[#This Row],[Impact Time Post RM]]))</f>
        <v>-7</v>
      </c>
      <c r="AI820" s="14" t="str">
        <f ca="1">IF(WFTracker[[#This Row],[Impact Time Post RM]]&lt;=0,"ON TIME","LATE")</f>
        <v>ON TIME</v>
      </c>
      <c r="AJ820" s="14" t="s">
        <v>970</v>
      </c>
      <c r="AK820" s="14">
        <v>4</v>
      </c>
      <c r="AL820" s="915">
        <f>IF(WFTracker[[#This Row],[Type]]="MAKE", WFTracker[[#This Row],[Due date]]+Filters!$J$111, WFTracker[[#This Row],[Due date]]+Filters!$J$135)</f>
        <v>46091.415686274508</v>
      </c>
      <c r="AM820" s="102" cm="1">
        <f t="array" ref="AM820">_xlfn.IFS(WFTracker[[#This Row],[Type]]="BUY", WFTracker[[#This Row],[Task Number]]/17,
     WFTracker[[#This Row],[Type]]="MAKE", WFTracker[[#This Row],[Task Number]]/18,
     WFTracker[[#This Row],[Type]]="CNG-BOM", WFTracker[[#This Row],[Task Number]]/11)</f>
        <v>0.23529411764705882</v>
      </c>
    </row>
    <row r="821" spans="1:39" ht="15" customHeight="1">
      <c r="A821" t="str">
        <f>IF(WFTracker[[#This Row],[Order Number]]="SWBD", "QED2", "PZ4")</f>
        <v>PZ4</v>
      </c>
      <c r="B821" s="21" t="s">
        <v>918</v>
      </c>
      <c r="C821" s="26" t="s">
        <v>135</v>
      </c>
      <c r="D821" s="11" t="str">
        <f>WFTracker[[#This Row],[Order Number]]  &amp; "-" &amp; WFTracker[[#This Row],[Item]]</f>
        <v>0051519925-000010</v>
      </c>
      <c r="E821" s="23" t="s">
        <v>1031</v>
      </c>
      <c r="F821" s="12">
        <v>46108</v>
      </c>
      <c r="G821" s="12">
        <v>46101</v>
      </c>
      <c r="H821" s="11" t="s">
        <v>113</v>
      </c>
      <c r="I821" s="11" t="s">
        <v>260</v>
      </c>
      <c r="J821" s="55" t="s">
        <v>923</v>
      </c>
      <c r="K821" s="14" t="s">
        <v>1017</v>
      </c>
      <c r="L821" s="15" t="s">
        <v>27</v>
      </c>
      <c r="M821" s="29" t="s">
        <v>1120</v>
      </c>
      <c r="N821" s="57">
        <v>46241</v>
      </c>
      <c r="O821" s="15">
        <f>NETWORKDAYS.INTL(WFTracker[[#This Row],[Start date]],WFTracker[[#This Row],[RM]],1,Holidays!D822:D837)</f>
        <v>18</v>
      </c>
      <c r="P821" s="12">
        <v>46085</v>
      </c>
      <c r="Q821" s="12">
        <v>46093</v>
      </c>
      <c r="R821" s="12">
        <v>46092</v>
      </c>
      <c r="S821" s="12" t="b">
        <f>ISBLANK(WFTracker[[#This Row],[Completion Date]])</f>
        <v>0</v>
      </c>
      <c r="T821" s="12" t="str">
        <f>TEXT(WFTracker[[#This Row],[Start date]],"mmm-yyyy")</f>
        <v>Mar-2026</v>
      </c>
      <c r="U821" s="11">
        <v>10</v>
      </c>
      <c r="V821" s="11">
        <f>NETWORKDAYS.INTL(WFTracker[[#This Row],[Start date]],WFTracker[[#This Row],[Due date]],1,Holidays!D822:D837)</f>
        <v>7</v>
      </c>
      <c r="W82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821" s="24">
        <f ca="1">WFTracker[[#This Row],[Active Time]]-WFTracker[[#This Row],[Completion Days Template]]</f>
        <v>-1</v>
      </c>
      <c r="Y821" s="16" t="str">
        <f ca="1" xml:space="preserve"> IF(WFTracker[[#This Row],[Overdue Time '[Expected-Completion']]]&gt;0, "LATE","ON TIME")</f>
        <v>ON TIME</v>
      </c>
      <c r="Z821" s="16" t="str">
        <f ca="1">IF(WFTracker[[#This Row],[Overdue Time '[Expected-Completion']]] &gt;= 15, "SUPER LATE", Y821)</f>
        <v>ON TIME</v>
      </c>
      <c r="AA821" s="37" t="str">
        <f>IF(WFTracker[[#This Row],[Pre RM Opening Time]]&lt;WFTracker[[#This Row],[Old vs New Order Lead Time WF dead line]], "LATE BY ENG", "ON TIME BY ENG")</f>
        <v>ON TIME BY ENG</v>
      </c>
      <c r="AB821" s="37"/>
      <c r="AC821" s="928" t="str" cm="1">
        <f t="array" ref="AC821">_xlfn.IFS(
    WFTracker[[#This Row],[Cancelation Cause]]&lt;&gt;"", "X",
    WFTracker[[#This Row],[Competion Date Content]] = FALSE, "C",
    TRUE, "I"
)</f>
        <v>C</v>
      </c>
      <c r="AD82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821" s="25" t="str">
        <f ca="1">IF(WFTracker[[#This Row],[Impact Time Post RM]]&gt;0, "IMPACTED", "NOT IMPACTED")</f>
        <v>NOT IMPACTED</v>
      </c>
      <c r="AF821" s="15"/>
      <c r="AG821" s="18"/>
      <c r="AH821" s="14" t="str">
        <f>IF(WFTracker[[#This Row],[Status]]="C", "Closed", IF(WFTracker[[#This Row],[Status]] = "x", "Cancelled", WFTracker[[#This Row],[Impact Time Post RM]]))</f>
        <v>Closed</v>
      </c>
      <c r="AI821" s="14" t="str">
        <f ca="1">IF(WFTracker[[#This Row],[Impact Time Post RM]]&lt;=0,"ON TIME","LATE")</f>
        <v>ON TIME</v>
      </c>
      <c r="AJ821" s="14" t="s">
        <v>984</v>
      </c>
      <c r="AK821" s="14">
        <v>18</v>
      </c>
      <c r="AL821" s="915">
        <f>IF(WFTracker[[#This Row],[Type]]="MAKE", WFTracker[[#This Row],[Due date]]+Filters!$J$111, WFTracker[[#This Row],[Due date]]+Filters!$J$135)</f>
        <v>46096.072512647552</v>
      </c>
      <c r="AM821" s="102" cm="1">
        <f t="array" ref="AM821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2" spans="1:39" ht="15" customHeight="1">
      <c r="A822" t="str">
        <f>IF(WFTracker[[#This Row],[Order Number]]="SWBD", "QED2", "PZ4")</f>
        <v>PZ4</v>
      </c>
      <c r="B822" s="21" t="s">
        <v>826</v>
      </c>
      <c r="C822" s="26" t="s">
        <v>882</v>
      </c>
      <c r="D822" s="11" t="str">
        <f>WFTracker[[#This Row],[Order Number]]  &amp; "-" &amp; WFTracker[[#This Row],[Item]]</f>
        <v>0050384250-001230</v>
      </c>
      <c r="E822" s="23" t="s">
        <v>1027</v>
      </c>
      <c r="F822" s="12">
        <v>46094</v>
      </c>
      <c r="G822" s="12">
        <v>46087</v>
      </c>
      <c r="H822" s="11" t="s">
        <v>237</v>
      </c>
      <c r="I822" s="11" t="s">
        <v>593</v>
      </c>
      <c r="J822" s="55" t="s">
        <v>1690</v>
      </c>
      <c r="K822" s="14" t="s">
        <v>1017</v>
      </c>
      <c r="L822" s="15" t="s">
        <v>27</v>
      </c>
      <c r="M822" s="29" t="s">
        <v>1120</v>
      </c>
      <c r="N822" s="57">
        <v>46089</v>
      </c>
      <c r="O822" s="15">
        <f>NETWORKDAYS.INTL(WFTracker[[#This Row],[Start date]],WFTracker[[#This Row],[RM]],1,Holidays!D826:D841)</f>
        <v>7</v>
      </c>
      <c r="P822" s="12">
        <v>46086</v>
      </c>
      <c r="Q822" s="12">
        <v>46094</v>
      </c>
      <c r="R822" s="12">
        <v>46092</v>
      </c>
      <c r="S822" s="12" t="b">
        <f>ISBLANK(WFTracker[[#This Row],[Completion Date]])</f>
        <v>0</v>
      </c>
      <c r="T822" s="12" t="str">
        <f>TEXT(WFTracker[[#This Row],[Start date]],"mmm-yyyy")</f>
        <v>Mar-2026</v>
      </c>
      <c r="U822" s="11">
        <v>10</v>
      </c>
      <c r="V822" s="11">
        <f>NETWORKDAYS.INTL(WFTracker[[#This Row],[Start date]],WFTracker[[#This Row],[Due date]],1,Holidays!D826:D841)</f>
        <v>7</v>
      </c>
      <c r="W82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22" s="24">
        <f ca="1">WFTracker[[#This Row],[Active Time]]-WFTracker[[#This Row],[Completion Days Template]]</f>
        <v>-2</v>
      </c>
      <c r="Y822" s="16" t="str">
        <f ca="1" xml:space="preserve"> IF(WFTracker[[#This Row],[Overdue Time '[Expected-Completion']]]&gt;0, "LATE","ON TIME")</f>
        <v>ON TIME</v>
      </c>
      <c r="Z822" s="16" t="str">
        <f ca="1">IF(WFTracker[[#This Row],[Overdue Time '[Expected-Completion']]] &gt;= 15, "SUPER LATE", Y822)</f>
        <v>ON TIME</v>
      </c>
      <c r="AA822" s="37" t="str">
        <f>IF(WFTracker[[#This Row],[Pre RM Opening Time]]&lt;WFTracker[[#This Row],[Old vs New Order Lead Time WF dead line]], "LATE BY ENG", "ON TIME BY ENG")</f>
        <v>LATE BY ENG</v>
      </c>
      <c r="AB822" s="37"/>
      <c r="AC822" s="928" t="str" cm="1">
        <f t="array" ref="AC822">_xlfn.IFS(
    WFTracker[[#This Row],[Cancelation Cause]]&lt;&gt;"", "X",
    WFTracker[[#This Row],[Competion Date Content]] = FALSE, "C",
    TRUE, "I"
)</f>
        <v>C</v>
      </c>
      <c r="AD82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822" s="25" t="str">
        <f ca="1">IF(WFTracker[[#This Row],[Impact Time Post RM]]&gt;0, "IMPACTED", "NOT IMPACTED")</f>
        <v>NOT IMPACTED</v>
      </c>
      <c r="AF822" s="15"/>
      <c r="AG822" s="18"/>
      <c r="AH822" s="14" t="str">
        <f>IF(WFTracker[[#This Row],[Status]]="C", "Closed", IF(WFTracker[[#This Row],[Status]] = "x", "Cancelled", WFTracker[[#This Row],[Impact Time Post RM]]))</f>
        <v>Closed</v>
      </c>
      <c r="AI822" s="14" t="str">
        <f ca="1">IF(WFTracker[[#This Row],[Impact Time Post RM]]&lt;=0,"ON TIME","LATE")</f>
        <v>ON TIME</v>
      </c>
      <c r="AJ822" s="14" t="s">
        <v>984</v>
      </c>
      <c r="AK822" s="14">
        <v>18</v>
      </c>
      <c r="AL822" s="915">
        <f>IF(WFTracker[[#This Row],[Type]]="MAKE", WFTracker[[#This Row],[Due date]]+Filters!$J$111, WFTracker[[#This Row],[Due date]]+Filters!$J$135)</f>
        <v>46097.072512647552</v>
      </c>
      <c r="AM822" s="102" cm="1">
        <f t="array" ref="AM822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3" spans="1:39" ht="15" customHeight="1">
      <c r="A823" t="str">
        <f>IF(WFTracker[[#This Row],[Order Number]]="SWBD", "QED2", "PZ4")</f>
        <v>PZ4</v>
      </c>
      <c r="B823" s="21" t="s">
        <v>918</v>
      </c>
      <c r="C823" s="26" t="s">
        <v>135</v>
      </c>
      <c r="D823" s="11" t="str">
        <f>WFTracker[[#This Row],[Order Number]]  &amp; "-" &amp; WFTracker[[#This Row],[Item]]</f>
        <v>0051519925-000010</v>
      </c>
      <c r="E823" s="23" t="s">
        <v>1031</v>
      </c>
      <c r="F823" s="12">
        <v>46108</v>
      </c>
      <c r="G823" s="12">
        <v>46101</v>
      </c>
      <c r="H823" s="11" t="s">
        <v>113</v>
      </c>
      <c r="I823" s="11" t="s">
        <v>260</v>
      </c>
      <c r="J823" s="55" t="s">
        <v>1691</v>
      </c>
      <c r="K823" s="14" t="s">
        <v>1023</v>
      </c>
      <c r="L823" s="15" t="s">
        <v>27</v>
      </c>
      <c r="M823" s="29" t="s">
        <v>1120</v>
      </c>
      <c r="N823" s="57">
        <v>46241</v>
      </c>
      <c r="O823" s="15">
        <f>NETWORKDAYS.INTL(WFTracker[[#This Row],[Start date]],WFTracker[[#This Row],[RM]],1,Holidays!D820:D835)</f>
        <v>18</v>
      </c>
      <c r="P823" s="12">
        <v>46085</v>
      </c>
      <c r="Q823" s="12">
        <v>46092</v>
      </c>
      <c r="R823" s="12"/>
      <c r="S823" s="12" t="b">
        <f>ISBLANK(WFTracker[[#This Row],[Completion Date]])</f>
        <v>1</v>
      </c>
      <c r="T823" s="12" t="str">
        <f>TEXT(WFTracker[[#This Row],[Start date]],"mmm-yyyy")</f>
        <v>Mar-2026</v>
      </c>
      <c r="U823" s="11">
        <v>10</v>
      </c>
      <c r="V823" s="11">
        <f>NETWORKDAYS.INTL(WFTracker[[#This Row],[Start date]],WFTracker[[#This Row],[Due date]],1,Holidays!D820:D835)</f>
        <v>6</v>
      </c>
      <c r="W82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12</v>
      </c>
      <c r="X823" s="24">
        <f ca="1">WFTracker[[#This Row],[Active Time]]-WFTracker[[#This Row],[Completion Days Template]]</f>
        <v>6</v>
      </c>
      <c r="Y823" s="16" t="str">
        <f ca="1" xml:space="preserve"> IF(WFTracker[[#This Row],[Overdue Time '[Expected-Completion']]]&gt;0, "LATE","ON TIME")</f>
        <v>LATE</v>
      </c>
      <c r="Z823" s="16" t="str">
        <f ca="1">IF(WFTracker[[#This Row],[Overdue Time '[Expected-Completion']]] &gt;= 15, "SUPER LATE", Y823)</f>
        <v>LATE</v>
      </c>
      <c r="AA823" s="37" t="str">
        <f>IF(WFTracker[[#This Row],[Pre RM Opening Time]]&lt;WFTracker[[#This Row],[Old vs New Order Lead Time WF dead line]], "LATE BY ENG", "ON TIME BY ENG")</f>
        <v>ON TIME BY ENG</v>
      </c>
      <c r="AB823" s="37"/>
      <c r="AC823" s="928" t="str" cm="1">
        <f t="array" ref="AC823">_xlfn.IFS(
    WFTracker[[#This Row],[Cancelation Cause]]&lt;&gt;"", "X",
    WFTracker[[#This Row],[Competion Date Content]] = FALSE, "C",
    TRUE, "I"
)</f>
        <v>I</v>
      </c>
      <c r="AD82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23" s="25" t="str">
        <f ca="1">IF(WFTracker[[#This Row],[Impact Time Post RM]]&gt;0, "IMPACTED", "NOT IMPACTED")</f>
        <v>NOT IMPACTED</v>
      </c>
      <c r="AF823" s="15"/>
      <c r="AG823" s="18"/>
      <c r="AH823" s="14">
        <f ca="1">IF(WFTracker[[#This Row],[Status]]="C", "Closed", IF(WFTracker[[#This Row],[Status]] = "x", "Cancelled", WFTracker[[#This Row],[Impact Time Post RM]]))</f>
        <v>-7</v>
      </c>
      <c r="AI823" s="14" t="str">
        <f ca="1">IF(WFTracker[[#This Row],[Impact Time Post RM]]&lt;=0,"ON TIME","LATE")</f>
        <v>ON TIME</v>
      </c>
      <c r="AJ823" s="14" t="s">
        <v>977</v>
      </c>
      <c r="AK823" s="14">
        <v>12</v>
      </c>
      <c r="AL823" s="915">
        <f>IF(WFTracker[[#This Row],[Type]]="MAKE", WFTracker[[#This Row],[Due date]]+Filters!$J$111, WFTracker[[#This Row],[Due date]]+Filters!$J$135)</f>
        <v>46095.072512647552</v>
      </c>
      <c r="AM823" s="102" cm="1">
        <f t="array" ref="AM823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24" spans="1:39" ht="15" customHeight="1">
      <c r="A824" t="str">
        <f>IF(WFTracker[[#This Row],[Order Number]]="SWBD", "QED2", "PZ4")</f>
        <v>PZ4</v>
      </c>
      <c r="B824" s="21" t="s">
        <v>866</v>
      </c>
      <c r="C824" s="26" t="s">
        <v>928</v>
      </c>
      <c r="D824" s="11" t="str">
        <f>WFTracker[[#This Row],[Order Number]]  &amp; "-" &amp; WFTracker[[#This Row],[Item]]</f>
        <v>0051733188-000390</v>
      </c>
      <c r="E824" s="23" t="s">
        <v>1028</v>
      </c>
      <c r="F824" s="12">
        <v>46097</v>
      </c>
      <c r="G824" s="12">
        <v>46094</v>
      </c>
      <c r="H824" s="11" t="s">
        <v>104</v>
      </c>
      <c r="I824" s="11" t="s">
        <v>186</v>
      </c>
      <c r="J824" s="55" t="s">
        <v>929</v>
      </c>
      <c r="K824" s="14" t="s">
        <v>1017</v>
      </c>
      <c r="L824" s="15" t="s">
        <v>27</v>
      </c>
      <c r="M824" s="29" t="s">
        <v>1120</v>
      </c>
      <c r="N824" s="57">
        <v>46224</v>
      </c>
      <c r="O824" s="15">
        <f>NETWORKDAYS.INTL(WFTracker[[#This Row],[Start date]],WFTracker[[#This Row],[RM]],1,Holidays!D824:D839)</f>
        <v>8</v>
      </c>
      <c r="P824" s="12">
        <v>46086</v>
      </c>
      <c r="Q824" s="12">
        <v>46093</v>
      </c>
      <c r="R824" s="12">
        <v>46093</v>
      </c>
      <c r="S824" s="12" t="b">
        <f>ISBLANK(WFTracker[[#This Row],[Completion Date]])</f>
        <v>0</v>
      </c>
      <c r="T824" s="12" t="str">
        <f>TEXT(WFTracker[[#This Row],[Start date]],"mmm-yyyy")</f>
        <v>Mar-2026</v>
      </c>
      <c r="U824" s="11">
        <v>10</v>
      </c>
      <c r="V824" s="11">
        <f>NETWORKDAYS.INTL(WFTracker[[#This Row],[Start date]],WFTracker[[#This Row],[Due date]],1,Holidays!D824:D839)</f>
        <v>6</v>
      </c>
      <c r="W82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824" s="24">
        <f ca="1">WFTracker[[#This Row],[Active Time]]-WFTracker[[#This Row],[Completion Days Template]]</f>
        <v>0</v>
      </c>
      <c r="Y824" s="16" t="str">
        <f ca="1" xml:space="preserve"> IF(WFTracker[[#This Row],[Overdue Time '[Expected-Completion']]]&gt;0, "LATE","ON TIME")</f>
        <v>ON TIME</v>
      </c>
      <c r="Z824" s="16" t="str">
        <f ca="1">IF(WFTracker[[#This Row],[Overdue Time '[Expected-Completion']]] &gt;= 15, "SUPER LATE", Y824)</f>
        <v>ON TIME</v>
      </c>
      <c r="AA824" s="37" t="str">
        <f>IF(WFTracker[[#This Row],[Pre RM Opening Time]]&lt;WFTracker[[#This Row],[Old vs New Order Lead Time WF dead line]], "LATE BY ENG", "ON TIME BY ENG")</f>
        <v>LATE BY ENG</v>
      </c>
      <c r="AB824" s="37"/>
      <c r="AC824" s="928" t="str" cm="1">
        <f t="array" ref="AC824">_xlfn.IFS(
    WFTracker[[#This Row],[Cancelation Cause]]&lt;&gt;"", "X",
    WFTracker[[#This Row],[Competion Date Content]] = FALSE, "C",
    TRUE, "I"
)</f>
        <v>C</v>
      </c>
      <c r="AD82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-3</v>
      </c>
      <c r="AE824" s="25" t="str">
        <f ca="1">IF(WFTracker[[#This Row],[Impact Time Post RM]]&gt;0, "IMPACTED", "NOT IMPACTED")</f>
        <v>NOT IMPACTED</v>
      </c>
      <c r="AF824" s="15"/>
      <c r="AG824" s="18"/>
      <c r="AH824" s="14" t="str">
        <f>IF(WFTracker[[#This Row],[Status]]="C", "Closed", IF(WFTracker[[#This Row],[Status]] = "x", "Cancelled", WFTracker[[#This Row],[Impact Time Post RM]]))</f>
        <v>Closed</v>
      </c>
      <c r="AI824" s="14" t="str">
        <f ca="1">IF(WFTracker[[#This Row],[Impact Time Post RM]]&lt;=0,"ON TIME","LATE")</f>
        <v>ON TIME</v>
      </c>
      <c r="AJ824" s="14" t="s">
        <v>984</v>
      </c>
      <c r="AK824" s="14">
        <v>18</v>
      </c>
      <c r="AL824" s="915">
        <f>IF(WFTracker[[#This Row],[Type]]="MAKE", WFTracker[[#This Row],[Due date]]+Filters!$J$111, WFTracker[[#This Row],[Due date]]+Filters!$J$135)</f>
        <v>46096.072512647552</v>
      </c>
      <c r="AM824" s="102" cm="1">
        <f t="array" ref="AM82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5" spans="1:39" ht="15" customHeight="1">
      <c r="A825" t="str">
        <f>IF(WFTracker[[#This Row],[Order Number]]="SWBD", "QED2", "PZ4")</f>
        <v>PZ4</v>
      </c>
      <c r="B825" s="21" t="s">
        <v>935</v>
      </c>
      <c r="C825" s="26" t="s">
        <v>135</v>
      </c>
      <c r="D825" s="11" t="str">
        <f>WFTracker[[#This Row],[Order Number]]  &amp; "-" &amp; WFTracker[[#This Row],[Item]]</f>
        <v>0051872300-000010</v>
      </c>
      <c r="E825" s="23" t="s">
        <v>1692</v>
      </c>
      <c r="F825" s="12">
        <v>46108</v>
      </c>
      <c r="G825" s="12">
        <v>46101</v>
      </c>
      <c r="H825" s="11" t="s">
        <v>252</v>
      </c>
      <c r="I825" s="11" t="s">
        <v>1693</v>
      </c>
      <c r="J825" s="55" t="s">
        <v>937</v>
      </c>
      <c r="K825" s="14" t="s">
        <v>1017</v>
      </c>
      <c r="L825" s="15" t="s">
        <v>27</v>
      </c>
      <c r="M825" s="29" t="s">
        <v>1120</v>
      </c>
      <c r="N825" s="57">
        <v>46254</v>
      </c>
      <c r="O825" s="15">
        <f>NETWORKDAYS.INTL(WFTracker[[#This Row],[Start date]],WFTracker[[#This Row],[RM]],1,Holidays!D827:D842)</f>
        <v>17</v>
      </c>
      <c r="P825" s="12">
        <v>46086</v>
      </c>
      <c r="Q825" s="12">
        <v>46094</v>
      </c>
      <c r="R825" s="12">
        <v>46092</v>
      </c>
      <c r="S825" s="12" t="b">
        <f>ISBLANK(WFTracker[[#This Row],[Completion Date]])</f>
        <v>0</v>
      </c>
      <c r="T825" s="12" t="str">
        <f>TEXT(WFTracker[[#This Row],[Start date]],"mmm-yyyy")</f>
        <v>Mar-2026</v>
      </c>
      <c r="U825" s="11">
        <v>10</v>
      </c>
      <c r="V825" s="11">
        <f>NETWORKDAYS.INTL(WFTracker[[#This Row],[Start date]],WFTracker[[#This Row],[Due date]],1,Holidays!D827:D842)</f>
        <v>7</v>
      </c>
      <c r="W82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25" s="24">
        <f ca="1">WFTracker[[#This Row],[Active Time]]-WFTracker[[#This Row],[Completion Days Template]]</f>
        <v>-2</v>
      </c>
      <c r="Y825" s="16" t="str">
        <f ca="1" xml:space="preserve"> IF(WFTracker[[#This Row],[Overdue Time '[Expected-Completion']]]&gt;0, "LATE","ON TIME")</f>
        <v>ON TIME</v>
      </c>
      <c r="Z825" s="16" t="str">
        <f ca="1">IF(WFTracker[[#This Row],[Overdue Time '[Expected-Completion']]] &gt;= 15, "SUPER LATE", Y825)</f>
        <v>ON TIME</v>
      </c>
      <c r="AA825" s="37" t="str">
        <f>IF(WFTracker[[#This Row],[Pre RM Opening Time]]&lt;WFTracker[[#This Row],[Old vs New Order Lead Time WF dead line]], "LATE BY ENG", "ON TIME BY ENG")</f>
        <v>ON TIME BY ENG</v>
      </c>
      <c r="AB825" s="37"/>
      <c r="AC825" s="928" t="str" cm="1">
        <f t="array" ref="AC825">_xlfn.IFS(
    WFTracker[[#This Row],[Cancelation Cause]]&lt;&gt;"", "X",
    WFTracker[[#This Row],[Competion Date Content]] = FALSE, "C",
    TRUE, "I"
)</f>
        <v>C</v>
      </c>
      <c r="AD82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-13</v>
      </c>
      <c r="AE825" s="25" t="str">
        <f ca="1">IF(WFTracker[[#This Row],[Impact Time Post RM]]&gt;0, "IMPACTED", "NOT IMPACTED")</f>
        <v>NOT IMPACTED</v>
      </c>
      <c r="AF825" s="15"/>
      <c r="AG825" s="18"/>
      <c r="AH825" s="14" t="str">
        <f>IF(WFTracker[[#This Row],[Status]]="C", "Closed", IF(WFTracker[[#This Row],[Status]] = "x", "Cancelled", WFTracker[[#This Row],[Impact Time Post RM]]))</f>
        <v>Closed</v>
      </c>
      <c r="AI825" s="14" t="str">
        <f ca="1">IF(WFTracker[[#This Row],[Impact Time Post RM]]&lt;=0,"ON TIME","LATE")</f>
        <v>ON TIME</v>
      </c>
      <c r="AJ825" s="14" t="s">
        <v>984</v>
      </c>
      <c r="AK825" s="14">
        <v>18</v>
      </c>
      <c r="AL825" s="915">
        <f>IF(WFTracker[[#This Row],[Type]]="MAKE", WFTracker[[#This Row],[Due date]]+Filters!$J$111, WFTracker[[#This Row],[Due date]]+Filters!$J$135)</f>
        <v>46097.072512647552</v>
      </c>
      <c r="AM825" s="102" cm="1">
        <f t="array" ref="AM825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6" spans="1:39" ht="15" customHeight="1">
      <c r="A826" t="str">
        <f>IF(WFTracker[[#This Row],[Order Number]]="SWBD", "QED2", "PZ4")</f>
        <v>PZ4</v>
      </c>
      <c r="B826" s="21" t="s">
        <v>866</v>
      </c>
      <c r="C826" s="26" t="s">
        <v>930</v>
      </c>
      <c r="D826" s="11" t="str">
        <f>WFTracker[[#This Row],[Order Number]]  &amp; "-" &amp; WFTracker[[#This Row],[Item]]</f>
        <v>0051733188-000530</v>
      </c>
      <c r="E826" s="23" t="s">
        <v>1028</v>
      </c>
      <c r="F826" s="12">
        <v>46097</v>
      </c>
      <c r="G826" s="12">
        <v>46094</v>
      </c>
      <c r="H826" s="11" t="s">
        <v>104</v>
      </c>
      <c r="I826" s="11" t="s">
        <v>37</v>
      </c>
      <c r="J826" s="55" t="s">
        <v>931</v>
      </c>
      <c r="K826" s="14" t="s">
        <v>1017</v>
      </c>
      <c r="L826" s="15" t="s">
        <v>27</v>
      </c>
      <c r="M826" s="29" t="s">
        <v>1120</v>
      </c>
      <c r="N826" s="57">
        <v>46195</v>
      </c>
      <c r="O826" s="15">
        <f>NETWORKDAYS.INTL(WFTracker[[#This Row],[Start date]],WFTracker[[#This Row],[RM]],1,Holidays!D831:D846)</f>
        <v>7</v>
      </c>
      <c r="P826" s="12">
        <v>46087</v>
      </c>
      <c r="Q826" s="12">
        <v>46094</v>
      </c>
      <c r="R826" s="12">
        <v>46099</v>
      </c>
      <c r="S826" s="12" t="b">
        <f>ISBLANK(WFTracker[[#This Row],[Completion Date]])</f>
        <v>0</v>
      </c>
      <c r="T826" s="12" t="str">
        <f>TEXT(WFTracker[[#This Row],[Start date]],"mmm-yyyy")</f>
        <v>Mar-2026</v>
      </c>
      <c r="U826" s="11">
        <v>10</v>
      </c>
      <c r="V826" s="11">
        <f>NETWORKDAYS.INTL(WFTracker[[#This Row],[Start date]],WFTracker[[#This Row],[Due date]],1,Holidays!D831:D846)</f>
        <v>6</v>
      </c>
      <c r="W82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26" s="24">
        <f ca="1">WFTracker[[#This Row],[Active Time]]-WFTracker[[#This Row],[Completion Days Template]]</f>
        <v>3</v>
      </c>
      <c r="Y826" s="16" t="str">
        <f ca="1" xml:space="preserve"> IF(WFTracker[[#This Row],[Overdue Time '[Expected-Completion']]]&gt;0, "LATE","ON TIME")</f>
        <v>LATE</v>
      </c>
      <c r="Z826" s="16" t="str">
        <f ca="1">IF(WFTracker[[#This Row],[Overdue Time '[Expected-Completion']]] &gt;= 15, "SUPER LATE", Y826)</f>
        <v>LATE</v>
      </c>
      <c r="AA826" s="37" t="str">
        <f>IF(WFTracker[[#This Row],[Pre RM Opening Time]]&lt;WFTracker[[#This Row],[Old vs New Order Lead Time WF dead line]], "LATE BY ENG", "ON TIME BY ENG")</f>
        <v>LATE BY ENG</v>
      </c>
      <c r="AB826" s="37"/>
      <c r="AC826" s="928" t="str" cm="1">
        <f t="array" ref="AC826">_xlfn.IFS(
    WFTracker[[#This Row],[Cancelation Cause]]&lt;&gt;"", "X",
    WFTracker[[#This Row],[Competion Date Content]] = FALSE, "C",
    TRUE, "I"
)</f>
        <v>C</v>
      </c>
      <c r="AD82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</v>
      </c>
      <c r="AE826" s="25" t="str">
        <f ca="1">IF(WFTracker[[#This Row],[Impact Time Post RM]]&gt;0, "IMPACTED", "NOT IMPACTED")</f>
        <v>IMPACTED</v>
      </c>
      <c r="AF826" s="15"/>
      <c r="AG826" s="18"/>
      <c r="AH826" s="14" t="str">
        <f>IF(WFTracker[[#This Row],[Status]]="C", "Closed", IF(WFTracker[[#This Row],[Status]] = "x", "Cancelled", WFTracker[[#This Row],[Impact Time Post RM]]))</f>
        <v>Closed</v>
      </c>
      <c r="AI826" s="14" t="str">
        <f ca="1">IF(WFTracker[[#This Row],[Impact Time Post RM]]&lt;=0,"ON TIME","LATE")</f>
        <v>LATE</v>
      </c>
      <c r="AJ826" s="14" t="s">
        <v>984</v>
      </c>
      <c r="AK826" s="14">
        <v>18</v>
      </c>
      <c r="AL826" s="915">
        <f>IF(WFTracker[[#This Row],[Type]]="MAKE", WFTracker[[#This Row],[Due date]]+Filters!$J$111, WFTracker[[#This Row],[Due date]]+Filters!$J$135)</f>
        <v>46097.072512647552</v>
      </c>
      <c r="AM826" s="102" cm="1">
        <f t="array" ref="AM826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27" spans="1:39" ht="15" customHeight="1">
      <c r="A827" t="str">
        <f>IF(WFTracker[[#This Row],[Order Number]]="SWBD", "QED2", "PZ4")</f>
        <v>PZ4</v>
      </c>
      <c r="B827" s="21" t="s">
        <v>1452</v>
      </c>
      <c r="C827" s="26" t="s">
        <v>68</v>
      </c>
      <c r="D827" s="11" t="str">
        <f>WFTracker[[#This Row],[Order Number]]  &amp; "-" &amp; WFTracker[[#This Row],[Item]]</f>
        <v>0051679732-000170</v>
      </c>
      <c r="E827" s="23" t="s">
        <v>1024</v>
      </c>
      <c r="F827" s="12">
        <v>46129</v>
      </c>
      <c r="G827" s="12">
        <v>46136</v>
      </c>
      <c r="H827" s="11" t="s">
        <v>259</v>
      </c>
      <c r="I827" s="11"/>
      <c r="J827" s="55" t="s">
        <v>1694</v>
      </c>
      <c r="K827" s="14" t="s">
        <v>1023</v>
      </c>
      <c r="L827" s="15" t="s">
        <v>27</v>
      </c>
      <c r="M827" s="29" t="s">
        <v>1120</v>
      </c>
      <c r="N827" s="57">
        <v>46243</v>
      </c>
      <c r="O827" s="15">
        <f>NETWORKDAYS.INTL(WFTracker[[#This Row],[Start date]],WFTracker[[#This Row],[RM]],1,Holidays!D828:D843)</f>
        <v>31</v>
      </c>
      <c r="P827" s="12">
        <v>46087</v>
      </c>
      <c r="Q827" s="12">
        <v>46094</v>
      </c>
      <c r="R827" s="12"/>
      <c r="S827" s="12" t="b">
        <f>ISBLANK(WFTracker[[#This Row],[Completion Date]])</f>
        <v>1</v>
      </c>
      <c r="T827" s="12" t="str">
        <f>TEXT(WFTracker[[#This Row],[Start date]],"mmm-yyyy")</f>
        <v>Mar-2026</v>
      </c>
      <c r="U827" s="11">
        <v>10</v>
      </c>
      <c r="V827" s="11">
        <f>NETWORKDAYS.INTL(WFTracker[[#This Row],[Start date]],WFTracker[[#This Row],[Due date]],1,Holidays!D828:D843)</f>
        <v>6</v>
      </c>
      <c r="W82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827" s="24">
        <f ca="1">WFTracker[[#This Row],[Active Time]]-WFTracker[[#This Row],[Completion Days Template]]</f>
        <v>4</v>
      </c>
      <c r="Y827" s="16" t="str">
        <f ca="1" xml:space="preserve"> IF(WFTracker[[#This Row],[Overdue Time '[Expected-Completion']]]&gt;0, "LATE","ON TIME")</f>
        <v>LATE</v>
      </c>
      <c r="Z827" s="16" t="str">
        <f ca="1">IF(WFTracker[[#This Row],[Overdue Time '[Expected-Completion']]] &gt;= 15, "SUPER LATE", Y827)</f>
        <v>LATE</v>
      </c>
      <c r="AA827" s="37" t="str">
        <f>IF(WFTracker[[#This Row],[Pre RM Opening Time]]&lt;WFTracker[[#This Row],[Old vs New Order Lead Time WF dead line]], "LATE BY ENG", "ON TIME BY ENG")</f>
        <v>ON TIME BY ENG</v>
      </c>
      <c r="AB827" s="37"/>
      <c r="AC827" s="928" t="str" cm="1">
        <f t="array" ref="AC827">_xlfn.IFS(
    WFTracker[[#This Row],[Cancelation Cause]]&lt;&gt;"", "X",
    WFTracker[[#This Row],[Competion Date Content]] = FALSE, "C",
    TRUE, "I"
)</f>
        <v>I</v>
      </c>
      <c r="AD82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27" s="25" t="str">
        <f ca="1">IF(WFTracker[[#This Row],[Impact Time Post RM]]&gt;0, "IMPACTED", "NOT IMPACTED")</f>
        <v>NOT IMPACTED</v>
      </c>
      <c r="AF827" s="15"/>
      <c r="AG827" s="18"/>
      <c r="AH827" s="14">
        <f ca="1">IF(WFTracker[[#This Row],[Status]]="C", "Closed", IF(WFTracker[[#This Row],[Status]] = "x", "Cancelled", WFTracker[[#This Row],[Impact Time Post RM]]))</f>
        <v>-22</v>
      </c>
      <c r="AI827" s="14" t="str">
        <f ca="1">IF(WFTracker[[#This Row],[Impact Time Post RM]]&lt;=0,"ON TIME","LATE")</f>
        <v>ON TIME</v>
      </c>
      <c r="AJ827" s="14" t="s">
        <v>983</v>
      </c>
      <c r="AK827" s="14">
        <v>15</v>
      </c>
      <c r="AL827" s="915">
        <f>IF(WFTracker[[#This Row],[Type]]="MAKE", WFTracker[[#This Row],[Due date]]+Filters!$J$111, WFTracker[[#This Row],[Due date]]+Filters!$J$135)</f>
        <v>46097.072512647552</v>
      </c>
      <c r="AM827" s="102" cm="1">
        <f t="array" ref="AM827">_xlfn.IFS(WFTracker[[#This Row],[Type]]="BUY", WFTracker[[#This Row],[Task Number]]/17,
     WFTracker[[#This Row],[Type]]="MAKE", WFTracker[[#This Row],[Task Number]]/18,
     WFTracker[[#This Row],[Type]]="CNG-BOM", WFTracker[[#This Row],[Task Number]]/11)</f>
        <v>0.83333333333333337</v>
      </c>
    </row>
    <row r="828" spans="1:39" ht="15" customHeight="1">
      <c r="A828" t="str">
        <f>IF(WFTracker[[#This Row],[Order Number]]="SWBD", "QED2", "PZ4")</f>
        <v>PZ4</v>
      </c>
      <c r="B828" s="1063" t="s">
        <v>1452</v>
      </c>
      <c r="C828" s="26" t="s">
        <v>68</v>
      </c>
      <c r="D828" s="11" t="str">
        <f>WFTracker[[#This Row],[Order Number]]  &amp; "-" &amp; WFTracker[[#This Row],[Item]]</f>
        <v>0051679732-000170</v>
      </c>
      <c r="E828" s="23" t="s">
        <v>1024</v>
      </c>
      <c r="F828" s="12">
        <v>46129</v>
      </c>
      <c r="G828" s="12">
        <v>46136</v>
      </c>
      <c r="H828" s="11" t="s">
        <v>259</v>
      </c>
      <c r="I828" s="11"/>
      <c r="J828" s="55" t="s">
        <v>1695</v>
      </c>
      <c r="K828" s="14" t="s">
        <v>1023</v>
      </c>
      <c r="L828" s="15" t="s">
        <v>40</v>
      </c>
      <c r="M828" s="29" t="s">
        <v>1120</v>
      </c>
      <c r="N828" s="57">
        <v>46243</v>
      </c>
      <c r="O828" s="15">
        <f>NETWORKDAYS.INTL(WFTracker[[#This Row],[Start date]],WFTracker[[#This Row],[RM]],1,Holidays!D829:D844)</f>
        <v>31</v>
      </c>
      <c r="P828" s="12">
        <v>46087</v>
      </c>
      <c r="Q828" s="12">
        <v>46101</v>
      </c>
      <c r="R828" s="12"/>
      <c r="S828" s="12" t="b">
        <f>ISBLANK(WFTracker[[#This Row],[Completion Date]])</f>
        <v>1</v>
      </c>
      <c r="T828" s="12" t="str">
        <f>TEXT(WFTracker[[#This Row],[Start date]],"mmm-yyyy")</f>
        <v>Mar-2026</v>
      </c>
      <c r="U828" s="11">
        <v>10</v>
      </c>
      <c r="V828" s="11">
        <f>NETWORKDAYS.INTL(WFTracker[[#This Row],[Start date]],WFTracker[[#This Row],[Due date]],1,Holidays!D829:D844)</f>
        <v>11</v>
      </c>
      <c r="W82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10</v>
      </c>
      <c r="X828" s="24">
        <f ca="1">WFTracker[[#This Row],[Active Time]]-WFTracker[[#This Row],[Completion Days Template]]</f>
        <v>-1</v>
      </c>
      <c r="Y828" s="16" t="str">
        <f ca="1" xml:space="preserve"> IF(WFTracker[[#This Row],[Overdue Time '[Expected-Completion']]]&gt;0, "LATE","ON TIME")</f>
        <v>ON TIME</v>
      </c>
      <c r="Z828" s="16" t="str">
        <f ca="1">IF(WFTracker[[#This Row],[Overdue Time '[Expected-Completion']]] &gt;= 15, "SUPER LATE", Y828)</f>
        <v>ON TIME</v>
      </c>
      <c r="AA828" s="37" t="str">
        <f>IF(WFTracker[[#This Row],[Pre RM Opening Time]]&lt;WFTracker[[#This Row],[Old vs New Order Lead Time WF dead line]], "LATE BY ENG", "ON TIME BY ENG")</f>
        <v>ON TIME BY ENG</v>
      </c>
      <c r="AB828" s="37"/>
      <c r="AC828" s="928" t="str" cm="1">
        <f t="array" ref="AC828">_xlfn.IFS(
    WFTracker[[#This Row],[Cancelation Cause]]&lt;&gt;"", "X",
    WFTracker[[#This Row],[Competion Date Content]] = FALSE, "C",
    TRUE, "I"
)</f>
        <v>I</v>
      </c>
      <c r="AD82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28" s="25" t="str">
        <f ca="1">IF(WFTracker[[#This Row],[Impact Time Post RM]]&gt;0, "IMPACTED", "NOT IMPACTED")</f>
        <v>NOT IMPACTED</v>
      </c>
      <c r="AF828" s="15"/>
      <c r="AG828" s="18"/>
      <c r="AH828" s="14">
        <f ca="1">IF(WFTracker[[#This Row],[Status]]="C", "Closed", IF(WFTracker[[#This Row],[Status]] = "x", "Cancelled", WFTracker[[#This Row],[Impact Time Post RM]]))</f>
        <v>-22</v>
      </c>
      <c r="AI828" s="14" t="str">
        <f ca="1">IF(WFTracker[[#This Row],[Impact Time Post RM]]&lt;=0,"ON TIME","LATE")</f>
        <v>ON TIME</v>
      </c>
      <c r="AJ828" s="14" t="s">
        <v>970</v>
      </c>
      <c r="AK828" s="14">
        <v>4</v>
      </c>
      <c r="AL828" s="915">
        <f>IF(WFTracker[[#This Row],[Type]]="MAKE", WFTracker[[#This Row],[Due date]]+Filters!$J$111, WFTracker[[#This Row],[Due date]]+Filters!$J$135)</f>
        <v>46101.415686274508</v>
      </c>
      <c r="AM828" s="102" cm="1">
        <f t="array" ref="AM828">_xlfn.IFS(WFTracker[[#This Row],[Type]]="BUY", WFTracker[[#This Row],[Task Number]]/17,
     WFTracker[[#This Row],[Type]]="MAKE", WFTracker[[#This Row],[Task Number]]/18,
     WFTracker[[#This Row],[Type]]="CNG-BOM", WFTracker[[#This Row],[Task Number]]/11)</f>
        <v>0.23529411764705882</v>
      </c>
    </row>
    <row r="829" spans="1:39" ht="15" customHeight="1">
      <c r="A829" t="str">
        <f>IF(WFTracker[[#This Row],[Order Number]]="SWBD", "QED2", "PZ4")</f>
        <v>PZ4</v>
      </c>
      <c r="B829" s="21" t="s">
        <v>918</v>
      </c>
      <c r="C829" s="26" t="s">
        <v>135</v>
      </c>
      <c r="D829" s="11" t="str">
        <f>WFTracker[[#This Row],[Order Number]]  &amp; "-" &amp; WFTracker[[#This Row],[Item]]</f>
        <v>0051519925-000010</v>
      </c>
      <c r="E829" s="23" t="s">
        <v>1031</v>
      </c>
      <c r="F829" s="12">
        <v>46108</v>
      </c>
      <c r="G829" s="12">
        <v>46101</v>
      </c>
      <c r="H829" s="11" t="s">
        <v>113</v>
      </c>
      <c r="I829" s="11" t="s">
        <v>260</v>
      </c>
      <c r="J829" s="122" t="s">
        <v>1696</v>
      </c>
      <c r="K829" s="14" t="s">
        <v>1023</v>
      </c>
      <c r="L829" s="15" t="s">
        <v>40</v>
      </c>
      <c r="M829" s="29" t="s">
        <v>1120</v>
      </c>
      <c r="N829" s="57">
        <v>46248</v>
      </c>
      <c r="O829" s="15">
        <f>NETWORKDAYS.INTL(WFTracker[[#This Row],[Start date]],WFTracker[[#This Row],[RM]],1,Holidays!D838:D853)</f>
        <v>14</v>
      </c>
      <c r="P829" s="12">
        <v>46091</v>
      </c>
      <c r="Q829" s="12">
        <v>46106</v>
      </c>
      <c r="R829" s="12"/>
      <c r="S829" s="12" t="b">
        <f>ISBLANK(WFTracker[[#This Row],[Completion Date]])</f>
        <v>1</v>
      </c>
      <c r="T829" s="12" t="str">
        <f>TEXT(WFTracker[[#This Row],[Start date]],"mmm-yyyy")</f>
        <v>Mar-2026</v>
      </c>
      <c r="U829" s="11">
        <v>10</v>
      </c>
      <c r="V829" s="11">
        <f>NETWORKDAYS.INTL(WFTracker[[#This Row],[Start date]],WFTracker[[#This Row],[Due date]],1,Holidays!D838:D853)</f>
        <v>12</v>
      </c>
      <c r="W82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829" s="24">
        <f ca="1">WFTracker[[#This Row],[Active Time]]-WFTracker[[#This Row],[Completion Days Template]]</f>
        <v>-4</v>
      </c>
      <c r="Y829" s="16" t="str">
        <f ca="1" xml:space="preserve"> IF(WFTracker[[#This Row],[Overdue Time '[Expected-Completion']]]&gt;0, "LATE","ON TIME")</f>
        <v>ON TIME</v>
      </c>
      <c r="Z829" s="16" t="str">
        <f ca="1">IF(WFTracker[[#This Row],[Overdue Time '[Expected-Completion']]] &gt;= 15, "SUPER LATE", Y829)</f>
        <v>ON TIME</v>
      </c>
      <c r="AA829" s="37" t="str">
        <f>IF(WFTracker[[#This Row],[Pre RM Opening Time]]&lt;WFTracker[[#This Row],[Old vs New Order Lead Time WF dead line]], "LATE BY ENG", "ON TIME BY ENG")</f>
        <v>ON TIME BY ENG</v>
      </c>
      <c r="AB829" s="37"/>
      <c r="AC829" s="928" t="str" cm="1">
        <f t="array" ref="AC829">_xlfn.IFS(
    WFTracker[[#This Row],[Cancelation Cause]]&lt;&gt;"", "X",
    WFTracker[[#This Row],[Competion Date Content]] = FALSE, "C",
    TRUE, "I"
)</f>
        <v>I</v>
      </c>
      <c r="AD82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29" s="25" t="str">
        <f ca="1">IF(WFTracker[[#This Row],[Impact Time Post RM]]&gt;0, "IMPACTED", "NOT IMPACTED")</f>
        <v>NOT IMPACTED</v>
      </c>
      <c r="AF829" s="15"/>
      <c r="AG829" s="18"/>
      <c r="AH829" s="14">
        <f ca="1">IF(WFTracker[[#This Row],[Status]]="C", "Closed", IF(WFTracker[[#This Row],[Status]] = "x", "Cancelled", WFTracker[[#This Row],[Impact Time Post RM]]))</f>
        <v>-7</v>
      </c>
      <c r="AI829" s="14" t="str">
        <f ca="1">IF(WFTracker[[#This Row],[Impact Time Post RM]]&lt;=0,"ON TIME","LATE")</f>
        <v>ON TIME</v>
      </c>
      <c r="AJ829" s="14" t="s">
        <v>979</v>
      </c>
      <c r="AK829" s="14">
        <v>2</v>
      </c>
      <c r="AL829" s="915">
        <f>IF(WFTracker[[#This Row],[Type]]="MAKE", WFTracker[[#This Row],[Due date]]+Filters!$J$111, WFTracker[[#This Row],[Due date]]+Filters!$J$135)</f>
        <v>46106.415686274508</v>
      </c>
      <c r="AM829" s="102" cm="1">
        <f t="array" ref="AM829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830" spans="1:39" ht="15" customHeight="1">
      <c r="A830" t="str">
        <f>IF(WFTracker[[#This Row],[Order Number]]="SWBD", "QED2", "PZ4")</f>
        <v>PZ4</v>
      </c>
      <c r="B830" s="1063" t="s">
        <v>1697</v>
      </c>
      <c r="C830" s="26" t="s">
        <v>135</v>
      </c>
      <c r="D830" s="11" t="str">
        <f>WFTracker[[#This Row],[Order Number]]  &amp; "-" &amp; WFTracker[[#This Row],[Item]]</f>
        <v>0051878856-000010</v>
      </c>
      <c r="E830" s="23" t="s">
        <v>1698</v>
      </c>
      <c r="F830" s="12">
        <v>46108</v>
      </c>
      <c r="G830" s="12">
        <v>46101</v>
      </c>
      <c r="H830" s="11" t="s">
        <v>676</v>
      </c>
      <c r="I830" s="11" t="s">
        <v>260</v>
      </c>
      <c r="J830" s="55" t="s">
        <v>1699</v>
      </c>
      <c r="K830" s="14" t="s">
        <v>1023</v>
      </c>
      <c r="L830" s="15" t="s">
        <v>27</v>
      </c>
      <c r="M830" s="29" t="s">
        <v>1120</v>
      </c>
      <c r="N830" s="57">
        <v>46261</v>
      </c>
      <c r="O830" s="15">
        <f>NETWORKDAYS.INTL(WFTracker[[#This Row],[Start date]],WFTracker[[#This Row],[RM]],1,Holidays!D855:D870)</f>
        <v>9</v>
      </c>
      <c r="P830" s="1093">
        <v>46098</v>
      </c>
      <c r="Q830" s="1093">
        <v>46107</v>
      </c>
      <c r="R830" s="1093"/>
      <c r="S830" s="1093" t="b">
        <f>ISBLANK(WFTracker[[#This Row],[Completion Date]])</f>
        <v>1</v>
      </c>
      <c r="T830" s="12" t="str">
        <f>TEXT(WFTracker[[#This Row],[Start date]],"mmm-yyyy")</f>
        <v>Mar-2026</v>
      </c>
      <c r="U830" s="11">
        <v>10</v>
      </c>
      <c r="V830" s="11">
        <f>NETWORKDAYS.INTL(WFTracker[[#This Row],[Start date]],WFTracker[[#This Row],[Due date]],1,Holidays!D855:D870)</f>
        <v>8</v>
      </c>
      <c r="W83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830" s="24">
        <f ca="1">WFTracker[[#This Row],[Active Time]]-WFTracker[[#This Row],[Completion Days Template]]</f>
        <v>-5</v>
      </c>
      <c r="Y830" s="16" t="str">
        <f ca="1" xml:space="preserve"> IF(WFTracker[[#This Row],[Overdue Time '[Expected-Completion']]]&gt;0, "LATE","ON TIME")</f>
        <v>ON TIME</v>
      </c>
      <c r="Z830" s="16" t="str">
        <f ca="1">IF(WFTracker[[#This Row],[Overdue Time '[Expected-Completion']]] &gt;= 15, "SUPER LATE", Y830)</f>
        <v>ON TIME</v>
      </c>
      <c r="AA830" s="37" t="str">
        <f>IF(WFTracker[[#This Row],[Pre RM Opening Time]]&lt;WFTracker[[#This Row],[Old vs New Order Lead Time WF dead line]], "LATE BY ENG", "ON TIME BY ENG")</f>
        <v>LATE BY ENG</v>
      </c>
      <c r="AB830" s="37"/>
      <c r="AC830" s="928" t="str" cm="1">
        <f t="array" ref="AC830">_xlfn.IFS(
    WFTracker[[#This Row],[Cancelation Cause]]&lt;&gt;"", "X",
    WFTracker[[#This Row],[Competion Date Content]] = FALSE, "C",
    TRUE, "I"
)</f>
        <v>I</v>
      </c>
      <c r="AD83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30" s="25" t="str">
        <f ca="1">IF(WFTracker[[#This Row],[Impact Time Post RM]]&gt;0, "IMPACTED", "NOT IMPACTED")</f>
        <v>NOT IMPACTED</v>
      </c>
      <c r="AF830" s="15"/>
      <c r="AG830" s="18"/>
      <c r="AH830" s="14">
        <f ca="1">IF(WFTracker[[#This Row],[Status]]="C", "Closed", IF(WFTracker[[#This Row],[Status]] = "x", "Cancelled", WFTracker[[#This Row],[Impact Time Post RM]]))</f>
        <v>-7</v>
      </c>
      <c r="AI830" s="14" t="str">
        <f ca="1">IF(WFTracker[[#This Row],[Impact Time Post RM]]&lt;=0,"ON TIME","LATE")</f>
        <v>ON TIME</v>
      </c>
      <c r="AJ830" s="14" t="s">
        <v>970</v>
      </c>
      <c r="AK830" s="14">
        <v>7</v>
      </c>
      <c r="AL830" s="915">
        <f>IF(WFTracker[[#This Row],[Type]]="MAKE", WFTracker[[#This Row],[Due date]]+Filters!$J$111, WFTracker[[#This Row],[Due date]]+Filters!$J$135)</f>
        <v>46110.072512647552</v>
      </c>
      <c r="AM830" s="102" cm="1">
        <f t="array" ref="AM830">_xlfn.IFS(WFTracker[[#This Row],[Type]]="BUY", WFTracker[[#This Row],[Task Number]]/17,
     WFTracker[[#This Row],[Type]]="MAKE", WFTracker[[#This Row],[Task Number]]/18,
     WFTracker[[#This Row],[Type]]="CNG-BOM", WFTracker[[#This Row],[Task Number]]/11)</f>
        <v>0.3888888888888889</v>
      </c>
    </row>
    <row r="831" spans="1:39" ht="15" customHeight="1">
      <c r="A831" t="str">
        <f>IF(WFTracker[[#This Row],[Order Number]]="SWBD", "QED2", "PZ4")</f>
        <v>PZ4</v>
      </c>
      <c r="B831" s="21" t="s">
        <v>1697</v>
      </c>
      <c r="C831" s="26" t="s">
        <v>135</v>
      </c>
      <c r="D831" s="11" t="str">
        <f>WFTracker[[#This Row],[Order Number]]  &amp; "-" &amp; WFTracker[[#This Row],[Item]]</f>
        <v>0051878856-000010</v>
      </c>
      <c r="E831" s="23" t="s">
        <v>1698</v>
      </c>
      <c r="F831" s="12">
        <v>46108</v>
      </c>
      <c r="G831" s="12">
        <v>46101</v>
      </c>
      <c r="H831" s="11" t="s">
        <v>676</v>
      </c>
      <c r="I831" s="11" t="s">
        <v>260</v>
      </c>
      <c r="J831" s="55" t="s">
        <v>1700</v>
      </c>
      <c r="K831" s="14" t="s">
        <v>1023</v>
      </c>
      <c r="L831" s="15" t="s">
        <v>27</v>
      </c>
      <c r="M831" s="29" t="s">
        <v>1120</v>
      </c>
      <c r="N831" s="57">
        <v>46261</v>
      </c>
      <c r="O831" s="15">
        <f>NETWORKDAYS.INTL(WFTracker[[#This Row],[Start date]],WFTracker[[#This Row],[RM]],1,Holidays!D856:D871)</f>
        <v>8</v>
      </c>
      <c r="P831" s="12">
        <v>46099</v>
      </c>
      <c r="Q831" s="12">
        <v>46106</v>
      </c>
      <c r="R831" s="1093"/>
      <c r="S831" s="1093" t="b">
        <f>ISBLANK(WFTracker[[#This Row],[Completion Date]])</f>
        <v>1</v>
      </c>
      <c r="T831" s="12" t="str">
        <f>TEXT(WFTracker[[#This Row],[Start date]],"mmm-yyyy")</f>
        <v>Mar-2026</v>
      </c>
      <c r="U831" s="11">
        <v>10</v>
      </c>
      <c r="V831" s="11">
        <f>NETWORKDAYS.INTL(WFTracker[[#This Row],[Start date]],WFTracker[[#This Row],[Due date]],1,Holidays!D856:D871)</f>
        <v>6</v>
      </c>
      <c r="W83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831" s="24">
        <f ca="1">WFTracker[[#This Row],[Active Time]]-WFTracker[[#This Row],[Completion Days Template]]</f>
        <v>-4</v>
      </c>
      <c r="Y831" s="16" t="str">
        <f ca="1" xml:space="preserve"> IF(WFTracker[[#This Row],[Overdue Time '[Expected-Completion']]]&gt;0, "LATE","ON TIME")</f>
        <v>ON TIME</v>
      </c>
      <c r="Z831" s="16" t="str">
        <f ca="1">IF(WFTracker[[#This Row],[Overdue Time '[Expected-Completion']]] &gt;= 15, "SUPER LATE", Y831)</f>
        <v>ON TIME</v>
      </c>
      <c r="AA831" s="37" t="str">
        <f>IF(WFTracker[[#This Row],[Pre RM Opening Time]]&lt;WFTracker[[#This Row],[Old vs New Order Lead Time WF dead line]], "LATE BY ENG", "ON TIME BY ENG")</f>
        <v>LATE BY ENG</v>
      </c>
      <c r="AB831" s="37"/>
      <c r="AC831" s="928" t="str" cm="1">
        <f t="array" ref="AC831">_xlfn.IFS(
    WFTracker[[#This Row],[Cancelation Cause]]&lt;&gt;"", "X",
    WFTracker[[#This Row],[Competion Date Content]] = FALSE, "C",
    TRUE, "I"
)</f>
        <v>I</v>
      </c>
      <c r="AD83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31" s="25" t="str">
        <f ca="1">IF(WFTracker[[#This Row],[Impact Time Post RM]]&gt;0, "IMPACTED", "NOT IMPACTED")</f>
        <v>NOT IMPACTED</v>
      </c>
      <c r="AF831" s="15"/>
      <c r="AG831" s="18"/>
      <c r="AH831" s="14">
        <f ca="1">IF(WFTracker[[#This Row],[Status]]="C", "Closed", IF(WFTracker[[#This Row],[Status]] = "x", "Cancelled", WFTracker[[#This Row],[Impact Time Post RM]]))</f>
        <v>-7</v>
      </c>
      <c r="AI831" s="14" t="str">
        <f ca="1">IF(WFTracker[[#This Row],[Impact Time Post RM]]&lt;=0,"ON TIME","LATE")</f>
        <v>ON TIME</v>
      </c>
      <c r="AJ831" s="14" t="s">
        <v>970</v>
      </c>
      <c r="AK831" s="14">
        <v>1</v>
      </c>
      <c r="AL831" s="915">
        <f>IF(WFTracker[[#This Row],[Type]]="MAKE", WFTracker[[#This Row],[Due date]]+Filters!$J$111, WFTracker[[#This Row],[Due date]]+Filters!$J$135)</f>
        <v>46109.072512647552</v>
      </c>
      <c r="AM831" s="102" cm="1">
        <f t="array" ref="AM831">_xlfn.IFS(WFTracker[[#This Row],[Type]]="BUY", WFTracker[[#This Row],[Task Number]]/17,
     WFTracker[[#This Row],[Type]]="MAKE", WFTracker[[#This Row],[Task Number]]/18,
     WFTracker[[#This Row],[Type]]="CNG-BOM", WFTracker[[#This Row],[Task Number]]/11)</f>
        <v>5.5555555555555552E-2</v>
      </c>
    </row>
    <row r="832" spans="1:39" ht="15" customHeight="1">
      <c r="A832" t="str">
        <f>IF(WFTracker[[#This Row],[Order Number]]="SWBD", "QED2", "PZ4")</f>
        <v>PZ4</v>
      </c>
      <c r="B832" s="26" t="s">
        <v>1701</v>
      </c>
      <c r="C832" s="26" t="s">
        <v>1702</v>
      </c>
      <c r="D832" s="11" t="str">
        <f>WFTracker[[#This Row],[Order Number]]  &amp; "-" &amp; WFTracker[[#This Row],[Item]]</f>
        <v>0050798656-002730</v>
      </c>
      <c r="E832" s="23" t="s">
        <v>1703</v>
      </c>
      <c r="F832" s="12">
        <v>46127</v>
      </c>
      <c r="G832" s="12">
        <v>46120</v>
      </c>
      <c r="H832" s="11" t="s">
        <v>1704</v>
      </c>
      <c r="I832" s="11"/>
      <c r="J832" s="55" t="s">
        <v>1705</v>
      </c>
      <c r="K832" s="14" t="s">
        <v>1023</v>
      </c>
      <c r="L832" s="15" t="s">
        <v>27</v>
      </c>
      <c r="M832" s="29" t="s">
        <v>1120</v>
      </c>
      <c r="N832" s="57">
        <v>46324</v>
      </c>
      <c r="O832" s="15">
        <f>NETWORKDAYS.INTL(WFTracker[[#This Row],[Start date]],WFTracker[[#This Row],[RM]],1,Holidays!D834:D849)</f>
        <v>28</v>
      </c>
      <c r="P832" s="12">
        <v>46090</v>
      </c>
      <c r="Q832" s="12">
        <v>46100</v>
      </c>
      <c r="R832" s="12"/>
      <c r="S832" s="12" t="b">
        <f>ISBLANK(WFTracker[[#This Row],[Completion Date]])</f>
        <v>1</v>
      </c>
      <c r="T832" s="12" t="str">
        <f>TEXT(WFTracker[[#This Row],[Start date]],"mmm-yyyy")</f>
        <v>Mar-2026</v>
      </c>
      <c r="U832" s="11">
        <v>10</v>
      </c>
      <c r="V832" s="11">
        <f>NETWORKDAYS.INTL(WFTracker[[#This Row],[Start date]],WFTracker[[#This Row],[Due date]],1,Holidays!D834:D849)</f>
        <v>9</v>
      </c>
      <c r="W83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32" s="24">
        <f ca="1">WFTracker[[#This Row],[Active Time]]-WFTracker[[#This Row],[Completion Days Template]]</f>
        <v>0</v>
      </c>
      <c r="Y832" s="16" t="str">
        <f ca="1" xml:space="preserve"> IF(WFTracker[[#This Row],[Overdue Time '[Expected-Completion']]]&gt;0, "LATE","ON TIME")</f>
        <v>ON TIME</v>
      </c>
      <c r="Z832" s="16" t="str">
        <f ca="1">IF(WFTracker[[#This Row],[Overdue Time '[Expected-Completion']]] &gt;= 15, "SUPER LATE", Y832)</f>
        <v>ON TIME</v>
      </c>
      <c r="AA832" s="37" t="str">
        <f>IF(WFTracker[[#This Row],[Pre RM Opening Time]]&lt;WFTracker[[#This Row],[Old vs New Order Lead Time WF dead line]], "LATE BY ENG", "ON TIME BY ENG")</f>
        <v>ON TIME BY ENG</v>
      </c>
      <c r="AB832" s="37"/>
      <c r="AC832" s="928" t="str" cm="1">
        <f t="array" ref="AC832">_xlfn.IFS(
    WFTracker[[#This Row],[Cancelation Cause]]&lt;&gt;"", "X",
    WFTracker[[#This Row],[Competion Date Content]] = FALSE, "C",
    TRUE, "I"
)</f>
        <v>I</v>
      </c>
      <c r="AD83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832" s="25" t="str">
        <f ca="1">IF(WFTracker[[#This Row],[Impact Time Post RM]]&gt;0, "IMPACTED", "NOT IMPACTED")</f>
        <v>NOT IMPACTED</v>
      </c>
      <c r="AF832" s="15"/>
      <c r="AG832" s="18"/>
      <c r="AH832" s="14">
        <f ca="1">IF(WFTracker[[#This Row],[Status]]="C", "Closed", IF(WFTracker[[#This Row],[Status]] = "x", "Cancelled", WFTracker[[#This Row],[Impact Time Post RM]]))</f>
        <v>-20</v>
      </c>
      <c r="AI832" s="14" t="str">
        <f ca="1">IF(WFTracker[[#This Row],[Impact Time Post RM]]&lt;=0,"ON TIME","LATE")</f>
        <v>ON TIME</v>
      </c>
      <c r="AJ832" s="14" t="s">
        <v>982</v>
      </c>
      <c r="AK832" s="14">
        <v>11</v>
      </c>
      <c r="AL832" s="915">
        <f>IF(WFTracker[[#This Row],[Type]]="MAKE", WFTracker[[#This Row],[Due date]]+Filters!$J$111, WFTracker[[#This Row],[Due date]]+Filters!$J$135)</f>
        <v>46103.072512647552</v>
      </c>
      <c r="AM832" s="102" cm="1">
        <f t="array" ref="AM832">_xlfn.IFS(WFTracker[[#This Row],[Type]]="BUY", WFTracker[[#This Row],[Task Number]]/17,
     WFTracker[[#This Row],[Type]]="MAKE", WFTracker[[#This Row],[Task Number]]/18,
     WFTracker[[#This Row],[Type]]="CNG-BOM", WFTracker[[#This Row],[Task Number]]/11)</f>
        <v>0.61111111111111116</v>
      </c>
    </row>
    <row r="833" spans="1:39" ht="15" customHeight="1">
      <c r="A833" t="str">
        <f>IF(WFTracker[[#This Row],[Order Number]]="SWBD", "QED2", "PZ4")</f>
        <v>PZ4</v>
      </c>
      <c r="B833" s="26" t="s">
        <v>1701</v>
      </c>
      <c r="C833" s="26" t="s">
        <v>1702</v>
      </c>
      <c r="D833" s="11" t="str">
        <f>WFTracker[[#This Row],[Order Number]]  &amp; "-" &amp; WFTracker[[#This Row],[Item]]</f>
        <v>0050798656-002730</v>
      </c>
      <c r="E833" s="23" t="s">
        <v>1703</v>
      </c>
      <c r="F833" s="12">
        <v>46127</v>
      </c>
      <c r="G833" s="12">
        <v>46120</v>
      </c>
      <c r="H833" s="11" t="s">
        <v>1704</v>
      </c>
      <c r="I833" s="11"/>
      <c r="J833" s="55" t="s">
        <v>1706</v>
      </c>
      <c r="K833" s="14" t="s">
        <v>1023</v>
      </c>
      <c r="L833" s="15" t="s">
        <v>40</v>
      </c>
      <c r="M833" s="29" t="s">
        <v>1120</v>
      </c>
      <c r="N833" s="57">
        <v>46324</v>
      </c>
      <c r="O833" s="15">
        <f>NETWORKDAYS.INTL(WFTracker[[#This Row],[Start date]],WFTracker[[#This Row],[RM]],1,Holidays!D835:D850)</f>
        <v>28</v>
      </c>
      <c r="P833" s="12">
        <v>46090</v>
      </c>
      <c r="Q833" s="12">
        <v>46104</v>
      </c>
      <c r="R833" s="12"/>
      <c r="S833" s="12" t="b">
        <f>ISBLANK(WFTracker[[#This Row],[Completion Date]])</f>
        <v>1</v>
      </c>
      <c r="T833" s="12" t="str">
        <f>TEXT(WFTracker[[#This Row],[Start date]],"mmm-yyyy")</f>
        <v>Mar-2026</v>
      </c>
      <c r="U833" s="11">
        <v>10</v>
      </c>
      <c r="V833" s="11">
        <f>NETWORKDAYS.INTL(WFTracker[[#This Row],[Start date]],WFTracker[[#This Row],[Due date]],1,Holidays!D835:D850)</f>
        <v>11</v>
      </c>
      <c r="W83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33" s="24">
        <f ca="1">WFTracker[[#This Row],[Active Time]]-WFTracker[[#This Row],[Completion Days Template]]</f>
        <v>-2</v>
      </c>
      <c r="Y833" s="16" t="str">
        <f ca="1" xml:space="preserve"> IF(WFTracker[[#This Row],[Overdue Time '[Expected-Completion']]]&gt;0, "LATE","ON TIME")</f>
        <v>ON TIME</v>
      </c>
      <c r="Z833" s="16" t="str">
        <f ca="1">IF(WFTracker[[#This Row],[Overdue Time '[Expected-Completion']]] &gt;= 15, "SUPER LATE", Y833)</f>
        <v>ON TIME</v>
      </c>
      <c r="AA833" s="37" t="str">
        <f>IF(WFTracker[[#This Row],[Pre RM Opening Time]]&lt;WFTracker[[#This Row],[Old vs New Order Lead Time WF dead line]], "LATE BY ENG", "ON TIME BY ENG")</f>
        <v>ON TIME BY ENG</v>
      </c>
      <c r="AB833" s="37"/>
      <c r="AC833" s="928" t="str" cm="1">
        <f t="array" ref="AC833">_xlfn.IFS(
    WFTracker[[#This Row],[Cancelation Cause]]&lt;&gt;"", "X",
    WFTracker[[#This Row],[Competion Date Content]] = FALSE, "C",
    TRUE, "I"
)</f>
        <v>I</v>
      </c>
      <c r="AD83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-20</v>
      </c>
      <c r="AE833" s="25" t="str">
        <f ca="1">IF(WFTracker[[#This Row],[Impact Time Post RM]]&gt;0, "IMPACTED", "NOT IMPACTED")</f>
        <v>NOT IMPACTED</v>
      </c>
      <c r="AF833" s="15"/>
      <c r="AG833" s="18"/>
      <c r="AH833" s="14">
        <f ca="1">IF(WFTracker[[#This Row],[Status]]="C", "Closed", IF(WFTracker[[#This Row],[Status]] = "x", "Cancelled", WFTracker[[#This Row],[Impact Time Post RM]]))</f>
        <v>-20</v>
      </c>
      <c r="AI833" s="14" t="str">
        <f ca="1">IF(WFTracker[[#This Row],[Impact Time Post RM]]&lt;=0,"ON TIME","LATE")</f>
        <v>ON TIME</v>
      </c>
      <c r="AJ833" s="14" t="s">
        <v>979</v>
      </c>
      <c r="AK833" s="14">
        <v>2</v>
      </c>
      <c r="AL833" s="915">
        <f>IF(WFTracker[[#This Row],[Type]]="MAKE", WFTracker[[#This Row],[Due date]]+Filters!$J$111, WFTracker[[#This Row],[Due date]]+Filters!$J$135)</f>
        <v>46104.415686274508</v>
      </c>
      <c r="AM833" s="102" cm="1">
        <f t="array" ref="AM833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834" spans="1:39" ht="15" customHeight="1">
      <c r="A834" t="str">
        <f>IF(WFTracker[[#This Row],[Order Number]]="SWBD", "QED2", "PZ4")</f>
        <v>PZ4</v>
      </c>
      <c r="B834" s="21" t="s">
        <v>408</v>
      </c>
      <c r="C834" s="26" t="s">
        <v>416</v>
      </c>
      <c r="D834" s="11" t="str">
        <f>WFTracker[[#This Row],[Order Number]]  &amp; "-" &amp; WFTracker[[#This Row],[Item]]</f>
        <v>0050753978-003780</v>
      </c>
      <c r="E834" s="23" t="s">
        <v>410</v>
      </c>
      <c r="F834" s="12">
        <v>46052</v>
      </c>
      <c r="G834" s="12"/>
      <c r="H834" s="11" t="s">
        <v>137</v>
      </c>
      <c r="I834" s="11" t="s">
        <v>264</v>
      </c>
      <c r="J834" s="55" t="s">
        <v>1707</v>
      </c>
      <c r="K834" s="14" t="s">
        <v>1017</v>
      </c>
      <c r="L834" s="15" t="s">
        <v>1430</v>
      </c>
      <c r="M834" s="29" t="s">
        <v>1120</v>
      </c>
      <c r="N834" s="57">
        <v>46324</v>
      </c>
      <c r="O834" s="15">
        <f>NETWORKDAYS.INTL(WFTracker[[#This Row],[Start date]],WFTracker[[#This Row],[RM]],1,Holidays!D836:D851)</f>
        <v>-28</v>
      </c>
      <c r="P834" s="12">
        <v>46091</v>
      </c>
      <c r="Q834" s="12">
        <v>46094</v>
      </c>
      <c r="R834" s="12">
        <v>46093</v>
      </c>
      <c r="S834" s="12" t="b">
        <f>ISBLANK(WFTracker[[#This Row],[Completion Date]])</f>
        <v>0</v>
      </c>
      <c r="T834" s="12" t="str">
        <f>TEXT(WFTracker[[#This Row],[Start date]],"mmm-yyyy")</f>
        <v>Mar-2026</v>
      </c>
      <c r="U834" s="11">
        <v>10</v>
      </c>
      <c r="V834" s="11">
        <f>NETWORKDAYS.INTL(WFTracker[[#This Row],[Start date]],WFTracker[[#This Row],[Due date]],1,Holidays!D836:D851)</f>
        <v>4</v>
      </c>
      <c r="W83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3</v>
      </c>
      <c r="X834" s="24">
        <f ca="1">WFTracker[[#This Row],[Active Time]]-WFTracker[[#This Row],[Completion Days Template]]</f>
        <v>-1</v>
      </c>
      <c r="Y834" s="16" t="str">
        <f ca="1" xml:space="preserve"> IF(WFTracker[[#This Row],[Overdue Time '[Expected-Completion']]]&gt;0, "LATE","ON TIME")</f>
        <v>ON TIME</v>
      </c>
      <c r="Z834" s="16" t="str">
        <f ca="1">IF(WFTracker[[#This Row],[Overdue Time '[Expected-Completion']]] &gt;= 15, "SUPER LATE", Y834)</f>
        <v>ON TIME</v>
      </c>
      <c r="AA834" s="37" t="str">
        <f>IF(WFTracker[[#This Row],[Pre RM Opening Time]]&lt;WFTracker[[#This Row],[Old vs New Order Lead Time WF dead line]], "LATE BY ENG", "ON TIME BY ENG")</f>
        <v>LATE BY ENG</v>
      </c>
      <c r="AB834" s="37"/>
      <c r="AC834" s="928" t="str" cm="1">
        <f t="array" ref="AC834">_xlfn.IFS(
    WFTracker[[#This Row],[Cancelation Cause]]&lt;&gt;"", "X",
    WFTracker[[#This Row],[Competion Date Content]] = FALSE, "C",
    TRUE, "I"
)</f>
        <v>C</v>
      </c>
      <c r="AD83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30</v>
      </c>
      <c r="AE834" s="25" t="str">
        <f ca="1">IF(WFTracker[[#This Row],[Impact Time Post RM]]&gt;0, "IMPACTED", "NOT IMPACTED")</f>
        <v>IMPACTED</v>
      </c>
      <c r="AF834" s="15"/>
      <c r="AG834" s="18"/>
      <c r="AH834" s="14" t="str">
        <f>IF(WFTracker[[#This Row],[Status]]="C", "Closed", IF(WFTracker[[#This Row],[Status]] = "x", "Cancelled", WFTracker[[#This Row],[Impact Time Post RM]]))</f>
        <v>Closed</v>
      </c>
      <c r="AI834" s="14" t="str">
        <f ca="1">IF(WFTracker[[#This Row],[Impact Time Post RM]]&lt;=0,"ON TIME","LATE")</f>
        <v>LATE</v>
      </c>
      <c r="AJ834" s="14" t="s">
        <v>984</v>
      </c>
      <c r="AK834" s="14">
        <v>11</v>
      </c>
      <c r="AL834" s="915">
        <f>IF(WFTracker[[#This Row],[Type]]="MAKE", WFTracker[[#This Row],[Due date]]+Filters!$J$111, WFTracker[[#This Row],[Due date]]+Filters!$J$135)</f>
        <v>46094.415686274508</v>
      </c>
      <c r="AM834" s="102" cm="1">
        <f t="array" ref="AM834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35" spans="1:39" ht="15" customHeight="1">
      <c r="A835" t="str">
        <f>IF(WFTracker[[#This Row],[Order Number]]="SWBD", "QED2", "PZ4")</f>
        <v>PZ4</v>
      </c>
      <c r="B835" s="1063" t="s">
        <v>932</v>
      </c>
      <c r="C835" s="26" t="s">
        <v>135</v>
      </c>
      <c r="D835" s="11" t="str">
        <f>WFTracker[[#This Row],[Order Number]]  &amp; "-" &amp; WFTracker[[#This Row],[Item]]</f>
        <v>0051436677-000010</v>
      </c>
      <c r="E835" s="23" t="s">
        <v>933</v>
      </c>
      <c r="F835" s="12">
        <v>46116</v>
      </c>
      <c r="G835" s="12">
        <v>46111</v>
      </c>
      <c r="H835" s="11" t="s">
        <v>156</v>
      </c>
      <c r="I835" s="11" t="s">
        <v>732</v>
      </c>
      <c r="J835" s="55" t="s">
        <v>934</v>
      </c>
      <c r="K835" s="14" t="s">
        <v>1017</v>
      </c>
      <c r="L835" s="15" t="s">
        <v>27</v>
      </c>
      <c r="M835" s="29" t="s">
        <v>1120</v>
      </c>
      <c r="N835" s="57">
        <v>46230</v>
      </c>
      <c r="O835" s="15">
        <f>NETWORKDAYS.INTL(WFTracker[[#This Row],[Start date]],WFTracker[[#This Row],[RM]],1,Holidays!D837:D852)</f>
        <v>19</v>
      </c>
      <c r="P835" s="12">
        <v>46091</v>
      </c>
      <c r="Q835" s="12">
        <v>46101</v>
      </c>
      <c r="R835" s="12"/>
      <c r="S835" s="12" t="b">
        <f>ISBLANK(WFTracker[[#This Row],[Completion Date]])</f>
        <v>1</v>
      </c>
      <c r="T835" s="12" t="str">
        <f>TEXT(WFTracker[[#This Row],[Start date]],"mmm-yyyy")</f>
        <v>Mar-2026</v>
      </c>
      <c r="U835" s="11">
        <v>10</v>
      </c>
      <c r="V835" s="11">
        <f>NETWORKDAYS.INTL(WFTracker[[#This Row],[Start date]],WFTracker[[#This Row],[Due date]],1,Holidays!D837:D852)</f>
        <v>9</v>
      </c>
      <c r="W83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835" s="24">
        <f ca="1">WFTracker[[#This Row],[Active Time]]-WFTracker[[#This Row],[Completion Days Template]]</f>
        <v>-1</v>
      </c>
      <c r="Y835" s="16" t="str">
        <f ca="1" xml:space="preserve"> IF(WFTracker[[#This Row],[Overdue Time '[Expected-Completion']]]&gt;0, "LATE","ON TIME")</f>
        <v>ON TIME</v>
      </c>
      <c r="Z835" s="16" t="str">
        <f ca="1">IF(WFTracker[[#This Row],[Overdue Time '[Expected-Completion']]] &gt;= 15, "SUPER LATE", Y835)</f>
        <v>ON TIME</v>
      </c>
      <c r="AA835" s="37" t="str">
        <f>IF(WFTracker[[#This Row],[Pre RM Opening Time]]&lt;WFTracker[[#This Row],[Old vs New Order Lead Time WF dead line]], "LATE BY ENG", "ON TIME BY ENG")</f>
        <v>ON TIME BY ENG</v>
      </c>
      <c r="AB835" s="37"/>
      <c r="AC835" s="928" t="str" cm="1">
        <f t="array" ref="AC835">_xlfn.IFS(
    WFTracker[[#This Row],[Cancelation Cause]]&lt;&gt;"", "X",
    WFTracker[[#This Row],[Competion Date Content]] = FALSE, "C",
    TRUE, "I"
)</f>
        <v>I</v>
      </c>
      <c r="AD83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835" s="25" t="str">
        <f ca="1">IF(WFTracker[[#This Row],[Impact Time Post RM]]&gt;0, "IMPACTED", "NOT IMPACTED")</f>
        <v>NOT IMPACTED</v>
      </c>
      <c r="AF835" s="15"/>
      <c r="AG835" s="18"/>
      <c r="AH835" s="14">
        <f ca="1">IF(WFTracker[[#This Row],[Status]]="C", "Closed", IF(WFTracker[[#This Row],[Status]] = "x", "Cancelled", WFTracker[[#This Row],[Impact Time Post RM]]))</f>
        <v>-12</v>
      </c>
      <c r="AI835" s="14" t="str">
        <f ca="1">IF(WFTracker[[#This Row],[Impact Time Post RM]]&lt;=0,"ON TIME","LATE")</f>
        <v>ON TIME</v>
      </c>
      <c r="AJ835" s="14" t="s">
        <v>982</v>
      </c>
      <c r="AK835" s="14">
        <v>12</v>
      </c>
      <c r="AL835" s="915">
        <f>IF(WFTracker[[#This Row],[Type]]="MAKE", WFTracker[[#This Row],[Due date]]+Filters!$J$111, WFTracker[[#This Row],[Due date]]+Filters!$J$135)</f>
        <v>46104.072512647552</v>
      </c>
      <c r="AM835" s="102" cm="1">
        <f t="array" ref="AM835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36" spans="1:39" ht="15" customHeight="1">
      <c r="A836" t="str">
        <f>IF(WFTracker[[#This Row],[Order Number]]="SWBD", "QED2", "PZ4")</f>
        <v>PZ4</v>
      </c>
      <c r="B836" s="21" t="s">
        <v>884</v>
      </c>
      <c r="C836" s="26" t="s">
        <v>135</v>
      </c>
      <c r="D836" s="11" t="str">
        <f>WFTracker[[#This Row],[Order Number]]  &amp; "-" &amp; WFTracker[[#This Row],[Item]]</f>
        <v>0051735870-000010</v>
      </c>
      <c r="E836" s="23" t="s">
        <v>885</v>
      </c>
      <c r="F836" s="12">
        <v>46111</v>
      </c>
      <c r="G836" s="12">
        <v>46098</v>
      </c>
      <c r="H836" s="11" t="s">
        <v>80</v>
      </c>
      <c r="I836" s="11" t="s">
        <v>429</v>
      </c>
      <c r="J836" s="113" t="s">
        <v>1708</v>
      </c>
      <c r="K836" s="14" t="s">
        <v>1023</v>
      </c>
      <c r="L836" s="15" t="s">
        <v>27</v>
      </c>
      <c r="M836" s="29" t="s">
        <v>1120</v>
      </c>
      <c r="N836" s="57">
        <v>46227</v>
      </c>
      <c r="O836" s="15">
        <f>NETWORKDAYS.INTL(WFTracker[[#This Row],[Start date]],WFTracker[[#This Row],[RM]],1,Holidays!D758:D773)</f>
        <v>30</v>
      </c>
      <c r="P836" s="12">
        <v>46070</v>
      </c>
      <c r="Q836" s="12">
        <v>46077</v>
      </c>
      <c r="R836" s="12"/>
      <c r="S836" s="12" t="b">
        <f>ISBLANK(WFTracker[[#This Row],[Completion Date]])</f>
        <v>1</v>
      </c>
      <c r="T836" s="12" t="str">
        <f>TEXT(WFTracker[[#This Row],[Start date]],"mmm-yyyy")</f>
        <v>Feb-2026</v>
      </c>
      <c r="U836" s="11">
        <v>10</v>
      </c>
      <c r="V836" s="11">
        <f>NETWORKDAYS.INTL(WFTracker[[#This Row],[Start date]],WFTracker[[#This Row],[Due date]],1,Holidays!D758:D773)</f>
        <v>6</v>
      </c>
      <c r="W83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23</v>
      </c>
      <c r="X836" s="24">
        <f ca="1">WFTracker[[#This Row],[Active Time]]-WFTracker[[#This Row],[Completion Days Template]]</f>
        <v>17</v>
      </c>
      <c r="Y836" s="16" t="str">
        <f ca="1" xml:space="preserve"> IF(WFTracker[[#This Row],[Overdue Time '[Expected-Completion']]]&gt;0, "LATE","ON TIME")</f>
        <v>LATE</v>
      </c>
      <c r="Z836" s="16" t="str">
        <f ca="1">IF(WFTracker[[#This Row],[Overdue Time '[Expected-Completion']]] &gt;= 15, "SUPER LATE", Y836)</f>
        <v>SUPER LATE</v>
      </c>
      <c r="AA836" s="37" t="str">
        <f>IF(WFTracker[[#This Row],[Pre RM Opening Time]]&lt;WFTracker[[#This Row],[Old vs New Order Lead Time WF dead line]], "LATE BY ENG", "ON TIME BY ENG")</f>
        <v>ON TIME BY ENG</v>
      </c>
      <c r="AB836" s="37"/>
      <c r="AC836" s="928" t="str" cm="1">
        <f t="array" ref="AC836">_xlfn.IFS(
    WFTracker[[#This Row],[Cancelation Cause]]&lt;&gt;"", "X",
    WFTracker[[#This Row],[Competion Date Content]] = FALSE, "C",
    TRUE, "I"
)</f>
        <v>I</v>
      </c>
      <c r="AD83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836" s="25" t="str">
        <f ca="1">IF(WFTracker[[#This Row],[Impact Time Post RM]]&gt;0, "IMPACTED", "NOT IMPACTED")</f>
        <v>NOT IMPACTED</v>
      </c>
      <c r="AF836" s="15"/>
      <c r="AG836" s="18"/>
      <c r="AH836" s="14">
        <f ca="1">IF(WFTracker[[#This Row],[Status]]="C", "Closed", IF(WFTracker[[#This Row],[Status]] = "x", "Cancelled", WFTracker[[#This Row],[Impact Time Post RM]]))</f>
        <v>-8</v>
      </c>
      <c r="AI836" s="14" t="str">
        <f ca="1">IF(WFTracker[[#This Row],[Impact Time Post RM]]&lt;=0,"ON TIME","LATE")</f>
        <v>ON TIME</v>
      </c>
      <c r="AJ836" s="14" t="s">
        <v>977</v>
      </c>
      <c r="AK836" s="14">
        <v>12</v>
      </c>
      <c r="AL836" s="915">
        <f>IF(WFTracker[[#This Row],[Type]]="MAKE", WFTracker[[#This Row],[Due date]]+Filters!$J$111, WFTracker[[#This Row],[Due date]]+Filters!$J$135)</f>
        <v>46080.072512647552</v>
      </c>
      <c r="AM836" s="102" cm="1">
        <f t="array" ref="AM836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37" spans="1:39" ht="15" customHeight="1">
      <c r="A837" t="str">
        <f>IF(WFTracker[[#This Row],[Order Number]]="SWBD", "QED2", "PZ4")</f>
        <v>PZ4</v>
      </c>
      <c r="B837" s="21" t="s">
        <v>938</v>
      </c>
      <c r="C837" s="109" t="s">
        <v>1709</v>
      </c>
      <c r="D837" s="11" t="str">
        <f>WFTracker[[#This Row],[Order Number]]  &amp; "-" &amp; WFTracker[[#This Row],[Item]]</f>
        <v>0051434217-000330</v>
      </c>
      <c r="E837" s="23" t="s">
        <v>940</v>
      </c>
      <c r="F837" s="12">
        <v>46107</v>
      </c>
      <c r="G837" s="27">
        <v>46112</v>
      </c>
      <c r="H837" t="s">
        <v>80</v>
      </c>
      <c r="I837" t="s">
        <v>1132</v>
      </c>
      <c r="J837" s="1091" t="s">
        <v>942</v>
      </c>
      <c r="K837" s="28" t="s">
        <v>1017</v>
      </c>
      <c r="L837" s="15" t="s">
        <v>27</v>
      </c>
      <c r="M837" s="29" t="s">
        <v>1120</v>
      </c>
      <c r="N837" s="57">
        <v>46232</v>
      </c>
      <c r="O837" s="29">
        <f>NETWORKDAYS.INTL(WFTracker[[#This Row],[Start date]],WFTracker[[#This Row],[RM]],1,Holidays!D839:D854)</f>
        <v>13</v>
      </c>
      <c r="P837" s="27">
        <v>46091</v>
      </c>
      <c r="Q837" s="27">
        <v>46104</v>
      </c>
      <c r="R837" s="27">
        <v>46099</v>
      </c>
      <c r="S837" s="27" t="b">
        <f>ISBLANK(WFTracker[[#This Row],[Completion Date]])</f>
        <v>0</v>
      </c>
      <c r="T837" s="27" t="str">
        <f>TEXT(WFTracker[[#This Row],[Start date]],"mmm-yyyy")</f>
        <v>Mar-2026</v>
      </c>
      <c r="U837" s="11">
        <v>10</v>
      </c>
      <c r="V837">
        <f>NETWORKDAYS.INTL(WFTracker[[#This Row],[Start date]],WFTracker[[#This Row],[Due date]],1,Holidays!D839:D854)</f>
        <v>10</v>
      </c>
      <c r="W837" s="30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37" s="24">
        <f ca="1">WFTracker[[#This Row],[Active Time]]-WFTracker[[#This Row],[Completion Days Template]]</f>
        <v>-3</v>
      </c>
      <c r="Y837" s="34" t="str">
        <f ca="1" xml:space="preserve"> IF(WFTracker[[#This Row],[Overdue Time '[Expected-Completion']]]&gt;0, "LATE","ON TIME")</f>
        <v>ON TIME</v>
      </c>
      <c r="Z837" s="34" t="str">
        <f ca="1">IF(WFTracker[[#This Row],[Overdue Time '[Expected-Completion']]] &gt;= 15, "SUPER LATE", Y837)</f>
        <v>ON TIME</v>
      </c>
      <c r="AA837" s="105" t="str">
        <f>IF(WFTracker[[#This Row],[Pre RM Opening Time]]&lt;WFTracker[[#This Row],[Old vs New Order Lead Time WF dead line]], "LATE BY ENG", "ON TIME BY ENG")</f>
        <v>ON TIME BY ENG</v>
      </c>
      <c r="AB837" s="105"/>
      <c r="AC837" s="928" t="str" cm="1">
        <f t="array" ref="AC837">_xlfn.IFS(
    WFTracker[[#This Row],[Cancelation Cause]]&lt;&gt;"", "X",
    WFTracker[[#This Row],[Competion Date Content]] = FALSE, "C",
    TRUE, "I"
)</f>
        <v>C</v>
      </c>
      <c r="AD837" s="31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37" s="31" t="str">
        <f ca="1">IF(WFTracker[[#This Row],[Impact Time Post RM]]&gt;0, "IMPACTED", "NOT IMPACTED")</f>
        <v>NOT IMPACTED</v>
      </c>
      <c r="AF837" s="15"/>
      <c r="AG837" s="42"/>
      <c r="AH837" s="14" t="str">
        <f>IF(WFTracker[[#This Row],[Status]]="C", "Closed", IF(WFTracker[[#This Row],[Status]] = "x", "Cancelled", WFTracker[[#This Row],[Impact Time Post RM]]))</f>
        <v>Closed</v>
      </c>
      <c r="AI837" s="28" t="str">
        <f ca="1">IF(WFTracker[[#This Row],[Impact Time Post RM]]&lt;=0,"ON TIME","LATE")</f>
        <v>ON TIME</v>
      </c>
      <c r="AJ837" s="14" t="s">
        <v>984</v>
      </c>
      <c r="AK837" s="28">
        <v>18</v>
      </c>
      <c r="AL837" s="915">
        <f>IF(WFTracker[[#This Row],[Type]]="MAKE", WFTracker[[#This Row],[Due date]]+Filters!$J$111, WFTracker[[#This Row],[Due date]]+Filters!$J$135)</f>
        <v>46107.072512647552</v>
      </c>
      <c r="AM837" s="102" cm="1">
        <f t="array" ref="AM837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38" spans="1:39" ht="15" customHeight="1">
      <c r="A838" t="str">
        <f>IF(WFTracker[[#This Row],[Order Number]]="SWBD", "QED2", "PZ4")</f>
        <v>PZ4</v>
      </c>
      <c r="B838" s="21" t="s">
        <v>884</v>
      </c>
      <c r="C838" s="109" t="s">
        <v>135</v>
      </c>
      <c r="D838" s="11" t="str">
        <f>WFTracker[[#This Row],[Order Number]]  &amp; "-" &amp; WFTracker[[#This Row],[Item]]</f>
        <v>0051735870-000010</v>
      </c>
      <c r="E838" s="23" t="s">
        <v>885</v>
      </c>
      <c r="F838" s="12">
        <v>46111</v>
      </c>
      <c r="G838" s="1339">
        <v>46098</v>
      </c>
      <c r="H838" s="1340" t="s">
        <v>80</v>
      </c>
      <c r="I838" s="1340" t="s">
        <v>429</v>
      </c>
      <c r="J838" s="113" t="s">
        <v>1710</v>
      </c>
      <c r="K838" s="1341" t="s">
        <v>1023</v>
      </c>
      <c r="L838" s="15" t="s">
        <v>40</v>
      </c>
      <c r="M838" s="29" t="s">
        <v>1120</v>
      </c>
      <c r="N838" s="57">
        <v>46225</v>
      </c>
      <c r="O838" s="1342">
        <f>NETWORKDAYS.INTL(WFTracker[[#This Row],[Start date]],WFTracker[[#This Row],[RM]],1,Holidays!D832:D847)</f>
        <v>16</v>
      </c>
      <c r="P838" s="1339">
        <v>46090</v>
      </c>
      <c r="Q838" s="1339">
        <v>46104</v>
      </c>
      <c r="R838" s="1339"/>
      <c r="S838" s="1339" t="b">
        <f>ISBLANK(WFTracker[[#This Row],[Completion Date]])</f>
        <v>1</v>
      </c>
      <c r="T838" s="1339" t="str">
        <f>TEXT(WFTracker[[#This Row],[Start date]],"mmm-yyyy")</f>
        <v>Mar-2026</v>
      </c>
      <c r="U838" s="11">
        <v>10</v>
      </c>
      <c r="V838" s="1340">
        <f>NETWORKDAYS.INTL(WFTracker[[#This Row],[Start date]],WFTracker[[#This Row],[Due date]],1,Holidays!D832:D847)</f>
        <v>11</v>
      </c>
      <c r="W838" s="1343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9</v>
      </c>
      <c r="X838" s="24">
        <f ca="1">WFTracker[[#This Row],[Active Time]]-WFTracker[[#This Row],[Completion Days Template]]</f>
        <v>-2</v>
      </c>
      <c r="Y838" s="1344" t="str">
        <f ca="1" xml:space="preserve"> IF(WFTracker[[#This Row],[Overdue Time '[Expected-Completion']]]&gt;0, "LATE","ON TIME")</f>
        <v>ON TIME</v>
      </c>
      <c r="Z838" s="1344" t="str">
        <f ca="1">IF(WFTracker[[#This Row],[Overdue Time '[Expected-Completion']]] &gt;= 15, "SUPER LATE", Y838)</f>
        <v>ON TIME</v>
      </c>
      <c r="AA838" s="1345" t="str">
        <f>IF(WFTracker[[#This Row],[Pre RM Opening Time]]&lt;WFTracker[[#This Row],[Old vs New Order Lead Time WF dead line]], "LATE BY ENG", "ON TIME BY ENG")</f>
        <v>ON TIME BY ENG</v>
      </c>
      <c r="AB838" s="1345"/>
      <c r="AC838" s="928" t="str" cm="1">
        <f t="array" ref="AC838">_xlfn.IFS(
    WFTracker[[#This Row],[Cancelation Cause]]&lt;&gt;"", "X",
    WFTracker[[#This Row],[Competion Date Content]] = FALSE, "C",
    TRUE, "I"
)</f>
        <v>I</v>
      </c>
      <c r="AD838" s="1346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-8</v>
      </c>
      <c r="AE838" s="1346" t="str">
        <f ca="1">IF(WFTracker[[#This Row],[Impact Time Post RM]]&gt;0, "IMPACTED", "NOT IMPACTED")</f>
        <v>NOT IMPACTED</v>
      </c>
      <c r="AF838" s="15"/>
      <c r="AG838" s="1347"/>
      <c r="AH838" s="14">
        <f ca="1">IF(WFTracker[[#This Row],[Status]]="C", "Closed", IF(WFTracker[[#This Row],[Status]] = "x", "Cancelled", WFTracker[[#This Row],[Impact Time Post RM]]))</f>
        <v>-8</v>
      </c>
      <c r="AI838" s="1341" t="str">
        <f ca="1">IF(WFTracker[[#This Row],[Impact Time Post RM]]&lt;=0,"ON TIME","LATE")</f>
        <v>ON TIME</v>
      </c>
      <c r="AJ838" s="14" t="s">
        <v>970</v>
      </c>
      <c r="AK838" s="1341">
        <v>4</v>
      </c>
      <c r="AL838" s="915">
        <f>IF(WFTracker[[#This Row],[Type]]="MAKE", WFTracker[[#This Row],[Due date]]+Filters!$J$111, WFTracker[[#This Row],[Due date]]+Filters!$J$135)</f>
        <v>46104.415686274508</v>
      </c>
      <c r="AM838" s="102" cm="1">
        <f t="array" ref="AM838">_xlfn.IFS(WFTracker[[#This Row],[Type]]="BUY", WFTracker[[#This Row],[Task Number]]/17,
     WFTracker[[#This Row],[Type]]="MAKE", WFTracker[[#This Row],[Task Number]]/18,
     WFTracker[[#This Row],[Type]]="CNG-BOM", WFTracker[[#This Row],[Task Number]]/11)</f>
        <v>0.23529411764705882</v>
      </c>
    </row>
    <row r="839" spans="1:39" ht="15" customHeight="1">
      <c r="A839" t="str">
        <f>IF(WFTracker[[#This Row],[Order Number]]="SWBD", "QED2", "PZ4")</f>
        <v>PZ4</v>
      </c>
      <c r="B839" s="1063" t="s">
        <v>826</v>
      </c>
      <c r="C839" s="109" t="s">
        <v>882</v>
      </c>
      <c r="D839" s="11" t="str">
        <f>WFTracker[[#This Row],[Order Number]]  &amp; "-" &amp; WFTracker[[#This Row],[Item]]</f>
        <v>0050384250-001230</v>
      </c>
      <c r="E839" s="23" t="s">
        <v>1027</v>
      </c>
      <c r="F839" s="12">
        <v>46106</v>
      </c>
      <c r="G839" s="27"/>
      <c r="H839" t="s">
        <v>237</v>
      </c>
      <c r="I839" t="s">
        <v>593</v>
      </c>
      <c r="J839" s="909" t="s">
        <v>1711</v>
      </c>
      <c r="K839" s="28" t="s">
        <v>1017</v>
      </c>
      <c r="L839" s="15" t="s">
        <v>27</v>
      </c>
      <c r="M839" s="29" t="s">
        <v>1120</v>
      </c>
      <c r="N839" s="57">
        <v>46240</v>
      </c>
      <c r="O839" s="29">
        <f>NETWORKDAYS.INTL(WFTracker[[#This Row],[Start date]],WFTracker[[#This Row],[RM]],1,Holidays!D841:D856)</f>
        <v>11</v>
      </c>
      <c r="P839" s="27">
        <v>46092</v>
      </c>
      <c r="Q839" s="27">
        <v>46101</v>
      </c>
      <c r="R839" s="27">
        <v>46098</v>
      </c>
      <c r="S839" s="27" t="b">
        <f>ISBLANK(WFTracker[[#This Row],[Completion Date]])</f>
        <v>0</v>
      </c>
      <c r="T839" s="27" t="str">
        <f>TEXT(WFTracker[[#This Row],[Start date]],"mmm-yyyy")</f>
        <v>Mar-2026</v>
      </c>
      <c r="U839" s="11">
        <v>10</v>
      </c>
      <c r="V839">
        <f>NETWORKDAYS.INTL(WFTracker[[#This Row],[Start date]],WFTracker[[#This Row],[Due date]],1,Holidays!D841:D856)</f>
        <v>8</v>
      </c>
      <c r="W839" s="30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39" s="24">
        <f ca="1">WFTracker[[#This Row],[Active Time]]-WFTracker[[#This Row],[Completion Days Template]]</f>
        <v>-3</v>
      </c>
      <c r="Y839" s="34" t="str">
        <f ca="1" xml:space="preserve"> IF(WFTracker[[#This Row],[Overdue Time '[Expected-Completion']]]&gt;0, "LATE","ON TIME")</f>
        <v>ON TIME</v>
      </c>
      <c r="Z839" s="34" t="str">
        <f ca="1">IF(WFTracker[[#This Row],[Overdue Time '[Expected-Completion']]] &gt;= 15, "SUPER LATE", Y839)</f>
        <v>ON TIME</v>
      </c>
      <c r="AA839" s="105" t="str">
        <f>IF(WFTracker[[#This Row],[Pre RM Opening Time]]&lt;WFTracker[[#This Row],[Old vs New Order Lead Time WF dead line]], "LATE BY ENG", "ON TIME BY ENG")</f>
        <v>ON TIME BY ENG</v>
      </c>
      <c r="AB839" s="105"/>
      <c r="AC839" s="928" t="str" cm="1">
        <f t="array" ref="AC839">_xlfn.IFS(
    WFTracker[[#This Row],[Cancelation Cause]]&lt;&gt;"", "X",
    WFTracker[[#This Row],[Competion Date Content]] = FALSE, "C",
    TRUE, "I"
)</f>
        <v>C</v>
      </c>
      <c r="AD839" s="31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-7</v>
      </c>
      <c r="AE839" s="31" t="str">
        <f ca="1">IF(WFTracker[[#This Row],[Impact Time Post RM]]&gt;0, "IMPACTED", "NOT IMPACTED")</f>
        <v>NOT IMPACTED</v>
      </c>
      <c r="AF839" s="15"/>
      <c r="AG839" s="42"/>
      <c r="AH839" s="14" t="str">
        <f>IF(WFTracker[[#This Row],[Status]]="C", "Closed", IF(WFTracker[[#This Row],[Status]] = "x", "Cancelled", WFTracker[[#This Row],[Impact Time Post RM]]))</f>
        <v>Closed</v>
      </c>
      <c r="AI839" s="28" t="str">
        <f ca="1">IF(WFTracker[[#This Row],[Impact Time Post RM]]&lt;=0,"ON TIME","LATE")</f>
        <v>ON TIME</v>
      </c>
      <c r="AJ839" s="14" t="s">
        <v>984</v>
      </c>
      <c r="AK839" s="28">
        <v>18</v>
      </c>
      <c r="AL839" s="915">
        <f>IF(WFTracker[[#This Row],[Type]]="MAKE", WFTracker[[#This Row],[Due date]]+Filters!$J$111, WFTracker[[#This Row],[Due date]]+Filters!$J$135)</f>
        <v>46104.072512647552</v>
      </c>
      <c r="AM839" s="102" cm="1">
        <f t="array" ref="AM839">_xlfn.IFS(WFTracker[[#This Row],[Type]]="BUY", WFTracker[[#This Row],[Task Number]]/17,
     WFTracker[[#This Row],[Type]]="MAKE", WFTracker[[#This Row],[Task Number]]/18,
     WFTracker[[#This Row],[Type]]="CNG-BOM", WFTracker[[#This Row],[Task Number]]/11)</f>
        <v>1</v>
      </c>
    </row>
    <row r="840" spans="1:39" ht="15" customHeight="1">
      <c r="A840" t="str">
        <f>IF(WFTracker[[#This Row],[Order Number]]="SWBD", "QED2", "PZ4")</f>
        <v>PZ4</v>
      </c>
      <c r="B840" s="21" t="s">
        <v>938</v>
      </c>
      <c r="C840" s="109" t="s">
        <v>939</v>
      </c>
      <c r="D840" s="11" t="str">
        <f>WFTracker[[#This Row],[Order Number]]  &amp; "-" &amp; WFTracker[[#This Row],[Item]]</f>
        <v>0051434217-000320</v>
      </c>
      <c r="E840" s="23" t="s">
        <v>940</v>
      </c>
      <c r="F840" s="12">
        <v>46112</v>
      </c>
      <c r="G840" s="1339">
        <v>46105</v>
      </c>
      <c r="H840" s="1340" t="s">
        <v>80</v>
      </c>
      <c r="I840" s="1340" t="s">
        <v>1132</v>
      </c>
      <c r="J840" s="113" t="s">
        <v>1712</v>
      </c>
      <c r="K840" s="1341" t="s">
        <v>1023</v>
      </c>
      <c r="L840" s="15" t="s">
        <v>27</v>
      </c>
      <c r="M840" s="29" t="s">
        <v>1120</v>
      </c>
      <c r="N840" s="57">
        <v>46225</v>
      </c>
      <c r="O840" s="1342">
        <f>NETWORKDAYS.INTL(WFTracker[[#This Row],[Start date]],WFTracker[[#This Row],[RM]],1,Holidays!D792:D807)</f>
        <v>25</v>
      </c>
      <c r="P840" s="1339">
        <v>46078</v>
      </c>
      <c r="Q840" s="1339">
        <v>46085</v>
      </c>
      <c r="R840" s="1339"/>
      <c r="S840" s="1339" t="b">
        <f>ISBLANK(WFTracker[[#This Row],[Completion Date]])</f>
        <v>1</v>
      </c>
      <c r="T840" s="1339" t="str">
        <f>TEXT(WFTracker[[#This Row],[Start date]],"mmm-yyyy")</f>
        <v>Feb-2026</v>
      </c>
      <c r="U840" s="11">
        <v>10</v>
      </c>
      <c r="V840" s="1340">
        <f>NETWORKDAYS.INTL(WFTracker[[#This Row],[Start date]],WFTracker[[#This Row],[Due date]],1,Holidays!D792:D807)</f>
        <v>6</v>
      </c>
      <c r="W840" s="1343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840" s="24">
        <f ca="1">WFTracker[[#This Row],[Active Time]]-WFTracker[[#This Row],[Completion Days Template]]</f>
        <v>11</v>
      </c>
      <c r="Y840" s="1344" t="str">
        <f ca="1" xml:space="preserve"> IF(WFTracker[[#This Row],[Overdue Time '[Expected-Completion']]]&gt;0, "LATE","ON TIME")</f>
        <v>LATE</v>
      </c>
      <c r="Z840" s="1344" t="str">
        <f ca="1">IF(WFTracker[[#This Row],[Overdue Time '[Expected-Completion']]] &gt;= 15, "SUPER LATE", Y840)</f>
        <v>LATE</v>
      </c>
      <c r="AA840" s="1345" t="str">
        <f>IF(WFTracker[[#This Row],[Pre RM Opening Time]]&lt;WFTracker[[#This Row],[Old vs New Order Lead Time WF dead line]], "LATE BY ENG", "ON TIME BY ENG")</f>
        <v>ON TIME BY ENG</v>
      </c>
      <c r="AB840" s="1345"/>
      <c r="AC840" s="928" t="str" cm="1">
        <f t="array" ref="AC840">_xlfn.IFS(
    WFTracker[[#This Row],[Cancelation Cause]]&lt;&gt;"", "X",
    WFTracker[[#This Row],[Competion Date Content]] = FALSE, "C",
    TRUE, "I"
)</f>
        <v>I</v>
      </c>
      <c r="AD840" s="1346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840" s="1346" t="str">
        <f ca="1">IF(WFTracker[[#This Row],[Impact Time Post RM]]&gt;0, "IMPACTED", "NOT IMPACTED")</f>
        <v>NOT IMPACTED</v>
      </c>
      <c r="AF840" s="15"/>
      <c r="AG840" s="1347"/>
      <c r="AH840" s="14">
        <f ca="1">IF(WFTracker[[#This Row],[Status]]="C", "Closed", IF(WFTracker[[#This Row],[Status]] = "x", "Cancelled", WFTracker[[#This Row],[Impact Time Post RM]]))</f>
        <v>-9</v>
      </c>
      <c r="AI840" s="1341" t="str">
        <f ca="1">IF(WFTracker[[#This Row],[Impact Time Post RM]]&lt;=0,"ON TIME","LATE")</f>
        <v>ON TIME</v>
      </c>
      <c r="AJ840" s="14" t="s">
        <v>977</v>
      </c>
      <c r="AK840" s="1341">
        <v>12</v>
      </c>
      <c r="AL840" s="915">
        <f>IF(WFTracker[[#This Row],[Type]]="MAKE", WFTracker[[#This Row],[Due date]]+Filters!$J$111, WFTracker[[#This Row],[Due date]]+Filters!$J$135)</f>
        <v>46088.072512647552</v>
      </c>
      <c r="AM840" s="102" cm="1">
        <f t="array" ref="AM840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41" spans="1:39" ht="15" customHeight="1">
      <c r="A841" t="str">
        <f>IF(WFTracker[[#This Row],[Order Number]]="SWBD", "QED2", "PZ4")</f>
        <v>PZ4</v>
      </c>
      <c r="B841" s="21" t="s">
        <v>938</v>
      </c>
      <c r="C841" s="26" t="s">
        <v>939</v>
      </c>
      <c r="D841" s="11" t="str">
        <f>WFTracker[[#This Row],[Order Number]]  &amp; "-" &amp; WFTracker[[#This Row],[Item]]</f>
        <v>0051434217-000320</v>
      </c>
      <c r="E841" s="23" t="s">
        <v>940</v>
      </c>
      <c r="F841" s="12">
        <v>46112</v>
      </c>
      <c r="G841" s="12">
        <v>46105</v>
      </c>
      <c r="H841" s="11" t="s">
        <v>80</v>
      </c>
      <c r="I841" s="11" t="s">
        <v>1132</v>
      </c>
      <c r="J841" s="55" t="s">
        <v>1713</v>
      </c>
      <c r="K841" s="14" t="s">
        <v>1023</v>
      </c>
      <c r="L841" s="15" t="s">
        <v>27</v>
      </c>
      <c r="M841" s="29" t="s">
        <v>1120</v>
      </c>
      <c r="N841" s="57">
        <v>46225</v>
      </c>
      <c r="O841" s="15">
        <f>NETWORKDAYS.INTL(WFTracker[[#This Row],[Start date]],WFTracker[[#This Row],[RM]],1,Holidays!D793:D808)</f>
        <v>25</v>
      </c>
      <c r="P841" s="12">
        <v>46078</v>
      </c>
      <c r="Q841" s="12">
        <v>46085</v>
      </c>
      <c r="R841" s="12"/>
      <c r="S841" s="12" t="b">
        <f>ISBLANK(WFTracker[[#This Row],[Completion Date]])</f>
        <v>1</v>
      </c>
      <c r="T841" s="12" t="str">
        <f>TEXT(WFTracker[[#This Row],[Start date]],"mmm-yyyy")</f>
        <v>Feb-2026</v>
      </c>
      <c r="U841" s="11">
        <v>10</v>
      </c>
      <c r="V841" s="11">
        <f>NETWORKDAYS.INTL(WFTracker[[#This Row],[Start date]],WFTracker[[#This Row],[Due date]],1,Holidays!D793:D808)</f>
        <v>6</v>
      </c>
      <c r="W84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841" s="24">
        <f ca="1">WFTracker[[#This Row],[Active Time]]-WFTracker[[#This Row],[Completion Days Template]]</f>
        <v>11</v>
      </c>
      <c r="Y841" s="16" t="str">
        <f ca="1" xml:space="preserve"> IF(WFTracker[[#This Row],[Overdue Time '[Expected-Completion']]]&gt;0, "LATE","ON TIME")</f>
        <v>LATE</v>
      </c>
      <c r="Z841" s="16" t="str">
        <f ca="1">IF(WFTracker[[#This Row],[Overdue Time '[Expected-Completion']]] &gt;= 15, "SUPER LATE", Y841)</f>
        <v>LATE</v>
      </c>
      <c r="AA841" s="37" t="str">
        <f>IF(WFTracker[[#This Row],[Pre RM Opening Time]]&lt;WFTracker[[#This Row],[Old vs New Order Lead Time WF dead line]], "LATE BY ENG", "ON TIME BY ENG")</f>
        <v>ON TIME BY ENG</v>
      </c>
      <c r="AB841" s="37"/>
      <c r="AC841" s="928" t="str" cm="1">
        <f t="array" ref="AC841">_xlfn.IFS(
    WFTracker[[#This Row],[Cancelation Cause]]&lt;&gt;"", "X",
    WFTracker[[#This Row],[Competion Date Content]] = FALSE, "C",
    TRUE, "I"
)</f>
        <v>I</v>
      </c>
      <c r="AD84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841" s="25" t="str">
        <f ca="1">IF(WFTracker[[#This Row],[Impact Time Post RM]]&gt;0, "IMPACTED", "NOT IMPACTED")</f>
        <v>NOT IMPACTED</v>
      </c>
      <c r="AF841" s="15"/>
      <c r="AG841" s="18"/>
      <c r="AH841" s="14">
        <f ca="1">IF(WFTracker[[#This Row],[Status]]="C", "Closed", IF(WFTracker[[#This Row],[Status]] = "x", "Cancelled", WFTracker[[#This Row],[Impact Time Post RM]]))</f>
        <v>-9</v>
      </c>
      <c r="AI841" s="14" t="str">
        <f ca="1">IF(WFTracker[[#This Row],[Impact Time Post RM]]&lt;=0,"ON TIME","LATE")</f>
        <v>ON TIME</v>
      </c>
      <c r="AJ841" s="14" t="s">
        <v>977</v>
      </c>
      <c r="AK841" s="14">
        <v>12</v>
      </c>
      <c r="AL841" s="915">
        <f>IF(WFTracker[[#This Row],[Type]]="MAKE", WFTracker[[#This Row],[Due date]]+Filters!$J$111, WFTracker[[#This Row],[Due date]]+Filters!$J$135)</f>
        <v>46088.072512647552</v>
      </c>
      <c r="AM841" s="102" cm="1">
        <f t="array" ref="AM841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42" spans="1:39" ht="15" customHeight="1">
      <c r="A842" t="str">
        <f>IF(WFTracker[[#This Row],[Order Number]]="SWBD", "QED2", "PZ4")</f>
        <v>PZ4</v>
      </c>
      <c r="B842" s="21" t="s">
        <v>1714</v>
      </c>
      <c r="C842" s="26" t="s">
        <v>257</v>
      </c>
      <c r="D842" s="11" t="str">
        <f>WFTracker[[#This Row],[Order Number]]  &amp; "-" &amp; WFTracker[[#This Row],[Item]]</f>
        <v>0051420926-000090</v>
      </c>
      <c r="E842" s="23" t="s">
        <v>1018</v>
      </c>
      <c r="F842" s="12">
        <v>46129</v>
      </c>
      <c r="G842" s="12">
        <v>46122</v>
      </c>
      <c r="H842" s="11" t="s">
        <v>237</v>
      </c>
      <c r="I842" s="11"/>
      <c r="J842" s="55" t="s">
        <v>1715</v>
      </c>
      <c r="K842" s="14" t="s">
        <v>1023</v>
      </c>
      <c r="L842" s="15" t="s">
        <v>40</v>
      </c>
      <c r="M842" s="29" t="s">
        <v>1120</v>
      </c>
      <c r="N842" s="57">
        <v>46255</v>
      </c>
      <c r="O842" s="15">
        <f>NETWORKDAYS.INTL(WFTracker[[#This Row],[Start date]],WFTracker[[#This Row],[RM]],1,Holidays!D844:D859)</f>
        <v>27</v>
      </c>
      <c r="P842" s="12">
        <v>46093</v>
      </c>
      <c r="Q842" s="12">
        <v>46111</v>
      </c>
      <c r="R842" s="12"/>
      <c r="S842" s="12" t="b">
        <f>ISBLANK(WFTracker[[#This Row],[Completion Date]])</f>
        <v>1</v>
      </c>
      <c r="T842" s="12" t="str">
        <f>TEXT(WFTracker[[#This Row],[Start date]],"mmm-yyyy")</f>
        <v>Mar-2026</v>
      </c>
      <c r="U842" s="11">
        <v>10</v>
      </c>
      <c r="V842" s="11">
        <f>NETWORKDAYS.INTL(WFTracker[[#This Row],[Start date]],WFTracker[[#This Row],[Due date]],1,Holidays!D844:D859)</f>
        <v>13</v>
      </c>
      <c r="W84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842" s="24">
        <f ca="1">WFTracker[[#This Row],[Active Time]]-WFTracker[[#This Row],[Completion Days Template]]</f>
        <v>-7</v>
      </c>
      <c r="Y842" s="16" t="str">
        <f ca="1" xml:space="preserve"> IF(WFTracker[[#This Row],[Overdue Time '[Expected-Completion']]]&gt;0, "LATE","ON TIME")</f>
        <v>ON TIME</v>
      </c>
      <c r="Z842" s="16" t="str">
        <f ca="1">IF(WFTracker[[#This Row],[Overdue Time '[Expected-Completion']]] &gt;= 15, "SUPER LATE", Y842)</f>
        <v>ON TIME</v>
      </c>
      <c r="AA842" s="37" t="str">
        <f>IF(WFTracker[[#This Row],[Pre RM Opening Time]]&lt;WFTracker[[#This Row],[Old vs New Order Lead Time WF dead line]], "LATE BY ENG", "ON TIME BY ENG")</f>
        <v>ON TIME BY ENG</v>
      </c>
      <c r="AB842" s="37"/>
      <c r="AC842" s="928" t="str" cm="1">
        <f t="array" ref="AC842">_xlfn.IFS(
    WFTracker[[#This Row],[Cancelation Cause]]&lt;&gt;"", "X",
    WFTracker[[#This Row],[Competion Date Content]] = FALSE, "C",
    TRUE, "I"
)</f>
        <v>I</v>
      </c>
      <c r="AD84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42" s="25" t="str">
        <f ca="1">IF(WFTracker[[#This Row],[Impact Time Post RM]]&gt;0, "IMPACTED", "NOT IMPACTED")</f>
        <v>NOT IMPACTED</v>
      </c>
      <c r="AF842" s="15"/>
      <c r="AG842" s="18"/>
      <c r="AH842" s="14">
        <f ca="1">IF(WFTracker[[#This Row],[Status]]="C", "Closed", IF(WFTracker[[#This Row],[Status]] = "x", "Cancelled", WFTracker[[#This Row],[Impact Time Post RM]]))</f>
        <v>-22</v>
      </c>
      <c r="AI842" s="14" t="str">
        <f ca="1">IF(WFTracker[[#This Row],[Impact Time Post RM]]&lt;=0,"ON TIME","LATE")</f>
        <v>ON TIME</v>
      </c>
      <c r="AJ842" s="14" t="s">
        <v>972</v>
      </c>
      <c r="AK842" s="14">
        <v>2</v>
      </c>
      <c r="AL842" s="915">
        <f>IF(WFTracker[[#This Row],[Type]]="MAKE", WFTracker[[#This Row],[Due date]]+Filters!$J$111, WFTracker[[#This Row],[Due date]]+Filters!$J$135)</f>
        <v>46111.415686274508</v>
      </c>
      <c r="AM842" s="102" cm="1">
        <f t="array" ref="AM842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843" spans="1:39" ht="15" customHeight="1">
      <c r="A843" t="str">
        <f>IF(WFTracker[[#This Row],[Order Number]]="SWBD", "QED2", "PZ4")</f>
        <v>PZ4</v>
      </c>
      <c r="B843" s="21" t="s">
        <v>949</v>
      </c>
      <c r="C843" s="26" t="s">
        <v>135</v>
      </c>
      <c r="D843" s="11" t="str">
        <f>WFTracker[[#This Row],[Order Number]]  &amp; "-" &amp; WFTracker[[#This Row],[Item]]</f>
        <v>0051700206-000010</v>
      </c>
      <c r="E843" s="23" t="s">
        <v>1019</v>
      </c>
      <c r="F843" s="12">
        <v>46122</v>
      </c>
      <c r="G843" s="12">
        <v>46115</v>
      </c>
      <c r="H843" s="11" t="s">
        <v>947</v>
      </c>
      <c r="I843" s="11" t="s">
        <v>24</v>
      </c>
      <c r="J843" s="55" t="s">
        <v>951</v>
      </c>
      <c r="K843" s="14" t="s">
        <v>1017</v>
      </c>
      <c r="L843" s="15" t="s">
        <v>40</v>
      </c>
      <c r="M843" s="29" t="s">
        <v>1120</v>
      </c>
      <c r="N843" s="57">
        <v>46252</v>
      </c>
      <c r="O843" s="15">
        <f>NETWORKDAYS.INTL(WFTracker[[#This Row],[Start date]],WFTracker[[#This Row],[RM]],1,Holidays!D849:D864)</f>
        <v>22</v>
      </c>
      <c r="P843" s="12">
        <v>46093</v>
      </c>
      <c r="Q843" s="12">
        <v>46107</v>
      </c>
      <c r="R843" s="12"/>
      <c r="S843" s="12" t="b">
        <f>ISBLANK(WFTracker[[#This Row],[Completion Date]])</f>
        <v>1</v>
      </c>
      <c r="T843" s="12" t="str">
        <f>TEXT(WFTracker[[#This Row],[Start date]],"mmm-yyyy")</f>
        <v>Mar-2026</v>
      </c>
      <c r="U843" s="11">
        <v>10</v>
      </c>
      <c r="V843" s="11">
        <f>NETWORKDAYS.INTL(WFTracker[[#This Row],[Start date]],WFTracker[[#This Row],[Due date]],1,Holidays!D849:D864)</f>
        <v>11</v>
      </c>
      <c r="W84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843" s="24">
        <f ca="1">WFTracker[[#This Row],[Active Time]]-WFTracker[[#This Row],[Completion Days Template]]</f>
        <v>-5</v>
      </c>
      <c r="Y843" s="16" t="str">
        <f ca="1" xml:space="preserve"> IF(WFTracker[[#This Row],[Overdue Time '[Expected-Completion']]]&gt;0, "LATE","ON TIME")</f>
        <v>ON TIME</v>
      </c>
      <c r="Z843" s="16" t="str">
        <f ca="1">IF(WFTracker[[#This Row],[Overdue Time '[Expected-Completion']]] &gt;= 15, "SUPER LATE", Y843)</f>
        <v>ON TIME</v>
      </c>
      <c r="AA843" s="37" t="str">
        <f>IF(WFTracker[[#This Row],[Pre RM Opening Time]]&lt;WFTracker[[#This Row],[Old vs New Order Lead Time WF dead line]], "LATE BY ENG", "ON TIME BY ENG")</f>
        <v>ON TIME BY ENG</v>
      </c>
      <c r="AB843" s="37"/>
      <c r="AC843" s="928" t="str" cm="1">
        <f t="array" ref="AC843">_xlfn.IFS(
    WFTracker[[#This Row],[Cancelation Cause]]&lt;&gt;"", "X",
    WFTracker[[#This Row],[Competion Date Content]] = FALSE, "C",
    TRUE, "I"
)</f>
        <v>I</v>
      </c>
      <c r="AD84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843" s="25" t="str">
        <f ca="1">IF(WFTracker[[#This Row],[Impact Time Post RM]]&gt;0, "IMPACTED", "NOT IMPACTED")</f>
        <v>NOT IMPACTED</v>
      </c>
      <c r="AF843" s="15"/>
      <c r="AG843" s="18"/>
      <c r="AH843" s="14">
        <f ca="1">IF(WFTracker[[#This Row],[Status]]="C", "Closed", IF(WFTracker[[#This Row],[Status]] = "x", "Cancelled", WFTracker[[#This Row],[Impact Time Post RM]]))</f>
        <v>-17</v>
      </c>
      <c r="AI843" s="14" t="str">
        <f ca="1">IF(WFTracker[[#This Row],[Impact Time Post RM]]&lt;=0,"ON TIME","LATE")</f>
        <v>ON TIME</v>
      </c>
      <c r="AJ843" s="14" t="s">
        <v>979</v>
      </c>
      <c r="AK843" s="14">
        <v>2</v>
      </c>
      <c r="AL843" s="915">
        <f>IF(WFTracker[[#This Row],[Type]]="MAKE", WFTracker[[#This Row],[Due date]]+Filters!$J$111, WFTracker[[#This Row],[Due date]]+Filters!$J$135)</f>
        <v>46107.415686274508</v>
      </c>
      <c r="AM843" s="102" cm="1">
        <f t="array" ref="AM843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844" spans="1:39" ht="15" customHeight="1">
      <c r="A844" t="str">
        <f>IF(WFTracker[[#This Row],[Order Number]]="SWBD", "QED2", "PZ4")</f>
        <v>PZ4</v>
      </c>
      <c r="B844" s="21" t="s">
        <v>1714</v>
      </c>
      <c r="C844" s="26" t="s">
        <v>257</v>
      </c>
      <c r="D844" s="11" t="str">
        <f>WFTracker[[#This Row],[Order Number]]  &amp; "-" &amp; WFTracker[[#This Row],[Item]]</f>
        <v>0051420926-000090</v>
      </c>
      <c r="E844" s="23" t="s">
        <v>1018</v>
      </c>
      <c r="F844" s="12">
        <v>46129</v>
      </c>
      <c r="G844" s="12">
        <v>46122</v>
      </c>
      <c r="H844" s="11" t="s">
        <v>237</v>
      </c>
      <c r="I844" s="11"/>
      <c r="J844" s="55" t="s">
        <v>1716</v>
      </c>
      <c r="K844" s="14" t="s">
        <v>1023</v>
      </c>
      <c r="L844" s="15" t="s">
        <v>40</v>
      </c>
      <c r="M844" s="29" t="s">
        <v>1120</v>
      </c>
      <c r="N844" s="57">
        <v>46255</v>
      </c>
      <c r="O844" s="15">
        <f>NETWORKDAYS.INTL(WFTracker[[#This Row],[Start date]],WFTracker[[#This Row],[RM]],1,Holidays!D845:D860)</f>
        <v>26</v>
      </c>
      <c r="P844" s="12">
        <v>46094</v>
      </c>
      <c r="Q844" s="12">
        <v>46108</v>
      </c>
      <c r="R844" s="12"/>
      <c r="S844" s="12" t="b">
        <f>ISBLANK(WFTracker[[#This Row],[Completion Date]])</f>
        <v>1</v>
      </c>
      <c r="T844" s="12" t="str">
        <f>TEXT(WFTracker[[#This Row],[Start date]],"mmm-yyyy")</f>
        <v>Mar-2026</v>
      </c>
      <c r="U844" s="11">
        <v>10</v>
      </c>
      <c r="V844" s="11">
        <f>NETWORKDAYS.INTL(WFTracker[[#This Row],[Start date]],WFTracker[[#This Row],[Due date]],1,Holidays!D845:D860)</f>
        <v>11</v>
      </c>
      <c r="W84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44" s="24">
        <f ca="1">WFTracker[[#This Row],[Active Time]]-WFTracker[[#This Row],[Completion Days Template]]</f>
        <v>-6</v>
      </c>
      <c r="Y844" s="16" t="str">
        <f ca="1" xml:space="preserve"> IF(WFTracker[[#This Row],[Overdue Time '[Expected-Completion']]]&gt;0, "LATE","ON TIME")</f>
        <v>ON TIME</v>
      </c>
      <c r="Z844" s="16" t="str">
        <f ca="1">IF(WFTracker[[#This Row],[Overdue Time '[Expected-Completion']]] &gt;= 15, "SUPER LATE", Y844)</f>
        <v>ON TIME</v>
      </c>
      <c r="AA844" s="37" t="str">
        <f>IF(WFTracker[[#This Row],[Pre RM Opening Time]]&lt;WFTracker[[#This Row],[Old vs New Order Lead Time WF dead line]], "LATE BY ENG", "ON TIME BY ENG")</f>
        <v>ON TIME BY ENG</v>
      </c>
      <c r="AB844" s="37"/>
      <c r="AC844" s="928" t="str" cm="1">
        <f t="array" ref="AC844">_xlfn.IFS(
    WFTracker[[#This Row],[Cancelation Cause]]&lt;&gt;"", "X",
    WFTracker[[#This Row],[Competion Date Content]] = FALSE, "C",
    TRUE, "I"
)</f>
        <v>I</v>
      </c>
      <c r="AD84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44" s="25" t="str">
        <f ca="1">IF(WFTracker[[#This Row],[Impact Time Post RM]]&gt;0, "IMPACTED", "NOT IMPACTED")</f>
        <v>NOT IMPACTED</v>
      </c>
      <c r="AF844" s="15"/>
      <c r="AG844" s="18"/>
      <c r="AH844" s="14">
        <f ca="1">IF(WFTracker[[#This Row],[Status]]="C", "Closed", IF(WFTracker[[#This Row],[Status]] = "x", "Cancelled", WFTracker[[#This Row],[Impact Time Post RM]]))</f>
        <v>-22</v>
      </c>
      <c r="AI844" s="14" t="str">
        <f ca="1">IF(WFTracker[[#This Row],[Impact Time Post RM]]&lt;=0,"ON TIME","LATE")</f>
        <v>ON TIME</v>
      </c>
      <c r="AJ844" s="14" t="s">
        <v>970</v>
      </c>
      <c r="AK844" s="14">
        <v>2</v>
      </c>
      <c r="AL844" s="915">
        <f>IF(WFTracker[[#This Row],[Type]]="MAKE", WFTracker[[#This Row],[Due date]]+Filters!$J$111, WFTracker[[#This Row],[Due date]]+Filters!$J$135)</f>
        <v>46108.415686274508</v>
      </c>
      <c r="AM844" s="102" cm="1">
        <f t="array" ref="AM844">_xlfn.IFS(WFTracker[[#This Row],[Type]]="BUY", WFTracker[[#This Row],[Task Number]]/17,
     WFTracker[[#This Row],[Type]]="MAKE", WFTracker[[#This Row],[Task Number]]/18,
     WFTracker[[#This Row],[Type]]="CNG-BOM", WFTracker[[#This Row],[Task Number]]/11)</f>
        <v>0.11764705882352941</v>
      </c>
    </row>
    <row r="845" spans="1:39" ht="15" customHeight="1">
      <c r="A845" t="str">
        <f>IF(WFTracker[[#This Row],[Order Number]]="SWBD", "QED2", "PZ4")</f>
        <v>PZ4</v>
      </c>
      <c r="B845" s="21" t="s">
        <v>1714</v>
      </c>
      <c r="C845" s="26" t="s">
        <v>257</v>
      </c>
      <c r="D845" s="11" t="str">
        <f>WFTracker[[#This Row],[Order Number]]  &amp; "-" &amp; WFTracker[[#This Row],[Item]]</f>
        <v>0051420926-000090</v>
      </c>
      <c r="E845" s="23" t="s">
        <v>1018</v>
      </c>
      <c r="F845" s="12">
        <v>46129</v>
      </c>
      <c r="G845" s="12">
        <v>46122</v>
      </c>
      <c r="H845" s="11" t="s">
        <v>237</v>
      </c>
      <c r="I845" s="11"/>
      <c r="J845" s="55" t="s">
        <v>1717</v>
      </c>
      <c r="K845" s="14" t="s">
        <v>1023</v>
      </c>
      <c r="L845" s="15" t="s">
        <v>27</v>
      </c>
      <c r="M845" s="29" t="s">
        <v>1120</v>
      </c>
      <c r="N845" s="57">
        <v>46255</v>
      </c>
      <c r="O845" s="15">
        <f>NETWORKDAYS.INTL(WFTracker[[#This Row],[Start date]],WFTracker[[#This Row],[RM]],1,Holidays!D847:D862)</f>
        <v>26</v>
      </c>
      <c r="P845" s="12">
        <v>46094</v>
      </c>
      <c r="Q845" s="12">
        <v>46105</v>
      </c>
      <c r="R845" s="12">
        <v>46094</v>
      </c>
      <c r="S845" s="12" t="b">
        <f>ISBLANK(WFTracker[[#This Row],[Completion Date]])</f>
        <v>0</v>
      </c>
      <c r="T845" s="12" t="str">
        <f>TEXT(WFTracker[[#This Row],[Start date]],"mmm-yyyy")</f>
        <v>Mar-2026</v>
      </c>
      <c r="U845" s="11">
        <v>10</v>
      </c>
      <c r="V845" s="11">
        <f>NETWORKDAYS.INTL(WFTracker[[#This Row],[Start date]],WFTracker[[#This Row],[Due date]],1,Holidays!D847:D862)</f>
        <v>8</v>
      </c>
      <c r="W84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</v>
      </c>
      <c r="X845" s="24">
        <f ca="1">WFTracker[[#This Row],[Active Time]]-WFTracker[[#This Row],[Completion Days Template]]</f>
        <v>-7</v>
      </c>
      <c r="Y845" s="16" t="str">
        <f ca="1" xml:space="preserve"> IF(WFTracker[[#This Row],[Overdue Time '[Expected-Completion']]]&gt;0, "LATE","ON TIME")</f>
        <v>ON TIME</v>
      </c>
      <c r="Z845" s="16" t="str">
        <f ca="1">IF(WFTracker[[#This Row],[Overdue Time '[Expected-Completion']]] &gt;= 15, "SUPER LATE", Y845)</f>
        <v>ON TIME</v>
      </c>
      <c r="AA845" s="37" t="str">
        <f>IF(WFTracker[[#This Row],[Pre RM Opening Time]]&lt;WFTracker[[#This Row],[Old vs New Order Lead Time WF dead line]], "LATE BY ENG", "ON TIME BY ENG")</f>
        <v>ON TIME BY ENG</v>
      </c>
      <c r="AB845" s="37"/>
      <c r="AC845" s="928" t="s">
        <v>1011</v>
      </c>
      <c r="AD84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-26</v>
      </c>
      <c r="AE845" s="25" t="str">
        <f ca="1">IF(WFTracker[[#This Row],[Impact Time Post RM]]&gt;0, "IMPACTED", "NOT IMPACTED")</f>
        <v>NOT IMPACTED</v>
      </c>
      <c r="AF845" s="15"/>
      <c r="AG845" s="18"/>
      <c r="AH845" s="14" t="str">
        <f>IF(WFTracker[[#This Row],[Status]]="C", "Closed", IF(WFTracker[[#This Row],[Status]] = "x", "Cancelled", WFTracker[[#This Row],[Impact Time Post RM]]))</f>
        <v>Cancelled</v>
      </c>
      <c r="AI845" s="14" t="str">
        <f ca="1">IF(WFTracker[[#This Row],[Impact Time Post RM]]&lt;=0,"ON TIME","LATE")</f>
        <v>ON TIME</v>
      </c>
      <c r="AJ845" s="14" t="s">
        <v>984</v>
      </c>
      <c r="AK845" s="14">
        <v>0</v>
      </c>
      <c r="AL845" s="915">
        <f>IF(WFTracker[[#This Row],[Type]]="MAKE", WFTracker[[#This Row],[Due date]]+Filters!$J$111, WFTracker[[#This Row],[Due date]]+Filters!$J$135)</f>
        <v>46108.072512647552</v>
      </c>
      <c r="AM845" s="102" cm="1">
        <f t="array" ref="AM845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846" spans="1:39" ht="15" customHeight="1">
      <c r="A846" t="str">
        <f>IF(WFTracker[[#This Row],[Order Number]]="SWBD", "QED2", "PZ4")</f>
        <v>PZ4</v>
      </c>
      <c r="B846" s="21" t="s">
        <v>949</v>
      </c>
      <c r="C846" s="26" t="s">
        <v>135</v>
      </c>
      <c r="D846" s="11" t="str">
        <f>WFTracker[[#This Row],[Order Number]]  &amp; "-" &amp; WFTracker[[#This Row],[Item]]</f>
        <v>0051700206-000010</v>
      </c>
      <c r="E846" s="23" t="s">
        <v>1019</v>
      </c>
      <c r="F846" s="12">
        <v>46122</v>
      </c>
      <c r="G846" s="12">
        <v>46115</v>
      </c>
      <c r="H846" s="11" t="s">
        <v>947</v>
      </c>
      <c r="I846" s="11" t="s">
        <v>24</v>
      </c>
      <c r="J846" s="55" t="s">
        <v>1718</v>
      </c>
      <c r="K846" s="14" t="s">
        <v>1017</v>
      </c>
      <c r="L846" s="15" t="s">
        <v>27</v>
      </c>
      <c r="M846" s="29" t="s">
        <v>1120</v>
      </c>
      <c r="N846" s="57">
        <v>46252</v>
      </c>
      <c r="O846" s="15">
        <f>NETWORKDAYS.INTL(WFTracker[[#This Row],[Start date]],WFTracker[[#This Row],[RM]],1,Holidays!D848:D863)</f>
        <v>22</v>
      </c>
      <c r="P846" s="12">
        <v>46093</v>
      </c>
      <c r="Q846" s="12">
        <v>46105</v>
      </c>
      <c r="R846" s="12"/>
      <c r="S846" s="12" t="b">
        <f>ISBLANK(WFTracker[[#This Row],[Completion Date]])</f>
        <v>1</v>
      </c>
      <c r="T846" s="12" t="str">
        <f>TEXT(WFTracker[[#This Row],[Start date]],"mmm-yyyy")</f>
        <v>Mar-2026</v>
      </c>
      <c r="U846" s="11">
        <v>10</v>
      </c>
      <c r="V846" s="11">
        <f>NETWORKDAYS.INTL(WFTracker[[#This Row],[Start date]],WFTracker[[#This Row],[Due date]],1,Holidays!D848:D863)</f>
        <v>9</v>
      </c>
      <c r="W84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6</v>
      </c>
      <c r="X846" s="24">
        <f ca="1">WFTracker[[#This Row],[Active Time]]-WFTracker[[#This Row],[Completion Days Template]]</f>
        <v>-3</v>
      </c>
      <c r="Y846" s="16" t="str">
        <f ca="1" xml:space="preserve"> IF(WFTracker[[#This Row],[Overdue Time '[Expected-Completion']]]&gt;0, "LATE","ON TIME")</f>
        <v>ON TIME</v>
      </c>
      <c r="Z846" s="16" t="str">
        <f ca="1">IF(WFTracker[[#This Row],[Overdue Time '[Expected-Completion']]] &gt;= 15, "SUPER LATE", Y846)</f>
        <v>ON TIME</v>
      </c>
      <c r="AA846" s="37" t="str">
        <f>IF(WFTracker[[#This Row],[Pre RM Opening Time]]&lt;WFTracker[[#This Row],[Old vs New Order Lead Time WF dead line]], "LATE BY ENG", "ON TIME BY ENG")</f>
        <v>ON TIME BY ENG</v>
      </c>
      <c r="AB846" s="37"/>
      <c r="AC846" s="928" t="s">
        <v>1011</v>
      </c>
      <c r="AD84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846" s="25" t="str">
        <f ca="1">IF(WFTracker[[#This Row],[Impact Time Post RM]]&gt;0, "IMPACTED", "NOT IMPACTED")</f>
        <v>NOT IMPACTED</v>
      </c>
      <c r="AF846" s="15"/>
      <c r="AG846" s="18"/>
      <c r="AH846" s="14" t="str">
        <f>IF(WFTracker[[#This Row],[Status]]="C", "Closed", IF(WFTracker[[#This Row],[Status]] = "x", "Cancelled", WFTracker[[#This Row],[Impact Time Post RM]]))</f>
        <v>Cancelled</v>
      </c>
      <c r="AI846" s="14" t="str">
        <f ca="1">IF(WFTracker[[#This Row],[Impact Time Post RM]]&lt;=0,"ON TIME","LATE")</f>
        <v>ON TIME</v>
      </c>
      <c r="AJ846" s="14" t="s">
        <v>984</v>
      </c>
      <c r="AK846" s="14">
        <v>6</v>
      </c>
      <c r="AL846" s="915">
        <f>IF(WFTracker[[#This Row],[Type]]="MAKE", WFTracker[[#This Row],[Due date]]+Filters!$J$111, WFTracker[[#This Row],[Due date]]+Filters!$J$135)</f>
        <v>46108.072512647552</v>
      </c>
      <c r="AM846" s="102" cm="1">
        <f t="array" ref="AM846">_xlfn.IFS(WFTracker[[#This Row],[Type]]="BUY", WFTracker[[#This Row],[Task Number]]/17,
     WFTracker[[#This Row],[Type]]="MAKE", WFTracker[[#This Row],[Task Number]]/18,
     WFTracker[[#This Row],[Type]]="CNG-BOM", WFTracker[[#This Row],[Task Number]]/11)</f>
        <v>0.33333333333333331</v>
      </c>
    </row>
    <row r="847" spans="1:39" ht="15" customHeight="1">
      <c r="A847" t="str">
        <f>IF(WFTracker[[#This Row],[Order Number]]="SWBD", "QED2", "PZ4")</f>
        <v>PZ4</v>
      </c>
      <c r="B847" s="21" t="s">
        <v>1714</v>
      </c>
      <c r="C847" s="26" t="s">
        <v>257</v>
      </c>
      <c r="D847" s="11" t="str">
        <f>WFTracker[[#This Row],[Order Number]]  &amp; "-" &amp; WFTracker[[#This Row],[Item]]</f>
        <v>0051420926-000090</v>
      </c>
      <c r="E847" s="23" t="s">
        <v>1018</v>
      </c>
      <c r="F847" s="12">
        <v>46129</v>
      </c>
      <c r="G847" s="12">
        <v>46122</v>
      </c>
      <c r="H847" s="11" t="s">
        <v>237</v>
      </c>
      <c r="I847" s="11"/>
      <c r="J847" s="55" t="s">
        <v>1719</v>
      </c>
      <c r="K847" s="14" t="s">
        <v>1023</v>
      </c>
      <c r="L847" s="15" t="s">
        <v>27</v>
      </c>
      <c r="M847" s="29" t="s">
        <v>1120</v>
      </c>
      <c r="N847" s="57">
        <v>46255</v>
      </c>
      <c r="O847" s="15">
        <f>NETWORKDAYS.INTL(WFTracker[[#This Row],[Start date]],WFTracker[[#This Row],[RM]],1,Holidays!D846:D861)</f>
        <v>26</v>
      </c>
      <c r="P847" s="12">
        <v>46094</v>
      </c>
      <c r="Q847" s="12">
        <v>46105</v>
      </c>
      <c r="R847" s="12"/>
      <c r="S847" s="12" t="b">
        <f>ISBLANK(WFTracker[[#This Row],[Completion Date]])</f>
        <v>1</v>
      </c>
      <c r="T847" s="12" t="str">
        <f>TEXT(WFTracker[[#This Row],[Start date]],"mmm-yyyy")</f>
        <v>Mar-2026</v>
      </c>
      <c r="U847" s="11">
        <v>10</v>
      </c>
      <c r="V847" s="11">
        <f>NETWORKDAYS.INTL(WFTracker[[#This Row],[Start date]],WFTracker[[#This Row],[Due date]],1,Holidays!D846:D861)</f>
        <v>8</v>
      </c>
      <c r="W84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47" s="24">
        <f ca="1">WFTracker[[#This Row],[Active Time]]-WFTracker[[#This Row],[Completion Days Template]]</f>
        <v>-3</v>
      </c>
      <c r="Y847" s="16" t="str">
        <f ca="1" xml:space="preserve"> IF(WFTracker[[#This Row],[Overdue Time '[Expected-Completion']]]&gt;0, "LATE","ON TIME")</f>
        <v>ON TIME</v>
      </c>
      <c r="Z847" s="16" t="str">
        <f ca="1">IF(WFTracker[[#This Row],[Overdue Time '[Expected-Completion']]] &gt;= 15, "SUPER LATE", Y847)</f>
        <v>ON TIME</v>
      </c>
      <c r="AA847" s="37" t="str">
        <f>IF(WFTracker[[#This Row],[Pre RM Opening Time]]&lt;WFTracker[[#This Row],[Old vs New Order Lead Time WF dead line]], "LATE BY ENG", "ON TIME BY ENG")</f>
        <v>ON TIME BY ENG</v>
      </c>
      <c r="AB847" s="37"/>
      <c r="AC847" s="928" t="str" cm="1">
        <f t="array" ref="AC847">_xlfn.IFS(
    WFTracker[[#This Row],[Cancelation Cause]]&lt;&gt;"", "X",
    WFTracker[[#This Row],[Competion Date Content]] = FALSE, "C",
    TRUE, "I"
)</f>
        <v>I</v>
      </c>
      <c r="AD84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47" s="25" t="str">
        <f ca="1">IF(WFTracker[[#This Row],[Impact Time Post RM]]&gt;0, "IMPACTED", "NOT IMPACTED")</f>
        <v>NOT IMPACTED</v>
      </c>
      <c r="AF847" s="15"/>
      <c r="AG847" s="18"/>
      <c r="AH847" s="14">
        <f ca="1">IF(WFTracker[[#This Row],[Status]]="C", "Closed", IF(WFTracker[[#This Row],[Status]] = "x", "Cancelled", WFTracker[[#This Row],[Impact Time Post RM]]))</f>
        <v>-22</v>
      </c>
      <c r="AI847" s="14" t="str">
        <f ca="1">IF(WFTracker[[#This Row],[Impact Time Post RM]]&lt;=0,"ON TIME","LATE")</f>
        <v>ON TIME</v>
      </c>
      <c r="AJ847" s="14" t="s">
        <v>970</v>
      </c>
      <c r="AK847" s="14">
        <v>7</v>
      </c>
      <c r="AL847" s="915">
        <f>IF(WFTracker[[#This Row],[Type]]="MAKE", WFTracker[[#This Row],[Due date]]+Filters!$J$111, WFTracker[[#This Row],[Due date]]+Filters!$J$135)</f>
        <v>46108.072512647552</v>
      </c>
      <c r="AM847" s="102" cm="1">
        <f t="array" ref="AM847">_xlfn.IFS(WFTracker[[#This Row],[Type]]="BUY", WFTracker[[#This Row],[Task Number]]/17,
     WFTracker[[#This Row],[Type]]="MAKE", WFTracker[[#This Row],[Task Number]]/18,
     WFTracker[[#This Row],[Type]]="CNG-BOM", WFTracker[[#This Row],[Task Number]]/11)</f>
        <v>0.3888888888888889</v>
      </c>
    </row>
    <row r="848" spans="1:39" ht="15" customHeight="1">
      <c r="A848" t="str">
        <f>IF(WFTracker[[#This Row],[Order Number]]="SWBD", "QED2", "PZ4")</f>
        <v>PZ4</v>
      </c>
      <c r="B848" s="21" t="s">
        <v>1714</v>
      </c>
      <c r="C848" s="26" t="s">
        <v>257</v>
      </c>
      <c r="D848" s="11" t="str">
        <f>WFTracker[[#This Row],[Order Number]]  &amp; "-" &amp; WFTracker[[#This Row],[Item]]</f>
        <v>0051420926-000090</v>
      </c>
      <c r="E848" s="23" t="s">
        <v>1018</v>
      </c>
      <c r="F848" s="12">
        <v>46129</v>
      </c>
      <c r="G848" s="12">
        <v>46122</v>
      </c>
      <c r="H848" s="11" t="s">
        <v>237</v>
      </c>
      <c r="I848" s="11"/>
      <c r="J848" s="55" t="s">
        <v>1720</v>
      </c>
      <c r="K848" s="14" t="s">
        <v>1023</v>
      </c>
      <c r="L848" s="15" t="s">
        <v>27</v>
      </c>
      <c r="M848" s="29" t="s">
        <v>1120</v>
      </c>
      <c r="N848" s="57">
        <v>46255</v>
      </c>
      <c r="O848" s="15">
        <f>NETWORKDAYS.INTL(WFTracker[[#This Row],[Start date]],WFTracker[[#This Row],[RM]],1,Holidays!D850:D865)</f>
        <v>26</v>
      </c>
      <c r="P848" s="12">
        <v>46094</v>
      </c>
      <c r="Q848" s="12">
        <v>46105</v>
      </c>
      <c r="R848" s="12"/>
      <c r="S848" s="12" t="b">
        <f>ISBLANK(WFTracker[[#This Row],[Completion Date]])</f>
        <v>1</v>
      </c>
      <c r="T848" s="12" t="str">
        <f>TEXT(WFTracker[[#This Row],[Start date]],"mmm-yyyy")</f>
        <v>Mar-2026</v>
      </c>
      <c r="U848" s="11">
        <v>10</v>
      </c>
      <c r="V848" s="11">
        <f>NETWORKDAYS.INTL(WFTracker[[#This Row],[Start date]],WFTracker[[#This Row],[Due date]],1,Holidays!D850:D865)</f>
        <v>8</v>
      </c>
      <c r="W848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48" s="24">
        <f ca="1">WFTracker[[#This Row],[Active Time]]-WFTracker[[#This Row],[Completion Days Template]]</f>
        <v>-3</v>
      </c>
      <c r="Y848" s="16" t="str">
        <f ca="1" xml:space="preserve"> IF(WFTracker[[#This Row],[Overdue Time '[Expected-Completion']]]&gt;0, "LATE","ON TIME")</f>
        <v>ON TIME</v>
      </c>
      <c r="Z848" s="16" t="str">
        <f ca="1">IF(WFTracker[[#This Row],[Overdue Time '[Expected-Completion']]] &gt;= 15, "SUPER LATE", Y848)</f>
        <v>ON TIME</v>
      </c>
      <c r="AA848" s="37" t="str">
        <f>IF(WFTracker[[#This Row],[Pre RM Opening Time]]&lt;WFTracker[[#This Row],[Old vs New Order Lead Time WF dead line]], "LATE BY ENG", "ON TIME BY ENG")</f>
        <v>ON TIME BY ENG</v>
      </c>
      <c r="AB848" s="37"/>
      <c r="AC848" s="928" t="str" cm="1">
        <f t="array" ref="AC848">_xlfn.IFS(
    WFTracker[[#This Row],[Cancelation Cause]]&lt;&gt;"", "X",
    WFTracker[[#This Row],[Competion Date Content]] = FALSE, "C",
    TRUE, "I"
)</f>
        <v>I</v>
      </c>
      <c r="AD848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48" s="25" t="str">
        <f ca="1">IF(WFTracker[[#This Row],[Impact Time Post RM]]&gt;0, "IMPACTED", "NOT IMPACTED")</f>
        <v>NOT IMPACTED</v>
      </c>
      <c r="AF848" s="15"/>
      <c r="AG848" s="18"/>
      <c r="AH848" s="14">
        <f ca="1">IF(WFTracker[[#This Row],[Status]]="C", "Closed", IF(WFTracker[[#This Row],[Status]] = "x", "Cancelled", WFTracker[[#This Row],[Impact Time Post RM]]))</f>
        <v>-22</v>
      </c>
      <c r="AI848" s="14" t="str">
        <f ca="1">IF(WFTracker[[#This Row],[Impact Time Post RM]]&lt;=0,"ON TIME","LATE")</f>
        <v>ON TIME</v>
      </c>
      <c r="AJ848" s="14" t="s">
        <v>970</v>
      </c>
      <c r="AK848" s="14">
        <v>1</v>
      </c>
      <c r="AL848" s="915">
        <f>IF(WFTracker[[#This Row],[Type]]="MAKE", WFTracker[[#This Row],[Due date]]+Filters!$J$111, WFTracker[[#This Row],[Due date]]+Filters!$J$135)</f>
        <v>46108.072512647552</v>
      </c>
      <c r="AM848" s="102" cm="1">
        <f t="array" ref="AM848">_xlfn.IFS(WFTracker[[#This Row],[Type]]="BUY", WFTracker[[#This Row],[Task Number]]/17,
     WFTracker[[#This Row],[Type]]="MAKE", WFTracker[[#This Row],[Task Number]]/18,
     WFTracker[[#This Row],[Type]]="CNG-BOM", WFTracker[[#This Row],[Task Number]]/11)</f>
        <v>5.5555555555555552E-2</v>
      </c>
    </row>
    <row r="849" spans="1:39" ht="15" customHeight="1">
      <c r="A849" t="str">
        <f>IF(WFTracker[[#This Row],[Order Number]]="SWBD", "QED2", "PZ4")</f>
        <v>PZ4</v>
      </c>
      <c r="B849" s="21" t="s">
        <v>1721</v>
      </c>
      <c r="C849" s="26" t="s">
        <v>1722</v>
      </c>
      <c r="D849" s="11" t="str">
        <f>WFTracker[[#This Row],[Order Number]]  &amp; "-" &amp; WFTracker[[#This Row],[Item]]</f>
        <v>0051897029-000010&amp;000020</v>
      </c>
      <c r="E849" s="23" t="s">
        <v>1723</v>
      </c>
      <c r="F849" s="12">
        <v>46136</v>
      </c>
      <c r="G849" s="1093">
        <v>46129</v>
      </c>
      <c r="H849" s="11" t="s">
        <v>1724</v>
      </c>
      <c r="I849" s="11"/>
      <c r="J849" s="55" t="s">
        <v>1725</v>
      </c>
      <c r="K849" s="14" t="s">
        <v>1023</v>
      </c>
      <c r="L849" s="15" t="s">
        <v>40</v>
      </c>
      <c r="M849" s="29" t="s">
        <v>1120</v>
      </c>
      <c r="N849" s="57">
        <v>46231</v>
      </c>
      <c r="O849" s="15">
        <f>NETWORKDAYS.INTL(WFTracker[[#This Row],[Start date]],WFTracker[[#This Row],[RM]],1,Holidays!D851:D866)</f>
        <v>31</v>
      </c>
      <c r="P849" s="1093">
        <v>46094</v>
      </c>
      <c r="Q849" s="1093">
        <v>46108</v>
      </c>
      <c r="R849" s="1093"/>
      <c r="S849" s="1093" t="b">
        <f>ISBLANK(WFTracker[[#This Row],[Completion Date]])</f>
        <v>1</v>
      </c>
      <c r="T849" s="12" t="str">
        <f>TEXT(WFTracker[[#This Row],[Start date]],"mmm-yyyy")</f>
        <v>Mar-2026</v>
      </c>
      <c r="U849" s="11">
        <v>10</v>
      </c>
      <c r="V849" s="11">
        <f>NETWORKDAYS.INTL(WFTracker[[#This Row],[Start date]],WFTracker[[#This Row],[Due date]],1,Holidays!D851:D866)</f>
        <v>11</v>
      </c>
      <c r="W849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49" s="24">
        <f ca="1">WFTracker[[#This Row],[Active Time]]-WFTracker[[#This Row],[Completion Days Template]]</f>
        <v>-6</v>
      </c>
      <c r="Y849" s="16" t="str">
        <f ca="1" xml:space="preserve"> IF(WFTracker[[#This Row],[Overdue Time '[Expected-Completion']]]&gt;0, "LATE","ON TIME")</f>
        <v>ON TIME</v>
      </c>
      <c r="Z849" s="16" t="str">
        <f ca="1">IF(WFTracker[[#This Row],[Overdue Time '[Expected-Completion']]] &gt;= 15, "SUPER LATE", Y849)</f>
        <v>ON TIME</v>
      </c>
      <c r="AA849" s="37" t="str">
        <f>IF(WFTracker[[#This Row],[Pre RM Opening Time]]&lt;WFTracker[[#This Row],[Old vs New Order Lead Time WF dead line]], "LATE BY ENG", "ON TIME BY ENG")</f>
        <v>ON TIME BY ENG</v>
      </c>
      <c r="AB849" s="37"/>
      <c r="AC849" s="928" t="str" cm="1">
        <f t="array" ref="AC849">_xlfn.IFS(
    WFTracker[[#This Row],[Cancelation Cause]]&lt;&gt;"", "X",
    WFTracker[[#This Row],[Competion Date Content]] = FALSE, "C",
    TRUE, "I"
)</f>
        <v>I</v>
      </c>
      <c r="AD849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849" s="25" t="str">
        <f ca="1">IF(WFTracker[[#This Row],[Impact Time Post RM]]&gt;0, "IMPACTED", "NOT IMPACTED")</f>
        <v>NOT IMPACTED</v>
      </c>
      <c r="AF849" s="15"/>
      <c r="AG849" s="18"/>
      <c r="AH849" s="14">
        <f ca="1">IF(WFTracker[[#This Row],[Status]]="C", "Closed", IF(WFTracker[[#This Row],[Status]] = "x", "Cancelled", WFTracker[[#This Row],[Impact Time Post RM]]))</f>
        <v>-27</v>
      </c>
      <c r="AI849" s="14" t="str">
        <f ca="1">IF(WFTracker[[#This Row],[Impact Time Post RM]]&lt;=0,"ON TIME","LATE")</f>
        <v>ON TIME</v>
      </c>
      <c r="AJ849" s="14" t="s">
        <v>975</v>
      </c>
      <c r="AK849" s="14"/>
      <c r="AL849" s="915">
        <f>IF(WFTracker[[#This Row],[Type]]="MAKE", WFTracker[[#This Row],[Due date]]+Filters!$J$111, WFTracker[[#This Row],[Due date]]+Filters!$J$135)</f>
        <v>46108.415686274508</v>
      </c>
      <c r="AM849" s="102" cm="1">
        <f t="array" ref="AM849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850" spans="1:39" ht="15" customHeight="1">
      <c r="A850" t="str">
        <f>IF(WFTracker[[#This Row],[Order Number]]="SWBD", "QED2", "PZ4")</f>
        <v>PZ4</v>
      </c>
      <c r="B850" s="21" t="s">
        <v>932</v>
      </c>
      <c r="C850" s="26" t="s">
        <v>135</v>
      </c>
      <c r="D850" s="11" t="str">
        <f>WFTracker[[#This Row],[Order Number]]  &amp; "-" &amp; WFTracker[[#This Row],[Item]]</f>
        <v>0051436677-000010</v>
      </c>
      <c r="E850" s="23" t="s">
        <v>933</v>
      </c>
      <c r="F850" s="12">
        <v>46116</v>
      </c>
      <c r="G850" s="1093">
        <v>46111</v>
      </c>
      <c r="H850" s="11" t="s">
        <v>156</v>
      </c>
      <c r="I850" s="11" t="s">
        <v>732</v>
      </c>
      <c r="J850" s="55" t="s">
        <v>1726</v>
      </c>
      <c r="K850" s="14" t="s">
        <v>1017</v>
      </c>
      <c r="L850" s="15" t="s">
        <v>27</v>
      </c>
      <c r="M850" s="29" t="s">
        <v>1120</v>
      </c>
      <c r="N850" s="57">
        <v>46223</v>
      </c>
      <c r="O850" s="15">
        <f>NETWORKDAYS.INTL(WFTracker[[#This Row],[Start date]],WFTracker[[#This Row],[RM]],1,Holidays!D852:D867)</f>
        <v>16</v>
      </c>
      <c r="P850" s="1093">
        <v>46094</v>
      </c>
      <c r="Q850" s="1093">
        <v>46105</v>
      </c>
      <c r="R850" s="1093"/>
      <c r="S850" s="1093" t="b">
        <f>ISBLANK(WFTracker[[#This Row],[Completion Date]])</f>
        <v>1</v>
      </c>
      <c r="T850" s="12" t="str">
        <f>TEXT(WFTracker[[#This Row],[Start date]],"mmm-yyyy")</f>
        <v>Mar-2026</v>
      </c>
      <c r="U850" s="11">
        <v>10</v>
      </c>
      <c r="V850" s="11">
        <f>NETWORKDAYS.INTL(WFTracker[[#This Row],[Start date]],WFTracker[[#This Row],[Due date]],1,Holidays!D852:D867)</f>
        <v>8</v>
      </c>
      <c r="W850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50" s="24">
        <f ca="1">WFTracker[[#This Row],[Active Time]]-WFTracker[[#This Row],[Completion Days Template]]</f>
        <v>-3</v>
      </c>
      <c r="Y850" s="16" t="str">
        <f ca="1" xml:space="preserve"> IF(WFTracker[[#This Row],[Overdue Time '[Expected-Completion']]]&gt;0, "LATE","ON TIME")</f>
        <v>ON TIME</v>
      </c>
      <c r="Z850" s="16" t="str">
        <f ca="1">IF(WFTracker[[#This Row],[Overdue Time '[Expected-Completion']]] &gt;= 15, "SUPER LATE", Y850)</f>
        <v>ON TIME</v>
      </c>
      <c r="AA850" s="37" t="str">
        <f>IF(WFTracker[[#This Row],[Pre RM Opening Time]]&lt;WFTracker[[#This Row],[Old vs New Order Lead Time WF dead line]], "LATE BY ENG", "ON TIME BY ENG")</f>
        <v>ON TIME BY ENG</v>
      </c>
      <c r="AB850" s="37"/>
      <c r="AC850" s="928" t="str" cm="1">
        <f t="array" ref="AC850">_xlfn.IFS(
    WFTracker[[#This Row],[Cancelation Cause]]&lt;&gt;"", "X",
    WFTracker[[#This Row],[Competion Date Content]] = FALSE, "C",
    TRUE, "I"
)</f>
        <v>I</v>
      </c>
      <c r="AD850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-12</v>
      </c>
      <c r="AE850" s="25" t="str">
        <f ca="1">IF(WFTracker[[#This Row],[Impact Time Post RM]]&gt;0, "IMPACTED", "NOT IMPACTED")</f>
        <v>NOT IMPACTED</v>
      </c>
      <c r="AF850" s="15"/>
      <c r="AG850" s="18"/>
      <c r="AH850" s="14">
        <f ca="1">IF(WFTracker[[#This Row],[Status]]="C", "Closed", IF(WFTracker[[#This Row],[Status]] = "x", "Cancelled", WFTracker[[#This Row],[Impact Time Post RM]]))</f>
        <v>-12</v>
      </c>
      <c r="AI850" s="14" t="str">
        <f ca="1">IF(WFTracker[[#This Row],[Impact Time Post RM]]&lt;=0,"ON TIME","LATE")</f>
        <v>ON TIME</v>
      </c>
      <c r="AJ850" s="14" t="s">
        <v>975</v>
      </c>
      <c r="AK850" s="14"/>
      <c r="AL850" s="915">
        <f>IF(WFTracker[[#This Row],[Type]]="MAKE", WFTracker[[#This Row],[Due date]]+Filters!$J$111, WFTracker[[#This Row],[Due date]]+Filters!$J$135)</f>
        <v>46108.072512647552</v>
      </c>
      <c r="AM850" s="102" cm="1">
        <f t="array" ref="AM850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851" spans="1:39" ht="15" customHeight="1">
      <c r="A851" t="str">
        <f>IF(WFTracker[[#This Row],[Order Number]]="SWBD", "QED2", "PZ4")</f>
        <v>PZ4</v>
      </c>
      <c r="B851" s="21" t="s">
        <v>949</v>
      </c>
      <c r="C851" s="26" t="s">
        <v>135</v>
      </c>
      <c r="D851" s="11" t="str">
        <f>WFTracker[[#This Row],[Order Number]]  &amp; "-" &amp; WFTracker[[#This Row],[Item]]</f>
        <v>0051700206-000010</v>
      </c>
      <c r="E851" s="23" t="s">
        <v>1019</v>
      </c>
      <c r="F851" s="12">
        <v>46122</v>
      </c>
      <c r="G851" s="12">
        <v>46115</v>
      </c>
      <c r="H851" s="11" t="s">
        <v>947</v>
      </c>
      <c r="I851" s="11" t="s">
        <v>24</v>
      </c>
      <c r="J851" s="55" t="s">
        <v>952</v>
      </c>
      <c r="K851" s="14" t="s">
        <v>1017</v>
      </c>
      <c r="L851" s="15" t="s">
        <v>27</v>
      </c>
      <c r="M851" s="29" t="s">
        <v>1120</v>
      </c>
      <c r="N851" s="57">
        <v>46252</v>
      </c>
      <c r="O851" s="15">
        <f>NETWORKDAYS.INTL(WFTracker[[#This Row],[Start date]],WFTracker[[#This Row],[RM]],1,Holidays!D853:D868)</f>
        <v>21</v>
      </c>
      <c r="P851" s="1093">
        <v>46094</v>
      </c>
      <c r="Q851" s="1093">
        <v>46105</v>
      </c>
      <c r="R851" s="1093"/>
      <c r="S851" s="1093" t="b">
        <f>ISBLANK(WFTracker[[#This Row],[Completion Date]])</f>
        <v>1</v>
      </c>
      <c r="T851" s="12" t="str">
        <f>TEXT(WFTracker[[#This Row],[Start date]],"mmm-yyyy")</f>
        <v>Mar-2026</v>
      </c>
      <c r="U851" s="11">
        <v>10</v>
      </c>
      <c r="V851" s="11">
        <f>NETWORKDAYS.INTL(WFTracker[[#This Row],[Start date]],WFTracker[[#This Row],[Due date]],1,Holidays!D853:D868)</f>
        <v>8</v>
      </c>
      <c r="W851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5</v>
      </c>
      <c r="X851" s="24">
        <f ca="1">WFTracker[[#This Row],[Active Time]]-WFTracker[[#This Row],[Completion Days Template]]</f>
        <v>-3</v>
      </c>
      <c r="Y851" s="16" t="str">
        <f ca="1" xml:space="preserve"> IF(WFTracker[[#This Row],[Overdue Time '[Expected-Completion']]]&gt;0, "LATE","ON TIME")</f>
        <v>ON TIME</v>
      </c>
      <c r="Z851" s="16" t="str">
        <f ca="1">IF(WFTracker[[#This Row],[Overdue Time '[Expected-Completion']]] &gt;= 15, "SUPER LATE", Y851)</f>
        <v>ON TIME</v>
      </c>
      <c r="AA851" s="37" t="str">
        <f>IF(WFTracker[[#This Row],[Pre RM Opening Time]]&lt;WFTracker[[#This Row],[Old vs New Order Lead Time WF dead line]], "LATE BY ENG", "ON TIME BY ENG")</f>
        <v>ON TIME BY ENG</v>
      </c>
      <c r="AB851" s="37"/>
      <c r="AC851" s="928" t="str" cm="1">
        <f t="array" ref="AC851">_xlfn.IFS(
    WFTracker[[#This Row],[Cancelation Cause]]&lt;&gt;"", "X",
    WFTracker[[#This Row],[Competion Date Content]] = FALSE, "C",
    TRUE, "I"
)</f>
        <v>I</v>
      </c>
      <c r="AD851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-17</v>
      </c>
      <c r="AE851" s="25" t="str">
        <f ca="1">IF(WFTracker[[#This Row],[Impact Time Post RM]]&gt;0, "IMPACTED", "NOT IMPACTED")</f>
        <v>NOT IMPACTED</v>
      </c>
      <c r="AF851" s="15"/>
      <c r="AG851" s="18"/>
      <c r="AH851" s="14">
        <f ca="1">IF(WFTracker[[#This Row],[Status]]="C", "Closed", IF(WFTracker[[#This Row],[Status]] = "x", "Cancelled", WFTracker[[#This Row],[Impact Time Post RM]]))</f>
        <v>-17</v>
      </c>
      <c r="AI851" s="14" t="str">
        <f ca="1">IF(WFTracker[[#This Row],[Impact Time Post RM]]&lt;=0,"ON TIME","LATE")</f>
        <v>ON TIME</v>
      </c>
      <c r="AJ851" s="14" t="s">
        <v>975</v>
      </c>
      <c r="AK851" s="14">
        <v>6</v>
      </c>
      <c r="AL851" s="915">
        <f>IF(WFTracker[[#This Row],[Type]]="MAKE", WFTracker[[#This Row],[Due date]]+Filters!$J$111, WFTracker[[#This Row],[Due date]]+Filters!$J$135)</f>
        <v>46108.072512647552</v>
      </c>
      <c r="AM851" s="102" cm="1">
        <f t="array" ref="AM851">_xlfn.IFS(WFTracker[[#This Row],[Type]]="BUY", WFTracker[[#This Row],[Task Number]]/17,
     WFTracker[[#This Row],[Type]]="MAKE", WFTracker[[#This Row],[Task Number]]/18,
     WFTracker[[#This Row],[Type]]="CNG-BOM", WFTracker[[#This Row],[Task Number]]/11)</f>
        <v>0.33333333333333331</v>
      </c>
    </row>
    <row r="852" spans="1:39" ht="15" customHeight="1">
      <c r="A852" t="s">
        <v>1727</v>
      </c>
      <c r="B852" s="21" t="s">
        <v>902</v>
      </c>
      <c r="C852" s="26" t="s">
        <v>135</v>
      </c>
      <c r="D852" s="11" t="s">
        <v>1658</v>
      </c>
      <c r="E852" s="23" t="s">
        <v>940</v>
      </c>
      <c r="F852" s="12">
        <v>46112</v>
      </c>
      <c r="G852" s="12">
        <v>46105</v>
      </c>
      <c r="H852" s="11" t="s">
        <v>80</v>
      </c>
      <c r="I852" s="11" t="s">
        <v>1132</v>
      </c>
      <c r="J852" s="55" t="s">
        <v>1728</v>
      </c>
      <c r="K852" s="14" t="s">
        <v>1017</v>
      </c>
      <c r="L852" s="15" t="s">
        <v>27</v>
      </c>
      <c r="M852" s="29" t="s">
        <v>1120</v>
      </c>
      <c r="N852" s="57">
        <v>46225</v>
      </c>
      <c r="O852" s="15">
        <f>NETWORKDAYS.INTL(WFTracker[[#This Row],[Start date]],WFTracker[[#This Row],[RM]],1,Holidays!D791:D806)</f>
        <v>25</v>
      </c>
      <c r="P852" s="12">
        <v>46078</v>
      </c>
      <c r="Q852" s="12">
        <v>46085</v>
      </c>
      <c r="R852" s="12"/>
      <c r="S852" s="12" t="b">
        <f>ISBLANK(WFTracker[[#This Row],[Completion Date]])</f>
        <v>1</v>
      </c>
      <c r="T852" s="12" t="str">
        <f>TEXT(WFTracker[[#This Row],[Start date]],"mmm-yyyy")</f>
        <v>Feb-2026</v>
      </c>
      <c r="U852" s="11">
        <v>10</v>
      </c>
      <c r="V852" s="11">
        <f>NETWORKDAYS.INTL(WFTracker[[#This Row],[Start date]],WFTracker[[#This Row],[Due date]],1,Holidays!D791:D806)</f>
        <v>6</v>
      </c>
      <c r="W852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852" s="24">
        <f ca="1">WFTracker[[#This Row],[Active Time]]-WFTracker[[#This Row],[Completion Days Template]]</f>
        <v>11</v>
      </c>
      <c r="Y852" s="16" t="str">
        <f ca="1" xml:space="preserve"> IF(WFTracker[[#This Row],[Overdue Time '[Expected-Completion']]]&gt;0, "LATE","ON TIME")</f>
        <v>LATE</v>
      </c>
      <c r="Z852" s="16" t="str">
        <f ca="1">IF(WFTracker[[#This Row],[Overdue Time '[Expected-Completion']]] &gt;= 15, "SUPER LATE", Y852)</f>
        <v>LATE</v>
      </c>
      <c r="AA852" s="37" t="str">
        <f>IF(WFTracker[[#This Row],[Pre RM Opening Time]]&lt;WFTracker[[#This Row],[Old vs New Order Lead Time WF dead line]], "LATE BY ENG", "ON TIME BY ENG")</f>
        <v>ON TIME BY ENG</v>
      </c>
      <c r="AB852" s="37"/>
      <c r="AC852" s="928" t="str" cm="1">
        <f t="array" ref="AC852">_xlfn.IFS(
    WFTracker[[#This Row],[Cancelation Cause]]&lt;&gt;"", "X",
    WFTracker[[#This Row],[Competion Date Content]] = FALSE, "C",
    TRUE, "I"
)</f>
        <v>I</v>
      </c>
      <c r="AD852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852" s="25" t="str">
        <f ca="1">IF(WFTracker[[#This Row],[Impact Time Post RM]]&gt;0, "IMPACTED", "NOT IMPACTED")</f>
        <v>NOT IMPACTED</v>
      </c>
      <c r="AF852" s="15"/>
      <c r="AG852" s="18"/>
      <c r="AH852" s="14">
        <f ca="1">IF(WFTracker[[#This Row],[Status]]="C", "Closed", IF(WFTracker[[#This Row],[Status]] = "x", "Cancelled", WFTracker[[#This Row],[Impact Time Post RM]]))</f>
        <v>-9</v>
      </c>
      <c r="AI852" s="14" t="str">
        <f ca="1">IF(WFTracker[[#This Row],[Impact Time Post RM]]&lt;=0,"ON TIME","LATE")</f>
        <v>ON TIME</v>
      </c>
      <c r="AJ852" s="14" t="s">
        <v>977</v>
      </c>
      <c r="AK852" s="14">
        <v>12</v>
      </c>
      <c r="AL852" s="915">
        <f>IF(WFTracker[[#This Row],[Type]]="MAKE", WFTracker[[#This Row],[Due date]]+Filters!$J$111, WFTracker[[#This Row],[Due date]]+Filters!$J$135)</f>
        <v>46088.072512647552</v>
      </c>
      <c r="AM852" s="102" cm="1">
        <f t="array" ref="AM852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53" spans="1:39" ht="15" customHeight="1">
      <c r="A853" t="str">
        <f>IF(WFTracker[[#This Row],[Order Number]]="SWBD", "QED2", "PZ4")</f>
        <v>PZ4</v>
      </c>
      <c r="B853" s="21" t="s">
        <v>938</v>
      </c>
      <c r="C853" s="26" t="s">
        <v>939</v>
      </c>
      <c r="D853" s="11" t="s">
        <v>1658</v>
      </c>
      <c r="E853" s="23" t="s">
        <v>940</v>
      </c>
      <c r="F853" s="12">
        <v>46112</v>
      </c>
      <c r="G853" s="12">
        <v>46105</v>
      </c>
      <c r="H853" s="11" t="s">
        <v>80</v>
      </c>
      <c r="I853" s="11" t="s">
        <v>1132</v>
      </c>
      <c r="J853" s="55" t="s">
        <v>1729</v>
      </c>
      <c r="K853" s="14" t="s">
        <v>1023</v>
      </c>
      <c r="L853" s="15" t="s">
        <v>27</v>
      </c>
      <c r="M853" s="29" t="s">
        <v>1120</v>
      </c>
      <c r="N853" s="57">
        <v>46225</v>
      </c>
      <c r="O853" s="15">
        <f>NETWORKDAYS.INTL(WFTracker[[#This Row],[Start date]],WFTracker[[#This Row],[RM]],1,Holidays!D795:D810)</f>
        <v>25</v>
      </c>
      <c r="P853" s="12">
        <v>46078</v>
      </c>
      <c r="Q853" s="12">
        <v>46085</v>
      </c>
      <c r="R853" s="12"/>
      <c r="S853" s="12" t="b">
        <f>ISBLANK(WFTracker[[#This Row],[Completion Date]])</f>
        <v>1</v>
      </c>
      <c r="T853" s="12" t="str">
        <f>TEXT(WFTracker[[#This Row],[Start date]],"mmm-yyyy")</f>
        <v>Feb-2026</v>
      </c>
      <c r="U853" s="11">
        <v>10</v>
      </c>
      <c r="V853" s="11">
        <f>NETWORKDAYS.INTL(WFTracker[[#This Row],[Start date]],WFTracker[[#This Row],[Due date]],1,Holidays!D795:D810)</f>
        <v>6</v>
      </c>
      <c r="W853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17</v>
      </c>
      <c r="X853" s="24">
        <f ca="1">WFTracker[[#This Row],[Active Time]]-WFTracker[[#This Row],[Completion Days Template]]</f>
        <v>11</v>
      </c>
      <c r="Y853" s="16" t="str">
        <f ca="1" xml:space="preserve"> IF(WFTracker[[#This Row],[Overdue Time '[Expected-Completion']]]&gt;0, "LATE","ON TIME")</f>
        <v>LATE</v>
      </c>
      <c r="Z853" s="16" t="str">
        <f ca="1">IF(WFTracker[[#This Row],[Overdue Time '[Expected-Completion']]] &gt;= 15, "SUPER LATE", Y853)</f>
        <v>LATE</v>
      </c>
      <c r="AA853" s="37" t="str">
        <f>IF(WFTracker[[#This Row],[Pre RM Opening Time]]&lt;WFTracker[[#This Row],[Old vs New Order Lead Time WF dead line]], "LATE BY ENG", "ON TIME BY ENG")</f>
        <v>ON TIME BY ENG</v>
      </c>
      <c r="AB853" s="37"/>
      <c r="AC853" s="928" t="str" cm="1">
        <f t="array" ref="AC853">_xlfn.IFS(
    WFTracker[[#This Row],[Cancelation Cause]]&lt;&gt;"", "X",
    WFTracker[[#This Row],[Competion Date Content]] = FALSE, "C",
    TRUE, "I"
)</f>
        <v>I</v>
      </c>
      <c r="AD853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853" s="25" t="str">
        <f ca="1">IF(WFTracker[[#This Row],[Impact Time Post RM]]&gt;0, "IMPACTED", "NOT IMPACTED")</f>
        <v>NOT IMPACTED</v>
      </c>
      <c r="AF853" s="15"/>
      <c r="AG853" s="18"/>
      <c r="AH853" s="14">
        <f ca="1">IF(WFTracker[[#This Row],[Status]]="C", "Closed", IF(WFTracker[[#This Row],[Status]] = "x", "Cancelled", WFTracker[[#This Row],[Impact Time Post RM]]))</f>
        <v>-9</v>
      </c>
      <c r="AI853" s="14" t="str">
        <f ca="1">IF(WFTracker[[#This Row],[Impact Time Post RM]]&lt;=0,"ON TIME","LATE")</f>
        <v>ON TIME</v>
      </c>
      <c r="AJ853" s="14" t="s">
        <v>977</v>
      </c>
      <c r="AK853" s="14">
        <v>12</v>
      </c>
      <c r="AL853" s="915">
        <f>IF(WFTracker[[#This Row],[Type]]="MAKE", WFTracker[[#This Row],[Due date]]+Filters!$J$111, WFTracker[[#This Row],[Due date]]+Filters!$J$135)</f>
        <v>46088.072512647552</v>
      </c>
      <c r="AM853" s="102" cm="1">
        <f t="array" ref="AM853">_xlfn.IFS(WFTracker[[#This Row],[Type]]="BUY", WFTracker[[#This Row],[Task Number]]/17,
     WFTracker[[#This Row],[Type]]="MAKE", WFTracker[[#This Row],[Task Number]]/18,
     WFTracker[[#This Row],[Type]]="CNG-BOM", WFTracker[[#This Row],[Task Number]]/11)</f>
        <v>0.66666666666666663</v>
      </c>
    </row>
    <row r="854" spans="1:39" ht="15" customHeight="1">
      <c r="A854" t="str">
        <f>IF(WFTracker[[#This Row],[Order Number]]="SWBD", "QED2", "PZ4")</f>
        <v>PZ4</v>
      </c>
      <c r="B854" s="21" t="s">
        <v>938</v>
      </c>
      <c r="C854" s="26" t="s">
        <v>1709</v>
      </c>
      <c r="D854" s="11" t="str">
        <f>WFTracker[[#This Row],[Order Number]]  &amp; "-" &amp; WFTracker[[#This Row],[Item]]</f>
        <v>0051434217-000330</v>
      </c>
      <c r="E854" s="23" t="s">
        <v>940</v>
      </c>
      <c r="F854" s="12">
        <v>46112</v>
      </c>
      <c r="G854" s="12">
        <v>46107</v>
      </c>
      <c r="H854" s="11" t="s">
        <v>80</v>
      </c>
      <c r="I854" s="11" t="s">
        <v>1132</v>
      </c>
      <c r="J854" s="122" t="s">
        <v>941</v>
      </c>
      <c r="K854" s="14" t="s">
        <v>1017</v>
      </c>
      <c r="L854" s="15" t="s">
        <v>27</v>
      </c>
      <c r="M854" s="29" t="s">
        <v>1120</v>
      </c>
      <c r="N854" s="57">
        <v>46216</v>
      </c>
      <c r="O854" s="15">
        <f>NETWORKDAYS.INTL(WFTracker[[#This Row],[Start date]],WFTracker[[#This Row],[RM]],1,Holidays!D840:D855)</f>
        <v>16</v>
      </c>
      <c r="P854" s="12">
        <v>46091</v>
      </c>
      <c r="Q854" s="12">
        <v>46104</v>
      </c>
      <c r="R854" s="12"/>
      <c r="S854" s="12" t="b">
        <f>ISBLANK(WFTracker[[#This Row],[Completion Date]])</f>
        <v>1</v>
      </c>
      <c r="T854" s="12" t="str">
        <f>TEXT(WFTracker[[#This Row],[Start date]],"mmm-yyyy")</f>
        <v>Mar-2026</v>
      </c>
      <c r="U854" s="11">
        <v>10</v>
      </c>
      <c r="V854" s="11">
        <f>NETWORKDAYS.INTL(WFTracker[[#This Row],[Start date]],WFTracker[[#This Row],[Due date]],1,Holidays!D840:D855)</f>
        <v>10</v>
      </c>
      <c r="W854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8</v>
      </c>
      <c r="X854" s="24">
        <f ca="1">WFTracker[[#This Row],[Active Time]]-WFTracker[[#This Row],[Completion Days Template]]</f>
        <v>-2</v>
      </c>
      <c r="Y854" s="16" t="str">
        <f ca="1" xml:space="preserve"> IF(WFTracker[[#This Row],[Overdue Time '[Expected-Completion']]]&gt;0, "LATE","ON TIME")</f>
        <v>ON TIME</v>
      </c>
      <c r="Z854" s="16" t="str">
        <f ca="1">IF(WFTracker[[#This Row],[Overdue Time '[Expected-Completion']]] &gt;= 15, "SUPER LATE", Y854)</f>
        <v>ON TIME</v>
      </c>
      <c r="AA854" s="37" t="str">
        <f>IF(WFTracker[[#This Row],[Pre RM Opening Time]]&lt;WFTracker[[#This Row],[Old vs New Order Lead Time WF dead line]], "LATE BY ENG", "ON TIME BY ENG")</f>
        <v>ON TIME BY ENG</v>
      </c>
      <c r="AB854" s="37"/>
      <c r="AC854" s="928" t="str" cm="1">
        <f t="array" ref="AC854">_xlfn.IFS(
    WFTracker[[#This Row],[Cancelation Cause]]&lt;&gt;"", "X",
    WFTracker[[#This Row],[Competion Date Content]] = FALSE, "C",
    TRUE, "I"
)</f>
        <v>I</v>
      </c>
      <c r="AD854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854" s="25" t="str">
        <f ca="1">IF(WFTracker[[#This Row],[Impact Time Post RM]]&gt;0, "IMPACTED", "NOT IMPACTED")</f>
        <v>NOT IMPACTED</v>
      </c>
      <c r="AF854" s="15"/>
      <c r="AG854" s="18"/>
      <c r="AH854" s="14">
        <f ca="1">IF(WFTracker[[#This Row],[Status]]="C", "Closed", IF(WFTracker[[#This Row],[Status]] = "x", "Cancelled", WFTracker[[#This Row],[Impact Time Post RM]]))</f>
        <v>-9</v>
      </c>
      <c r="AI854" s="14" t="str">
        <f ca="1">IF(WFTracker[[#This Row],[Impact Time Post RM]]&lt;=0,"ON TIME","LATE")</f>
        <v>ON TIME</v>
      </c>
      <c r="AJ854" s="14" t="s">
        <v>970</v>
      </c>
      <c r="AK854" s="14">
        <v>4</v>
      </c>
      <c r="AL854" s="915">
        <f>IF(WFTracker[[#This Row],[Type]]="MAKE", WFTracker[[#This Row],[Due date]]+Filters!$J$111, WFTracker[[#This Row],[Due date]]+Filters!$J$135)</f>
        <v>46107.072512647552</v>
      </c>
      <c r="AM854" s="102" cm="1">
        <f t="array" ref="AM854">_xlfn.IFS(WFTracker[[#This Row],[Type]]="BUY", WFTracker[[#This Row],[Task Number]]/17,
     WFTracker[[#This Row],[Type]]="MAKE", WFTracker[[#This Row],[Task Number]]/18,
     WFTracker[[#This Row],[Type]]="CNG-BOM", WFTracker[[#This Row],[Task Number]]/11)</f>
        <v>0.22222222222222221</v>
      </c>
    </row>
    <row r="855" spans="1:39" ht="15" customHeight="1">
      <c r="A855" t="str">
        <f>IF(WFTracker[[#This Row],[Order Number]]="SWBD", "QED2", "PZ4")</f>
        <v>PZ4</v>
      </c>
      <c r="B855" s="1063" t="s">
        <v>938</v>
      </c>
      <c r="C855" s="26" t="s">
        <v>939</v>
      </c>
      <c r="D855" s="11" t="str">
        <f>WFTracker[[#This Row],[Order Number]]  &amp; "-" &amp; WFTracker[[#This Row],[Item]]</f>
        <v>0051434217-000320</v>
      </c>
      <c r="E855" s="23" t="s">
        <v>940</v>
      </c>
      <c r="F855" s="12">
        <v>46112</v>
      </c>
      <c r="G855" s="12">
        <v>46107</v>
      </c>
      <c r="H855" s="11" t="s">
        <v>80</v>
      </c>
      <c r="I855" s="11" t="s">
        <v>1132</v>
      </c>
      <c r="J855" s="1091" t="s">
        <v>943</v>
      </c>
      <c r="K855" s="14" t="s">
        <v>1017</v>
      </c>
      <c r="L855" s="15" t="s">
        <v>27</v>
      </c>
      <c r="M855" s="29" t="s">
        <v>1120</v>
      </c>
      <c r="N855" s="57">
        <v>46111</v>
      </c>
      <c r="O855" s="15">
        <f>NETWORKDAYS.INTL(WFTracker[[#This Row],[Start date]],WFTracker[[#This Row],[RM]],1,Holidays!D842:D857)</f>
        <v>15</v>
      </c>
      <c r="P855" s="12">
        <v>46092</v>
      </c>
      <c r="Q855" s="12">
        <v>46101</v>
      </c>
      <c r="R855" s="12"/>
      <c r="S855" s="12" t="b">
        <f>ISBLANK(WFTracker[[#This Row],[Completion Date]])</f>
        <v>1</v>
      </c>
      <c r="T855" s="12" t="str">
        <f>TEXT(WFTracker[[#This Row],[Start date]],"mmm-yyyy")</f>
        <v>Mar-2026</v>
      </c>
      <c r="U855" s="11">
        <v>10</v>
      </c>
      <c r="V855" s="11">
        <f>NETWORKDAYS.INTL(WFTracker[[#This Row],[Start date]],WFTracker[[#This Row],[Due date]],1,Holidays!D842:D857)</f>
        <v>8</v>
      </c>
      <c r="W855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7</v>
      </c>
      <c r="X855" s="24">
        <f ca="1">WFTracker[[#This Row],[Active Time]]-WFTracker[[#This Row],[Completion Days Template]]</f>
        <v>-1</v>
      </c>
      <c r="Y855" s="16" t="str">
        <f ca="1" xml:space="preserve"> IF(WFTracker[[#This Row],[Overdue Time '[Expected-Completion']]]&gt;0, "LATE","ON TIME")</f>
        <v>ON TIME</v>
      </c>
      <c r="Z855" s="16" t="str">
        <f ca="1">IF(WFTracker[[#This Row],[Overdue Time '[Expected-Completion']]] &gt;= 15, "SUPER LATE", Y855)</f>
        <v>ON TIME</v>
      </c>
      <c r="AA855" s="37" t="str">
        <f>IF(WFTracker[[#This Row],[Pre RM Opening Time]]&lt;WFTracker[[#This Row],[Old vs New Order Lead Time WF dead line]], "LATE BY ENG", "ON TIME BY ENG")</f>
        <v>ON TIME BY ENG</v>
      </c>
      <c r="AB855" s="37"/>
      <c r="AC855" s="928" t="str" cm="1">
        <f t="array" ref="AC855">_xlfn.IFS(
    WFTracker[[#This Row],[Cancelation Cause]]&lt;&gt;"", "X",
    WFTracker[[#This Row],[Competion Date Content]] = FALSE, "C",
    TRUE, "I"
)</f>
        <v>I</v>
      </c>
      <c r="AD855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-9</v>
      </c>
      <c r="AE855" s="25" t="str">
        <f ca="1">IF(WFTracker[[#This Row],[Impact Time Post RM]]&gt;0, "IMPACTED", "NOT IMPACTED")</f>
        <v>NOT IMPACTED</v>
      </c>
      <c r="AF855" s="15"/>
      <c r="AG855" s="18"/>
      <c r="AH855" s="14">
        <f ca="1">IF(WFTracker[[#This Row],[Status]]="C", "Closed", IF(WFTracker[[#This Row],[Status]] = "x", "Cancelled", WFTracker[[#This Row],[Impact Time Post RM]]))</f>
        <v>-9</v>
      </c>
      <c r="AI855" s="14" t="str">
        <f ca="1">IF(WFTracker[[#This Row],[Impact Time Post RM]]&lt;=0,"ON TIME","LATE")</f>
        <v>ON TIME</v>
      </c>
      <c r="AJ855" s="14" t="s">
        <v>983</v>
      </c>
      <c r="AK855" s="14">
        <v>15</v>
      </c>
      <c r="AL855" s="915">
        <f>IF(WFTracker[[#This Row],[Type]]="MAKE", WFTracker[[#This Row],[Due date]]+Filters!$J$111, WFTracker[[#This Row],[Due date]]+Filters!$J$135)</f>
        <v>46104.072512647552</v>
      </c>
      <c r="AM855" s="102" cm="1">
        <f t="array" ref="AM855">_xlfn.IFS(WFTracker[[#This Row],[Type]]="BUY", WFTracker[[#This Row],[Task Number]]/17,
     WFTracker[[#This Row],[Type]]="MAKE", WFTracker[[#This Row],[Task Number]]/18,
     WFTracker[[#This Row],[Type]]="CNG-BOM", WFTracker[[#This Row],[Task Number]]/11)</f>
        <v>0.83333333333333337</v>
      </c>
    </row>
    <row r="856" spans="1:39" ht="15" customHeight="1">
      <c r="A856" t="str">
        <f>IF(WFTracker[[#This Row],[Order Number]]="SWBD", "QED2", "PZ4")</f>
        <v>PZ4</v>
      </c>
      <c r="B856" s="21" t="s">
        <v>1671</v>
      </c>
      <c r="C856" s="26" t="s">
        <v>1672</v>
      </c>
      <c r="D856" s="11" t="str">
        <f>WFTracker[[#This Row],[Order Number]]  &amp; "-" &amp; WFTracker[[#This Row],[Item]]</f>
        <v>0051425171-000660</v>
      </c>
      <c r="E856" s="23" t="s">
        <v>1673</v>
      </c>
      <c r="F856" s="12">
        <v>46129</v>
      </c>
      <c r="G856" s="12">
        <v>46118</v>
      </c>
      <c r="H856" s="11" t="s">
        <v>80</v>
      </c>
      <c r="I856" s="11" t="s">
        <v>216</v>
      </c>
      <c r="J856" s="55" t="s">
        <v>1730</v>
      </c>
      <c r="K856" s="14" t="s">
        <v>1017</v>
      </c>
      <c r="L856" s="15" t="s">
        <v>27</v>
      </c>
      <c r="M856" s="29" t="s">
        <v>1120</v>
      </c>
      <c r="N856" s="57">
        <v>46251</v>
      </c>
      <c r="O856" s="15">
        <f>NETWORKDAYS.INTL(WFTracker[[#This Row],[Start date]],WFTracker[[#This Row],[RM]],1,Holidays!D858:D873)</f>
        <v>23</v>
      </c>
      <c r="P856" s="1093">
        <v>46099</v>
      </c>
      <c r="Q856" s="1093">
        <v>46106</v>
      </c>
      <c r="R856" s="1093"/>
      <c r="S856" s="1093" t="b">
        <f>ISBLANK(WFTracker[[#This Row],[Completion Date]])</f>
        <v>1</v>
      </c>
      <c r="T856" s="12" t="str">
        <f>TEXT(WFTracker[[#This Row],[Start date]],"mmm-yyyy")</f>
        <v>Mar-2026</v>
      </c>
      <c r="U856" s="11">
        <v>10</v>
      </c>
      <c r="V856" s="11">
        <f>NETWORKDAYS.INTL(WFTracker[[#This Row],[Start date]],WFTracker[[#This Row],[Due date]],1,Holidays!D858:D873)</f>
        <v>6</v>
      </c>
      <c r="W856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856" s="24">
        <f ca="1">WFTracker[[#This Row],[Active Time]]-WFTracker[[#This Row],[Completion Days Template]]</f>
        <v>-4</v>
      </c>
      <c r="Y856" s="16" t="str">
        <f ca="1" xml:space="preserve"> IF(WFTracker[[#This Row],[Overdue Time '[Expected-Completion']]]&gt;0, "LATE","ON TIME")</f>
        <v>ON TIME</v>
      </c>
      <c r="Z856" s="16" t="str">
        <f ca="1">IF(WFTracker[[#This Row],[Overdue Time '[Expected-Completion']]] &gt;= 15, "SUPER LATE", Y856)</f>
        <v>ON TIME</v>
      </c>
      <c r="AA856" s="37" t="str">
        <f>IF(WFTracker[[#This Row],[Pre RM Opening Time]]&lt;WFTracker[[#This Row],[Old vs New Order Lead Time WF dead line]], "LATE BY ENG", "ON TIME BY ENG")</f>
        <v>ON TIME BY ENG</v>
      </c>
      <c r="AB856" s="37"/>
      <c r="AC856" s="928" t="str" cm="1">
        <f t="array" ref="AC856">_xlfn.IFS(
    WFTracker[[#This Row],[Cancelation Cause]]&lt;&gt;"", "X",
    WFTracker[[#This Row],[Competion Date Content]] = FALSE, "C",
    TRUE, "I"
)</f>
        <v>I</v>
      </c>
      <c r="AD856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-22</v>
      </c>
      <c r="AE856" s="25" t="str">
        <f ca="1">IF(WFTracker[[#This Row],[Impact Time Post RM]]&gt;0, "IMPACTED", "NOT IMPACTED")</f>
        <v>NOT IMPACTED</v>
      </c>
      <c r="AF856" s="15"/>
      <c r="AG856" s="18"/>
      <c r="AH856" s="14">
        <f ca="1">IF(WFTracker[[#This Row],[Status]]="C", "Closed", IF(WFTracker[[#This Row],[Status]] = "x", "Cancelled", WFTracker[[#This Row],[Impact Time Post RM]]))</f>
        <v>-22</v>
      </c>
      <c r="AI856" s="14" t="str">
        <f ca="1">IF(WFTracker[[#This Row],[Impact Time Post RM]]&lt;=0,"ON TIME","LATE")</f>
        <v>ON TIME</v>
      </c>
      <c r="AJ856" s="14" t="s">
        <v>970</v>
      </c>
      <c r="AK856" s="14">
        <v>0</v>
      </c>
      <c r="AL856" s="915">
        <f>IF(WFTracker[[#This Row],[Type]]="MAKE", WFTracker[[#This Row],[Due date]]+Filters!$J$111, WFTracker[[#This Row],[Due date]]+Filters!$J$135)</f>
        <v>46109.072512647552</v>
      </c>
      <c r="AM856" s="102" cm="1">
        <f t="array" ref="AM856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  <row r="857" spans="1:39" ht="15" customHeight="1">
      <c r="A857" t="str">
        <f>IF(WFTracker[[#This Row],[Order Number]]="SWBD", "QED2", "PZ4")</f>
        <v>PZ4</v>
      </c>
      <c r="B857" s="21" t="s">
        <v>1721</v>
      </c>
      <c r="C857" s="26" t="s">
        <v>135</v>
      </c>
      <c r="D857" s="11" t="str">
        <f>WFTracker[[#This Row],[Order Number]]  &amp; "-" &amp; WFTracker[[#This Row],[Item]]</f>
        <v>0051897029-000010</v>
      </c>
      <c r="E857" s="23" t="s">
        <v>1723</v>
      </c>
      <c r="F857" s="12">
        <v>46136</v>
      </c>
      <c r="G857" s="12">
        <v>46129</v>
      </c>
      <c r="H857" s="11"/>
      <c r="I857" s="11" t="s">
        <v>260</v>
      </c>
      <c r="J857" s="55" t="s">
        <v>1731</v>
      </c>
      <c r="K857" s="14" t="s">
        <v>1017</v>
      </c>
      <c r="L857" s="15" t="s">
        <v>1639</v>
      </c>
      <c r="M857" s="29" t="s">
        <v>1120</v>
      </c>
      <c r="N857" s="57">
        <v>46231</v>
      </c>
      <c r="O857" s="15">
        <f>NETWORKDAYS.INTL(WFTracker[[#This Row],[Start date]],WFTracker[[#This Row],[RM]],1,Holidays!D859:D874)</f>
        <v>28</v>
      </c>
      <c r="P857" s="1093">
        <v>46099</v>
      </c>
      <c r="Q857" s="1093">
        <v>46107</v>
      </c>
      <c r="R857" s="1093"/>
      <c r="S857" s="1093" t="b">
        <f>ISBLANK(WFTracker[[#This Row],[Completion Date]])</f>
        <v>1</v>
      </c>
      <c r="T857" s="12" t="str">
        <f>TEXT(WFTracker[[#This Row],[Start date]],"mmm-yyyy")</f>
        <v>Mar-2026</v>
      </c>
      <c r="U857" s="11">
        <v>10</v>
      </c>
      <c r="V857" s="11">
        <f>NETWORKDAYS.INTL(WFTracker[[#This Row],[Start date]],WFTracker[[#This Row],[Due date]],1,Holidays!D859:D874)</f>
        <v>7</v>
      </c>
      <c r="W857" s="24">
        <f ca="1">IF(WFTracker[[#This Row],[Competion Date Content]]= TRUE, NETWORKDAYS.INTL( WFTracker[[#This Row],[Start date]],TODAY(),1,Holidays!$D$4:$D$19), NETWORKDAYS.INTL( WFTracker[[#This Row],[Start date]],WFTracker[[#This Row],[Completion Date]],1,Holidays!$D$4:$D$19))</f>
        <v>2</v>
      </c>
      <c r="X857" s="24">
        <f ca="1">WFTracker[[#This Row],[Active Time]]-WFTracker[[#This Row],[Completion Days Template]]</f>
        <v>-5</v>
      </c>
      <c r="Y857" s="16" t="str">
        <f ca="1" xml:space="preserve"> IF(WFTracker[[#This Row],[Overdue Time '[Expected-Completion']]]&gt;0, "LATE","ON TIME")</f>
        <v>ON TIME</v>
      </c>
      <c r="Z857" s="16" t="str">
        <f ca="1">IF(WFTracker[[#This Row],[Overdue Time '[Expected-Completion']]] &gt;= 15, "SUPER LATE", Y857)</f>
        <v>ON TIME</v>
      </c>
      <c r="AA857" s="37" t="str">
        <f>IF(WFTracker[[#This Row],[Pre RM Opening Time]]&lt;WFTracker[[#This Row],[Old vs New Order Lead Time WF dead line]], "LATE BY ENG", "ON TIME BY ENG")</f>
        <v>ON TIME BY ENG</v>
      </c>
      <c r="AB857" s="37"/>
      <c r="AC857" s="928" t="str" cm="1">
        <f t="array" ref="AC857">_xlfn.IFS(
    WFTracker[[#This Row],[Cancelation Cause]]&lt;&gt;"", "X",
    WFTracker[[#This Row],[Competion Date Content]] = FALSE, "C",
    TRUE, "I"
)</f>
        <v>I</v>
      </c>
      <c r="AD857" s="25">
        <f ca="1">IF(WFTracker[[#This Row],[Competion Date Content]]=TRUE,NETWORKDAYS.INTL(WFTracker[[#This Row],[RM]],TODAY(),1,Holidays!$D$4:$D$19), NETWORKDAYS.INTL(WFTracker[[#This Row],[RM]],WFTracker[[#This Row],[Completion Date]],1,Holidays!$D$4:$D$19))</f>
        <v>-27</v>
      </c>
      <c r="AE857" s="25" t="str">
        <f ca="1">IF(WFTracker[[#This Row],[Impact Time Post RM]]&gt;0, "IMPACTED", "NOT IMPACTED")</f>
        <v>NOT IMPACTED</v>
      </c>
      <c r="AF857" s="15"/>
      <c r="AG857" s="18"/>
      <c r="AH857" s="14">
        <f ca="1">IF(WFTracker[[#This Row],[Status]]="C", "Closed", IF(WFTracker[[#This Row],[Status]] = "x", "Cancelled", WFTracker[[#This Row],[Impact Time Post RM]]))</f>
        <v>-27</v>
      </c>
      <c r="AI857" s="14" t="str">
        <f ca="1">IF(WFTracker[[#This Row],[Impact Time Post RM]]&lt;=0,"ON TIME","LATE")</f>
        <v>ON TIME</v>
      </c>
      <c r="AJ857" s="14" t="s">
        <v>970</v>
      </c>
      <c r="AK857" s="14">
        <v>0</v>
      </c>
      <c r="AL857" s="915">
        <f>IF(WFTracker[[#This Row],[Type]]="MAKE", WFTracker[[#This Row],[Due date]]+Filters!$J$111, WFTracker[[#This Row],[Due date]]+Filters!$J$135)</f>
        <v>46110.072512647552</v>
      </c>
      <c r="AM857" s="102" cm="1">
        <f t="array" ref="AM857">_xlfn.IFS(WFTracker[[#This Row],[Type]]="BUY", WFTracker[[#This Row],[Task Number]]/17,
     WFTracker[[#This Row],[Type]]="MAKE", WFTracker[[#This Row],[Task Number]]/18,
     WFTracker[[#This Row],[Type]]="CNG-BOM", WFTracker[[#This Row],[Task Number]]/11)</f>
        <v>0</v>
      </c>
    </row>
  </sheetData>
  <protectedRanges>
    <protectedRange sqref="J80" name="Range1_6"/>
    <protectedRange sqref="E213 E309" name="Range1_4"/>
    <protectedRange sqref="E275" name="Range1_4_1"/>
  </protectedRanges>
  <phoneticPr fontId="3" type="noConversion"/>
  <conditionalFormatting sqref="B2:I622 B623:D623 F623:I623 E637:G637 F649:G655">
    <cfRule type="containsBlanks" dxfId="192" priority="34">
      <formula>LEN(TRIM(B2))=0</formula>
    </cfRule>
  </conditionalFormatting>
  <conditionalFormatting sqref="B624:I636 B637:B642">
    <cfRule type="containsBlanks" dxfId="191" priority="23">
      <formula>LEN(TRIM(B624))=0</formula>
    </cfRule>
  </conditionalFormatting>
  <conditionalFormatting sqref="C638:C639">
    <cfRule type="containsBlanks" dxfId="190" priority="25">
      <formula>LEN(TRIM(C638))=0</formula>
    </cfRule>
  </conditionalFormatting>
  <conditionalFormatting sqref="E491:E493">
    <cfRule type="expression" dxfId="189" priority="54">
      <formula>$J491=100</formula>
    </cfRule>
  </conditionalFormatting>
  <conditionalFormatting sqref="E638:E639">
    <cfRule type="containsBlanks" dxfId="188" priority="24">
      <formula>LEN(TRIM(E638))=0</formula>
    </cfRule>
  </conditionalFormatting>
  <conditionalFormatting sqref="E641">
    <cfRule type="containsBlanks" dxfId="187" priority="22">
      <formula>LEN(TRIM(E641))=0</formula>
    </cfRule>
  </conditionalFormatting>
  <conditionalFormatting sqref="E654">
    <cfRule type="containsBlanks" dxfId="186" priority="21">
      <formula>LEN(TRIM(E654))=0</formula>
    </cfRule>
  </conditionalFormatting>
  <conditionalFormatting sqref="F638:G643 F646:G647">
    <cfRule type="containsBlanks" dxfId="185" priority="18">
      <formula>LEN(TRIM(F638))=0</formula>
    </cfRule>
  </conditionalFormatting>
  <conditionalFormatting sqref="G656">
    <cfRule type="containsBlanks" dxfId="184" priority="16">
      <formula>LEN(TRIM(G656))=0</formula>
    </cfRule>
  </conditionalFormatting>
  <conditionalFormatting sqref="G669 G673 G687:G689 G708">
    <cfRule type="containsBlanks" dxfId="183" priority="14">
      <formula>LEN(TRIM(G669))=0</formula>
    </cfRule>
  </conditionalFormatting>
  <conditionalFormatting sqref="G726">
    <cfRule type="containsBlanks" dxfId="182" priority="13">
      <formula>LEN(TRIM(G726))=0</formula>
    </cfRule>
  </conditionalFormatting>
  <conditionalFormatting sqref="H245:H246">
    <cfRule type="timePeriod" dxfId="181" priority="229" timePeriod="yesterday">
      <formula>FLOOR(H245,1)=TODAY()-1</formula>
    </cfRule>
  </conditionalFormatting>
  <conditionalFormatting sqref="H343">
    <cfRule type="timePeriod" dxfId="180" priority="170" timePeriod="yesterday">
      <formula>FLOOR(H343,1)=TODAY()-1</formula>
    </cfRule>
  </conditionalFormatting>
  <conditionalFormatting sqref="H345:H346">
    <cfRule type="timePeriod" dxfId="179" priority="158" timePeriod="yesterday">
      <formula>FLOOR(H345,1)=TODAY()-1</formula>
    </cfRule>
  </conditionalFormatting>
  <conditionalFormatting sqref="H421">
    <cfRule type="timePeriod" dxfId="178" priority="106" timePeriod="yesterday">
      <formula>FLOOR(H421,1)=TODAY()-1</formula>
    </cfRule>
  </conditionalFormatting>
  <conditionalFormatting sqref="H656">
    <cfRule type="containsBlanks" dxfId="177" priority="15">
      <formula>LEN(TRIM(H656))=0</formula>
    </cfRule>
  </conditionalFormatting>
  <conditionalFormatting sqref="I805">
    <cfRule type="duplicateValues" dxfId="176" priority="7"/>
  </conditionalFormatting>
  <conditionalFormatting sqref="J814">
    <cfRule type="duplicateValues" dxfId="175" priority="6"/>
  </conditionalFormatting>
  <conditionalFormatting sqref="J858:J1048576 J1:J835">
    <cfRule type="duplicateValues" dxfId="174" priority="99"/>
  </conditionalFormatting>
  <conditionalFormatting sqref="L2:L857">
    <cfRule type="containsText" dxfId="173" priority="154" operator="containsText" text="BUY">
      <formula>NOT(ISERROR(SEARCH("BUY",L2)))</formula>
    </cfRule>
    <cfRule type="containsText" dxfId="172" priority="155" operator="containsText" text="MAKE">
      <formula>NOT(ISERROR(SEARCH("MAKE",L2)))</formula>
    </cfRule>
  </conditionalFormatting>
  <conditionalFormatting sqref="M2:M857">
    <cfRule type="notContainsText" dxfId="171" priority="244" operator="notContains" text="ANSI 49">
      <formula>ISERROR(SEARCH("ANSI 49",M2))</formula>
    </cfRule>
  </conditionalFormatting>
  <conditionalFormatting sqref="M277">
    <cfRule type="containsText" dxfId="170" priority="221" operator="containsText" text="MAKE">
      <formula>NOT(ISERROR(SEARCH("MAKE",M277)))</formula>
    </cfRule>
    <cfRule type="containsText" dxfId="169" priority="222" operator="containsText" text="BUY">
      <formula>NOT(ISERROR(SEARCH("BUY",M277)))</formula>
    </cfRule>
  </conditionalFormatting>
  <conditionalFormatting sqref="N2:N192 N195:N429">
    <cfRule type="containsText" dxfId="168" priority="156" operator="containsText" text="ON-HOLD">
      <formula>NOT(ISERROR(SEARCH("ON-HOLD",N2)))</formula>
    </cfRule>
  </conditionalFormatting>
  <conditionalFormatting sqref="N432">
    <cfRule type="containsText" dxfId="167" priority="102" operator="containsText" text="ON-HOLD">
      <formula>NOT(ISERROR(SEARCH("ON-HOLD",N432)))</formula>
    </cfRule>
  </conditionalFormatting>
  <conditionalFormatting sqref="N434:N437">
    <cfRule type="containsText" dxfId="166" priority="91" operator="containsText" text="ON-HOLD">
      <formula>NOT(ISERROR(SEARCH("ON-HOLD",N434)))</formula>
    </cfRule>
  </conditionalFormatting>
  <conditionalFormatting sqref="N439:N444 N446:N455">
    <cfRule type="containsText" dxfId="165" priority="71" operator="containsText" text="ON-HOLD">
      <formula>NOT(ISERROR(SEARCH("ON-HOLD",N439)))</formula>
    </cfRule>
  </conditionalFormatting>
  <conditionalFormatting sqref="N461">
    <cfRule type="containsText" dxfId="164" priority="60" operator="containsText" text="ON-HOLD">
      <formula>NOT(ISERROR(SEARCH("ON-HOLD",N461)))</formula>
    </cfRule>
  </conditionalFormatting>
  <conditionalFormatting sqref="O2:O857">
    <cfRule type="cellIs" dxfId="163" priority="35" operator="between">
      <formula>0</formula>
      <formula>9</formula>
    </cfRule>
    <cfRule type="cellIs" dxfId="162" priority="36" operator="greaterThanOrEqual">
      <formula>10</formula>
    </cfRule>
    <cfRule type="cellIs" dxfId="161" priority="37" operator="lessThan">
      <formula>0</formula>
    </cfRule>
  </conditionalFormatting>
  <conditionalFormatting sqref="R1:R857 B656:F656">
    <cfRule type="containsBlanks" dxfId="160" priority="17">
      <formula>LEN(TRIM(B1))=0</formula>
    </cfRule>
  </conditionalFormatting>
  <conditionalFormatting sqref="X2:X857">
    <cfRule type="expression" dxfId="159" priority="2930">
      <formula>$AC2="x"</formula>
    </cfRule>
    <cfRule type="cellIs" dxfId="158" priority="2931" operator="between">
      <formula>0</formula>
      <formula>1</formula>
    </cfRule>
    <cfRule type="cellIs" dxfId="157" priority="2932" operator="greaterThan">
      <formula>0</formula>
    </cfRule>
    <cfRule type="cellIs" dxfId="156" priority="2934" operator="lessThan">
      <formula>0</formula>
    </cfRule>
  </conditionalFormatting>
  <conditionalFormatting sqref="X593">
    <cfRule type="expression" dxfId="155" priority="3101">
      <formula>#REF!="x"</formula>
    </cfRule>
    <cfRule type="cellIs" dxfId="154" priority="3102" operator="between">
      <formula>0</formula>
      <formula>1</formula>
    </cfRule>
    <cfRule type="cellIs" dxfId="153" priority="3103" operator="greaterThan">
      <formula>0</formula>
    </cfRule>
    <cfRule type="cellIs" dxfId="152" priority="3104" operator="lessThan">
      <formula>0</formula>
    </cfRule>
  </conditionalFormatting>
  <conditionalFormatting sqref="X595:X599">
    <cfRule type="expression" dxfId="151" priority="42">
      <formula>$AC595="x"</formula>
    </cfRule>
    <cfRule type="cellIs" dxfId="150" priority="43" operator="between">
      <formula>0</formula>
      <formula>1</formula>
    </cfRule>
    <cfRule type="cellIs" dxfId="149" priority="44" operator="greaterThan">
      <formula>0</formula>
    </cfRule>
    <cfRule type="cellIs" dxfId="148" priority="45" operator="lessThan">
      <formula>0</formula>
    </cfRule>
  </conditionalFormatting>
  <conditionalFormatting sqref="X629">
    <cfRule type="expression" dxfId="147" priority="38">
      <formula>$AC629="x"</formula>
    </cfRule>
    <cfRule type="cellIs" dxfId="146" priority="39" operator="between">
      <formula>0</formula>
      <formula>1</formula>
    </cfRule>
    <cfRule type="cellIs" dxfId="145" priority="40" operator="greaterThan">
      <formula>0</formula>
    </cfRule>
    <cfRule type="cellIs" dxfId="144" priority="41" operator="lessThan">
      <formula>0</formula>
    </cfRule>
  </conditionalFormatting>
  <conditionalFormatting sqref="X837">
    <cfRule type="expression" dxfId="143" priority="5469">
      <formula>$AC838="x"</formula>
    </cfRule>
    <cfRule type="cellIs" dxfId="142" priority="5470" operator="between">
      <formula>0</formula>
      <formula>1</formula>
    </cfRule>
    <cfRule type="cellIs" dxfId="141" priority="5471" operator="greaterThan">
      <formula>0</formula>
    </cfRule>
    <cfRule type="cellIs" dxfId="140" priority="5472" operator="lessThan">
      <formula>0</formula>
    </cfRule>
  </conditionalFormatting>
  <conditionalFormatting sqref="X838">
    <cfRule type="expression" dxfId="139" priority="5473">
      <formula>#REF!="x"</formula>
    </cfRule>
    <cfRule type="cellIs" dxfId="138" priority="5474" operator="between">
      <formula>0</formula>
      <formula>1</formula>
    </cfRule>
    <cfRule type="cellIs" dxfId="137" priority="5475" operator="greaterThan">
      <formula>0</formula>
    </cfRule>
    <cfRule type="cellIs" dxfId="136" priority="5476" operator="lessThan">
      <formula>0</formula>
    </cfRule>
  </conditionalFormatting>
  <conditionalFormatting sqref="X845:X846">
    <cfRule type="expression" dxfId="135" priority="1">
      <formula>$AC845="x"</formula>
    </cfRule>
    <cfRule type="cellIs" dxfId="134" priority="2" operator="between">
      <formula>0</formula>
      <formula>1</formula>
    </cfRule>
    <cfRule type="cellIs" dxfId="133" priority="3" operator="greaterThan">
      <formula>0</formula>
    </cfRule>
    <cfRule type="cellIs" dxfId="132" priority="4" operator="lessThan">
      <formula>0</formula>
    </cfRule>
  </conditionalFormatting>
  <conditionalFormatting sqref="Y2:Z592">
    <cfRule type="expression" dxfId="131" priority="61">
      <formula>$AC2="x"</formula>
    </cfRule>
  </conditionalFormatting>
  <conditionalFormatting sqref="Y1 Y2:Z857">
    <cfRule type="containsText" dxfId="130" priority="2935" operator="containsText" text="LATE">
      <formula>NOT(ISERROR(SEARCH("LATE",Y1)))</formula>
    </cfRule>
  </conditionalFormatting>
  <conditionalFormatting sqref="Y2:Z857">
    <cfRule type="containsText" dxfId="129" priority="64" operator="containsText" text="ON TIME">
      <formula>NOT(ISERROR(SEARCH("ON TIME",Y2)))</formula>
    </cfRule>
  </conditionalFormatting>
  <conditionalFormatting sqref="Y593:Z593">
    <cfRule type="expression" dxfId="128" priority="3105">
      <formula>#REF!="x"</formula>
    </cfRule>
  </conditionalFormatting>
  <conditionalFormatting sqref="Z2:Z857">
    <cfRule type="cellIs" dxfId="127" priority="62" operator="equal">
      <formula>"SUPER LATE"</formula>
    </cfRule>
  </conditionalFormatting>
  <conditionalFormatting sqref="Z612:Z624 Z625:AA625 Z626:Z636 AA1:AA857 Y637:Y1048576">
    <cfRule type="containsText" dxfId="126" priority="137" operator="containsText" text="LATE BY ENG">
      <formula>NOT(ISERROR(SEARCH("LATE BY ENG",Y1)))</formula>
    </cfRule>
  </conditionalFormatting>
  <conditionalFormatting sqref="Z612:Z624 Z625:AA625 Z626:Z636 AA1:AA857 Y637:Y1048576">
    <cfRule type="containsText" dxfId="125" priority="138" operator="containsText" text="ON TIME BY ENG">
      <formula>NOT(ISERROR(SEARCH("ON TIME BY ENG",Y1)))</formula>
    </cfRule>
  </conditionalFormatting>
  <conditionalFormatting sqref="AC2:AC857">
    <cfRule type="containsText" dxfId="124" priority="65" operator="containsText" text="X">
      <formula>NOT(ISERROR(SEARCH("X",AC2)))</formula>
    </cfRule>
    <cfRule type="containsText" dxfId="123" priority="281" operator="containsText" text="C">
      <formula>NOT(ISERROR(SEARCH("C",AC2)))</formula>
    </cfRule>
    <cfRule type="containsText" dxfId="122" priority="335" operator="containsText" text="I">
      <formula>NOT(ISERROR(SEARCH("I",AC2)))</formula>
    </cfRule>
  </conditionalFormatting>
  <conditionalFormatting sqref="AD2:AD857">
    <cfRule type="containsText" dxfId="121" priority="307" operator="containsText" text="Not Closed">
      <formula>NOT(ISERROR(SEARCH("Not Closed",AD2)))</formula>
    </cfRule>
    <cfRule type="cellIs" dxfId="120" priority="308" operator="greaterThan">
      <formula>0</formula>
    </cfRule>
    <cfRule type="cellIs" dxfId="119" priority="312" operator="lessThanOrEqual">
      <formula>0</formula>
    </cfRule>
  </conditionalFormatting>
  <conditionalFormatting sqref="AE2:AE857">
    <cfRule type="containsText" dxfId="118" priority="32" operator="containsText" text="NOT IMPACTED">
      <formula>NOT(ISERROR(SEARCH("NOT IMPACTED",AE2)))</formula>
    </cfRule>
    <cfRule type="containsText" dxfId="117" priority="33" operator="containsText" text="IMPACTED">
      <formula>NOT(ISERROR(SEARCH("IMPACTED",AE2)))</formula>
    </cfRule>
  </conditionalFormatting>
  <conditionalFormatting sqref="AG324:AG342">
    <cfRule type="containsText" dxfId="116" priority="320" operator="containsText" text="ON TIME">
      <formula>NOT(ISERROR(SEARCH("ON TIME",AG324)))</formula>
    </cfRule>
  </conditionalFormatting>
  <conditionalFormatting sqref="AH2:AH857">
    <cfRule type="expression" dxfId="115" priority="135">
      <formula>$AC2="x"</formula>
    </cfRule>
    <cfRule type="containsText" dxfId="114" priority="136" operator="containsText" text="Closed">
      <formula>NOT(ISERROR(SEARCH("Closed",AH2)))</formula>
    </cfRule>
    <cfRule type="cellIs" dxfId="113" priority="294" operator="greaterThanOrEqual">
      <formula>-4</formula>
    </cfRule>
    <cfRule type="cellIs" dxfId="112" priority="295" operator="greaterThanOrEqual">
      <formula>-15</formula>
    </cfRule>
    <cfRule type="cellIs" dxfId="111" priority="2941" operator="lessThan">
      <formula>-4</formula>
    </cfRule>
  </conditionalFormatting>
  <conditionalFormatting sqref="AH837">
    <cfRule type="expression" dxfId="110" priority="5488">
      <formula>$AC838="x"</formula>
    </cfRule>
    <cfRule type="containsText" dxfId="109" priority="5489" operator="containsText" text="Closed">
      <formula>NOT(ISERROR(SEARCH("Closed",AH837)))</formula>
    </cfRule>
    <cfRule type="cellIs" dxfId="108" priority="5490" operator="greaterThanOrEqual">
      <formula>-4</formula>
    </cfRule>
    <cfRule type="cellIs" dxfId="107" priority="5491" operator="greaterThanOrEqual">
      <formula>-15</formula>
    </cfRule>
    <cfRule type="cellIs" dxfId="106" priority="5492" operator="lessThan">
      <formula>-4</formula>
    </cfRule>
  </conditionalFormatting>
  <conditionalFormatting sqref="AH838">
    <cfRule type="expression" dxfId="105" priority="5493">
      <formula>#REF!="x"</formula>
    </cfRule>
    <cfRule type="containsText" dxfId="104" priority="5494" operator="containsText" text="Closed">
      <formula>NOT(ISERROR(SEARCH("Closed",AH838)))</formula>
    </cfRule>
    <cfRule type="cellIs" dxfId="103" priority="5495" operator="greaterThanOrEqual">
      <formula>-4</formula>
    </cfRule>
    <cfRule type="cellIs" dxfId="102" priority="5496" operator="greaterThanOrEqual">
      <formula>-15</formula>
    </cfRule>
    <cfRule type="cellIs" dxfId="101" priority="5497" operator="lessThan">
      <formula>-4</formula>
    </cfRule>
  </conditionalFormatting>
  <conditionalFormatting sqref="AI2:AI857">
    <cfRule type="containsText" dxfId="100" priority="66" operator="containsText" text="ON TIME">
      <formula>NOT(ISERROR(SEARCH("ON TIME",AI2)))</formula>
    </cfRule>
    <cfRule type="containsText" dxfId="99" priority="67" operator="containsText" text="LATE">
      <formula>NOT(ISERROR(SEARCH("LATE",AI2)))</formula>
    </cfRule>
  </conditionalFormatting>
  <conditionalFormatting sqref="AI612:AI624 AI625:AJ625 AI626:AI636 AH637:AH1048576 AJ1:AJ857">
    <cfRule type="containsText" dxfId="98" priority="53" operator="containsText" text="GRECIA JUAREZ">
      <formula>NOT(ISERROR(SEARCH("GRECIA JUAREZ",AH1)))</formula>
    </cfRule>
  </conditionalFormatting>
  <conditionalFormatting sqref="AJ2:AJ857">
    <cfRule type="containsText" dxfId="97" priority="68" operator="containsText" text="JUAN CARLOS MIRANDA">
      <formula>NOT(ISERROR(SEARCH("JUAN CARLOS MIRANDA",AJ2)))</formula>
    </cfRule>
    <cfRule type="containsText" dxfId="96" priority="69" operator="containsText" text="REGINA LOPEZ">
      <formula>NOT(ISERROR(SEARCH("REGINA LOPEZ",AJ2)))</formula>
    </cfRule>
    <cfRule type="containsText" dxfId="95" priority="70" operator="containsText" text="ALEJANDRO OSUNA BALDERAS">
      <formula>NOT(ISERROR(SEARCH("ALEJANDRO OSUNA BALDERAS",AJ2)))</formula>
    </cfRule>
  </conditionalFormatting>
  <conditionalFormatting sqref="AL2:AL555 AL557:AL629 AL631:AL635 AL637:AL643 AL645 AL647:AL658 AL660:AL709 AL711 AL714:AL723 AL725:AL730 AL732:AL773 AL775:AL793 AL795:AL807 AL809:AL814 AL845:AL846">
    <cfRule type="expression" dxfId="94" priority="30">
      <formula>AL3&gt;=F3</formula>
    </cfRule>
  </conditionalFormatting>
  <conditionalFormatting sqref="AL556">
    <cfRule type="expression" dxfId="93" priority="3924">
      <formula>#REF!&gt;=#REF!</formula>
    </cfRule>
  </conditionalFormatting>
  <conditionalFormatting sqref="AL630 AL636">
    <cfRule type="expression" dxfId="92" priority="4721">
      <formula>#REF!&gt;=#REF!</formula>
    </cfRule>
  </conditionalFormatting>
  <conditionalFormatting sqref="AL644">
    <cfRule type="expression" dxfId="91" priority="3350">
      <formula>#REF!&gt;=#REF!</formula>
    </cfRule>
  </conditionalFormatting>
  <conditionalFormatting sqref="AL646 AL659">
    <cfRule type="expression" dxfId="90" priority="3695">
      <formula>#REF!&gt;=#REF!</formula>
    </cfRule>
  </conditionalFormatting>
  <conditionalFormatting sqref="AL710">
    <cfRule type="expression" dxfId="89" priority="4104">
      <formula>AL713&gt;=F713</formula>
    </cfRule>
  </conditionalFormatting>
  <conditionalFormatting sqref="AL712:AL713">
    <cfRule type="expression" dxfId="88" priority="4020">
      <formula>AL714&gt;=F714</formula>
    </cfRule>
  </conditionalFormatting>
  <conditionalFormatting sqref="AL713">
    <cfRule type="expression" dxfId="87" priority="4103">
      <formula>AL711&gt;=F711</formula>
    </cfRule>
  </conditionalFormatting>
  <conditionalFormatting sqref="AL724 AL731">
    <cfRule type="expression" dxfId="86" priority="4188">
      <formula>#REF!&gt;=#REF!</formula>
    </cfRule>
  </conditionalFormatting>
  <conditionalFormatting sqref="AL774 AL794 AL808">
    <cfRule type="expression" dxfId="85" priority="5101">
      <formula>#REF!&gt;=#REF!</formula>
    </cfRule>
  </conditionalFormatting>
  <conditionalFormatting sqref="AM2:AM857">
    <cfRule type="colorScale" priority="5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2">
    <dataValidation type="list" allowBlank="1" showInputMessage="1" showErrorMessage="1" sqref="L2:L833 L856" xr:uid="{0B69ECD5-0701-41E3-BBA4-27F26AC1785D}">
      <formula1>"MAKE, BUY, CNG BOM"</formula1>
    </dataValidation>
    <dataValidation type="list" allowBlank="1" showInputMessage="1" showErrorMessage="1" sqref="L834:L840" xr:uid="{63E21E21-9F6E-4712-A608-83AC1E45544B}">
      <formula1>"MAKE, BUY, CNG-BOM"</formula1>
    </dataValidation>
  </dataValidations>
  <hyperlinks>
    <hyperlink ref="J242" r:id="rId1" display="https://oneshuttle.se.com/WF_PAGES/WorkFlowTaskUpdate.aspx?v1=WF1731450" xr:uid="{3E04F599-9612-4F3F-90F6-13543E01510F}"/>
    <hyperlink ref="J299" r:id="rId2" xr:uid="{4D8E2D74-A29E-4EF4-9C93-95228F55E0BB}"/>
    <hyperlink ref="J305" r:id="rId3" xr:uid="{40B7CBD1-B694-4836-9BDE-3E564DE7B7BE}"/>
    <hyperlink ref="J307" r:id="rId4" xr:uid="{4CDD8506-27D9-441F-80C8-15EF183D75E9}"/>
    <hyperlink ref="J314" r:id="rId5" xr:uid="{EFB0C590-D6D4-476A-8E43-003B3E0A671F}"/>
    <hyperlink ref="J310" r:id="rId6" xr:uid="{6A073B60-9DE0-4E5D-B1C1-F60065A9CD48}"/>
    <hyperlink ref="J347" r:id="rId7" xr:uid="{5CB89E20-1E00-4E91-B77B-129E1D6545B8}"/>
    <hyperlink ref="J348" r:id="rId8" xr:uid="{77724552-1FF6-4DE8-9C59-4FDCCF920FA2}"/>
    <hyperlink ref="J344" r:id="rId9" xr:uid="{F97A1C2B-6C89-442D-A42F-B92C46CC41EF}"/>
    <hyperlink ref="J345" r:id="rId10" xr:uid="{F32B90C3-8D72-46BA-AE41-AB73B8C5F70B}"/>
    <hyperlink ref="J349" r:id="rId11" xr:uid="{BDD769AA-BF82-41F7-B13D-7F5F64F818B7}"/>
    <hyperlink ref="J350" r:id="rId12" xr:uid="{8EB80590-B6B6-4BA5-8C40-233ABC9C91F4}"/>
    <hyperlink ref="J354" r:id="rId13" xr:uid="{0989B035-7438-4C26-92A3-C81B40578800}"/>
    <hyperlink ref="J356" r:id="rId14" xr:uid="{A0F24DB7-C4FE-4C67-A0F5-870366EF7FE2}"/>
    <hyperlink ref="J363" r:id="rId15" xr:uid="{735C4229-5283-4C10-83B6-A3A7FAB0BA8B}"/>
    <hyperlink ref="J359" r:id="rId16" xr:uid="{BBBC5E07-99DB-49B2-A37E-BB23FA6A24FD}"/>
    <hyperlink ref="J358" r:id="rId17" display="WF1751155" xr:uid="{BAC045B8-6377-4CFB-887B-79215E011F14}"/>
    <hyperlink ref="J357" r:id="rId18" xr:uid="{5CDAE1FB-E14C-467C-BED1-EB4293D2D7D7}"/>
    <hyperlink ref="J361" r:id="rId19" xr:uid="{7DF2B44C-6A93-44B7-B93D-4ECC415846FD}"/>
    <hyperlink ref="J367" r:id="rId20" xr:uid="{F9E83DE0-5C0F-4189-9327-A4BAEC8ED3D1}"/>
    <hyperlink ref="J364" r:id="rId21" xr:uid="{8EED4666-0AA5-4606-B943-4CBC99D58665}"/>
    <hyperlink ref="J366" r:id="rId22" xr:uid="{F122A640-97E3-45FA-BFEE-62E8BB50B131}"/>
    <hyperlink ref="J368" r:id="rId23" xr:uid="{6C7F2F82-3D03-49A1-AA77-ABEB3CA47E66}"/>
    <hyperlink ref="J369" r:id="rId24" xr:uid="{8F892CE5-BBA0-4D44-ADB2-1832C840A5C3}"/>
    <hyperlink ref="J370" r:id="rId25" xr:uid="{C1C00E87-1FE9-4AE5-93D8-8E33BA090B04}"/>
    <hyperlink ref="J371" r:id="rId26" xr:uid="{679DD33F-2947-4D7C-A3B8-33B3EA7B3AC7}"/>
    <hyperlink ref="J372" r:id="rId27" xr:uid="{55919F14-3740-4AFB-80CD-3D5CCFFF3FD4}"/>
    <hyperlink ref="J374" r:id="rId28" xr:uid="{65E5E2C1-3E1A-480E-86E4-31731934C8DB}"/>
    <hyperlink ref="J375" r:id="rId29" xr:uid="{22D45031-F24A-43A3-80D0-B756ACCFFD00}"/>
    <hyperlink ref="J376" r:id="rId30" xr:uid="{B729E03B-7046-480A-83A6-7ACD0F0E4463}"/>
    <hyperlink ref="J384" r:id="rId31" xr:uid="{B1FF37FE-8565-4CB2-96E5-942B02861842}"/>
    <hyperlink ref="J382" r:id="rId32" xr:uid="{4B9E3F63-81DC-48C3-AFC8-2E771689340D}"/>
    <hyperlink ref="J383" r:id="rId33" xr:uid="{144C7B86-D50B-46BF-8807-4EF11310DE3C}"/>
    <hyperlink ref="J385" r:id="rId34" xr:uid="{85376B55-257A-400D-AE1C-23140EA3D138}"/>
    <hyperlink ref="J386" r:id="rId35" xr:uid="{69BB2A35-8DD5-4DEE-A33F-6771387B0C10}"/>
    <hyperlink ref="J388" r:id="rId36" xr:uid="{11DE8C1B-9AC7-4CD1-9908-245719A2902B}"/>
    <hyperlink ref="J373" r:id="rId37" xr:uid="{BC0DD9CF-A5E0-4E31-80C0-9132CCDC3249}"/>
    <hyperlink ref="J396" r:id="rId38" xr:uid="{554C5B8C-2C42-4EC8-B696-43CF93BC021A}"/>
    <hyperlink ref="J393" r:id="rId39" xr:uid="{51077E58-9BA8-4744-B1EB-1468F57CDD60}"/>
    <hyperlink ref="J391" r:id="rId40" xr:uid="{0A0A58A1-50AF-48A5-8887-0CF4FD10D4ED}"/>
    <hyperlink ref="J390" r:id="rId41" xr:uid="{3EAE8D26-E692-4E1D-9169-C647E1165FC5}"/>
    <hyperlink ref="J392" r:id="rId42" xr:uid="{7C044A96-222F-4C59-BD3F-D77FD42175D5}"/>
    <hyperlink ref="J394" r:id="rId43" xr:uid="{252182AB-CDA9-4B9D-AAFD-0DF1AF443CBA}"/>
    <hyperlink ref="J401" r:id="rId44" xr:uid="{35F04312-0E84-4D7E-B588-DCA15602BD5E}"/>
    <hyperlink ref="J399" r:id="rId45" xr:uid="{E33BA1C7-F252-4EFD-893B-9A271D72F8FB}"/>
    <hyperlink ref="J400" r:id="rId46" xr:uid="{DEE22D2F-13E9-4A4F-B0B5-329B60CD8506}"/>
    <hyperlink ref="J398" r:id="rId47" xr:uid="{21D6F0BD-4FC2-4690-BC31-4C39BC0B5A60}"/>
    <hyperlink ref="J402" r:id="rId48" xr:uid="{C2EC628F-106E-4649-BA63-1ABA516AEC3B}"/>
    <hyperlink ref="J408" r:id="rId49" xr:uid="{7C7D7110-AEBD-4C0E-86F9-23ED6FA6CE84}"/>
    <hyperlink ref="J407" r:id="rId50" xr:uid="{C27EE0B2-6515-41C2-9C1C-CD55094132D8}"/>
    <hyperlink ref="J404" r:id="rId51" xr:uid="{0D885797-EB0E-4EEC-B484-F836F2DD8DAE}"/>
    <hyperlink ref="J409" r:id="rId52" xr:uid="{5A56F9B8-11A1-498B-8E9E-F03EE4851154}"/>
    <hyperlink ref="J403" r:id="rId53" xr:uid="{0800545E-4CA4-41E1-AEC8-60E0BEBEAD46}"/>
    <hyperlink ref="J412" r:id="rId54" xr:uid="{82624919-0E39-4F7C-857B-98DF7DAAB645}"/>
    <hyperlink ref="J420" r:id="rId55" xr:uid="{5AA0C947-B169-4197-AC98-73A1B19A4C38}"/>
    <hyperlink ref="J421" r:id="rId56" xr:uid="{3E1516BC-733D-4220-B7D8-9E943E528A28}"/>
    <hyperlink ref="J422" r:id="rId57" xr:uid="{DFFED3CF-B498-4A6A-9C5A-5E58F4E388D0}"/>
    <hyperlink ref="J419" r:id="rId58" xr:uid="{C6B611B7-AF7C-4FBA-B64C-FF523032A28D}"/>
    <hyperlink ref="J405" r:id="rId59" xr:uid="{0AE0DB96-9878-4CEF-B913-15C0699A8A29}"/>
    <hyperlink ref="J414" r:id="rId60" xr:uid="{33A5DE8B-9D0C-47A2-8B33-8B31BFEDCDDF}"/>
    <hyperlink ref="J437" r:id="rId61" xr:uid="{35BA2B87-2F23-478B-BB65-EFDAF0D2D2BF}"/>
    <hyperlink ref="J433" r:id="rId62" xr:uid="{498ED1BD-F367-4013-8070-D487402E8837}"/>
    <hyperlink ref="J434" r:id="rId63" xr:uid="{B0F43BFB-9030-493C-B85F-E343ABF86465}"/>
    <hyperlink ref="J435" r:id="rId64" xr:uid="{FCE51785-EBB4-4102-9373-4AD7CAB33211}"/>
    <hyperlink ref="J423" r:id="rId65" xr:uid="{9EF8C341-67E9-43F7-8F57-FB02A60B9715}"/>
    <hyperlink ref="J410" r:id="rId66" xr:uid="{0993694B-6082-4F39-921E-7DFA5DEEE2EB}"/>
    <hyperlink ref="J416" r:id="rId67" xr:uid="{F49B2213-6017-4BC2-8849-4E2F1826CD2E}"/>
    <hyperlink ref="J418" r:id="rId68" xr:uid="{D4508D9A-1359-40FB-AE78-49CEAA51A08D}"/>
    <hyperlink ref="J411" r:id="rId69" xr:uid="{CEDCA2AD-D6FB-4BAA-A585-676A3D98A318}"/>
    <hyperlink ref="J413" r:id="rId70" xr:uid="{3001FCD9-6C81-4A35-8947-5EA823ED6AD5}"/>
    <hyperlink ref="J389" r:id="rId71" xr:uid="{3E02EFB5-0303-4625-ADCB-7372211C1838}"/>
    <hyperlink ref="J395" r:id="rId72" xr:uid="{12363A36-1F7F-4A82-BB48-566A40BA74AD}"/>
    <hyperlink ref="J397" r:id="rId73" xr:uid="{B3428F57-90EF-436B-82A1-EA166B7DEB60}"/>
    <hyperlink ref="J406" r:id="rId74" xr:uid="{7307516D-99BA-4AE8-B1BA-4F85D94B6628}"/>
    <hyperlink ref="J424" r:id="rId75" xr:uid="{2104BDC6-B934-4292-B85E-66DFAC2CE5A7}"/>
    <hyperlink ref="J425" r:id="rId76" xr:uid="{FAE667FC-DD9B-46C3-978B-9CB459ECD54F}"/>
    <hyperlink ref="J426" r:id="rId77" xr:uid="{E1412FF0-3049-43CC-9A59-8A55B2BE5F9D}"/>
    <hyperlink ref="J429" r:id="rId78" xr:uid="{D4DC3F2B-B1D6-41A4-AF31-75D6A4983FE4}"/>
    <hyperlink ref="J428" r:id="rId79" xr:uid="{A2A341D1-E8AC-4FD2-9D4A-B88E5AA70F7B}"/>
    <hyperlink ref="J427" r:id="rId80" xr:uid="{4B00B532-8753-40C2-BAD9-1BE6494151C0}"/>
    <hyperlink ref="J436" r:id="rId81" xr:uid="{EC0899E4-F11C-4422-9DD6-9B6183DC971F}"/>
    <hyperlink ref="J430" r:id="rId82" xr:uid="{DA26DE2C-A9EB-4322-9BA6-DDE6B944E4CB}"/>
    <hyperlink ref="J431" r:id="rId83" xr:uid="{AC54F4D3-D210-4FA6-9589-09BCFA162133}"/>
    <hyperlink ref="J432" r:id="rId84" xr:uid="{DB47E802-DA1A-42B7-87E5-24D70C405A77}"/>
    <hyperlink ref="J415" r:id="rId85" xr:uid="{2B2915A3-F216-41E1-B88F-E590E7FF8718}"/>
    <hyperlink ref="J379" r:id="rId86" xr:uid="{D1010F1E-9341-4650-BCF2-EF445C06249C}"/>
    <hyperlink ref="J439" r:id="rId87" xr:uid="{22514D87-FFF8-4559-8D92-B4AB4A64090F}"/>
    <hyperlink ref="J444" r:id="rId88" xr:uid="{3E103C66-087D-4AF1-B397-5290D0F40611}"/>
    <hyperlink ref="J442" r:id="rId89" xr:uid="{9C913A78-8979-44C2-95EE-6EBD23C83DB0}"/>
    <hyperlink ref="J440" r:id="rId90" xr:uid="{A3B52EA7-69B7-4047-A072-F1F0D9457465}"/>
    <hyperlink ref="J438" r:id="rId91" xr:uid="{3814435B-AA34-4C3F-8C8D-24594D226B01}"/>
    <hyperlink ref="J451" r:id="rId92" xr:uid="{E6AF36E0-6E13-400E-ADA5-FE61D3D7013A}"/>
    <hyperlink ref="J452" r:id="rId93" xr:uid="{3366A137-97CC-4966-9D50-9C3321D30778}"/>
    <hyperlink ref="J446" r:id="rId94" xr:uid="{3B3EE811-7282-44AE-9ACE-415F32B9AD9F}"/>
    <hyperlink ref="J454" r:id="rId95" xr:uid="{A84699F5-7D67-4374-A55F-958F1DF231A4}"/>
    <hyperlink ref="J445" r:id="rId96" xr:uid="{068B4324-8003-42FD-BB3C-4F74389F5120}"/>
    <hyperlink ref="J453" r:id="rId97" xr:uid="{A3FA4C31-5B52-4FC8-9151-19615E6737BB}"/>
    <hyperlink ref="J450" r:id="rId98" xr:uid="{9A8CC965-5CB5-41C4-928A-FDE9A5F6AB80}"/>
    <hyperlink ref="J448" r:id="rId99" xr:uid="{DB70154B-C0F0-4DA8-A9FE-BA5D54487C48}"/>
    <hyperlink ref="J449" r:id="rId100" xr:uid="{4AAC655F-6619-4CCA-A257-636D3332CDC5}"/>
    <hyperlink ref="J457" r:id="rId101" xr:uid="{3A4D89DC-40F5-477C-8A96-87BAABF449A3}"/>
    <hyperlink ref="J456" r:id="rId102" xr:uid="{9BDD7DFE-B177-48AE-BA3E-92851D694E7A}"/>
    <hyperlink ref="J458" r:id="rId103" xr:uid="{8EE09B9A-ADF4-4788-B6D7-861D05B35636}"/>
    <hyperlink ref="J455" r:id="rId104" xr:uid="{9F626F6B-6B40-41C0-9C87-C7FC625866DB}"/>
    <hyperlink ref="J459" r:id="rId105" xr:uid="{C21E6AD5-56C3-4F8B-8726-1F5E23F170BE}"/>
    <hyperlink ref="J460" r:id="rId106" xr:uid="{BCA32CC6-2E3E-475D-80AF-76297EF2A34D}"/>
    <hyperlink ref="J461" r:id="rId107" xr:uid="{CBAC3E37-0D14-4B81-986E-E5E85A9AED75}"/>
    <hyperlink ref="J465" r:id="rId108" xr:uid="{AA02F027-55BB-41EA-9661-79F08E3D6D2C}"/>
    <hyperlink ref="J463" r:id="rId109" xr:uid="{C02128D9-1D02-43C5-8ED1-DE28F19F94A9}"/>
    <hyperlink ref="J464" r:id="rId110" xr:uid="{9A440A88-2444-4E5D-A074-43C3FB0080CF}"/>
    <hyperlink ref="J467" r:id="rId111" xr:uid="{62CC9141-9704-45AB-AEC6-4E8AC2350FE9}"/>
    <hyperlink ref="J466" r:id="rId112" xr:uid="{C8CC1445-8181-43EC-BDC8-1488C025E08B}"/>
    <hyperlink ref="J472" r:id="rId113" xr:uid="{259D0601-8418-4A52-9962-DFE4BFD275AE}"/>
    <hyperlink ref="J441" r:id="rId114" xr:uid="{9555C76B-8ED2-4452-B340-35E70CED5819}"/>
    <hyperlink ref="J473" r:id="rId115" xr:uid="{96E43177-9729-4D9C-B1CB-4B5D6F0C6792}"/>
    <hyperlink ref="J471" r:id="rId116" xr:uid="{E1D8622A-DEAE-4F49-BE31-521ED88E859A}"/>
    <hyperlink ref="J469" r:id="rId117" xr:uid="{EE30274A-3FF7-4A61-A2E0-0955B707588A}"/>
    <hyperlink ref="J474" r:id="rId118" xr:uid="{23785081-BB1E-4A13-9F45-B2B3115C92BA}"/>
    <hyperlink ref="J475" r:id="rId119" xr:uid="{C5CD159D-9B72-4E2E-B608-F7C3CD93CC88}"/>
    <hyperlink ref="J443" r:id="rId120" xr:uid="{BAB1F088-582E-486E-BD8A-48F8BD81DA10}"/>
    <hyperlink ref="J365" r:id="rId121" xr:uid="{C200663A-802C-40B2-A88C-387EA308A645}"/>
    <hyperlink ref="J482" r:id="rId122" xr:uid="{8FEF7E3D-A404-4DB4-AEA4-087531CFD9C7}"/>
    <hyperlink ref="J477" r:id="rId123" xr:uid="{87596478-3C5A-46CD-B640-0C87EAFFC7C6}"/>
    <hyperlink ref="J480" r:id="rId124" xr:uid="{4DC74DC1-5E36-4F7A-8B64-5DE79E92C0B4}"/>
    <hyperlink ref="J479" r:id="rId125" xr:uid="{CF9BD691-C6AE-477C-A209-5C3C0EA54585}"/>
    <hyperlink ref="J484" r:id="rId126" xr:uid="{563EF264-DF54-43C6-98B6-B804524267F2}"/>
    <hyperlink ref="J485" r:id="rId127" xr:uid="{A3C917B7-365E-43F3-BD83-756459929AA5}"/>
    <hyperlink ref="J488" r:id="rId128" xr:uid="{D978FABA-BBE0-4B89-80AD-BB7607A02341}"/>
    <hyperlink ref="J481" r:id="rId129" xr:uid="{11D670D7-D5CF-43CF-B241-D139A68E1FBE}"/>
    <hyperlink ref="J483" r:id="rId130" xr:uid="{828A0985-D4D2-496B-AF31-2D600FD57E2A}"/>
    <hyperlink ref="J487" r:id="rId131" xr:uid="{318848BC-3864-4A3A-AB3D-39156AA8B679}"/>
    <hyperlink ref="J486" r:id="rId132" xr:uid="{C7D53A7D-D3E4-4441-86B3-414BF5789BCD}"/>
    <hyperlink ref="J476" r:id="rId133" xr:uid="{1E2E41E3-61BD-4D62-9FE3-10A44F2A01E3}"/>
    <hyperlink ref="J478" r:id="rId134" xr:uid="{E5E2BD2E-A273-4C8C-A142-66012B19C439}"/>
    <hyperlink ref="J491" r:id="rId135" xr:uid="{4CC9905D-7F6D-4A43-9800-74805ABB47BF}"/>
    <hyperlink ref="J490" r:id="rId136" xr:uid="{00D908C7-0F44-4F95-9A84-A0E2A2B0C821}"/>
    <hyperlink ref="J417" r:id="rId137" xr:uid="{241021E5-2243-458A-BF00-71D20CB91C6E}"/>
    <hyperlink ref="J468" r:id="rId138" xr:uid="{186294ED-A7A2-4AFB-BD85-1249FE0B67CE}"/>
    <hyperlink ref="J489" r:id="rId139" xr:uid="{AFCAF140-0D8D-420C-9D13-2C57B03DABCA}"/>
    <hyperlink ref="J492" r:id="rId140" xr:uid="{16419D7B-5757-491E-9E2F-3A602DFD3F4C}"/>
    <hyperlink ref="J493" r:id="rId141" xr:uid="{53BFCAC6-8FD2-4490-B9C8-AF1144BE6F7F}"/>
    <hyperlink ref="J494" r:id="rId142" xr:uid="{55529017-4433-472E-9B9A-A5FF57302EF3}"/>
    <hyperlink ref="J495" r:id="rId143" xr:uid="{D4224C10-30F9-4653-9E87-2E72CA64B90C}"/>
    <hyperlink ref="J496" r:id="rId144" xr:uid="{186DAC48-1B02-4728-936C-C7FB8E286E26}"/>
    <hyperlink ref="J497" r:id="rId145" xr:uid="{D6D98727-D4E7-46BD-9BED-DD78A60BC98C}"/>
    <hyperlink ref="J498" r:id="rId146" xr:uid="{0176F43E-D6F2-4090-AC55-584DD5DDC33D}"/>
    <hyperlink ref="J499" r:id="rId147" xr:uid="{08E861C5-CFF5-4A71-8C38-83B6A6013463}"/>
    <hyperlink ref="J500" r:id="rId148" xr:uid="{DE106816-A68A-4380-B484-D12DBAC92A71}"/>
    <hyperlink ref="J502" r:id="rId149" xr:uid="{BA3B1DC7-1543-4D9A-8B7A-C1A57C622147}"/>
    <hyperlink ref="J503" r:id="rId150" xr:uid="{4C38E4C9-6B57-48BA-8011-DD06A029DCBF}"/>
    <hyperlink ref="J501" r:id="rId151" xr:uid="{F3D56B94-9DFF-4EB9-8C8F-B5E8E7273400}"/>
    <hyperlink ref="J504" r:id="rId152" xr:uid="{D8471C05-E895-43CE-AD23-B8DDED23BAC0}"/>
    <hyperlink ref="J508" r:id="rId153" xr:uid="{58D4812B-26D7-4D61-9EBC-58F6972D2B05}"/>
    <hyperlink ref="J509" r:id="rId154" xr:uid="{CF9E2FF1-5176-454C-B75E-5069F078844F}"/>
    <hyperlink ref="J510" r:id="rId155" xr:uid="{D51E2480-15D1-46EB-AD18-B0770F64BBB2}"/>
    <hyperlink ref="J512" r:id="rId156" xr:uid="{5114C95D-10B1-462C-BC17-8E3E0D37B472}"/>
    <hyperlink ref="J511" r:id="rId157" xr:uid="{ED05A383-37B9-4050-A326-7A97793EF57F}"/>
    <hyperlink ref="J513" r:id="rId158" xr:uid="{C408613A-19B1-458F-A6EA-41418152E8F2}"/>
    <hyperlink ref="J519" r:id="rId159" xr:uid="{E457F79C-B632-42B6-B18F-CC88EBDA50F2}"/>
    <hyperlink ref="J514" r:id="rId160" xr:uid="{4433C1BB-DB77-4F75-9D9D-5C52D6ECD4A7}"/>
    <hyperlink ref="J521" r:id="rId161" xr:uid="{33DF67D9-6B51-40D2-A2D0-FA7F377916E7}"/>
    <hyperlink ref="J520" r:id="rId162" xr:uid="{AE7AAD01-6B1C-4976-9F66-95B2431AB725}"/>
    <hyperlink ref="J515" r:id="rId163" xr:uid="{AE2E625C-1147-440F-9DC3-4070FF86CC42}"/>
    <hyperlink ref="J516" r:id="rId164" xr:uid="{690108C7-A9F5-44BC-B31B-09C443DF9A5A}"/>
    <hyperlink ref="J517" r:id="rId165" xr:uid="{4ACD1994-7F8B-4B4F-80B6-462668F68231}"/>
    <hyperlink ref="J522" r:id="rId166" xr:uid="{C9FF8A74-8740-47EE-815F-035037A9C67A}"/>
    <hyperlink ref="J518" r:id="rId167" xr:uid="{D2B86F06-1E04-4DF7-A285-8B06DA0515FF}"/>
    <hyperlink ref="J525" r:id="rId168" xr:uid="{910ACC72-CBCC-4461-B53C-602B1198A27C}"/>
    <hyperlink ref="J523" r:id="rId169" xr:uid="{FB8BF180-9867-41A5-B55C-F6E965B2748C}"/>
    <hyperlink ref="J526" r:id="rId170" xr:uid="{A74633CB-8D0E-4FA7-BBE0-6933C405CC50}"/>
    <hyperlink ref="J524" r:id="rId171" xr:uid="{4FC12FA7-257C-4EE4-A989-153BDDC10FE0}"/>
    <hyperlink ref="J528" r:id="rId172" xr:uid="{05BFB79D-88C3-434E-8348-EE868F4204CC}"/>
    <hyperlink ref="J527" r:id="rId173" xr:uid="{EAF2576C-EE3E-45C4-A104-A5BD00F275EB}"/>
    <hyperlink ref="J506" r:id="rId174" xr:uid="{CE11E329-04FA-4AB7-A628-C845E2EC8A21}"/>
    <hyperlink ref="J507" r:id="rId175" xr:uid="{D77A56EE-8C4A-40A6-930A-2B27E0BBD338}"/>
    <hyperlink ref="J505" r:id="rId176" xr:uid="{B217BD91-8C7D-411C-9BA8-8ED4752833F6}"/>
    <hyperlink ref="J534" r:id="rId177" xr:uid="{EECDB7A1-1E44-4EFB-80E9-A151A629FA53}"/>
    <hyperlink ref="J530" r:id="rId178" xr:uid="{F0095F2B-C3C5-4A85-B911-FE3A44D551C9}"/>
    <hyperlink ref="J529" r:id="rId179" xr:uid="{3C1D2E39-540F-4D66-9A23-AB5AF43E2850}"/>
    <hyperlink ref="J535" r:id="rId180" xr:uid="{ED5B87C5-28AD-431D-AEA0-C115193EC4C7}"/>
    <hyperlink ref="J532" r:id="rId181" xr:uid="{510F161A-EC42-4399-BB4C-C46D3FED22CE}"/>
    <hyperlink ref="J533" r:id="rId182" xr:uid="{C48A298F-7A33-42B5-8829-5F829988BBAE}"/>
    <hyperlink ref="J536" r:id="rId183" xr:uid="{6B1582D6-3AD5-41A6-B621-C72057CD8FAA}"/>
    <hyperlink ref="J537" r:id="rId184" xr:uid="{E3ADB653-FF54-41DA-BC2B-04541C1BB837}"/>
    <hyperlink ref="J538" r:id="rId185" xr:uid="{8BF58B85-326F-43B4-9F55-B9C58779A828}"/>
    <hyperlink ref="J545" r:id="rId186" xr:uid="{9B28EEEF-5CF3-461E-ACCE-FF5EE9D08EA4}"/>
    <hyperlink ref="J542" r:id="rId187" xr:uid="{F5CDF313-8925-467A-BD38-94EBDA2F468C}"/>
    <hyperlink ref="J543" r:id="rId188" xr:uid="{18F74669-284D-4E98-99C5-E131E06F92F5}"/>
    <hyperlink ref="J544" r:id="rId189" xr:uid="{D7C81EB0-2E92-428F-ABA6-4968B5AD68AA}"/>
    <hyperlink ref="J540" r:id="rId190" xr:uid="{4CF81870-237B-40B8-8BCA-9343EF48295F}"/>
    <hyperlink ref="J541" r:id="rId191" xr:uid="{F851572D-277E-407B-B346-7E71AF421CF6}"/>
    <hyperlink ref="J539" r:id="rId192" xr:uid="{5324CCE9-3E80-4355-99F8-45998AE3F196}"/>
    <hyperlink ref="J447" r:id="rId193" xr:uid="{DCC7F181-3F36-41B0-AEC1-86F1BCD20012}"/>
    <hyperlink ref="J462" r:id="rId194" xr:uid="{E2C298B9-A25C-4FC8-8B9C-D61870FEDB8C}"/>
    <hyperlink ref="J470" r:id="rId195" xr:uid="{C0D8AA19-B588-432B-B55B-88357F668528}"/>
    <hyperlink ref="J553" r:id="rId196" xr:uid="{919F7884-AAEB-440D-A586-968A713590EE}"/>
    <hyperlink ref="J550" r:id="rId197" xr:uid="{9CDCF918-C4AE-40E5-99C9-4019D1373C2B}"/>
    <hyperlink ref="J554" r:id="rId198" xr:uid="{2FE84444-5200-425C-9062-2EC0BB4D3A52}"/>
    <hyperlink ref="J556" r:id="rId199" xr:uid="{2FAEDD09-B6C7-46F5-A8AB-0F5147B9C7E0}"/>
    <hyperlink ref="J555" r:id="rId200" xr:uid="{70050F3F-B6A5-4B94-B930-390C5FB0B6EE}"/>
    <hyperlink ref="J558" r:id="rId201" xr:uid="{1F0B2E10-25A7-48AB-93C2-D6E17590959F}"/>
    <hyperlink ref="J559" r:id="rId202" xr:uid="{DC9F6EEE-699C-47D7-828C-BD257115BD01}"/>
    <hyperlink ref="J557" r:id="rId203" xr:uid="{B8EE3569-9866-4F42-A120-9C89316ACC24}"/>
    <hyperlink ref="J562" r:id="rId204" xr:uid="{02757B24-A979-43B5-B0A2-2039D2922246}"/>
    <hyperlink ref="J560" r:id="rId205" xr:uid="{9D548544-DD80-430E-B0E3-C56B207C794A}"/>
    <hyperlink ref="J561" r:id="rId206" xr:uid="{9F1926FB-AFC6-4D4A-BFCC-BEE9685ADF0E}"/>
    <hyperlink ref="J563" r:id="rId207" xr:uid="{11F4E998-E9B1-41B5-BAFE-E50D07280780}"/>
    <hyperlink ref="J566" r:id="rId208" xr:uid="{223C21C0-ED2A-4FCF-99C6-7FE24CD4FB46}"/>
    <hyperlink ref="J565" r:id="rId209" xr:uid="{571D5E9C-E84A-4412-9E9D-3F39E31100CB}"/>
    <hyperlink ref="J564" r:id="rId210" xr:uid="{0D7EAD3D-0D0C-4DAF-8025-841CE9317419}"/>
    <hyperlink ref="J569" r:id="rId211" xr:uid="{FA01529E-A5CB-4F6C-A858-916984EC5252}"/>
    <hyperlink ref="J570" r:id="rId212" xr:uid="{D159C7AF-8CBD-454B-8564-AC8FAA7F7383}"/>
    <hyperlink ref="J574" r:id="rId213" xr:uid="{061213DF-9BCD-433C-BA2E-8C6A4273FA5F}"/>
    <hyperlink ref="J575" r:id="rId214" xr:uid="{64C3E972-46C4-436E-9AE9-75555E90FD81}"/>
    <hyperlink ref="J577" r:id="rId215" xr:uid="{51E0BCFD-F5C1-4538-9E81-FDFE92170B0F}"/>
    <hyperlink ref="J567" r:id="rId216" xr:uid="{0814BDD9-A727-48AF-BA55-00F4061E4D8C}"/>
    <hyperlink ref="J573" r:id="rId217" xr:uid="{D9A8CDFE-4C64-427F-AB1A-A8612EA97E46}"/>
    <hyperlink ref="J568" r:id="rId218" xr:uid="{76AD178E-D1EE-490D-A1CD-FB27D6F8EA14}"/>
    <hyperlink ref="J576" r:id="rId219" xr:uid="{1ED525EC-C2D4-4F17-BFD9-784E0B907A2E}"/>
    <hyperlink ref="J580" r:id="rId220" xr:uid="{B9C01447-C4DB-43D9-A25D-FDEF4BFD87A0}"/>
    <hyperlink ref="J578" r:id="rId221" xr:uid="{0CAA2C47-336B-4F56-A1BB-276570D1EED8}"/>
    <hyperlink ref="J579" r:id="rId222" xr:uid="{90BB6855-F634-4F74-9181-5600208ECBEA}"/>
    <hyperlink ref="J581" r:id="rId223" xr:uid="{E5DF0255-D690-4A46-9B10-ED89B53B0C3F}"/>
    <hyperlink ref="J582" r:id="rId224" xr:uid="{FB2A2DAA-D000-43C7-9AAD-62316E42CBA3}"/>
    <hyperlink ref="J572" r:id="rId225" xr:uid="{9DE4DCEC-B40F-4D42-8C5B-3ADF64D49B50}"/>
    <hyperlink ref="J571" r:id="rId226" xr:uid="{113B1B54-B791-4CC9-B808-80C53A26DBD6}"/>
    <hyperlink ref="J584" r:id="rId227" xr:uid="{5AEA90FD-CB3D-4BF4-8046-D79DFB05422A}"/>
    <hyperlink ref="J585" r:id="rId228" xr:uid="{17EBC2AA-C537-483E-8B20-74CC3304A4BB}"/>
    <hyperlink ref="J583" r:id="rId229" xr:uid="{A6232707-321D-450E-8578-3210D92FF523}"/>
    <hyperlink ref="J589" r:id="rId230" xr:uid="{72439C64-4702-4A3C-B40D-0C99A8AD632C}"/>
    <hyperlink ref="J586" r:id="rId231" xr:uid="{3D44EC6C-DF28-4ADA-9CFC-5908206E10BB}"/>
    <hyperlink ref="J591" r:id="rId232" xr:uid="{B9492199-7DBC-4C15-B60C-FCCCF8859DE5}"/>
    <hyperlink ref="J592" r:id="rId233" xr:uid="{39D17ECA-5815-4D6A-987E-EE6C5B8244D6}"/>
    <hyperlink ref="J593" r:id="rId234" xr:uid="{9D40259E-C41F-405B-8193-ECD8E703C997}"/>
    <hyperlink ref="J595" r:id="rId235" xr:uid="{11602AD0-E31F-463F-83F2-9B527BDDE2E5}"/>
    <hyperlink ref="J596" r:id="rId236" xr:uid="{8902B886-0022-4EC9-9E5E-B0713E109192}"/>
    <hyperlink ref="J546" r:id="rId237" xr:uid="{10ED6F13-04B6-4F99-91BC-6EA7938F8CA8}"/>
    <hyperlink ref="J549" r:id="rId238" xr:uid="{BE21E1BD-63B8-4796-ADD5-1592D9CA1F2C}"/>
    <hyperlink ref="J547" r:id="rId239" xr:uid="{43269619-5B1C-4C1A-A8BE-94F6DF4476ED}"/>
    <hyperlink ref="J548" r:id="rId240" xr:uid="{A94995F5-CEF2-44C4-8F06-F518F1CD36CC}"/>
    <hyperlink ref="J551" r:id="rId241" xr:uid="{370D376A-937D-4E52-B737-8055DC1C4F24}"/>
    <hyperlink ref="J552" r:id="rId242" xr:uid="{11038D7F-200C-4001-9D1A-C7DF80B3324E}"/>
    <hyperlink ref="J587" r:id="rId243" xr:uid="{3C844BFF-76EA-4EAC-9674-91642277CDC0}"/>
    <hyperlink ref="J588" r:id="rId244" xr:uid="{7687B864-88A0-4BDA-9851-A7026913C89F}"/>
    <hyperlink ref="J590" r:id="rId245" xr:uid="{B1C0968E-4676-4D63-A187-0CEBB5FE40EB}"/>
    <hyperlink ref="J594" r:id="rId246" xr:uid="{C96640FA-7B41-4744-9962-5F8903258681}"/>
    <hyperlink ref="J599" r:id="rId247" xr:uid="{3908F360-3142-4FBA-A8F4-530E35B3AD99}"/>
    <hyperlink ref="J597" r:id="rId248" xr:uid="{D77E5C69-CD59-4C7F-A53D-E1848DD4C2DC}"/>
    <hyperlink ref="J600" r:id="rId249" xr:uid="{DE402D15-E37A-4A44-923C-448C5A6297D1}"/>
    <hyperlink ref="J602" r:id="rId250" xr:uid="{04E60CEB-6DB5-4C39-B5AD-56CAF0FF07C6}"/>
    <hyperlink ref="J598" r:id="rId251" xr:uid="{663A94B1-35FF-4426-A4FF-B9AC0AEC47A3}"/>
    <hyperlink ref="J606" r:id="rId252" xr:uid="{EB52DE25-26F9-4512-9B99-48C2BA58DC4A}"/>
    <hyperlink ref="J604" r:id="rId253" xr:uid="{FA3A1853-DA7D-4E56-B673-8AFA64736E8C}"/>
    <hyperlink ref="J603" r:id="rId254" xr:uid="{2A7E8FD3-3385-41AC-8C28-CF0322E5B538}"/>
    <hyperlink ref="J601" r:id="rId255" xr:uid="{0EE806E1-CF0C-4CCE-AED3-601DA3089DCA}"/>
    <hyperlink ref="J610" r:id="rId256" xr:uid="{98149B32-682F-4165-A1CE-61B58D22D6F1}"/>
    <hyperlink ref="J611" r:id="rId257" xr:uid="{E522B0BA-445B-4C3F-B4D6-8C80A8AF061F}"/>
    <hyperlink ref="J613" r:id="rId258" xr:uid="{BDF1A8B8-0688-4693-9700-49E754F9E86E}"/>
    <hyperlink ref="J608" r:id="rId259" xr:uid="{F78F8BFA-7A6E-43D0-8B77-3E6571598294}"/>
    <hyperlink ref="J609" r:id="rId260" xr:uid="{06957AEC-E288-45AE-AD71-99B8AEB6BB05}"/>
    <hyperlink ref="J614" r:id="rId261" xr:uid="{E20B18B3-7E32-4DD6-A009-B940E7C39440}"/>
    <hyperlink ref="J615" r:id="rId262" xr:uid="{AB44B5DB-F50D-4CDF-A39C-5EF248039061}"/>
    <hyperlink ref="J617" r:id="rId263" xr:uid="{988A4346-9B8D-4E97-A279-FC415CC929B6}"/>
    <hyperlink ref="J616" r:id="rId264" xr:uid="{02F018C8-772E-46A5-988F-A3AB4E273435}"/>
    <hyperlink ref="J605" r:id="rId265" xr:uid="{8FB5E6AC-F75E-4034-B8A7-965389A85ED0}"/>
    <hyperlink ref="J612" r:id="rId266" xr:uid="{FB38027F-D619-49A0-AA07-C0A7DC75FCC4}"/>
    <hyperlink ref="J618" r:id="rId267" xr:uid="{69873E7E-ECE8-4229-8F76-D0458FC9CABE}"/>
    <hyperlink ref="J619" r:id="rId268" xr:uid="{A5DC39AD-CD07-4199-B608-11DFE3C97BD1}"/>
    <hyperlink ref="J620" r:id="rId269" xr:uid="{3D76F766-EF31-4317-9F22-7D71DB25D180}"/>
    <hyperlink ref="J621" r:id="rId270" xr:uid="{CACEE1A5-C509-4B30-942D-BA832F7CC238}"/>
    <hyperlink ref="J622" r:id="rId271" xr:uid="{7BFDCFBC-78FE-42A2-932C-F3CC7B1F37F6}"/>
    <hyperlink ref="J623" r:id="rId272" xr:uid="{64B9C0BE-C6FF-43BD-89C6-5218F8E686D9}"/>
    <hyperlink ref="J629" r:id="rId273" xr:uid="{2B05C283-65DF-423B-AC81-8A23AB42CED1}"/>
    <hyperlink ref="J624" r:id="rId274" xr:uid="{F3EA2591-C630-4EB4-80EC-EF1F30FA663A}"/>
    <hyperlink ref="J630" r:id="rId275" xr:uid="{0B4F7382-0B80-4362-967F-11C275255546}"/>
    <hyperlink ref="J626" r:id="rId276" xr:uid="{7EB22F33-8011-48CF-927C-F7F00781B8D0}"/>
    <hyperlink ref="J627" r:id="rId277" xr:uid="{16995024-807B-47C9-B63D-97F1735D0E0A}"/>
    <hyperlink ref="J625" r:id="rId278" xr:uid="{97714F8C-70A9-42DB-A138-90BE3BBE01BE}"/>
    <hyperlink ref="J628" r:id="rId279" xr:uid="{3DFB0787-095C-48CD-B9EE-2DF5FB2484BA}"/>
    <hyperlink ref="J636" r:id="rId280" xr:uid="{B4895CE6-1097-47ED-807F-D796DAAA7373}"/>
    <hyperlink ref="J633" r:id="rId281" xr:uid="{6FCD50DE-4B61-40D6-8BF9-EFC07C83BAF8}"/>
    <hyperlink ref="J631" r:id="rId282" xr:uid="{1FE8C729-BA83-4B19-9DA1-458A715A41D1}"/>
    <hyperlink ref="J632" r:id="rId283" xr:uid="{78943D35-308A-495A-8982-3C0CC19A9C17}"/>
    <hyperlink ref="J634" r:id="rId284" xr:uid="{1C35CB65-0F3A-4DCC-89DA-FE4660BA1551}"/>
    <hyperlink ref="J637" r:id="rId285" display="WF1794662" xr:uid="{61529078-0EB8-4D45-B6F7-B2FB1CED86C4}"/>
    <hyperlink ref="J635" r:id="rId286" display="https://oneshuttle.se.com/WF_PAGES/WorkFlowTaskUpdate.aspx?v1=WF1794098" xr:uid="{80B42E6A-5E92-49E8-924B-C497BEF09F6D}"/>
    <hyperlink ref="J640" r:id="rId287" xr:uid="{0807B9C3-58FF-48C8-B7D4-395159D21E60}"/>
    <hyperlink ref="J639" r:id="rId288" xr:uid="{49A13489-1869-43BA-BF0E-9A43AE00EA80}"/>
    <hyperlink ref="J641" r:id="rId289" xr:uid="{8D00CD99-C157-424A-A854-FBD1ED8E3822}"/>
    <hyperlink ref="J642" r:id="rId290" xr:uid="{99B4289C-D1B1-470F-8179-C0CDEA6BC528}"/>
    <hyperlink ref="J644" r:id="rId291" xr:uid="{2DD010D6-CF22-417B-9E85-9F19E75BE920}"/>
    <hyperlink ref="J643" r:id="rId292" xr:uid="{A6571E0E-A781-413E-B0EC-2669ACB1F810}"/>
    <hyperlink ref="J638" r:id="rId293" xr:uid="{491C28AD-D009-40E1-AC27-25B8411592D3}"/>
    <hyperlink ref="J648" r:id="rId294" xr:uid="{5097E8F7-75A0-4790-AF5D-1F68C7B6ECBC}"/>
    <hyperlink ref="J646" r:id="rId295" xr:uid="{E64ADC83-B4C2-4836-B82B-A73B06AE798D}"/>
    <hyperlink ref="J647" r:id="rId296" xr:uid="{F27E1EF4-742E-40B1-8A93-86E150F5CE78}"/>
    <hyperlink ref="J645" r:id="rId297" xr:uid="{C08669C9-EA28-414E-A073-AD6775EAE1AF}"/>
    <hyperlink ref="J649" r:id="rId298" xr:uid="{3F1C4032-30A5-49D6-94DF-FD09AD40BE38}"/>
    <hyperlink ref="J651" r:id="rId299" xr:uid="{F927553E-1C49-420B-B275-27638FD157E1}"/>
    <hyperlink ref="J650" r:id="rId300" xr:uid="{39A3C244-56E3-440C-92BB-D65E54B47568}"/>
    <hyperlink ref="J652" r:id="rId301" xr:uid="{93F62F04-E930-4094-B5CC-861E49BC1F46}"/>
    <hyperlink ref="J653" r:id="rId302" xr:uid="{AEF97685-95BB-4061-ABFF-A96F14A333AA}"/>
    <hyperlink ref="J654" r:id="rId303" xr:uid="{7156E421-E667-4D3F-A47B-C058752CDAC9}"/>
    <hyperlink ref="J658" r:id="rId304" xr:uid="{FF692561-87D2-4D69-8A6A-D460F077D396}"/>
    <hyperlink ref="J655" r:id="rId305" xr:uid="{E1BE444F-1685-4466-9691-66B0D41CAEC1}"/>
    <hyperlink ref="J656" r:id="rId306" xr:uid="{913444EB-5F74-4022-8F4B-E82A800B3EED}"/>
    <hyperlink ref="J657" r:id="rId307" xr:uid="{E728878E-3156-4368-886D-FBD708B2D14F}"/>
    <hyperlink ref="J683" r:id="rId308" xr:uid="{08365576-DEFF-4609-A0C0-BDE38243DA66}"/>
    <hyperlink ref="J659" r:id="rId309" xr:uid="{138E1390-72B7-4D65-A762-A617CDF59C0D}"/>
    <hyperlink ref="J662" r:id="rId310" display="WF1799830" xr:uid="{FADB76FF-DB30-48CF-95EB-1CBCBE2A8A19}"/>
    <hyperlink ref="J663" r:id="rId311" xr:uid="{F34509BC-766F-46CB-AE4D-685A65131429}"/>
    <hyperlink ref="J660" r:id="rId312" xr:uid="{DBCB31CF-B3AB-423F-8BCF-91BD69CFB3FD}"/>
    <hyperlink ref="J661" r:id="rId313" xr:uid="{D7684424-9CE2-4B5D-9F95-CDDAC0511AC4}"/>
    <hyperlink ref="J664" r:id="rId314" xr:uid="{D5155B4A-3C54-4CF3-89A7-E564114955CE}"/>
    <hyperlink ref="J667" r:id="rId315" xr:uid="{22EB07A1-219E-46EB-B743-D3920254D272}"/>
    <hyperlink ref="J666" r:id="rId316" xr:uid="{E7749F57-74E8-4153-B1DB-DFE823E2106A}"/>
    <hyperlink ref="J665" r:id="rId317" xr:uid="{738A59EC-3CF6-475B-914F-B32FE45489FB}"/>
    <hyperlink ref="J668" r:id="rId318" xr:uid="{DB1EC9C9-C903-4FD5-AE74-50ACE592DB46}"/>
    <hyperlink ref="J669" r:id="rId319" xr:uid="{6A37E1E9-0AE2-4FBC-8250-A1C76480E731}"/>
    <hyperlink ref="J673" r:id="rId320" xr:uid="{502FF345-54F5-49A9-8100-5F9F5D9E79FC}"/>
    <hyperlink ref="J670" r:id="rId321" xr:uid="{87101DDA-7E4B-46BB-A6D9-FEC2725934C9}"/>
    <hyperlink ref="J671" r:id="rId322" xr:uid="{E5880411-F103-43E6-9612-B027FADB3050}"/>
    <hyperlink ref="J672" r:id="rId323" xr:uid="{06BD0F8D-2691-4690-A6C9-F4D75F1D9DCB}"/>
    <hyperlink ref="J674" r:id="rId324" xr:uid="{0A5FC844-6972-4A63-803B-BB311A9BB1BA}"/>
    <hyperlink ref="J675" r:id="rId325" xr:uid="{62675D70-0D5A-4C95-A0F7-62C581B4EC6A}"/>
    <hyperlink ref="J676" r:id="rId326" xr:uid="{F6BA0FBE-DBFE-4B21-AC0B-07B0106CF85D}"/>
    <hyperlink ref="J677" r:id="rId327" xr:uid="{A62BAAB2-54AE-4783-8D0A-F9AFB797983B}"/>
    <hyperlink ref="J679" r:id="rId328" xr:uid="{892393ED-F0B8-472A-9FE1-D9D59CCF722D}"/>
    <hyperlink ref="J682" r:id="rId329" xr:uid="{7F8B36CB-C8A7-4533-B10B-2457722D0800}"/>
    <hyperlink ref="J680" r:id="rId330" xr:uid="{90FE363E-54ED-48A3-AE0C-C27A5817FA15}"/>
    <hyperlink ref="J681" r:id="rId331" xr:uid="{52E3C0B2-43B5-4A7C-98D6-6E256CFB0238}"/>
    <hyperlink ref="J684" r:id="rId332" xr:uid="{F243FA80-EA26-44EA-BB01-7F03592D0C49}"/>
    <hyperlink ref="J685" r:id="rId333" xr:uid="{25AD07F0-86E1-442F-9E66-917120591CEE}"/>
    <hyperlink ref="J686" r:id="rId334" xr:uid="{747F85D4-99BC-489B-9D31-A70201905D77}"/>
    <hyperlink ref="J687" r:id="rId335" xr:uid="{52C2625A-0CD4-4827-B59C-49C503FC9C8F}"/>
    <hyperlink ref="J688" r:id="rId336" xr:uid="{DEE6DF67-7153-4E66-9EA5-60A4D9D63137}"/>
    <hyperlink ref="J689" r:id="rId337" xr:uid="{C1716E70-A120-4938-B9BD-948DA3331767}"/>
    <hyperlink ref="J692" r:id="rId338" xr:uid="{D97EA9E1-269A-44C2-9391-DB5F41AD1B34}"/>
    <hyperlink ref="J690" r:id="rId339" xr:uid="{0D3D316E-633C-4AE1-A599-AE14E67DA0D6}"/>
    <hyperlink ref="J691" r:id="rId340" xr:uid="{EFE094EC-AFB4-4884-B746-8A1998455E34}"/>
    <hyperlink ref="J693" r:id="rId341" xr:uid="{06C43059-7CC9-4B47-BDE2-3F44080AF57D}"/>
    <hyperlink ref="J694" r:id="rId342" xr:uid="{854D3A99-E522-4190-BFF1-6F35804CEC32}"/>
    <hyperlink ref="J678" r:id="rId343" xr:uid="{F4728162-DD56-4FDA-81A5-FB787B36AF93}"/>
    <hyperlink ref="J697" r:id="rId344" xr:uid="{7DA1C370-0CB7-4242-A921-EDF14478D865}"/>
    <hyperlink ref="J696" r:id="rId345" xr:uid="{954A92D1-A14C-405B-A173-FF2EC6AEF5A1}"/>
    <hyperlink ref="J607" r:id="rId346" xr:uid="{196CFF6F-3592-4365-9C37-CA39024FBD5C}"/>
    <hyperlink ref="J699" r:id="rId347" xr:uid="{2ED6BC9C-398C-4D4F-817D-DED9F8439E12}"/>
    <hyperlink ref="J700" r:id="rId348" xr:uid="{40FD495E-8BA5-4175-9E92-01357CB8B508}"/>
    <hyperlink ref="J701" r:id="rId349" xr:uid="{9AB46BE0-1688-42E2-81E6-8C3CF65957B2}"/>
    <hyperlink ref="J698" r:id="rId350" xr:uid="{6398D7FE-D0D4-476D-896E-25BDE3D071E5}"/>
    <hyperlink ref="J695" r:id="rId351" xr:uid="{3168E327-EDD7-48C7-B551-A8EB95860CDE}"/>
    <hyperlink ref="J702" r:id="rId352" xr:uid="{D6447D9F-EDE0-4338-875E-F16EC3AE3199}"/>
    <hyperlink ref="J703" r:id="rId353" xr:uid="{4E545183-4DB2-4F16-8DA4-925026EE1E27}"/>
    <hyperlink ref="J704" r:id="rId354" xr:uid="{23EC0090-32AB-4464-8178-2B66D81F4655}"/>
    <hyperlink ref="J706" r:id="rId355" xr:uid="{C91F24B6-D8C3-4983-8283-4AA3330E0456}"/>
    <hyperlink ref="J705" r:id="rId356" xr:uid="{B55EA5AC-391D-4C9A-B789-D0E85FC19D4A}"/>
    <hyperlink ref="J707" r:id="rId357" xr:uid="{DE949A2C-E81F-494B-AA4C-D7F7E879B6B4}"/>
    <hyperlink ref="J708" r:id="rId358" xr:uid="{ECE64BAF-6B9D-4D9E-9062-418B1B73FF59}"/>
    <hyperlink ref="J709" r:id="rId359" xr:uid="{04485B87-7863-41EC-8649-2BCA550EB319}"/>
    <hyperlink ref="J711" r:id="rId360" xr:uid="{CC1C3529-4CF3-4B81-83AA-79A1BAD41792}"/>
    <hyperlink ref="J714" r:id="rId361" xr:uid="{2A860215-E206-4FEB-A81F-A3604E5F3139}"/>
    <hyperlink ref="J715" r:id="rId362" xr:uid="{51F942B1-6DA3-4070-855A-F02FE013096B}"/>
    <hyperlink ref="J710" r:id="rId363" xr:uid="{8CE46AB2-B76A-4D28-9154-D27C0C3DF534}"/>
    <hyperlink ref="J712" r:id="rId364" xr:uid="{C4CB8D2C-E481-4956-89E0-F987DA0E836E}"/>
    <hyperlink ref="J713" r:id="rId365" xr:uid="{9B3014C7-7768-484E-9CE1-A7311143589C}"/>
    <hyperlink ref="J716" r:id="rId366" xr:uid="{02EFD43F-A955-4708-935A-A0DC320EB0D6}"/>
    <hyperlink ref="J718" r:id="rId367" xr:uid="{EE6973D0-96BD-4055-A95B-5DF941127340}"/>
    <hyperlink ref="J719" r:id="rId368" xr:uid="{2C899409-45D4-46FA-9D43-6107901C0A99}"/>
    <hyperlink ref="J720" r:id="rId369" xr:uid="{5CE9FA86-CA00-44D2-808C-181DC3035AD4}"/>
    <hyperlink ref="J721" r:id="rId370" xr:uid="{AE0DB27E-04EE-4979-B3C2-5F0AC9B6BDF9}"/>
    <hyperlink ref="J722" r:id="rId371" xr:uid="{8E8B4EF3-4CB0-4213-9E86-DE5AA278CC32}"/>
    <hyperlink ref="J723" r:id="rId372" xr:uid="{257F7C48-C239-4F20-8BF4-77CF0FD7BF33}"/>
    <hyperlink ref="J724" r:id="rId373" xr:uid="{AA968753-5BF8-4D31-9137-9824B50E6DBE}"/>
    <hyperlink ref="J725" r:id="rId374" xr:uid="{72B13749-9BA1-4186-A191-D984E6416008}"/>
    <hyperlink ref="J726" r:id="rId375" xr:uid="{D8FAC220-F040-45F3-9205-7DA517281BA8}"/>
    <hyperlink ref="J727" r:id="rId376" xr:uid="{D7ABB101-95DE-49DE-B89B-9D4332BE5A43}"/>
    <hyperlink ref="J731" r:id="rId377" xr:uid="{0AB90316-62FC-4AEE-A338-ED644E6ABC4F}"/>
    <hyperlink ref="J729" r:id="rId378" xr:uid="{E2CBE64B-1B0D-4C97-9148-31E70B46B248}"/>
    <hyperlink ref="J730" r:id="rId379" xr:uid="{5C36C9C8-B139-4E48-8875-9757559169B8}"/>
    <hyperlink ref="J732" r:id="rId380" xr:uid="{4CB7FEE9-3EBB-491A-ABBE-33045FA135E6}"/>
    <hyperlink ref="J733" r:id="rId381" xr:uid="{B5A2DD96-4B70-4F36-8E92-0B4F604278DF}"/>
    <hyperlink ref="J734" r:id="rId382" xr:uid="{B1688484-69EB-4416-B833-DDDE4137985A}"/>
    <hyperlink ref="J736" r:id="rId383" xr:uid="{2FBA5B4F-9579-49C9-AB56-10D2C5A9121B}"/>
    <hyperlink ref="J735" r:id="rId384" xr:uid="{2B199DD8-6EFB-440A-9861-3B615F60E34A}"/>
    <hyperlink ref="J737" r:id="rId385" xr:uid="{74CF0A3A-4DBA-4E90-A8D4-9CB9C6FEDC6F}"/>
    <hyperlink ref="J765" r:id="rId386" xr:uid="{10A479D1-A799-4DC5-8174-710416373C90}"/>
    <hyperlink ref="J738" r:id="rId387" xr:uid="{BCCBC6C8-0B70-4371-803A-11E890618D3B}"/>
    <hyperlink ref="J739" r:id="rId388" xr:uid="{1B8A1DEA-6484-49B4-8C99-71E829B6EACE}"/>
    <hyperlink ref="J742" r:id="rId389" xr:uid="{0F3D60F5-9C39-4A6B-ADB7-BEF6EA429C4B}"/>
    <hyperlink ref="J743" r:id="rId390" xr:uid="{5FB67E3F-7F17-4DA3-910F-ACB60160555B}"/>
    <hyperlink ref="J744" r:id="rId391" xr:uid="{DA9C9B7D-42F0-4B43-9B50-82682C7A55ED}"/>
    <hyperlink ref="J746" r:id="rId392" xr:uid="{DB5F2C1C-13DE-4BDB-AB6F-12468C0F5536}"/>
    <hyperlink ref="J745" r:id="rId393" xr:uid="{430967A1-09C6-4085-8BA5-C35C4C5B156F}"/>
    <hyperlink ref="J747" r:id="rId394" xr:uid="{C311E97A-44F3-4404-8E1D-0828FCAE932E}"/>
    <hyperlink ref="J728" r:id="rId395" xr:uid="{84B88A93-57D5-4527-9D0B-275F044CDBD7}"/>
    <hyperlink ref="J766" r:id="rId396" xr:uid="{BDEA6064-837D-440B-826F-7D0D13055A19}"/>
    <hyperlink ref="J768" r:id="rId397" xr:uid="{6F8FAC3E-00D0-4DF5-BA74-EB2D25CED98D}"/>
    <hyperlink ref="J749" r:id="rId398" xr:uid="{06AF87DD-42D2-4E38-AD0E-378F56FF0120}"/>
    <hyperlink ref="J770" r:id="rId399" xr:uid="{CE5A2963-A543-47BC-8C4F-14D3011EEEA4}"/>
    <hyperlink ref="J836" r:id="rId400" xr:uid="{ADABC495-1531-4F59-AD6F-682D152AFAB8}"/>
    <hyperlink ref="J753" r:id="rId401" xr:uid="{E03ED613-878C-4472-98F9-4065FD4479BE}"/>
    <hyperlink ref="J754" r:id="rId402" xr:uid="{BE42637C-73BC-4126-B64E-D81BB954FAFD}"/>
    <hyperlink ref="J756" r:id="rId403" xr:uid="{EB5FDD1C-8B41-4B64-BCCC-E185247476B3}"/>
    <hyperlink ref="J758" r:id="rId404" xr:uid="{A16CB363-7501-47B4-87B7-2AF0F980F3FD}"/>
    <hyperlink ref="J757" r:id="rId405" xr:uid="{0EE44DA0-1789-4E7E-BF91-31E32E7E5012}"/>
    <hyperlink ref="J759" r:id="rId406" xr:uid="{5E33C651-7AD8-4548-A476-4158147353AC}"/>
    <hyperlink ref="J760" r:id="rId407" xr:uid="{0FF49DD0-B14A-4DEB-84A8-6D92DF4028A7}"/>
    <hyperlink ref="J761" r:id="rId408" xr:uid="{5A4970C5-F4DD-49BB-BE7D-F6C8F3E39BD4}"/>
    <hyperlink ref="J748" r:id="rId409" xr:uid="{74AB4DDB-0064-4E6A-8268-723BB6E6A388}"/>
    <hyperlink ref="J755" r:id="rId410" xr:uid="{A80C2A8D-C65E-4BDC-92EA-848A66B21A32}"/>
    <hyperlink ref="J769" r:id="rId411" xr:uid="{823A3AE6-AAC1-4B45-B841-4BB33D1782B3}"/>
    <hyperlink ref="J787" r:id="rId412" xr:uid="{6A62CCD9-3F7D-4235-AA6F-61A4E145D45A}"/>
    <hyperlink ref="J788" r:id="rId413" xr:uid="{8F962645-95D6-4231-8263-50CDC3B0E036}"/>
    <hyperlink ref="J767" r:id="rId414" xr:uid="{D922D045-0923-422D-A7D9-79AB7E07CC8F}"/>
    <hyperlink ref="J771" r:id="rId415" xr:uid="{09B3F2AE-88AF-4176-9772-31935B4C5AC0}"/>
    <hyperlink ref="J790" r:id="rId416" xr:uid="{908E03CF-C5A2-40E2-B873-50CD4CF0C2DE}"/>
    <hyperlink ref="J772" r:id="rId417" xr:uid="{059493FD-5AE0-4D9E-986E-C06919D55612}"/>
    <hyperlink ref="J775" r:id="rId418" xr:uid="{49764A4F-F0B1-4EFC-A53E-354187B19363}"/>
    <hyperlink ref="J773" r:id="rId419" xr:uid="{8260BE35-28F1-44CE-B2E3-E14B896DE17C}"/>
    <hyperlink ref="J779" r:id="rId420" xr:uid="{7E896DD6-A45D-4933-A245-753FEAFDC827}"/>
    <hyperlink ref="J800" r:id="rId421" xr:uid="{A87D1F17-11B3-428F-BE22-27B25B3FBAF8}"/>
    <hyperlink ref="J783" r:id="rId422" xr:uid="{5B2D0EC7-86D7-49A9-A82F-31454D3BF5DA}"/>
    <hyperlink ref="J786" r:id="rId423" xr:uid="{4B37675E-E64D-42B4-9FEE-68B8E0F9B07A}"/>
    <hyperlink ref="J777" r:id="rId424" xr:uid="{70182B60-C177-40C4-8CD9-B7D5B980802B}"/>
    <hyperlink ref="J780" r:id="rId425" xr:uid="{7A80B7CF-C2C0-4C89-B668-1F24A94428C4}"/>
    <hyperlink ref="J776" r:id="rId426" xr:uid="{5A46217B-2EE2-49F3-8AC0-1BEEFFFFAC6F}"/>
    <hyperlink ref="J812" r:id="rId427" xr:uid="{672F0CD1-C803-4C85-A85F-E36D06F19C75}"/>
    <hyperlink ref="J778" r:id="rId428" xr:uid="{DA2D4D96-F178-429D-B45C-F3FFD7E5EAD9}"/>
    <hyperlink ref="J784" r:id="rId429" xr:uid="{CC506C3C-E492-445D-8BE5-B21BB104D161}"/>
    <hyperlink ref="J774" r:id="rId430" xr:uid="{F5D6FEB1-E58C-44B6-9B4C-E18E4FA0D553}"/>
    <hyperlink ref="J752" r:id="rId431" xr:uid="{34C2EECE-CFD5-40FE-91B0-DD7E459179C3}"/>
    <hyperlink ref="J796" r:id="rId432" xr:uid="{4826AC97-6344-4410-BF73-E6C7B95F39DA}"/>
    <hyperlink ref="J792" r:id="rId433" xr:uid="{B2CDEB45-DEC2-4D23-A9C5-B90E91FD5DB9}"/>
    <hyperlink ref="J794" r:id="rId434" xr:uid="{9FCBA446-14AD-41D7-B339-4E8C07E4A209}"/>
    <hyperlink ref="J852" r:id="rId435" xr:uid="{4915BA6D-1C74-403C-B458-6985096FA242}"/>
    <hyperlink ref="J841" r:id="rId436" xr:uid="{F5826CE6-58CD-4F0B-8215-106ADDEB4839}"/>
    <hyperlink ref="J853" r:id="rId437" xr:uid="{0EF50F4C-5F0C-4ACC-BB3C-E81000B3DF29}"/>
    <hyperlink ref="J789" r:id="rId438" xr:uid="{1E0C9C6C-D95F-474B-B309-221AE0D19DC2}"/>
    <hyperlink ref="J813" r:id="rId439" xr:uid="{A4A7D3CC-A2D9-48F5-82FD-9B3EEB6D888A}"/>
    <hyperlink ref="J785" r:id="rId440" xr:uid="{2B918C96-C670-4BA0-A90F-EF999C3D642A}"/>
    <hyperlink ref="J717" r:id="rId441" xr:uid="{F49AE30A-0228-4223-95DB-BA74167FE6BC}"/>
    <hyperlink ref="J782" r:id="rId442" xr:uid="{5F99E2AA-8ED7-4954-9C25-97E86A950F1D}"/>
    <hyperlink ref="J740" r:id="rId443" xr:uid="{C81674A9-9B8A-426F-BEA5-3134594476AE}"/>
    <hyperlink ref="J793" r:id="rId444" xr:uid="{122D8449-9FE7-496B-BF9B-00FEEFB0B7A2}"/>
    <hyperlink ref="J751" r:id="rId445" xr:uid="{372F8D52-4593-4629-8B7A-2439CEBDA1F8}"/>
    <hyperlink ref="J801" r:id="rId446" xr:uid="{55071465-1775-4589-A280-EEA14D749120}"/>
    <hyperlink ref="J799" r:id="rId447" xr:uid="{1C21EB99-C25C-4FCC-BC19-C1062255AC2F}"/>
    <hyperlink ref="J802" r:id="rId448" xr:uid="{22AC56FF-D84D-4B71-B991-8453146F5798}"/>
    <hyperlink ref="J803" r:id="rId449" xr:uid="{6DC9BFA5-021F-4FFD-A4D5-28028BBB4883}"/>
    <hyperlink ref="J840" r:id="rId450" xr:uid="{6F23CF68-2D02-4BD3-80D8-993C229F50AA}"/>
    <hyperlink ref="J804" r:id="rId451" xr:uid="{C96D9D44-5C83-4887-A248-2947456B9CEA}"/>
    <hyperlink ref="J741" r:id="rId452" xr:uid="{5A9B2684-33F5-46B2-BC79-940E0DEEDE80}"/>
    <hyperlink ref="J763" r:id="rId453" xr:uid="{2EA20FD2-FD04-433C-9FB1-F0E2790C8919}"/>
    <hyperlink ref="J750" r:id="rId454" xr:uid="{114CB798-169F-45F4-85A5-593381293BA3}"/>
    <hyperlink ref="J764" r:id="rId455" xr:uid="{AC31E5F7-5E0B-42F3-975A-7D2B24A7A21E}"/>
    <hyperlink ref="J791" r:id="rId456" xr:uid="{22142BF6-2E2F-46F8-BEEF-FC76A1B7FB51}"/>
    <hyperlink ref="J795" r:id="rId457" xr:uid="{49666E45-C634-413A-9549-ED8CE073B839}"/>
    <hyperlink ref="J814" r:id="rId458" xr:uid="{A7FD7286-70BA-455A-8D93-6C74A0CBC2BE}"/>
    <hyperlink ref="J806" r:id="rId459" xr:uid="{1DCA2EA5-3A9E-4FAF-8379-DB17F1D14212}"/>
    <hyperlink ref="J815" r:id="rId460" xr:uid="{2AB876A2-C81F-4CFD-8D12-4F89A3002D41}"/>
    <hyperlink ref="J807" r:id="rId461" xr:uid="{6B0F58D6-45D3-43F0-B30B-9DDA4138C765}"/>
    <hyperlink ref="J808" r:id="rId462" xr:uid="{3C894ACB-086C-4B80-8269-7D6DAB39664E}"/>
    <hyperlink ref="J809" r:id="rId463" xr:uid="{38C83AF5-E871-4665-8A9E-2E7FC169B173}"/>
    <hyperlink ref="J817" r:id="rId464" xr:uid="{61E2469C-CE76-4074-AF12-B5177983AB8D}"/>
    <hyperlink ref="J816" r:id="rId465" xr:uid="{243DE906-2459-4684-A47E-F8BFACC7C06A}"/>
    <hyperlink ref="J820" r:id="rId466" xr:uid="{2A154077-32BD-4E85-AB07-6CD2B1EF1C1C}"/>
    <hyperlink ref="J810" r:id="rId467" xr:uid="{34031627-7489-49EA-9F8F-E9AEEFC9BDF6}"/>
    <hyperlink ref="J823" r:id="rId468" xr:uid="{8570C8ED-14C3-4288-B4C0-7B232A5530C6}"/>
    <hyperlink ref="J818" r:id="rId469" xr:uid="{DC08993E-181F-4D3E-9B77-FCC958F28425}"/>
    <hyperlink ref="J821" r:id="rId470" xr:uid="{D0F568AC-5A70-4F03-A562-E1EE80B3E4CF}"/>
    <hyperlink ref="J819" r:id="rId471" xr:uid="{94AFE636-E966-426B-96DA-18B29D907D03}"/>
    <hyperlink ref="J824" r:id="rId472" xr:uid="{345EB3B5-9222-4EAA-9A22-3319BE746DD1}"/>
    <hyperlink ref="J797" r:id="rId473" xr:uid="{697F0926-CB65-4DB2-A2D4-3EAECB9EA2E0}"/>
    <hyperlink ref="J825" r:id="rId474" xr:uid="{7723D861-8668-41BB-933C-E22D3CCB6753}"/>
    <hyperlink ref="J827" r:id="rId475" xr:uid="{30E28F7A-8537-4F49-93F7-8011BACD981B}"/>
    <hyperlink ref="J828" r:id="rId476" xr:uid="{D9682CFD-F27C-43B0-BEDB-F68E388CDB0C}"/>
    <hyperlink ref="J826" r:id="rId477" xr:uid="{85560422-E107-4DFD-A49B-3348FCC8C45E}"/>
    <hyperlink ref="J838" r:id="rId478" xr:uid="{E22E3AB1-6CAE-45B3-963A-9FD6BD6D1DEA}"/>
    <hyperlink ref="J822" r:id="rId479" xr:uid="{F1296DEB-795C-4043-9CF7-978789195DD5}"/>
    <hyperlink ref="J798" r:id="rId480" xr:uid="{64FF5968-6EA8-4A5B-8236-7BCD4C6267DB}"/>
    <hyperlink ref="J811" r:id="rId481" xr:uid="{90876854-2F14-4E29-AA2F-8660301C7AE0}"/>
    <hyperlink ref="J832" r:id="rId482" xr:uid="{4FF8A197-8438-4FFB-BD92-13729F16BA56}"/>
    <hyperlink ref="J833" r:id="rId483" xr:uid="{AF29C4D7-7191-4058-8B48-21AE7B1EA571}"/>
    <hyperlink ref="J834" r:id="rId484" xr:uid="{0F5A59E8-DBF9-40E4-817F-5889C13D4148}"/>
    <hyperlink ref="J835" r:id="rId485" xr:uid="{D8FB9274-A3E0-4AC3-8B6A-20CBC65711E3}"/>
    <hyperlink ref="J829" r:id="rId486" xr:uid="{882DF44C-C684-4BA7-89AE-CD593B0AAD43}"/>
    <hyperlink ref="J837" r:id="rId487" xr:uid="{832CA9BB-2F13-4318-9F77-69F71D081AB4}"/>
    <hyperlink ref="J854" r:id="rId488" xr:uid="{9655E9D2-054B-4B24-AD18-48ECF03DC860}"/>
    <hyperlink ref="J839" r:id="rId489" xr:uid="{D5BFC94F-DE81-474B-86D9-2794FD8B4F79}"/>
    <hyperlink ref="J855" r:id="rId490" xr:uid="{2571CAD7-AF65-4E0A-BED2-C647A1E1BCFF}"/>
    <hyperlink ref="J781" r:id="rId491" xr:uid="{B96937F2-D3AB-43AE-ABF3-6F163AE8CDF5}"/>
    <hyperlink ref="J842" r:id="rId492" xr:uid="{114F03B7-B75D-489B-B5F0-153BDDD303CA}"/>
    <hyperlink ref="J844" r:id="rId493" xr:uid="{6EE27BB8-77CD-4330-AD23-277ED5556695}"/>
    <hyperlink ref="J847" r:id="rId494" xr:uid="{6F78AF6C-C054-4BF5-B735-A1135F84889B}"/>
    <hyperlink ref="J845" r:id="rId495" xr:uid="{7D143565-A62E-47E3-9509-384ED6125A03}"/>
    <hyperlink ref="J846" r:id="rId496" xr:uid="{6D803E6B-E296-4527-8FB3-C0C74DC8C61F}"/>
    <hyperlink ref="J843" r:id="rId497" xr:uid="{832884D9-A2ED-4458-B07B-A334C4EFE737}"/>
    <hyperlink ref="J848" r:id="rId498" xr:uid="{8B296F76-D81A-4597-AF92-488433EF308B}"/>
    <hyperlink ref="J849" r:id="rId499" xr:uid="{C0234AA2-CA01-4232-BEC9-AE281F94FFA6}"/>
    <hyperlink ref="J850" r:id="rId500" xr:uid="{4C98B74F-85E7-4E19-AED4-B2CFB8218695}"/>
    <hyperlink ref="J851" r:id="rId501" xr:uid="{09370AAF-615C-47CE-B12D-C97D8EEC7E36}"/>
    <hyperlink ref="J762" r:id="rId502" xr:uid="{D08CE3DD-E504-4851-8664-CF2D11E03697}"/>
    <hyperlink ref="J830" r:id="rId503" xr:uid="{E8062D47-B801-4610-AC54-6BBA1DB352B9}"/>
    <hyperlink ref="J831" r:id="rId504" xr:uid="{19CE7664-62F1-44EA-8E41-2FEFF7D3769F}"/>
    <hyperlink ref="J805" r:id="rId505" xr:uid="{5E2A900E-BA12-4EAE-A3D7-2D8A0DE149C1}"/>
    <hyperlink ref="J856" r:id="rId506" xr:uid="{FB8EDC7D-BA42-4C69-A2CF-CDA4B21709F7}"/>
    <hyperlink ref="J857" r:id="rId507" xr:uid="{5B8E6D68-2299-462C-AF11-1F31E31D8DC2}"/>
  </hyperlinks>
  <pageMargins left="0.7" right="0.7" top="0.75" bottom="0.75" header="0.3" footer="0.3"/>
  <pageSetup orientation="portrait" horizontalDpi="300" r:id="rId508"/>
  <drawing r:id="rId509"/>
  <legacyDrawing r:id="rId510"/>
  <tableParts count="1">
    <tablePart r:id="rId511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CD54364E-FDDF-4251-B91F-C580057E94BD}">
          <x14:formula1>
            <xm:f>Holidays!$B$39:$B$51</xm:f>
          </x14:formula1>
          <xm:sqref>AJ783 AJ781 AJ794:AJ795 AJ797 AJ785 AJ770:AJ771 AJ792 AJ762 AJ811 AJ802:AJ803 AJ814:AJ815 AJ805:AJ809 AJ817 AJ820 AJ827</xm:sqref>
        </x14:dataValidation>
        <x14:dataValidation type="list" showInputMessage="1" showErrorMessage="1" xr:uid="{73163593-996B-4336-9C18-EC31E0F8E6E0}">
          <x14:formula1>
            <xm:f>Holidays!$B$39:$B$53</xm:f>
          </x14:formula1>
          <xm:sqref>AJ796 AJ810 AJ763:AJ769 AJ772:AJ780 AJ782 AJ784 AJ754:AJ761 AJ834 AJ2:AJ752 AJ786:AJ791 AJ799:AJ801 AJ804 AJ812:AJ813 AJ816 AJ818:AJ819 AJ821:AJ822 AJ824:AJ825 AJ793 AJ845:AJ846</xm:sqref>
        </x14:dataValidation>
        <x14:dataValidation type="list" allowBlank="1" showInputMessage="1" showErrorMessage="1" xr:uid="{0773702F-3D04-4C88-ACA1-2AE3FB6F3A42}">
          <x14:formula1>
            <xm:f>Holidays!$B$39:$B$55</xm:f>
          </x14:formula1>
          <xm:sqref>AJ753 AJ798 AJ828:AJ833 AJ847:AJ857 AJ835:AJ836 AJ838:AJ844</xm:sqref>
        </x14:dataValidation>
        <x14:dataValidation type="list" allowBlank="1" showInputMessage="1" showErrorMessage="1" xr:uid="{95F4F8DC-CF96-42B3-9F35-3F9CB33A69BF}">
          <x14:formula1>
            <xm:f>Holidays!$B$39:$B$54</xm:f>
          </x14:formula1>
          <xm:sqref>AJ823 AJ826 AJ837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40BA-2BA1-4762-AE71-43468D215369}">
  <sheetPr>
    <tabColor rgb="FF00B050"/>
    <pageSetUpPr fitToPage="1"/>
  </sheetPr>
  <dimension ref="B1:AG77"/>
  <sheetViews>
    <sheetView showGridLines="0" topLeftCell="T42" zoomScale="85" zoomScaleNormal="85" workbookViewId="0">
      <selection activeCell="AA58" sqref="AA58"/>
    </sheetView>
  </sheetViews>
  <sheetFormatPr defaultRowHeight="14.45"/>
  <cols>
    <col min="1" max="1" width="15.7109375" customWidth="1"/>
    <col min="2" max="2" width="65.7109375" bestFit="1" customWidth="1"/>
    <col min="3" max="3" width="14" customWidth="1"/>
    <col min="4" max="4" width="44.7109375" bestFit="1" customWidth="1"/>
    <col min="5" max="5" width="57.5703125" bestFit="1" customWidth="1"/>
    <col min="6" max="6" width="16.7109375" customWidth="1"/>
    <col min="7" max="9" width="30.7109375" customWidth="1"/>
    <col min="10" max="10" width="8.28515625" customWidth="1"/>
    <col min="11" max="11" width="65.140625" bestFit="1" customWidth="1"/>
    <col min="12" max="12" width="18.28515625" bestFit="1" customWidth="1"/>
    <col min="13" max="13" width="43.5703125" bestFit="1" customWidth="1"/>
    <col min="14" max="14" width="37.42578125" bestFit="1" customWidth="1"/>
    <col min="15" max="15" width="65.140625" bestFit="1" customWidth="1"/>
    <col min="16" max="16" width="16.140625" style="967" bestFit="1" customWidth="1"/>
    <col min="17" max="17" width="42.42578125" bestFit="1" customWidth="1"/>
    <col min="18" max="18" width="36.5703125" bestFit="1" customWidth="1"/>
    <col min="19" max="19" width="16.7109375" bestFit="1" customWidth="1"/>
    <col min="20" max="20" width="30.7109375" customWidth="1"/>
    <col min="21" max="21" width="68.28515625" customWidth="1"/>
    <col min="22" max="22" width="16.140625" bestFit="1" customWidth="1"/>
    <col min="23" max="23" width="43.42578125" bestFit="1" customWidth="1"/>
    <col min="24" max="24" width="37.42578125" bestFit="1" customWidth="1"/>
    <col min="25" max="25" width="16.85546875" bestFit="1" customWidth="1"/>
    <col min="26" max="26" width="30.7109375" customWidth="1"/>
    <col min="27" max="27" width="62.85546875" bestFit="1" customWidth="1"/>
    <col min="28" max="28" width="16.140625" bestFit="1" customWidth="1"/>
    <col min="29" max="29" width="43.42578125" bestFit="1" customWidth="1"/>
    <col min="30" max="30" width="37.42578125" bestFit="1" customWidth="1"/>
    <col min="31" max="31" width="16.85546875" bestFit="1" customWidth="1"/>
  </cols>
  <sheetData>
    <row r="1" spans="2:33" ht="30" customHeight="1">
      <c r="B1" s="36"/>
      <c r="C1" s="36"/>
      <c r="D1" s="36"/>
      <c r="E1" s="36"/>
      <c r="F1" s="36"/>
      <c r="G1" s="36"/>
      <c r="H1" s="36"/>
      <c r="I1" s="36"/>
      <c r="P1" s="989"/>
    </row>
    <row r="2" spans="2:33" ht="30" customHeight="1">
      <c r="B2" s="1312" t="s">
        <v>1732</v>
      </c>
      <c r="C2" s="1312"/>
      <c r="D2" s="1312"/>
      <c r="E2" s="1312"/>
      <c r="F2" s="1312"/>
      <c r="G2" s="1312"/>
      <c r="H2" s="1312"/>
      <c r="I2" s="1312"/>
      <c r="J2" s="1312"/>
      <c r="K2" s="1312"/>
      <c r="L2" s="1312"/>
      <c r="M2" s="1312"/>
      <c r="N2" s="1312"/>
      <c r="O2" s="1312"/>
      <c r="P2" s="1312"/>
      <c r="Q2" s="1312"/>
      <c r="R2" s="1312"/>
      <c r="S2" s="1312"/>
      <c r="U2" s="1314" t="s">
        <v>1733</v>
      </c>
      <c r="V2" s="1314"/>
      <c r="W2" s="1314"/>
      <c r="X2" s="1314"/>
      <c r="Y2" s="1314"/>
      <c r="Z2" s="1314"/>
      <c r="AA2" s="1314"/>
      <c r="AB2" s="1314"/>
      <c r="AC2" s="1314"/>
      <c r="AD2" s="1314"/>
      <c r="AE2" s="1314"/>
      <c r="AF2" s="1314"/>
      <c r="AG2" s="1314"/>
    </row>
    <row r="3" spans="2:33" ht="30" customHeight="1">
      <c r="B3" s="1312"/>
      <c r="C3" s="1312"/>
      <c r="D3" s="1312"/>
      <c r="E3" s="1312"/>
      <c r="F3" s="1312"/>
      <c r="G3" s="1312"/>
      <c r="H3" s="1312"/>
      <c r="I3" s="1312"/>
      <c r="J3" s="1312"/>
      <c r="K3" s="1312"/>
      <c r="L3" s="1312"/>
      <c r="M3" s="1312"/>
      <c r="N3" s="1312"/>
      <c r="O3" s="1312"/>
      <c r="P3" s="1312"/>
      <c r="Q3" s="1312"/>
      <c r="R3" s="1312"/>
      <c r="S3" s="1312"/>
      <c r="U3" s="1314"/>
      <c r="V3" s="1314"/>
      <c r="W3" s="1314"/>
      <c r="X3" s="1314"/>
      <c r="Y3" s="1314"/>
      <c r="Z3" s="1314"/>
      <c r="AA3" s="1314"/>
      <c r="AB3" s="1314"/>
      <c r="AC3" s="1314"/>
      <c r="AD3" s="1314"/>
      <c r="AE3" s="1314"/>
      <c r="AF3" s="1314"/>
      <c r="AG3" s="1314"/>
    </row>
    <row r="4" spans="2:33" ht="30" customHeight="1">
      <c r="P4" s="989"/>
    </row>
    <row r="5" spans="2:33" ht="30" customHeight="1">
      <c r="B5" s="1317" t="s">
        <v>1734</v>
      </c>
      <c r="C5" s="1317"/>
      <c r="D5" s="1317"/>
      <c r="O5" s="1313" t="s">
        <v>1735</v>
      </c>
      <c r="P5" s="1313"/>
      <c r="Q5" s="1313"/>
      <c r="R5" s="1313"/>
      <c r="S5" s="1313"/>
    </row>
    <row r="6" spans="2:33" ht="30" customHeight="1">
      <c r="B6" s="1317"/>
      <c r="C6" s="1317"/>
      <c r="D6" s="1317"/>
      <c r="O6" s="1313"/>
      <c r="P6" s="1313"/>
      <c r="Q6" s="1313"/>
      <c r="R6" s="1313"/>
      <c r="S6" s="1313"/>
    </row>
    <row r="7" spans="2:33" ht="21" customHeight="1">
      <c r="B7" s="866" t="s">
        <v>1736</v>
      </c>
      <c r="C7" s="1318">
        <f>Filters!G34</f>
        <v>48</v>
      </c>
      <c r="D7" s="1318"/>
      <c r="O7" s="22" t="s">
        <v>998</v>
      </c>
      <c r="P7" s="879" t="s">
        <v>994</v>
      </c>
    </row>
    <row r="8" spans="2:33" ht="21" customHeight="1">
      <c r="B8" s="866" t="s">
        <v>1737</v>
      </c>
      <c r="C8" s="1318">
        <f>Filters!G81</f>
        <v>21</v>
      </c>
      <c r="D8" s="1318"/>
      <c r="O8" s="22" t="s">
        <v>996</v>
      </c>
      <c r="P8" s="879" t="s">
        <v>1016</v>
      </c>
    </row>
    <row r="9" spans="2:33" ht="30" customHeight="1">
      <c r="B9" s="866" t="s">
        <v>1738</v>
      </c>
      <c r="C9" s="1318">
        <f>Filters!G57</f>
        <v>27</v>
      </c>
      <c r="D9" s="1318"/>
      <c r="P9" s="989"/>
    </row>
    <row r="10" spans="2:33" ht="21">
      <c r="O10" s="870" t="s">
        <v>1005</v>
      </c>
      <c r="P10" s="1053" t="s">
        <v>959</v>
      </c>
      <c r="Q10" s="870" t="s">
        <v>1003</v>
      </c>
      <c r="R10" s="870" t="s">
        <v>1015</v>
      </c>
      <c r="S10" s="870" t="s">
        <v>1004</v>
      </c>
    </row>
    <row r="11" spans="2:33" ht="21">
      <c r="B11" s="1317" t="s">
        <v>1739</v>
      </c>
      <c r="C11" s="1317"/>
      <c r="D11" s="1317"/>
      <c r="O11" t="s">
        <v>1024</v>
      </c>
      <c r="P11" s="27">
        <v>46129</v>
      </c>
      <c r="Q11" s="920">
        <v>31</v>
      </c>
      <c r="R11" s="921">
        <v>0.53431372549019607</v>
      </c>
      <c r="S11" s="1325">
        <v>2</v>
      </c>
    </row>
    <row r="12" spans="2:33" ht="21">
      <c r="B12" s="1317"/>
      <c r="C12" s="1317"/>
      <c r="D12" s="1317"/>
      <c r="O12" t="s">
        <v>1027</v>
      </c>
      <c r="P12" s="27">
        <v>46106</v>
      </c>
      <c r="Q12" s="920">
        <v>11</v>
      </c>
      <c r="R12" s="921">
        <v>0.83333333333333337</v>
      </c>
      <c r="S12" s="1325">
        <v>1</v>
      </c>
    </row>
    <row r="13" spans="2:33" ht="21">
      <c r="B13" s="866"/>
      <c r="C13" s="867" t="s">
        <v>1740</v>
      </c>
      <c r="D13" s="868" t="s">
        <v>40</v>
      </c>
      <c r="O13" t="s">
        <v>1027</v>
      </c>
      <c r="P13" s="27">
        <v>46094</v>
      </c>
      <c r="Q13" s="920">
        <v>11</v>
      </c>
      <c r="R13" s="921">
        <v>0.77777777777777768</v>
      </c>
      <c r="S13" s="1325">
        <v>2</v>
      </c>
    </row>
    <row r="14" spans="2:33" ht="21">
      <c r="B14" s="866" t="s">
        <v>1741</v>
      </c>
      <c r="C14" s="911">
        <f>Filters!L111</f>
        <v>6.7875210792580098</v>
      </c>
      <c r="D14" s="912">
        <f>Filters!L135</f>
        <v>8.9764705882352942</v>
      </c>
      <c r="O14" s="1327" t="s">
        <v>437</v>
      </c>
      <c r="P14" s="1328">
        <v>46017</v>
      </c>
      <c r="Q14" s="920">
        <v>-58</v>
      </c>
      <c r="R14" s="1094">
        <v>0</v>
      </c>
      <c r="S14" s="1325">
        <v>1</v>
      </c>
    </row>
    <row r="15" spans="2:33" ht="21">
      <c r="B15" s="866" t="s">
        <v>1742</v>
      </c>
      <c r="C15" s="911">
        <f>Filters!I111</f>
        <v>9.8600337268128158</v>
      </c>
      <c r="D15" s="912">
        <f>Filters!I135</f>
        <v>9.3921568627450984</v>
      </c>
      <c r="O15" s="916" t="s">
        <v>770</v>
      </c>
      <c r="P15" s="27">
        <v>46101</v>
      </c>
      <c r="Q15" s="920">
        <v>10</v>
      </c>
      <c r="R15" s="921">
        <v>0.66666666666666663</v>
      </c>
      <c r="S15" s="1325">
        <v>1</v>
      </c>
    </row>
    <row r="16" spans="2:33" ht="21">
      <c r="O16" t="s">
        <v>888</v>
      </c>
      <c r="P16" s="27">
        <v>46094</v>
      </c>
      <c r="Q16" s="920">
        <v>10</v>
      </c>
      <c r="R16" s="921">
        <v>0.62336601307189543</v>
      </c>
      <c r="S16" s="1325">
        <v>4</v>
      </c>
    </row>
    <row r="17" spans="2:19" ht="21">
      <c r="B17" s="1317" t="s">
        <v>1743</v>
      </c>
      <c r="C17" s="1317"/>
      <c r="D17" s="1317"/>
      <c r="O17" t="s">
        <v>885</v>
      </c>
      <c r="P17" s="27">
        <v>46111</v>
      </c>
      <c r="Q17" s="920">
        <v>23</v>
      </c>
      <c r="R17" s="921">
        <v>0.42156862745098039</v>
      </c>
      <c r="S17" s="1325">
        <v>2</v>
      </c>
    </row>
    <row r="18" spans="2:19" ht="21">
      <c r="B18" s="1317"/>
      <c r="C18" s="1317"/>
      <c r="D18" s="1317"/>
      <c r="O18" t="s">
        <v>1028</v>
      </c>
      <c r="P18" s="27">
        <v>46097</v>
      </c>
      <c r="Q18" s="920">
        <v>9.5</v>
      </c>
      <c r="R18" s="921">
        <v>0.88888888888888884</v>
      </c>
      <c r="S18" s="1325">
        <v>2</v>
      </c>
    </row>
    <row r="19" spans="2:19" ht="21">
      <c r="B19" s="866" t="s">
        <v>1744</v>
      </c>
      <c r="C19" s="1315" t="str">
        <f>Filters!G141 &amp; " OUT OF " &amp; Filters!D9</f>
        <v>174 OUT OF 856</v>
      </c>
      <c r="D19" s="1315"/>
      <c r="O19" t="s">
        <v>940</v>
      </c>
      <c r="P19" s="27">
        <v>46112</v>
      </c>
      <c r="Q19" s="920">
        <v>21.833333333333332</v>
      </c>
      <c r="R19" s="921">
        <v>0.56481481481481477</v>
      </c>
      <c r="S19" s="1325">
        <v>6</v>
      </c>
    </row>
    <row r="20" spans="2:19" ht="21">
      <c r="B20" s="866" t="s">
        <v>1745</v>
      </c>
      <c r="C20" s="1316">
        <f>Filters!I141</f>
        <v>7.7528735632183912</v>
      </c>
      <c r="D20" s="1316"/>
      <c r="O20" t="s">
        <v>940</v>
      </c>
      <c r="P20" s="27">
        <v>46107</v>
      </c>
      <c r="Q20" s="920">
        <v>13</v>
      </c>
      <c r="R20" s="921">
        <v>0.83333333333333337</v>
      </c>
      <c r="S20" s="1325">
        <v>1</v>
      </c>
    </row>
    <row r="21" spans="2:19" ht="21">
      <c r="B21" s="866" t="s">
        <v>1746</v>
      </c>
      <c r="C21" s="1316">
        <f>Filters!K141</f>
        <v>16.270114942528735</v>
      </c>
      <c r="D21" s="1316"/>
      <c r="O21" t="s">
        <v>1029</v>
      </c>
      <c r="P21" s="27">
        <v>46087</v>
      </c>
      <c r="Q21" s="920">
        <v>-5</v>
      </c>
      <c r="R21" s="921">
        <v>0.61111111111111116</v>
      </c>
      <c r="S21" s="1325">
        <v>1</v>
      </c>
    </row>
    <row r="22" spans="2:19" ht="21">
      <c r="B22" s="866" t="s">
        <v>1747</v>
      </c>
      <c r="C22" s="1321" cm="1">
        <f t="array" ref="C22">Table5[%WF Closure by Eng Errors]</f>
        <v>5.1401869158878503E-2</v>
      </c>
      <c r="D22" s="1321"/>
      <c r="O22" t="s">
        <v>1031</v>
      </c>
      <c r="P22" s="27">
        <v>46108</v>
      </c>
      <c r="Q22" s="920">
        <v>17.8</v>
      </c>
      <c r="R22" s="921">
        <v>0.59019607843137245</v>
      </c>
      <c r="S22" s="1325">
        <v>5</v>
      </c>
    </row>
    <row r="23" spans="2:19" ht="21">
      <c r="B23" s="866" t="s">
        <v>1748</v>
      </c>
      <c r="C23" s="1322" t="s">
        <v>1749</v>
      </c>
      <c r="D23" s="1322"/>
      <c r="O23" t="s">
        <v>1032</v>
      </c>
      <c r="P23" s="27">
        <v>46101</v>
      </c>
      <c r="Q23" s="920">
        <v>14</v>
      </c>
      <c r="R23" s="921">
        <v>0.71568627450980393</v>
      </c>
      <c r="S23" s="1325">
        <v>3</v>
      </c>
    </row>
    <row r="24" spans="2:19" ht="21">
      <c r="O24" t="s">
        <v>1033</v>
      </c>
      <c r="P24" s="27">
        <v>46108</v>
      </c>
      <c r="Q24" s="920">
        <v>19</v>
      </c>
      <c r="R24" s="921">
        <v>0.11764705882352941</v>
      </c>
      <c r="S24" s="1325">
        <v>1</v>
      </c>
    </row>
    <row r="25" spans="2:19" ht="21">
      <c r="B25" s="1317" t="s">
        <v>1750</v>
      </c>
      <c r="C25" s="1317"/>
      <c r="D25" s="1317"/>
      <c r="O25" t="s">
        <v>1703</v>
      </c>
      <c r="P25" s="27">
        <v>46127</v>
      </c>
      <c r="Q25" s="920">
        <v>28</v>
      </c>
      <c r="R25" s="921">
        <v>0.3643790849673203</v>
      </c>
      <c r="S25" s="1325">
        <v>2</v>
      </c>
    </row>
    <row r="26" spans="2:19" ht="21">
      <c r="B26" s="1317"/>
      <c r="C26" s="1317"/>
      <c r="D26" s="1317"/>
      <c r="O26" t="s">
        <v>933</v>
      </c>
      <c r="P26" s="27">
        <v>46116</v>
      </c>
      <c r="Q26" s="920">
        <v>17.5</v>
      </c>
      <c r="R26" s="921">
        <v>0.33333333333333331</v>
      </c>
      <c r="S26" s="1325">
        <v>2</v>
      </c>
    </row>
    <row r="27" spans="2:19" ht="21">
      <c r="O27" t="s">
        <v>1018</v>
      </c>
      <c r="P27" s="27">
        <v>46129</v>
      </c>
      <c r="Q27" s="920">
        <v>26.25</v>
      </c>
      <c r="R27" s="921">
        <v>0.16993464052287582</v>
      </c>
      <c r="S27" s="1325">
        <v>4</v>
      </c>
    </row>
    <row r="28" spans="2:19" ht="21">
      <c r="B28" s="22" t="s">
        <v>998</v>
      </c>
      <c r="C28" s="879" t="s">
        <v>994</v>
      </c>
      <c r="O28" t="s">
        <v>1019</v>
      </c>
      <c r="P28" s="27">
        <v>46122</v>
      </c>
      <c r="Q28" s="920">
        <v>21.5</v>
      </c>
      <c r="R28" s="921">
        <v>0.22549019607843135</v>
      </c>
      <c r="S28" s="1325">
        <v>2</v>
      </c>
    </row>
    <row r="29" spans="2:19" ht="21">
      <c r="B29" s="22" t="s">
        <v>996</v>
      </c>
      <c r="C29" s="879" t="s">
        <v>1016</v>
      </c>
      <c r="O29" t="s">
        <v>1723</v>
      </c>
      <c r="P29" s="27">
        <v>46136</v>
      </c>
      <c r="Q29" s="920">
        <v>29.5</v>
      </c>
      <c r="R29" s="921">
        <v>0</v>
      </c>
      <c r="S29" s="1325">
        <v>2</v>
      </c>
    </row>
    <row r="30" spans="2:19" ht="15" customHeight="1">
      <c r="B30" s="22" t="s">
        <v>1114</v>
      </c>
      <c r="C30" s="879" t="s">
        <v>1009</v>
      </c>
      <c r="O30" t="s">
        <v>1698</v>
      </c>
      <c r="P30" s="27">
        <v>46108</v>
      </c>
      <c r="Q30" s="920">
        <v>8.5</v>
      </c>
      <c r="R30" s="921">
        <v>0</v>
      </c>
      <c r="S30" s="1325">
        <v>2</v>
      </c>
    </row>
    <row r="31" spans="2:19" ht="15" customHeight="1">
      <c r="C31" s="105"/>
      <c r="O31" t="s">
        <v>1673</v>
      </c>
      <c r="P31" s="27">
        <v>46129</v>
      </c>
      <c r="Q31" s="920">
        <v>23</v>
      </c>
      <c r="R31" s="921">
        <v>0</v>
      </c>
      <c r="S31" s="1325">
        <v>1</v>
      </c>
    </row>
    <row r="32" spans="2:19" ht="21">
      <c r="B32" s="1054" t="s">
        <v>955</v>
      </c>
      <c r="C32" s="1054" t="s">
        <v>959</v>
      </c>
      <c r="D32" s="1054" t="s">
        <v>1005</v>
      </c>
      <c r="O32" t="s">
        <v>1673</v>
      </c>
      <c r="P32" s="27">
        <v>46098</v>
      </c>
      <c r="Q32" s="920">
        <v>-2</v>
      </c>
      <c r="R32" s="921">
        <v>0</v>
      </c>
      <c r="S32" s="1325">
        <v>1</v>
      </c>
    </row>
    <row r="33" spans="2:33" ht="15" customHeight="1">
      <c r="B33" t="s">
        <v>896</v>
      </c>
      <c r="C33" s="27">
        <v>46094</v>
      </c>
      <c r="D33" t="s">
        <v>888</v>
      </c>
      <c r="O33" s="1329" t="s">
        <v>1013</v>
      </c>
      <c r="P33" s="1055"/>
      <c r="Q33" s="917">
        <v>16.1875</v>
      </c>
      <c r="R33" s="918">
        <v>0.45445261437908496</v>
      </c>
      <c r="S33" s="1326">
        <v>48</v>
      </c>
    </row>
    <row r="34" spans="2:33" ht="15" customHeight="1">
      <c r="B34" t="s">
        <v>899</v>
      </c>
      <c r="C34" s="27">
        <v>46094</v>
      </c>
      <c r="D34" t="s">
        <v>888</v>
      </c>
      <c r="P34" s="989"/>
    </row>
    <row r="35" spans="2:33" ht="15" customHeight="1">
      <c r="B35" t="s">
        <v>883</v>
      </c>
      <c r="C35" s="27">
        <v>46094</v>
      </c>
      <c r="D35" t="s">
        <v>1027</v>
      </c>
      <c r="P35" s="989"/>
      <c r="U35" s="1320" t="s">
        <v>1735</v>
      </c>
      <c r="V35" s="1320"/>
      <c r="W35" s="1320"/>
      <c r="X35" s="1320"/>
      <c r="Y35" s="1320"/>
      <c r="AA35" s="1319" t="s">
        <v>1751</v>
      </c>
      <c r="AB35" s="1319"/>
      <c r="AC35" s="1319"/>
      <c r="AD35" s="1319"/>
      <c r="AE35" s="1319"/>
      <c r="AF35" s="1319"/>
      <c r="AG35" s="991"/>
    </row>
    <row r="36" spans="2:33" ht="15" customHeight="1">
      <c r="B36" t="s">
        <v>926</v>
      </c>
      <c r="C36" s="27">
        <v>46097</v>
      </c>
      <c r="D36" t="s">
        <v>1028</v>
      </c>
      <c r="P36" s="989"/>
      <c r="U36" s="1320"/>
      <c r="V36" s="1320"/>
      <c r="W36" s="1320"/>
      <c r="X36" s="1320"/>
      <c r="Y36" s="1320"/>
      <c r="AA36" s="1319"/>
      <c r="AB36" s="1319"/>
      <c r="AC36" s="1319"/>
      <c r="AD36" s="1319"/>
      <c r="AE36" s="1319"/>
      <c r="AF36" s="1319"/>
      <c r="AG36" s="991"/>
    </row>
    <row r="37" spans="2:33" ht="15" customHeight="1">
      <c r="B37" t="s">
        <v>1663</v>
      </c>
      <c r="C37" s="27">
        <v>46094</v>
      </c>
      <c r="D37" t="s">
        <v>1027</v>
      </c>
      <c r="P37" s="989"/>
      <c r="U37" s="1320"/>
      <c r="V37" s="1320"/>
      <c r="W37" s="1320"/>
      <c r="X37" s="1320"/>
      <c r="Y37" s="1320"/>
      <c r="AA37" s="1319"/>
      <c r="AB37" s="1319"/>
      <c r="AC37" s="1319"/>
      <c r="AD37" s="1319"/>
      <c r="AE37" s="1319"/>
      <c r="AF37" s="1319"/>
      <c r="AG37" s="991"/>
    </row>
    <row r="38" spans="2:33" ht="15" customHeight="1">
      <c r="B38" t="s">
        <v>1665</v>
      </c>
      <c r="C38" s="27">
        <v>46094</v>
      </c>
      <c r="D38" t="s">
        <v>888</v>
      </c>
      <c r="P38" s="989"/>
      <c r="U38" s="1320"/>
      <c r="V38" s="1320"/>
      <c r="W38" s="1320"/>
      <c r="X38" s="1320"/>
      <c r="Y38" s="1320"/>
      <c r="AA38" s="1319"/>
      <c r="AB38" s="1319"/>
      <c r="AC38" s="1319"/>
      <c r="AD38" s="1319"/>
      <c r="AE38" s="1319"/>
      <c r="AF38" s="1319"/>
      <c r="AG38" s="991"/>
    </row>
    <row r="39" spans="2:33" ht="15" customHeight="1">
      <c r="B39" t="s">
        <v>931</v>
      </c>
      <c r="C39" s="27">
        <v>46097</v>
      </c>
      <c r="D39" t="s">
        <v>1028</v>
      </c>
      <c r="P39" s="989"/>
      <c r="U39" s="1320"/>
      <c r="V39" s="1320"/>
      <c r="W39" s="1320"/>
      <c r="X39" s="1320"/>
      <c r="Y39" s="1320"/>
      <c r="AA39" s="1319"/>
      <c r="AB39" s="1319"/>
      <c r="AC39" s="1319"/>
      <c r="AD39" s="1319"/>
      <c r="AE39" s="1319"/>
      <c r="AF39" s="1319"/>
      <c r="AG39" s="991"/>
    </row>
    <row r="40" spans="2:33" ht="15" customHeight="1">
      <c r="B40" t="s">
        <v>1666</v>
      </c>
      <c r="C40" s="27">
        <v>46094</v>
      </c>
      <c r="D40" t="s">
        <v>888</v>
      </c>
      <c r="P40" s="989"/>
    </row>
    <row r="41" spans="2:33" ht="21" customHeight="1">
      <c r="B41" t="s">
        <v>948</v>
      </c>
      <c r="C41" s="27">
        <v>46087</v>
      </c>
      <c r="D41" t="s">
        <v>1029</v>
      </c>
      <c r="P41" s="989"/>
      <c r="U41" s="982" t="s">
        <v>998</v>
      </c>
      <c r="V41" s="1043" t="s">
        <v>994</v>
      </c>
      <c r="W41" s="916"/>
      <c r="X41" s="916"/>
      <c r="Y41" s="916"/>
    </row>
    <row r="42" spans="2:33" ht="21" customHeight="1">
      <c r="B42" t="s">
        <v>1642</v>
      </c>
      <c r="C42" s="27">
        <v>46017</v>
      </c>
      <c r="D42" t="s">
        <v>437</v>
      </c>
      <c r="P42" s="989"/>
      <c r="U42" s="982" t="s">
        <v>996</v>
      </c>
      <c r="V42" s="1043" t="s">
        <v>1016</v>
      </c>
      <c r="W42" s="916"/>
      <c r="X42" s="916"/>
      <c r="Y42" s="916"/>
    </row>
    <row r="43" spans="2:33" ht="15" customHeight="1">
      <c r="B43" t="s">
        <v>1674</v>
      </c>
      <c r="C43" s="27">
        <v>46098</v>
      </c>
      <c r="D43" t="s">
        <v>1673</v>
      </c>
      <c r="P43" s="989"/>
      <c r="U43" s="916"/>
      <c r="V43" s="916"/>
      <c r="W43" s="916"/>
      <c r="X43" s="916"/>
      <c r="Y43" s="916"/>
    </row>
    <row r="44" spans="2:33" ht="21">
      <c r="P44" s="989"/>
      <c r="U44" s="981" t="s">
        <v>1005</v>
      </c>
      <c r="V44" s="1056" t="s">
        <v>959</v>
      </c>
      <c r="W44" s="981" t="s">
        <v>1003</v>
      </c>
      <c r="X44" s="981" t="s">
        <v>1015</v>
      </c>
      <c r="Y44" s="981" t="s">
        <v>1004</v>
      </c>
      <c r="AA44" s="982" t="s">
        <v>998</v>
      </c>
      <c r="AB44" s="1043" t="s">
        <v>994</v>
      </c>
    </row>
    <row r="45" spans="2:33" ht="21">
      <c r="P45" s="989"/>
      <c r="U45" s="916" t="s">
        <v>1024</v>
      </c>
      <c r="V45" s="988">
        <v>46129</v>
      </c>
      <c r="W45" s="1330">
        <v>31</v>
      </c>
      <c r="X45" s="1331">
        <v>0.53431372549019607</v>
      </c>
      <c r="Y45" s="1332">
        <v>2</v>
      </c>
      <c r="AA45" s="982" t="s">
        <v>996</v>
      </c>
      <c r="AB45" s="1043" t="s">
        <v>1016</v>
      </c>
      <c r="AC45" s="916"/>
      <c r="AD45" s="916"/>
      <c r="AE45" s="916"/>
    </row>
    <row r="46" spans="2:33" ht="21">
      <c r="P46" s="989"/>
      <c r="U46" s="1336" t="s">
        <v>1027</v>
      </c>
      <c r="V46" s="988">
        <v>46094</v>
      </c>
      <c r="W46" s="1330">
        <v>11</v>
      </c>
      <c r="X46" s="1331">
        <v>0.77777777777777768</v>
      </c>
      <c r="Y46" s="1332">
        <v>2</v>
      </c>
      <c r="AA46" s="982" t="s">
        <v>1114</v>
      </c>
      <c r="AB46" s="916" t="s">
        <v>1009</v>
      </c>
      <c r="AC46" s="916"/>
      <c r="AD46" s="916"/>
      <c r="AE46" s="916"/>
    </row>
    <row r="47" spans="2:33" ht="21">
      <c r="P47" s="989"/>
      <c r="U47" s="1336" t="s">
        <v>1027</v>
      </c>
      <c r="V47" s="988">
        <v>46106</v>
      </c>
      <c r="W47" s="1330">
        <v>11</v>
      </c>
      <c r="X47" s="1331">
        <v>0.83333333333333337</v>
      </c>
      <c r="Y47" s="1332">
        <v>1</v>
      </c>
      <c r="AA47" s="916"/>
      <c r="AB47" s="916"/>
      <c r="AC47" s="916"/>
      <c r="AD47" s="916"/>
      <c r="AE47" s="916"/>
    </row>
    <row r="48" spans="2:33" ht="21">
      <c r="P48" s="989"/>
      <c r="U48" s="1337" t="s">
        <v>437</v>
      </c>
      <c r="V48" s="1328">
        <v>46017</v>
      </c>
      <c r="W48" s="1330">
        <v>-58</v>
      </c>
      <c r="X48" s="1333">
        <v>0</v>
      </c>
      <c r="Y48" s="1332">
        <v>1</v>
      </c>
      <c r="AA48" s="983" t="s">
        <v>1005</v>
      </c>
      <c r="AB48" s="1057" t="s">
        <v>959</v>
      </c>
      <c r="AC48" s="983" t="s">
        <v>1003</v>
      </c>
      <c r="AD48" s="983" t="s">
        <v>1015</v>
      </c>
      <c r="AE48" s="983" t="s">
        <v>1004</v>
      </c>
    </row>
    <row r="49" spans="16:31" ht="21">
      <c r="P49" s="989"/>
      <c r="U49" s="1335" t="s">
        <v>770</v>
      </c>
      <c r="V49" s="988">
        <v>46101</v>
      </c>
      <c r="W49" s="1330">
        <v>10</v>
      </c>
      <c r="X49" s="1331">
        <v>0.66666666666666663</v>
      </c>
      <c r="Y49" s="1332">
        <v>1</v>
      </c>
      <c r="AA49" s="1335" t="s">
        <v>1027</v>
      </c>
      <c r="AB49" s="988">
        <v>46094</v>
      </c>
      <c r="AC49" s="1330">
        <v>11</v>
      </c>
      <c r="AD49" s="1331">
        <v>0.77777777777777768</v>
      </c>
      <c r="AE49" s="1332">
        <v>2</v>
      </c>
    </row>
    <row r="50" spans="16:31" ht="21">
      <c r="P50" s="989"/>
      <c r="U50" s="990" t="s">
        <v>888</v>
      </c>
      <c r="V50" s="988">
        <v>46094</v>
      </c>
      <c r="W50" s="1330">
        <v>10</v>
      </c>
      <c r="X50" s="1331">
        <v>0.62336601307189543</v>
      </c>
      <c r="Y50" s="1332">
        <v>4</v>
      </c>
      <c r="AA50" s="1337" t="s">
        <v>437</v>
      </c>
      <c r="AB50" s="1328">
        <v>46017</v>
      </c>
      <c r="AC50" s="1330">
        <v>-58</v>
      </c>
      <c r="AD50" s="1333">
        <v>0</v>
      </c>
      <c r="AE50" s="1332">
        <v>1</v>
      </c>
    </row>
    <row r="51" spans="16:31" ht="21">
      <c r="P51" s="989"/>
      <c r="U51" s="990" t="s">
        <v>885</v>
      </c>
      <c r="V51" s="988">
        <v>46111</v>
      </c>
      <c r="W51" s="1330">
        <v>23</v>
      </c>
      <c r="X51" s="1331">
        <v>0.42156862745098039</v>
      </c>
      <c r="Y51" s="1332">
        <v>2</v>
      </c>
      <c r="AA51" s="916" t="s">
        <v>888</v>
      </c>
      <c r="AB51" s="988">
        <v>46094</v>
      </c>
      <c r="AC51" s="1330">
        <v>10</v>
      </c>
      <c r="AD51" s="1331">
        <v>0.62336601307189543</v>
      </c>
      <c r="AE51" s="1332">
        <v>4</v>
      </c>
    </row>
    <row r="52" spans="16:31" ht="21">
      <c r="P52" s="989"/>
      <c r="U52" s="990" t="s">
        <v>1028</v>
      </c>
      <c r="V52" s="988">
        <v>46097</v>
      </c>
      <c r="W52" s="1330">
        <v>9.5</v>
      </c>
      <c r="X52" s="1331">
        <v>0.88888888888888884</v>
      </c>
      <c r="Y52" s="1332">
        <v>2</v>
      </c>
      <c r="AA52" s="916" t="s">
        <v>1028</v>
      </c>
      <c r="AB52" s="988">
        <v>46097</v>
      </c>
      <c r="AC52" s="1330">
        <v>9.5</v>
      </c>
      <c r="AD52" s="1331">
        <v>0.88888888888888884</v>
      </c>
      <c r="AE52" s="1332">
        <v>2</v>
      </c>
    </row>
    <row r="53" spans="16:31" ht="21">
      <c r="P53" s="989"/>
      <c r="U53" s="916" t="s">
        <v>940</v>
      </c>
      <c r="V53" s="988">
        <v>46107</v>
      </c>
      <c r="W53" s="1330">
        <v>13</v>
      </c>
      <c r="X53" s="1331">
        <v>0.83333333333333337</v>
      </c>
      <c r="Y53" s="1332">
        <v>1</v>
      </c>
      <c r="AA53" s="916" t="s">
        <v>1029</v>
      </c>
      <c r="AB53" s="988">
        <v>46087</v>
      </c>
      <c r="AC53" s="1330">
        <v>-5</v>
      </c>
      <c r="AD53" s="1331">
        <v>0.61111111111111116</v>
      </c>
      <c r="AE53" s="1332">
        <v>1</v>
      </c>
    </row>
    <row r="54" spans="16:31" ht="21">
      <c r="P54" s="989"/>
      <c r="U54" s="916" t="s">
        <v>940</v>
      </c>
      <c r="V54" s="988">
        <v>46112</v>
      </c>
      <c r="W54" s="1330">
        <v>21.833333333333332</v>
      </c>
      <c r="X54" s="1331">
        <v>0.56481481481481477</v>
      </c>
      <c r="Y54" s="1332">
        <v>6</v>
      </c>
      <c r="AA54" s="916" t="s">
        <v>1673</v>
      </c>
      <c r="AB54" s="988">
        <v>46098</v>
      </c>
      <c r="AC54" s="1330">
        <v>-2</v>
      </c>
      <c r="AD54" s="1331">
        <v>0</v>
      </c>
      <c r="AE54" s="1332">
        <v>1</v>
      </c>
    </row>
    <row r="55" spans="16:31" ht="21">
      <c r="P55" s="989"/>
      <c r="U55" s="916" t="s">
        <v>1029</v>
      </c>
      <c r="V55" s="988">
        <v>46087</v>
      </c>
      <c r="W55" s="1330">
        <v>-5</v>
      </c>
      <c r="X55" s="1331">
        <v>0.61111111111111116</v>
      </c>
      <c r="Y55" s="1332">
        <v>1</v>
      </c>
      <c r="AA55" s="1334" t="s">
        <v>1013</v>
      </c>
      <c r="AB55" s="1334"/>
      <c r="AC55" s="1330">
        <v>1.4545454545454546</v>
      </c>
      <c r="AD55" s="1331">
        <v>0.58526440879382058</v>
      </c>
      <c r="AE55" s="1332">
        <v>11</v>
      </c>
    </row>
    <row r="56" spans="16:31" ht="21">
      <c r="P56" s="989"/>
      <c r="U56" s="916" t="s">
        <v>1031</v>
      </c>
      <c r="V56" s="988">
        <v>46108</v>
      </c>
      <c r="W56" s="1330">
        <v>17.8</v>
      </c>
      <c r="X56" s="1331">
        <v>0.59019607843137245</v>
      </c>
      <c r="Y56" s="1332">
        <v>5</v>
      </c>
    </row>
    <row r="57" spans="16:31" ht="21">
      <c r="P57" s="989"/>
      <c r="U57" s="916" t="s">
        <v>1032</v>
      </c>
      <c r="V57" s="988">
        <v>46101</v>
      </c>
      <c r="W57" s="1330">
        <v>14</v>
      </c>
      <c r="X57" s="1331">
        <v>0.71568627450980393</v>
      </c>
      <c r="Y57" s="1332">
        <v>3</v>
      </c>
    </row>
    <row r="58" spans="16:31" ht="21">
      <c r="P58" s="989"/>
      <c r="U58" s="916" t="s">
        <v>1033</v>
      </c>
      <c r="V58" s="988">
        <v>46108</v>
      </c>
      <c r="W58" s="1330">
        <v>19</v>
      </c>
      <c r="X58" s="1331">
        <v>0.11764705882352941</v>
      </c>
      <c r="Y58" s="1332">
        <v>1</v>
      </c>
    </row>
    <row r="59" spans="16:31" ht="21">
      <c r="P59" s="989"/>
      <c r="U59" s="916" t="s">
        <v>1703</v>
      </c>
      <c r="V59" s="988">
        <v>46127</v>
      </c>
      <c r="W59" s="1330">
        <v>28</v>
      </c>
      <c r="X59" s="1331">
        <v>0.3643790849673203</v>
      </c>
      <c r="Y59" s="1332">
        <v>2</v>
      </c>
    </row>
    <row r="60" spans="16:31" ht="21">
      <c r="P60" s="989"/>
      <c r="U60" s="916" t="s">
        <v>933</v>
      </c>
      <c r="V60" s="988">
        <v>46116</v>
      </c>
      <c r="W60" s="1330">
        <v>17.5</v>
      </c>
      <c r="X60" s="1331">
        <v>0.33333333333333331</v>
      </c>
      <c r="Y60" s="1332">
        <v>2</v>
      </c>
    </row>
    <row r="61" spans="16:31" ht="21">
      <c r="P61" s="989"/>
      <c r="U61" s="916" t="s">
        <v>1018</v>
      </c>
      <c r="V61" s="988">
        <v>46129</v>
      </c>
      <c r="W61" s="1330">
        <v>26.25</v>
      </c>
      <c r="X61" s="1331">
        <v>0.16993464052287582</v>
      </c>
      <c r="Y61" s="1332">
        <v>4</v>
      </c>
    </row>
    <row r="62" spans="16:31" ht="21">
      <c r="P62" s="989"/>
      <c r="U62" s="916" t="s">
        <v>1019</v>
      </c>
      <c r="V62" s="988">
        <v>46122</v>
      </c>
      <c r="W62" s="1330">
        <v>21.5</v>
      </c>
      <c r="X62" s="1331">
        <v>0.22549019607843135</v>
      </c>
      <c r="Y62" s="1332">
        <v>2</v>
      </c>
    </row>
    <row r="63" spans="16:31" ht="21">
      <c r="P63" s="989"/>
      <c r="U63" s="916" t="s">
        <v>1723</v>
      </c>
      <c r="V63" s="988">
        <v>46136</v>
      </c>
      <c r="W63" s="1330">
        <v>29.5</v>
      </c>
      <c r="X63" s="1331">
        <v>0</v>
      </c>
      <c r="Y63" s="1332">
        <v>2</v>
      </c>
    </row>
    <row r="64" spans="16:31" ht="15" customHeight="1">
      <c r="P64"/>
      <c r="U64" s="916" t="s">
        <v>1698</v>
      </c>
      <c r="V64" s="988">
        <v>46108</v>
      </c>
      <c r="W64" s="1330">
        <v>8.5</v>
      </c>
      <c r="X64" s="1331">
        <v>0</v>
      </c>
      <c r="Y64" s="1332">
        <v>2</v>
      </c>
    </row>
    <row r="65" spans="16:25" ht="15" customHeight="1">
      <c r="P65"/>
      <c r="U65" s="916" t="s">
        <v>1673</v>
      </c>
      <c r="V65" s="988">
        <v>46098</v>
      </c>
      <c r="W65" s="1330">
        <v>-2</v>
      </c>
      <c r="X65" s="1331">
        <v>0</v>
      </c>
      <c r="Y65" s="1332">
        <v>1</v>
      </c>
    </row>
    <row r="66" spans="16:25" ht="15" customHeight="1">
      <c r="P66"/>
      <c r="U66" s="916" t="s">
        <v>1673</v>
      </c>
      <c r="V66" s="988">
        <v>46129</v>
      </c>
      <c r="W66" s="1330">
        <v>23</v>
      </c>
      <c r="X66" s="1331">
        <v>0</v>
      </c>
      <c r="Y66" s="1332">
        <v>1</v>
      </c>
    </row>
    <row r="67" spans="16:25" ht="15" customHeight="1">
      <c r="P67"/>
      <c r="U67" s="1334" t="s">
        <v>1013</v>
      </c>
      <c r="V67" s="1334"/>
      <c r="W67" s="1330">
        <v>16.1875</v>
      </c>
      <c r="X67" s="1331">
        <v>0.45445261437908502</v>
      </c>
      <c r="Y67" s="1332">
        <v>48</v>
      </c>
    </row>
    <row r="68" spans="16:25" ht="15" customHeight="1">
      <c r="P68"/>
    </row>
    <row r="77" spans="16:25">
      <c r="P77" s="989"/>
      <c r="U77" s="10"/>
      <c r="V77" s="10"/>
      <c r="W77" s="10"/>
      <c r="X77" s="10"/>
      <c r="Y77" s="10"/>
    </row>
  </sheetData>
  <mergeCells count="17">
    <mergeCell ref="AA35:AF39"/>
    <mergeCell ref="C21:D21"/>
    <mergeCell ref="U35:Y39"/>
    <mergeCell ref="B25:D26"/>
    <mergeCell ref="C22:D22"/>
    <mergeCell ref="C23:D23"/>
    <mergeCell ref="B2:S3"/>
    <mergeCell ref="O5:S6"/>
    <mergeCell ref="U2:AG3"/>
    <mergeCell ref="C19:D19"/>
    <mergeCell ref="C20:D20"/>
    <mergeCell ref="B11:D12"/>
    <mergeCell ref="B17:D18"/>
    <mergeCell ref="B5:D6"/>
    <mergeCell ref="C7:D7"/>
    <mergeCell ref="C8:D8"/>
    <mergeCell ref="C9:D9"/>
  </mergeCells>
  <printOptions horizontalCentered="1" verticalCentered="1"/>
  <pageMargins left="0.7" right="0.7" top="0.75" bottom="0.75" header="0.3" footer="0.3"/>
  <pageSetup paperSize="5" fitToHeight="0" orientation="landscape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<?xml version="1.0" encoding="utf-8"?>
<scriptIds xmlns="http://schemas.microsoft.com/office/extensibility/maker/v1.0" id="script-ids-node-id">
  <scriptId id="ms-officescript%3A%2F%2Fonedrive_business_itemlink%2F01GYYJ4IJQCFB7WGAWENAISXNSVFXDR3CL:ms-officescript%3A%2F%2Fonedrive_business_sharinglink%2Fu!aHR0cHM6Ly9zY2huZWlkZXJlbGVjdHJpYy1teS5zaGFyZXBvaW50LmNvbS86dTovZy9wZXJzb25hbC9zZXNhODIxMDEyX3NlX2NvbS9FVEFSUV9zWUZpTkFpVjJ5cVc0NDdFc0JzR1ZsTU96WXZyRDBQbnFCU1k4Rkt3"/>
  <scriptId xmlns="" id="ms-officescript%3A%2F%2Fonedrive_business_itemlink%2F01GYYJ4IK26AGZZCZTURF3UKLAP2QDJT35:ms-officescript%3A%2F%2Fonedrive_business_sharinglink%2Fu!aHR0cHM6Ly9zY2huZWlkZXJlbGVjdHJpYy1teS5zaGFyZXBvaW50LmNvbS86dTovZy9wZXJzb25hbC9zZXNhODIxMDEyX3NlX2NvbS9FVnJ3RFp5TE02Ukx1aWxnZnFBMHozMEJXOUpXMjNTZ3NDQUNXMERoa0RMUnpn"/>
  <scriptId xmlns="" id="ms-officescript%3A%2F%2Fonedrive_business_itemlink%2F01GYYJ4IMLYIZDNZNUIZEI6ML4C46J5OZS:ms-officescript%3A%2F%2Fonedrive_business_sharinglink%2Fu!aHR0cHM6Ly9zY2huZWlkZXJlbGVjdHJpYy1teS5zaGFyZXBvaW50LmNvbS86dTovZy9wZXJzb25hbC9zZXNhODIxMDEyX3NlX2NvbS9FWXZDTWpibHRFWklqekY4Rnp5ZXV6SUJubTB1ZEJobVdoaHJ3OXR3UkxQUDlB"/>
  <scriptId xmlns="" id="ms-officescript%3A%2F%2Fonedrive_business_itemlink%2F01GYYJ4IJ2QU4IUJ5OLRDZUYNKYZ4BPIAY:ms-officescript%3A%2F%2Fonedrive_business_sharinglink%2Fu!aHR0cHM6Ly9zY2huZWlkZXJlbGVjdHJpYy1teS5zaGFyZXBvaW50LmNvbS86dTovZy9wZXJzb25hbC9zZXNhODIxMDEyX3NlX2NvbS9FVHFGT0lvbnJseEhtbUdxeG5nWG9CZ0J0eTkxMUZfSEVNUlJqOGY3SDdoQkZR"/>
  <scriptId xmlns="" id="ms-officescript%3A%2F%2Fonedrive_business_itemlink%2F01GYYJ4IP4SQNHZ2FMPBHZYKYBNNXP6463:ms-officescript%3A%2F%2Fonedrive_business_sharinglink%2Fu!aHR0cHM6Ly9zY2huZWlkZXJlbGVjdHJpYy1teS5zaGFyZXBvaW50LmNvbS86dTovZy9wZXJzb25hbC9zZXNhODIxMDEyX3NlX2NvbS9JUUQ4bEJwODZLeDRUNXdyQVd0dV8zUGJBZi1MR19LVHI4czVibXJ3Z1FNeVozcw"/>
  <scriptId xmlns="" id="ms-officescript%3A%2F%2Fonedrive_business_itemlink%2F01GYYJ4IKTQFMEYV3EHNAZW7NSSPC7JZ3K:ms-officescript%3A%2F%2Fonedrive_business_sharinglink%2Fu!aHR0cHM6Ly9zY2huZWlkZXJlbGVjdHJpYy1teS5zaGFyZXBvaW50LmNvbS86dTovZy9wZXJzb25hbC9zZXNhODIxMDEyX3NlX2NvbS9JUUJUZ1ZoTVYyUTdRWnQ5c3BQRjlPZHFBVU5fcjlra09URU1vZm9qWnJ6aXRyZw"/>
  <scriptId xmlns="" id="ms-officescript%3A%2F%2Fonedrive_business_itemlink%2F01GYYJ4IODAURKX3MY3BAI5UFQG5IF6BYC:ms-officescript%3A%2F%2Fonedrive_business_sharinglink%2Fu!aHR0cHM6Ly9zY2huZWlkZXJlbGVjdHJpYy1teS5zaGFyZXBvaW50LmNvbS86dTovZy9wZXJzb25hbC9zZXNhODIxMDEyX3NlX2NvbS9JUUREQlNLcjdaallRSTdRc0RkUVh3Y0NBYW1SZGd2S0Y5VHY4TUI2U2xqTkdJWQ"/>
  <scriptId xmlns="" id="ms-officescript%3A%2F%2Fonedrive_business_itemlink%2F01GYYJ4IIYQ4JL2JAILVHL63BMD5L345O7:ms-officescript%3A%2F%2Fonedrive_business_sharinglink%2Fu!aHR0cHM6Ly9zY2huZWlkZXJlbGVjdHJpYy1teS5zaGFyZXBvaW50LmNvbS86dTovZy9wZXJzb25hbC9zZXNhODIxMDEyX3NlX2NvbS9JUUFZaHhLOUpBaGRUcjlzTEI5WHZuWGZBYjhoc0hRLWE4WVJUNnJQLU1WalFuQQ"/>
</scriptIds>
</file>

<file path=customXml/item5.xml>��
</file>

<file path=customXml/itemProps1.xml><?xml version="1.0" encoding="utf-8"?>
<ds:datastoreItem xmlns:ds="http://schemas.openxmlformats.org/officeDocument/2006/customXml" ds:itemID="{0BBBF5B0-0B16-4E39-84B4-DF7BCC7E2D3F}"/>
</file>

<file path=customXml/itemProps2.xml><?xml version="1.0" encoding="utf-8"?>
<ds:datastoreItem xmlns:ds="http://schemas.openxmlformats.org/officeDocument/2006/customXml" ds:itemID="{0D91F641-FED6-4BDC-A25A-75CFE8C91380}"/>
</file>

<file path=customXml/itemProps3.xml><?xml version="1.0" encoding="utf-8"?>
<ds:datastoreItem xmlns:ds="http://schemas.openxmlformats.org/officeDocument/2006/customXml" ds:itemID="{44582954-B4DF-41FE-AFBF-A38815C1AED6}"/>
</file>

<file path=customXml/itemProps4.xml><?xml version="1.0" encoding="utf-8"?>
<ds:datastoreItem xmlns:ds="http://schemas.openxmlformats.org/officeDocument/2006/customXml" ds:itemID="{A3C974AD-65B4-4D30-95CC-6D9A4EF004E5}"/>
</file>

<file path=customXml/itemProps5.xml><?xml version="1.0" encoding="utf-8"?>
<ds:datastoreItem xmlns:ds="http://schemas.openxmlformats.org/officeDocument/2006/customXml" ds:itemID="{4223C3BF-1FD5-4AC3-8013-C28BD9F932A7}"/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Ramos</dc:creator>
  <cp:keywords/>
  <dc:description/>
  <cp:lastModifiedBy/>
  <cp:revision/>
  <dcterms:created xsi:type="dcterms:W3CDTF">2025-01-08T15:16:47Z</dcterms:created>
  <dcterms:modified xsi:type="dcterms:W3CDTF">2026-03-19T12:47:14Z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2025-01-08T16:25:57Z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2d7602a1-1691-4e31-aa7c-bb5e58158ae5</vt:lpwstr>
  </property>
  <property fmtid="{D5CDD505-2E9C-101B-9397-08002B2CF9AE}" pid="8" name="MSIP_Label_57443d00-af18-408c-9335-47b5de3ec9b9_ContentBits">
    <vt:lpwstr>2</vt:lpwstr>
  </property>
</Properties>
</file>